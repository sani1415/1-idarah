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</sheets>
  <definedNames>
    <definedName name="SupplierList">'বকেয়া'!$A$10:$A$109</definedName>
    <definedName name="_xlnm._FilterDatabase" localSheetId="1" hidden="1">'ব্যয়'!$A$1:$K$1</definedName>
    <definedName name="_xlnm._FilterDatabase" localSheetId="2" hidden="1">'আয়'!$A$1:$C$1</definedName>
    <definedName name="_xlnm._FilterDatabase" localSheetId="3" hidden="1">'করজ'!$A$1:$E$1</definedName>
    <definedName name="_xlnm._FilterDatabase" localSheetId="4" hidden="1">'পরিশোধ'!$A$1:$D$1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7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3" fillId="2" borderId="1" pivotButton="0" quotePrefix="0" xfId="0"/>
    <xf numFmtId="0" fontId="0" fillId="4" borderId="1" pivotButton="0" quotePrefix="0" xfId="0"/>
    <xf numFmtId="0" fontId="0" fillId="5" borderId="1" pivotButton="0" quotePrefix="0" xfId="0"/>
    <xf numFmtId="3" fontId="0" fillId="0" borderId="1" pivotButton="0" quotePrefix="0" xfId="0"/>
    <xf numFmtId="0" fontId="6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</cols>
  <sheetData>
    <row r="1">
      <c r="A1" s="1" t="inlineStr">
        <is>
          <t>দপ্তর হিসাব — স্ট্যান্ডার্ড Excel টেমপ্লেট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বকেয়া/ড্যাশবোর্ড শুধু লাইভ দেখা — অ্যাপ সেগুলো পড়ে না।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</t>
        </is>
      </c>
    </row>
    <row r="6" ht="40" customHeight="1">
      <c r="A6" s="2" t="inlineStr">
        <is>
          <t>মোট টাকা</t>
        </is>
      </c>
      <c r="B6" s="3" t="inlineStr">
        <is>
          <t>পরিমাণ × একক মূল্য হলে মোট অটো। বিল হলে শুধু মোট লিখুন।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সরবরাহকারী ড্রপডাউন থেকে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হিজরী বা ইংরেজি — দুইভাবেই চলবে।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একই সারি বারবার আপলোড করবেন না।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10" customWidth="1" min="5" max="5"/>
    <col width="10" customWidth="1" min="6" max="6"/>
    <col width="12" customWidth="1" min="7" max="7"/>
    <col width="16" customWidth="1" min="8" max="8"/>
    <col width="18" customWidth="1" min="9" max="9"/>
    <col width="12" customWidth="1" min="10" max="10"/>
    <col width="10" customWidth="1" min="11" max="11"/>
    <col width="55" customWidth="1" min="13" max="13"/>
  </cols>
  <sheetData>
    <row r="1" ht="30" customHeight="1">
      <c r="A1" s="4" t="inlineStr">
        <is>
          <t>হিসাব বই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</t>
        </is>
      </c>
      <c r="H1" s="4" t="inlineStr">
        <is>
          <t>মোট টাকা (অটো)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M1" s="5" t="inlineStr">
        <is>
          <t>মোট টাকা = পরিমাণ × একক মূল্য (অটো)। বিল হলে পরিমাণ/মূল্য খালি রেখে মোট ঘরে সরাসরি টাকা লিখুন।</t>
        </is>
      </c>
    </row>
    <row r="2">
      <c r="A2" s="6" t="inlineStr">
        <is>
          <t>মাতবাখ</t>
        </is>
      </c>
      <c r="B2" s="6" t="inlineStr">
        <is>
          <t>1447-10-02</t>
        </is>
      </c>
      <c r="C2" s="6" t="inlineStr">
        <is>
          <t>কাঁচামাল</t>
        </is>
      </c>
      <c r="D2" s="6" t="inlineStr">
        <is>
          <t>চাল</t>
        </is>
      </c>
      <c r="E2" s="6" t="n">
        <v>50</v>
      </c>
      <c r="F2" s="6" t="inlineStr">
        <is>
          <t>কেজি</t>
        </is>
      </c>
      <c r="G2" s="6" t="n">
        <v>70</v>
      </c>
      <c r="H2" s="7">
        <f>IF(AND(E2&lt;&gt;"",G2&lt;&gt;""),E2*G2,"")</f>
        <v/>
      </c>
      <c r="I2" s="6" t="inlineStr">
        <is>
          <t>রহিম স্টোর</t>
        </is>
      </c>
      <c r="J2" s="6" t="inlineStr">
        <is>
          <t>১০১</t>
        </is>
      </c>
      <c r="K2" s="6" t="inlineStr">
        <is>
          <t>নগদ</t>
        </is>
      </c>
    </row>
    <row r="3">
      <c r="A3" s="6" t="inlineStr">
        <is>
          <t>মাতবাখ</t>
        </is>
      </c>
      <c r="B3" s="6" t="inlineStr">
        <is>
          <t>1447-10-03</t>
        </is>
      </c>
      <c r="C3" s="6" t="inlineStr">
        <is>
          <t>কাঁচামাল</t>
        </is>
      </c>
      <c r="D3" s="6" t="inlineStr">
        <is>
          <t>ডাল</t>
        </is>
      </c>
      <c r="E3" s="6" t="n">
        <v>20</v>
      </c>
      <c r="F3" s="6" t="inlineStr">
        <is>
          <t>কেজি</t>
        </is>
      </c>
      <c r="G3" s="6" t="n">
        <v>120</v>
      </c>
      <c r="H3" s="7">
        <f>IF(AND(E3&lt;&gt;"",G3&lt;&gt;""),E3*G3,"")</f>
        <v/>
      </c>
      <c r="I3" s="6" t="inlineStr">
        <is>
          <t>রহিম স্টোর</t>
        </is>
      </c>
      <c r="J3" s="6" t="inlineStr"/>
      <c r="K3" s="6" t="inlineStr">
        <is>
          <t>নগদ</t>
        </is>
      </c>
    </row>
    <row r="4">
      <c r="A4" s="6" t="inlineStr">
        <is>
          <t>মাদরাসা</t>
        </is>
      </c>
      <c r="B4" s="6" t="inlineStr">
        <is>
          <t>1447-10-04</t>
        </is>
      </c>
      <c r="C4" s="6" t="inlineStr">
        <is>
          <t>স্টেশনারি</t>
        </is>
      </c>
      <c r="D4" s="6" t="inlineStr">
        <is>
          <t>খাতা ও কলম</t>
        </is>
      </c>
      <c r="E4" s="6" t="n">
        <v>10</v>
      </c>
      <c r="F4" s="6" t="inlineStr">
        <is>
          <t>প্যাকেট</t>
        </is>
      </c>
      <c r="G4" s="6" t="n">
        <v>80</v>
      </c>
      <c r="H4" s="7">
        <f>IF(AND(E4&lt;&gt;"",G4&lt;&gt;""),E4*G4,"")</f>
        <v/>
      </c>
      <c r="I4" s="6" t="inlineStr">
        <is>
          <t>বইঘর</t>
        </is>
      </c>
      <c r="J4" s="6" t="inlineStr"/>
      <c r="K4" s="6" t="inlineStr">
        <is>
          <t>নগদ</t>
        </is>
      </c>
    </row>
    <row r="5">
      <c r="A5" s="6" t="inlineStr">
        <is>
          <t>তামিরাত</t>
        </is>
      </c>
      <c r="B5" s="6" t="inlineStr">
        <is>
          <t>1447-09-20</t>
        </is>
      </c>
      <c r="C5" s="6" t="inlineStr">
        <is>
          <t>মেরামত</t>
        </is>
      </c>
      <c r="D5" s="6" t="inlineStr">
        <is>
          <t>ছাদের প্লাস্টার</t>
        </is>
      </c>
      <c r="E5" s="6" t="n">
        <v>1</v>
      </c>
      <c r="F5" s="6" t="inlineStr">
        <is>
          <t>পিস</t>
        </is>
      </c>
      <c r="G5" s="6" t="n">
        <v>15000</v>
      </c>
      <c r="H5" s="7">
        <f>IF(AND(E5&lt;&gt;"",G5&lt;&gt;""),E5*G5,"")</f>
        <v/>
      </c>
      <c r="I5" s="6" t="inlineStr">
        <is>
          <t>রাজমিস্ত্রি করিম</t>
        </is>
      </c>
      <c r="J5" s="6" t="inlineStr"/>
      <c r="K5" s="6" t="inlineStr">
        <is>
          <t>বাকি</t>
        </is>
      </c>
    </row>
    <row r="6">
      <c r="A6" s="6" t="inlineStr">
        <is>
          <t>সাধারণ</t>
        </is>
      </c>
      <c r="B6" s="6" t="inlineStr">
        <is>
          <t>1447-10-06</t>
        </is>
      </c>
      <c r="C6" s="6" t="inlineStr">
        <is>
          <t>পরিবহন</t>
        </is>
      </c>
      <c r="D6" s="6" t="inlineStr">
        <is>
          <t>বাজার আনা-নেওয়া</t>
        </is>
      </c>
      <c r="E6" s="6" t="inlineStr"/>
      <c r="F6" s="6" t="inlineStr"/>
      <c r="G6" s="6" t="inlineStr"/>
      <c r="H6" s="8" t="n">
        <v>500</v>
      </c>
      <c r="I6" s="6" t="inlineStr"/>
      <c r="J6" s="6" t="inlineStr"/>
      <c r="K6" s="6" t="inlineStr">
        <is>
          <t>নগদ</t>
        </is>
      </c>
    </row>
    <row r="7">
      <c r="A7" s="6" t="inlineStr">
        <is>
          <t>মাদরাসা</t>
        </is>
      </c>
      <c r="B7" s="6" t="inlineStr">
        <is>
          <t>2026-07-10</t>
        </is>
      </c>
      <c r="C7" s="6" t="inlineStr">
        <is>
          <t>বিদ্যুৎ</t>
        </is>
      </c>
      <c r="D7" s="6" t="inlineStr">
        <is>
          <t>বিদ্যুৎ বিল</t>
        </is>
      </c>
      <c r="E7" s="6" t="inlineStr"/>
      <c r="F7" s="6" t="inlineStr"/>
      <c r="G7" s="6" t="inlineStr"/>
      <c r="H7" s="8" t="n">
        <v>4500</v>
      </c>
      <c r="I7" s="6" t="inlineStr">
        <is>
          <t>পল্লী বিদ্যুৎ</t>
        </is>
      </c>
      <c r="J7" s="6" t="inlineStr">
        <is>
          <t>বিল-৮৮</t>
        </is>
      </c>
      <c r="K7" s="6" t="inlineStr">
        <is>
          <t>নগদ</t>
        </is>
      </c>
    </row>
    <row r="8">
      <c r="H8" s="7">
        <f>IF(AND(E8&lt;&gt;"",G8&lt;&gt;""),E8*G8,"")</f>
        <v/>
      </c>
    </row>
    <row r="9">
      <c r="H9" s="7">
        <f>IF(AND(E9&lt;&gt;"",G9&lt;&gt;""),E9*G9,"")</f>
        <v/>
      </c>
    </row>
    <row r="10">
      <c r="H10" s="7">
        <f>IF(AND(E10&lt;&gt;"",G10&lt;&gt;""),E10*G10,"")</f>
        <v/>
      </c>
    </row>
    <row r="11">
      <c r="H11" s="7">
        <f>IF(AND(E11&lt;&gt;"",G11&lt;&gt;""),E11*G11,"")</f>
        <v/>
      </c>
    </row>
    <row r="12">
      <c r="H12" s="7">
        <f>IF(AND(E12&lt;&gt;"",G12&lt;&gt;""),E12*G12,"")</f>
        <v/>
      </c>
    </row>
    <row r="13">
      <c r="H13" s="7">
        <f>IF(AND(E13&lt;&gt;"",G13&lt;&gt;""),E13*G13,"")</f>
        <v/>
      </c>
    </row>
    <row r="14">
      <c r="H14" s="7">
        <f>IF(AND(E14&lt;&gt;"",G14&lt;&gt;""),E14*G14,"")</f>
        <v/>
      </c>
    </row>
    <row r="15">
      <c r="H15" s="7">
        <f>IF(AND(E15&lt;&gt;"",G15&lt;&gt;""),E15*G15,"")</f>
        <v/>
      </c>
    </row>
    <row r="16">
      <c r="H16" s="7">
        <f>IF(AND(E16&lt;&gt;"",G16&lt;&gt;""),E16*G16,"")</f>
        <v/>
      </c>
    </row>
    <row r="17">
      <c r="H17" s="7">
        <f>IF(AND(E17&lt;&gt;"",G17&lt;&gt;""),E17*G17,"")</f>
        <v/>
      </c>
    </row>
    <row r="18">
      <c r="H18" s="7">
        <f>IF(AND(E18&lt;&gt;"",G18&lt;&gt;""),E18*G18,"")</f>
        <v/>
      </c>
    </row>
    <row r="19">
      <c r="H19" s="7">
        <f>IF(AND(E19&lt;&gt;"",G19&lt;&gt;""),E19*G19,"")</f>
        <v/>
      </c>
    </row>
    <row r="20">
      <c r="H20" s="7">
        <f>IF(AND(E20&lt;&gt;"",G20&lt;&gt;""),E20*G20,"")</f>
        <v/>
      </c>
    </row>
    <row r="21">
      <c r="H21" s="7">
        <f>IF(AND(E21&lt;&gt;"",G21&lt;&gt;""),E21*G21,"")</f>
        <v/>
      </c>
    </row>
    <row r="22">
      <c r="H22" s="7">
        <f>IF(AND(E22&lt;&gt;"",G22&lt;&gt;""),E22*G22,"")</f>
        <v/>
      </c>
    </row>
    <row r="23">
      <c r="H23" s="7">
        <f>IF(AND(E23&lt;&gt;"",G23&lt;&gt;""),E23*G23,"")</f>
        <v/>
      </c>
    </row>
    <row r="24">
      <c r="H24" s="7">
        <f>IF(AND(E24&lt;&gt;"",G24&lt;&gt;""),E24*G24,"")</f>
        <v/>
      </c>
    </row>
    <row r="25">
      <c r="H25" s="7">
        <f>IF(AND(E25&lt;&gt;"",G25&lt;&gt;""),E25*G25,"")</f>
        <v/>
      </c>
    </row>
    <row r="26">
      <c r="H26" s="7">
        <f>IF(AND(E26&lt;&gt;"",G26&lt;&gt;""),E26*G26,"")</f>
        <v/>
      </c>
    </row>
    <row r="27">
      <c r="H27" s="7">
        <f>IF(AND(E27&lt;&gt;"",G27&lt;&gt;""),E27*G27,"")</f>
        <v/>
      </c>
    </row>
    <row r="28">
      <c r="H28" s="7">
        <f>IF(AND(E28&lt;&gt;"",G28&lt;&gt;""),E28*G28,"")</f>
        <v/>
      </c>
    </row>
    <row r="29">
      <c r="H29" s="7">
        <f>IF(AND(E29&lt;&gt;"",G29&lt;&gt;""),E29*G29,"")</f>
        <v/>
      </c>
    </row>
    <row r="30">
      <c r="H30" s="7">
        <f>IF(AND(E30&lt;&gt;"",G30&lt;&gt;""),E30*G30,"")</f>
        <v/>
      </c>
    </row>
    <row r="31">
      <c r="H31" s="7">
        <f>IF(AND(E31&lt;&gt;"",G31&lt;&gt;""),E31*G31,"")</f>
        <v/>
      </c>
    </row>
    <row r="32">
      <c r="H32" s="7">
        <f>IF(AND(E32&lt;&gt;"",G32&lt;&gt;""),E32*G32,"")</f>
        <v/>
      </c>
    </row>
    <row r="33">
      <c r="H33" s="7">
        <f>IF(AND(E33&lt;&gt;"",G33&lt;&gt;""),E33*G33,"")</f>
        <v/>
      </c>
    </row>
    <row r="34">
      <c r="H34" s="7">
        <f>IF(AND(E34&lt;&gt;"",G34&lt;&gt;""),E34*G34,"")</f>
        <v/>
      </c>
    </row>
    <row r="35">
      <c r="H35" s="7">
        <f>IF(AND(E35&lt;&gt;"",G35&lt;&gt;""),E35*G35,"")</f>
        <v/>
      </c>
    </row>
    <row r="36">
      <c r="H36" s="7">
        <f>IF(AND(E36&lt;&gt;"",G36&lt;&gt;""),E36*G36,"")</f>
        <v/>
      </c>
    </row>
    <row r="37">
      <c r="H37" s="7">
        <f>IF(AND(E37&lt;&gt;"",G37&lt;&gt;""),E37*G37,"")</f>
        <v/>
      </c>
    </row>
    <row r="38">
      <c r="H38" s="7">
        <f>IF(AND(E38&lt;&gt;"",G38&lt;&gt;""),E38*G38,"")</f>
        <v/>
      </c>
    </row>
    <row r="39">
      <c r="H39" s="7">
        <f>IF(AND(E39&lt;&gt;"",G39&lt;&gt;""),E39*G39,"")</f>
        <v/>
      </c>
    </row>
    <row r="40">
      <c r="H40" s="7">
        <f>IF(AND(E40&lt;&gt;"",G40&lt;&gt;""),E40*G40,"")</f>
        <v/>
      </c>
    </row>
    <row r="41">
      <c r="H41" s="7">
        <f>IF(AND(E41&lt;&gt;"",G41&lt;&gt;""),E41*G41,"")</f>
        <v/>
      </c>
    </row>
    <row r="42">
      <c r="H42" s="7">
        <f>IF(AND(E42&lt;&gt;"",G42&lt;&gt;""),E42*G42,"")</f>
        <v/>
      </c>
    </row>
    <row r="43">
      <c r="H43" s="7">
        <f>IF(AND(E43&lt;&gt;"",G43&lt;&gt;""),E43*G43,"")</f>
        <v/>
      </c>
    </row>
    <row r="44">
      <c r="H44" s="7">
        <f>IF(AND(E44&lt;&gt;"",G44&lt;&gt;""),E44*G44,"")</f>
        <v/>
      </c>
    </row>
    <row r="45">
      <c r="H45" s="7">
        <f>IF(AND(E45&lt;&gt;"",G45&lt;&gt;""),E45*G45,"")</f>
        <v/>
      </c>
    </row>
    <row r="46">
      <c r="H46" s="7">
        <f>IF(AND(E46&lt;&gt;"",G46&lt;&gt;""),E46*G46,"")</f>
        <v/>
      </c>
    </row>
    <row r="47">
      <c r="H47" s="7">
        <f>IF(AND(E47&lt;&gt;"",G47&lt;&gt;""),E47*G47,"")</f>
        <v/>
      </c>
    </row>
    <row r="48">
      <c r="H48" s="7">
        <f>IF(AND(E48&lt;&gt;"",G48&lt;&gt;""),E48*G48,"")</f>
        <v/>
      </c>
    </row>
    <row r="49">
      <c r="H49" s="7">
        <f>IF(AND(E49&lt;&gt;"",G49&lt;&gt;""),E49*G49,"")</f>
        <v/>
      </c>
    </row>
    <row r="50">
      <c r="H50" s="7">
        <f>IF(AND(E50&lt;&gt;"",G50&lt;&gt;""),E50*G50,"")</f>
        <v/>
      </c>
    </row>
    <row r="51">
      <c r="H51" s="7">
        <f>IF(AND(E51&lt;&gt;"",G51&lt;&gt;""),E51*G51,"")</f>
        <v/>
      </c>
    </row>
    <row r="52">
      <c r="H52" s="7">
        <f>IF(AND(E52&lt;&gt;"",G52&lt;&gt;""),E52*G52,"")</f>
        <v/>
      </c>
    </row>
    <row r="53">
      <c r="H53" s="7">
        <f>IF(AND(E53&lt;&gt;"",G53&lt;&gt;""),E53*G53,"")</f>
        <v/>
      </c>
    </row>
    <row r="54">
      <c r="H54" s="7">
        <f>IF(AND(E54&lt;&gt;"",G54&lt;&gt;""),E54*G54,"")</f>
        <v/>
      </c>
    </row>
    <row r="55">
      <c r="H55" s="7">
        <f>IF(AND(E55&lt;&gt;"",G55&lt;&gt;""),E55*G55,"")</f>
        <v/>
      </c>
    </row>
    <row r="56">
      <c r="H56" s="7">
        <f>IF(AND(E56&lt;&gt;"",G56&lt;&gt;""),E56*G56,"")</f>
        <v/>
      </c>
    </row>
    <row r="57">
      <c r="H57" s="7">
        <f>IF(AND(E57&lt;&gt;"",G57&lt;&gt;""),E57*G57,"")</f>
        <v/>
      </c>
    </row>
    <row r="58">
      <c r="H58" s="7">
        <f>IF(AND(E58&lt;&gt;"",G58&lt;&gt;""),E58*G58,"")</f>
        <v/>
      </c>
    </row>
    <row r="59">
      <c r="H59" s="7">
        <f>IF(AND(E59&lt;&gt;"",G59&lt;&gt;""),E59*G59,"")</f>
        <v/>
      </c>
    </row>
    <row r="60">
      <c r="H60" s="7">
        <f>IF(AND(E60&lt;&gt;"",G60&lt;&gt;""),E60*G60,"")</f>
        <v/>
      </c>
    </row>
    <row r="61">
      <c r="H61" s="7">
        <f>IF(AND(E61&lt;&gt;"",G61&lt;&gt;""),E61*G61,"")</f>
        <v/>
      </c>
    </row>
    <row r="62">
      <c r="H62" s="7">
        <f>IF(AND(E62&lt;&gt;"",G62&lt;&gt;""),E62*G62,"")</f>
        <v/>
      </c>
    </row>
    <row r="63">
      <c r="H63" s="7">
        <f>IF(AND(E63&lt;&gt;"",G63&lt;&gt;""),E63*G63,"")</f>
        <v/>
      </c>
    </row>
    <row r="64">
      <c r="H64" s="7">
        <f>IF(AND(E64&lt;&gt;"",G64&lt;&gt;""),E64*G64,"")</f>
        <v/>
      </c>
    </row>
    <row r="65">
      <c r="H65" s="7">
        <f>IF(AND(E65&lt;&gt;"",G65&lt;&gt;""),E65*G65,"")</f>
        <v/>
      </c>
    </row>
    <row r="66">
      <c r="H66" s="7">
        <f>IF(AND(E66&lt;&gt;"",G66&lt;&gt;""),E66*G66,"")</f>
        <v/>
      </c>
    </row>
    <row r="67">
      <c r="H67" s="7">
        <f>IF(AND(E67&lt;&gt;"",G67&lt;&gt;""),E67*G67,"")</f>
        <v/>
      </c>
    </row>
    <row r="68">
      <c r="H68" s="7">
        <f>IF(AND(E68&lt;&gt;"",G68&lt;&gt;""),E68*G68,"")</f>
        <v/>
      </c>
    </row>
    <row r="69">
      <c r="H69" s="7">
        <f>IF(AND(E69&lt;&gt;"",G69&lt;&gt;""),E69*G69,"")</f>
        <v/>
      </c>
    </row>
    <row r="70">
      <c r="H70" s="7">
        <f>IF(AND(E70&lt;&gt;"",G70&lt;&gt;""),E70*G70,"")</f>
        <v/>
      </c>
    </row>
    <row r="71">
      <c r="H71" s="7">
        <f>IF(AND(E71&lt;&gt;"",G71&lt;&gt;""),E71*G71,"")</f>
        <v/>
      </c>
    </row>
    <row r="72">
      <c r="H72" s="7">
        <f>IF(AND(E72&lt;&gt;"",G72&lt;&gt;""),E72*G72,"")</f>
        <v/>
      </c>
    </row>
    <row r="73">
      <c r="H73" s="7">
        <f>IF(AND(E73&lt;&gt;"",G73&lt;&gt;""),E73*G73,"")</f>
        <v/>
      </c>
    </row>
    <row r="74">
      <c r="H74" s="7">
        <f>IF(AND(E74&lt;&gt;"",G74&lt;&gt;""),E74*G74,"")</f>
        <v/>
      </c>
    </row>
    <row r="75">
      <c r="H75" s="7">
        <f>IF(AND(E75&lt;&gt;"",G75&lt;&gt;""),E75*G75,"")</f>
        <v/>
      </c>
    </row>
    <row r="76">
      <c r="H76" s="7">
        <f>IF(AND(E76&lt;&gt;"",G76&lt;&gt;""),E76*G76,"")</f>
        <v/>
      </c>
    </row>
    <row r="77">
      <c r="H77" s="7">
        <f>IF(AND(E77&lt;&gt;"",G77&lt;&gt;""),E77*G77,"")</f>
        <v/>
      </c>
    </row>
    <row r="78">
      <c r="H78" s="7">
        <f>IF(AND(E78&lt;&gt;"",G78&lt;&gt;""),E78*G78,"")</f>
        <v/>
      </c>
    </row>
    <row r="79">
      <c r="H79" s="7">
        <f>IF(AND(E79&lt;&gt;"",G79&lt;&gt;""),E79*G79,"")</f>
        <v/>
      </c>
    </row>
    <row r="80">
      <c r="H80" s="7">
        <f>IF(AND(E80&lt;&gt;"",G80&lt;&gt;""),E80*G80,"")</f>
        <v/>
      </c>
    </row>
    <row r="81">
      <c r="H81" s="7">
        <f>IF(AND(E81&lt;&gt;"",G81&lt;&gt;""),E81*G81,"")</f>
        <v/>
      </c>
    </row>
    <row r="82">
      <c r="H82" s="7">
        <f>IF(AND(E82&lt;&gt;"",G82&lt;&gt;""),E82*G82,"")</f>
        <v/>
      </c>
    </row>
    <row r="83">
      <c r="H83" s="7">
        <f>IF(AND(E83&lt;&gt;"",G83&lt;&gt;""),E83*G83,"")</f>
        <v/>
      </c>
    </row>
    <row r="84">
      <c r="H84" s="7">
        <f>IF(AND(E84&lt;&gt;"",G84&lt;&gt;""),E84*G84,"")</f>
        <v/>
      </c>
    </row>
    <row r="85">
      <c r="H85" s="7">
        <f>IF(AND(E85&lt;&gt;"",G85&lt;&gt;""),E85*G85,"")</f>
        <v/>
      </c>
    </row>
    <row r="86">
      <c r="H86" s="7">
        <f>IF(AND(E86&lt;&gt;"",G86&lt;&gt;""),E86*G86,"")</f>
        <v/>
      </c>
    </row>
    <row r="87">
      <c r="H87" s="7">
        <f>IF(AND(E87&lt;&gt;"",G87&lt;&gt;""),E87*G87,"")</f>
        <v/>
      </c>
    </row>
    <row r="88">
      <c r="H88" s="7">
        <f>IF(AND(E88&lt;&gt;"",G88&lt;&gt;""),E88*G88,"")</f>
        <v/>
      </c>
    </row>
    <row r="89">
      <c r="H89" s="7">
        <f>IF(AND(E89&lt;&gt;"",G89&lt;&gt;""),E89*G89,"")</f>
        <v/>
      </c>
    </row>
    <row r="90">
      <c r="H90" s="7">
        <f>IF(AND(E90&lt;&gt;"",G90&lt;&gt;""),E90*G90,"")</f>
        <v/>
      </c>
    </row>
    <row r="91">
      <c r="H91" s="7">
        <f>IF(AND(E91&lt;&gt;"",G91&lt;&gt;""),E91*G91,"")</f>
        <v/>
      </c>
    </row>
    <row r="92">
      <c r="H92" s="7">
        <f>IF(AND(E92&lt;&gt;"",G92&lt;&gt;""),E92*G92,"")</f>
        <v/>
      </c>
    </row>
    <row r="93">
      <c r="H93" s="7">
        <f>IF(AND(E93&lt;&gt;"",G93&lt;&gt;""),E93*G93,"")</f>
        <v/>
      </c>
    </row>
    <row r="94">
      <c r="H94" s="7">
        <f>IF(AND(E94&lt;&gt;"",G94&lt;&gt;""),E94*G94,"")</f>
        <v/>
      </c>
    </row>
    <row r="95">
      <c r="H95" s="7">
        <f>IF(AND(E95&lt;&gt;"",G95&lt;&gt;""),E95*G95,"")</f>
        <v/>
      </c>
    </row>
    <row r="96">
      <c r="H96" s="7">
        <f>IF(AND(E96&lt;&gt;"",G96&lt;&gt;""),E96*G96,"")</f>
        <v/>
      </c>
    </row>
    <row r="97">
      <c r="H97" s="7">
        <f>IF(AND(E97&lt;&gt;"",G97&lt;&gt;""),E97*G97,"")</f>
        <v/>
      </c>
    </row>
    <row r="98">
      <c r="H98" s="7">
        <f>IF(AND(E98&lt;&gt;"",G98&lt;&gt;""),E98*G98,"")</f>
        <v/>
      </c>
    </row>
    <row r="99">
      <c r="H99" s="7">
        <f>IF(AND(E99&lt;&gt;"",G99&lt;&gt;""),E99*G99,"")</f>
        <v/>
      </c>
    </row>
    <row r="100">
      <c r="H100" s="7">
        <f>IF(AND(E100&lt;&gt;"",G100&lt;&gt;""),E100*G100,"")</f>
        <v/>
      </c>
    </row>
    <row r="101">
      <c r="H101" s="7">
        <f>IF(AND(E101&lt;&gt;"",G101&lt;&gt;""),E101*G101,"")</f>
        <v/>
      </c>
    </row>
    <row r="102">
      <c r="H102" s="7">
        <f>IF(AND(E102&lt;&gt;"",G102&lt;&gt;""),E102*G102,"")</f>
        <v/>
      </c>
    </row>
    <row r="103">
      <c r="H103" s="7">
        <f>IF(AND(E103&lt;&gt;"",G103&lt;&gt;""),E103*G103,"")</f>
        <v/>
      </c>
    </row>
    <row r="104">
      <c r="H104" s="7">
        <f>IF(AND(E104&lt;&gt;"",G104&lt;&gt;""),E104*G104,"")</f>
        <v/>
      </c>
    </row>
    <row r="105">
      <c r="H105" s="7">
        <f>IF(AND(E105&lt;&gt;"",G105&lt;&gt;""),E105*G105,"")</f>
        <v/>
      </c>
    </row>
    <row r="106">
      <c r="H106" s="7">
        <f>IF(AND(E106&lt;&gt;"",G106&lt;&gt;""),E106*G106,"")</f>
        <v/>
      </c>
    </row>
    <row r="107">
      <c r="H107" s="7">
        <f>IF(AND(E107&lt;&gt;"",G107&lt;&gt;""),E107*G107,"")</f>
        <v/>
      </c>
    </row>
    <row r="108">
      <c r="H108" s="7">
        <f>IF(AND(E108&lt;&gt;"",G108&lt;&gt;""),E108*G108,"")</f>
        <v/>
      </c>
    </row>
    <row r="109">
      <c r="H109" s="7">
        <f>IF(AND(E109&lt;&gt;"",G109&lt;&gt;""),E109*G109,"")</f>
        <v/>
      </c>
    </row>
    <row r="110">
      <c r="H110" s="7">
        <f>IF(AND(E110&lt;&gt;"",G110&lt;&gt;""),E110*G110,"")</f>
        <v/>
      </c>
    </row>
    <row r="111">
      <c r="H111" s="7">
        <f>IF(AND(E111&lt;&gt;"",G111&lt;&gt;""),E111*G111,"")</f>
        <v/>
      </c>
    </row>
    <row r="112">
      <c r="H112" s="7">
        <f>IF(AND(E112&lt;&gt;"",G112&lt;&gt;""),E112*G112,"")</f>
        <v/>
      </c>
    </row>
    <row r="113">
      <c r="H113" s="7">
        <f>IF(AND(E113&lt;&gt;"",G113&lt;&gt;""),E113*G113,"")</f>
        <v/>
      </c>
    </row>
    <row r="114">
      <c r="H114" s="7">
        <f>IF(AND(E114&lt;&gt;"",G114&lt;&gt;""),E114*G114,"")</f>
        <v/>
      </c>
    </row>
    <row r="115">
      <c r="H115" s="7">
        <f>IF(AND(E115&lt;&gt;"",G115&lt;&gt;""),E115*G115,"")</f>
        <v/>
      </c>
    </row>
    <row r="116">
      <c r="H116" s="7">
        <f>IF(AND(E116&lt;&gt;"",G116&lt;&gt;""),E116*G116,"")</f>
        <v/>
      </c>
    </row>
    <row r="117">
      <c r="H117" s="7">
        <f>IF(AND(E117&lt;&gt;"",G117&lt;&gt;""),E117*G117,"")</f>
        <v/>
      </c>
    </row>
    <row r="118">
      <c r="H118" s="7">
        <f>IF(AND(E118&lt;&gt;"",G118&lt;&gt;""),E118*G118,"")</f>
        <v/>
      </c>
    </row>
    <row r="119">
      <c r="H119" s="7">
        <f>IF(AND(E119&lt;&gt;"",G119&lt;&gt;""),E119*G119,"")</f>
        <v/>
      </c>
    </row>
    <row r="120">
      <c r="H120" s="7">
        <f>IF(AND(E120&lt;&gt;"",G120&lt;&gt;""),E120*G120,"")</f>
        <v/>
      </c>
    </row>
    <row r="121">
      <c r="H121" s="7">
        <f>IF(AND(E121&lt;&gt;"",G121&lt;&gt;""),E121*G121,"")</f>
        <v/>
      </c>
    </row>
    <row r="122">
      <c r="H122" s="7">
        <f>IF(AND(E122&lt;&gt;"",G122&lt;&gt;""),E122*G122,"")</f>
        <v/>
      </c>
    </row>
    <row r="123">
      <c r="H123" s="7">
        <f>IF(AND(E123&lt;&gt;"",G123&lt;&gt;""),E123*G123,"")</f>
        <v/>
      </c>
    </row>
    <row r="124">
      <c r="H124" s="7">
        <f>IF(AND(E124&lt;&gt;"",G124&lt;&gt;""),E124*G124,"")</f>
        <v/>
      </c>
    </row>
    <row r="125">
      <c r="H125" s="7">
        <f>IF(AND(E125&lt;&gt;"",G125&lt;&gt;""),E125*G125,"")</f>
        <v/>
      </c>
    </row>
    <row r="126">
      <c r="H126" s="7">
        <f>IF(AND(E126&lt;&gt;"",G126&lt;&gt;""),E126*G126,"")</f>
        <v/>
      </c>
    </row>
    <row r="127">
      <c r="H127" s="7">
        <f>IF(AND(E127&lt;&gt;"",G127&lt;&gt;""),E127*G127,"")</f>
        <v/>
      </c>
    </row>
    <row r="128">
      <c r="H128" s="7">
        <f>IF(AND(E128&lt;&gt;"",G128&lt;&gt;""),E128*G128,"")</f>
        <v/>
      </c>
    </row>
    <row r="129">
      <c r="H129" s="7">
        <f>IF(AND(E129&lt;&gt;"",G129&lt;&gt;""),E129*G129,"")</f>
        <v/>
      </c>
    </row>
    <row r="130">
      <c r="H130" s="7">
        <f>IF(AND(E130&lt;&gt;"",G130&lt;&gt;""),E130*G130,"")</f>
        <v/>
      </c>
    </row>
    <row r="131">
      <c r="H131" s="7">
        <f>IF(AND(E131&lt;&gt;"",G131&lt;&gt;""),E131*G131,"")</f>
        <v/>
      </c>
    </row>
    <row r="132">
      <c r="H132" s="7">
        <f>IF(AND(E132&lt;&gt;"",G132&lt;&gt;""),E132*G132,"")</f>
        <v/>
      </c>
    </row>
    <row r="133">
      <c r="H133" s="7">
        <f>IF(AND(E133&lt;&gt;"",G133&lt;&gt;""),E133*G133,"")</f>
        <v/>
      </c>
    </row>
    <row r="134">
      <c r="H134" s="7">
        <f>IF(AND(E134&lt;&gt;"",G134&lt;&gt;""),E134*G134,"")</f>
        <v/>
      </c>
    </row>
    <row r="135">
      <c r="H135" s="7">
        <f>IF(AND(E135&lt;&gt;"",G135&lt;&gt;""),E135*G135,"")</f>
        <v/>
      </c>
    </row>
    <row r="136">
      <c r="H136" s="7">
        <f>IF(AND(E136&lt;&gt;"",G136&lt;&gt;""),E136*G136,"")</f>
        <v/>
      </c>
    </row>
    <row r="137">
      <c r="H137" s="7">
        <f>IF(AND(E137&lt;&gt;"",G137&lt;&gt;""),E137*G137,"")</f>
        <v/>
      </c>
    </row>
    <row r="138">
      <c r="H138" s="7">
        <f>IF(AND(E138&lt;&gt;"",G138&lt;&gt;""),E138*G138,"")</f>
        <v/>
      </c>
    </row>
    <row r="139">
      <c r="H139" s="7">
        <f>IF(AND(E139&lt;&gt;"",G139&lt;&gt;""),E139*G139,"")</f>
        <v/>
      </c>
    </row>
    <row r="140">
      <c r="H140" s="7">
        <f>IF(AND(E140&lt;&gt;"",G140&lt;&gt;""),E140*G140,"")</f>
        <v/>
      </c>
    </row>
    <row r="141">
      <c r="H141" s="7">
        <f>IF(AND(E141&lt;&gt;"",G141&lt;&gt;""),E141*G141,"")</f>
        <v/>
      </c>
    </row>
    <row r="142">
      <c r="H142" s="7">
        <f>IF(AND(E142&lt;&gt;"",G142&lt;&gt;""),E142*G142,"")</f>
        <v/>
      </c>
    </row>
    <row r="143">
      <c r="H143" s="7">
        <f>IF(AND(E143&lt;&gt;"",G143&lt;&gt;""),E143*G143,"")</f>
        <v/>
      </c>
    </row>
    <row r="144">
      <c r="H144" s="7">
        <f>IF(AND(E144&lt;&gt;"",G144&lt;&gt;""),E144*G144,"")</f>
        <v/>
      </c>
    </row>
    <row r="145">
      <c r="H145" s="7">
        <f>IF(AND(E145&lt;&gt;"",G145&lt;&gt;""),E145*G145,"")</f>
        <v/>
      </c>
    </row>
    <row r="146">
      <c r="H146" s="7">
        <f>IF(AND(E146&lt;&gt;"",G146&lt;&gt;""),E146*G146,"")</f>
        <v/>
      </c>
    </row>
    <row r="147">
      <c r="H147" s="7">
        <f>IF(AND(E147&lt;&gt;"",G147&lt;&gt;""),E147*G147,"")</f>
        <v/>
      </c>
    </row>
    <row r="148">
      <c r="H148" s="7">
        <f>IF(AND(E148&lt;&gt;"",G148&lt;&gt;""),E148*G148,"")</f>
        <v/>
      </c>
    </row>
    <row r="149">
      <c r="H149" s="7">
        <f>IF(AND(E149&lt;&gt;"",G149&lt;&gt;""),E149*G149,"")</f>
        <v/>
      </c>
    </row>
    <row r="150">
      <c r="H150" s="7">
        <f>IF(AND(E150&lt;&gt;"",G150&lt;&gt;""),E150*G150,"")</f>
        <v/>
      </c>
    </row>
    <row r="151">
      <c r="H151" s="7">
        <f>IF(AND(E151&lt;&gt;"",G151&lt;&gt;""),E151*G151,"")</f>
        <v/>
      </c>
    </row>
    <row r="152">
      <c r="H152" s="7">
        <f>IF(AND(E152&lt;&gt;"",G152&lt;&gt;""),E152*G152,"")</f>
        <v/>
      </c>
    </row>
    <row r="153">
      <c r="H153" s="7">
        <f>IF(AND(E153&lt;&gt;"",G153&lt;&gt;""),E153*G153,"")</f>
        <v/>
      </c>
    </row>
    <row r="154">
      <c r="H154" s="7">
        <f>IF(AND(E154&lt;&gt;"",G154&lt;&gt;""),E154*G154,"")</f>
        <v/>
      </c>
    </row>
    <row r="155">
      <c r="H155" s="7">
        <f>IF(AND(E155&lt;&gt;"",G155&lt;&gt;""),E155*G155,"")</f>
        <v/>
      </c>
    </row>
    <row r="156">
      <c r="H156" s="7">
        <f>IF(AND(E156&lt;&gt;"",G156&lt;&gt;""),E156*G156,"")</f>
        <v/>
      </c>
    </row>
    <row r="157">
      <c r="H157" s="7">
        <f>IF(AND(E157&lt;&gt;"",G157&lt;&gt;""),E157*G157,"")</f>
        <v/>
      </c>
    </row>
    <row r="158">
      <c r="H158" s="7">
        <f>IF(AND(E158&lt;&gt;"",G158&lt;&gt;""),E158*G158,"")</f>
        <v/>
      </c>
    </row>
    <row r="159">
      <c r="H159" s="7">
        <f>IF(AND(E159&lt;&gt;"",G159&lt;&gt;""),E159*G159,"")</f>
        <v/>
      </c>
    </row>
    <row r="160">
      <c r="H160" s="7">
        <f>IF(AND(E160&lt;&gt;"",G160&lt;&gt;""),E160*G160,"")</f>
        <v/>
      </c>
    </row>
    <row r="161">
      <c r="H161" s="7">
        <f>IF(AND(E161&lt;&gt;"",G161&lt;&gt;""),E161*G161,"")</f>
        <v/>
      </c>
    </row>
    <row r="162">
      <c r="H162" s="7">
        <f>IF(AND(E162&lt;&gt;"",G162&lt;&gt;""),E162*G162,"")</f>
        <v/>
      </c>
    </row>
    <row r="163">
      <c r="H163" s="7">
        <f>IF(AND(E163&lt;&gt;"",G163&lt;&gt;""),E163*G163,"")</f>
        <v/>
      </c>
    </row>
    <row r="164">
      <c r="H164" s="7">
        <f>IF(AND(E164&lt;&gt;"",G164&lt;&gt;""),E164*G164,"")</f>
        <v/>
      </c>
    </row>
    <row r="165">
      <c r="H165" s="7">
        <f>IF(AND(E165&lt;&gt;"",G165&lt;&gt;""),E165*G165,"")</f>
        <v/>
      </c>
    </row>
    <row r="166">
      <c r="H166" s="7">
        <f>IF(AND(E166&lt;&gt;"",G166&lt;&gt;""),E166*G166,"")</f>
        <v/>
      </c>
    </row>
    <row r="167">
      <c r="H167" s="7">
        <f>IF(AND(E167&lt;&gt;"",G167&lt;&gt;""),E167*G167,"")</f>
        <v/>
      </c>
    </row>
    <row r="168">
      <c r="H168" s="7">
        <f>IF(AND(E168&lt;&gt;"",G168&lt;&gt;""),E168*G168,"")</f>
        <v/>
      </c>
    </row>
    <row r="169">
      <c r="H169" s="7">
        <f>IF(AND(E169&lt;&gt;"",G169&lt;&gt;""),E169*G169,"")</f>
        <v/>
      </c>
    </row>
    <row r="170">
      <c r="H170" s="7">
        <f>IF(AND(E170&lt;&gt;"",G170&lt;&gt;""),E170*G170,"")</f>
        <v/>
      </c>
    </row>
    <row r="171">
      <c r="H171" s="7">
        <f>IF(AND(E171&lt;&gt;"",G171&lt;&gt;""),E171*G171,"")</f>
        <v/>
      </c>
    </row>
    <row r="172">
      <c r="H172" s="7">
        <f>IF(AND(E172&lt;&gt;"",G172&lt;&gt;""),E172*G172,"")</f>
        <v/>
      </c>
    </row>
    <row r="173">
      <c r="H173" s="7">
        <f>IF(AND(E173&lt;&gt;"",G173&lt;&gt;""),E173*G173,"")</f>
        <v/>
      </c>
    </row>
    <row r="174">
      <c r="H174" s="7">
        <f>IF(AND(E174&lt;&gt;"",G174&lt;&gt;""),E174*G174,"")</f>
        <v/>
      </c>
    </row>
    <row r="175">
      <c r="H175" s="7">
        <f>IF(AND(E175&lt;&gt;"",G175&lt;&gt;""),E175*G175,"")</f>
        <v/>
      </c>
    </row>
    <row r="176">
      <c r="H176" s="7">
        <f>IF(AND(E176&lt;&gt;"",G176&lt;&gt;""),E176*G176,"")</f>
        <v/>
      </c>
    </row>
    <row r="177">
      <c r="H177" s="7">
        <f>IF(AND(E177&lt;&gt;"",G177&lt;&gt;""),E177*G177,"")</f>
        <v/>
      </c>
    </row>
    <row r="178">
      <c r="H178" s="7">
        <f>IF(AND(E178&lt;&gt;"",G178&lt;&gt;""),E178*G178,"")</f>
        <v/>
      </c>
    </row>
    <row r="179">
      <c r="H179" s="7">
        <f>IF(AND(E179&lt;&gt;"",G179&lt;&gt;""),E179*G179,"")</f>
        <v/>
      </c>
    </row>
    <row r="180">
      <c r="H180" s="7">
        <f>IF(AND(E180&lt;&gt;"",G180&lt;&gt;""),E180*G180,"")</f>
        <v/>
      </c>
    </row>
    <row r="181">
      <c r="H181" s="7">
        <f>IF(AND(E181&lt;&gt;"",G181&lt;&gt;""),E181*G181,"")</f>
        <v/>
      </c>
    </row>
    <row r="182">
      <c r="H182" s="7">
        <f>IF(AND(E182&lt;&gt;"",G182&lt;&gt;""),E182*G182,"")</f>
        <v/>
      </c>
    </row>
    <row r="183">
      <c r="H183" s="7">
        <f>IF(AND(E183&lt;&gt;"",G183&lt;&gt;""),E183*G183,"")</f>
        <v/>
      </c>
    </row>
    <row r="184">
      <c r="H184" s="7">
        <f>IF(AND(E184&lt;&gt;"",G184&lt;&gt;""),E184*G184,"")</f>
        <v/>
      </c>
    </row>
    <row r="185">
      <c r="H185" s="7">
        <f>IF(AND(E185&lt;&gt;"",G185&lt;&gt;""),E185*G185,"")</f>
        <v/>
      </c>
    </row>
    <row r="186">
      <c r="H186" s="7">
        <f>IF(AND(E186&lt;&gt;"",G186&lt;&gt;""),E186*G186,"")</f>
        <v/>
      </c>
    </row>
    <row r="187">
      <c r="H187" s="7">
        <f>IF(AND(E187&lt;&gt;"",G187&lt;&gt;""),E187*G187,"")</f>
        <v/>
      </c>
    </row>
    <row r="188">
      <c r="H188" s="7">
        <f>IF(AND(E188&lt;&gt;"",G188&lt;&gt;""),E188*G188,"")</f>
        <v/>
      </c>
    </row>
    <row r="189">
      <c r="H189" s="7">
        <f>IF(AND(E189&lt;&gt;"",G189&lt;&gt;""),E189*G189,"")</f>
        <v/>
      </c>
    </row>
    <row r="190">
      <c r="H190" s="7">
        <f>IF(AND(E190&lt;&gt;"",G190&lt;&gt;""),E190*G190,"")</f>
        <v/>
      </c>
    </row>
    <row r="191">
      <c r="H191" s="7">
        <f>IF(AND(E191&lt;&gt;"",G191&lt;&gt;""),E191*G191,"")</f>
        <v/>
      </c>
    </row>
    <row r="192">
      <c r="H192" s="7">
        <f>IF(AND(E192&lt;&gt;"",G192&lt;&gt;""),E192*G192,"")</f>
        <v/>
      </c>
    </row>
    <row r="193">
      <c r="H193" s="7">
        <f>IF(AND(E193&lt;&gt;"",G193&lt;&gt;""),E193*G193,"")</f>
        <v/>
      </c>
    </row>
    <row r="194">
      <c r="H194" s="7">
        <f>IF(AND(E194&lt;&gt;"",G194&lt;&gt;""),E194*G194,"")</f>
        <v/>
      </c>
    </row>
    <row r="195">
      <c r="H195" s="7">
        <f>IF(AND(E195&lt;&gt;"",G195&lt;&gt;""),E195*G195,"")</f>
        <v/>
      </c>
    </row>
    <row r="196">
      <c r="H196" s="7">
        <f>IF(AND(E196&lt;&gt;"",G196&lt;&gt;""),E196*G196,"")</f>
        <v/>
      </c>
    </row>
    <row r="197">
      <c r="H197" s="7">
        <f>IF(AND(E197&lt;&gt;"",G197&lt;&gt;""),E197*G197,"")</f>
        <v/>
      </c>
    </row>
    <row r="198">
      <c r="H198" s="7">
        <f>IF(AND(E198&lt;&gt;"",G198&lt;&gt;""),E198*G198,"")</f>
        <v/>
      </c>
    </row>
    <row r="199">
      <c r="H199" s="7">
        <f>IF(AND(E199&lt;&gt;"",G199&lt;&gt;""),E199*G199,"")</f>
        <v/>
      </c>
    </row>
    <row r="200">
      <c r="H200" s="7">
        <f>IF(AND(E200&lt;&gt;"",G200&lt;&gt;""),E200*G200,"")</f>
        <v/>
      </c>
    </row>
    <row r="201">
      <c r="H201" s="7">
        <f>IF(AND(E201&lt;&gt;"",G201&lt;&gt;""),E201*G201,"")</f>
        <v/>
      </c>
    </row>
    <row r="202">
      <c r="H202" s="7">
        <f>IF(AND(E202&lt;&gt;"",G202&lt;&gt;""),E202*G202,"")</f>
        <v/>
      </c>
    </row>
    <row r="203">
      <c r="H203" s="7">
        <f>IF(AND(E203&lt;&gt;"",G203&lt;&gt;""),E203*G203,"")</f>
        <v/>
      </c>
    </row>
    <row r="204">
      <c r="H204" s="7">
        <f>IF(AND(E204&lt;&gt;"",G204&lt;&gt;""),E204*G204,"")</f>
        <v/>
      </c>
    </row>
    <row r="205">
      <c r="H205" s="7">
        <f>IF(AND(E205&lt;&gt;"",G205&lt;&gt;""),E205*G205,"")</f>
        <v/>
      </c>
    </row>
    <row r="206">
      <c r="H206" s="7">
        <f>IF(AND(E206&lt;&gt;"",G206&lt;&gt;""),E206*G206,"")</f>
        <v/>
      </c>
    </row>
    <row r="207">
      <c r="H207" s="7">
        <f>IF(AND(E207&lt;&gt;"",G207&lt;&gt;""),E207*G207,"")</f>
        <v/>
      </c>
    </row>
    <row r="208">
      <c r="H208" s="7">
        <f>IF(AND(E208&lt;&gt;"",G208&lt;&gt;""),E208*G208,"")</f>
        <v/>
      </c>
    </row>
    <row r="209">
      <c r="H209" s="7">
        <f>IF(AND(E209&lt;&gt;"",G209&lt;&gt;""),E209*G209,"")</f>
        <v/>
      </c>
    </row>
    <row r="210">
      <c r="H210" s="7">
        <f>IF(AND(E210&lt;&gt;"",G210&lt;&gt;""),E210*G210,"")</f>
        <v/>
      </c>
    </row>
    <row r="211">
      <c r="H211" s="7">
        <f>IF(AND(E211&lt;&gt;"",G211&lt;&gt;""),E211*G211,"")</f>
        <v/>
      </c>
    </row>
    <row r="212">
      <c r="H212" s="7">
        <f>IF(AND(E212&lt;&gt;"",G212&lt;&gt;""),E212*G212,"")</f>
        <v/>
      </c>
    </row>
    <row r="213">
      <c r="H213" s="7">
        <f>IF(AND(E213&lt;&gt;"",G213&lt;&gt;""),E213*G213,"")</f>
        <v/>
      </c>
    </row>
    <row r="214">
      <c r="H214" s="7">
        <f>IF(AND(E214&lt;&gt;"",G214&lt;&gt;""),E214*G214,"")</f>
        <v/>
      </c>
    </row>
    <row r="215">
      <c r="H215" s="7">
        <f>IF(AND(E215&lt;&gt;"",G215&lt;&gt;""),E215*G215,"")</f>
        <v/>
      </c>
    </row>
    <row r="216">
      <c r="H216" s="7">
        <f>IF(AND(E216&lt;&gt;"",G216&lt;&gt;""),E216*G216,"")</f>
        <v/>
      </c>
    </row>
    <row r="217">
      <c r="H217" s="7">
        <f>IF(AND(E217&lt;&gt;"",G217&lt;&gt;""),E217*G217,"")</f>
        <v/>
      </c>
    </row>
    <row r="218">
      <c r="H218" s="7">
        <f>IF(AND(E218&lt;&gt;"",G218&lt;&gt;""),E218*G218,"")</f>
        <v/>
      </c>
    </row>
    <row r="219">
      <c r="H219" s="7">
        <f>IF(AND(E219&lt;&gt;"",G219&lt;&gt;""),E219*G219,"")</f>
        <v/>
      </c>
    </row>
    <row r="220">
      <c r="H220" s="7">
        <f>IF(AND(E220&lt;&gt;"",G220&lt;&gt;""),E220*G220,"")</f>
        <v/>
      </c>
    </row>
    <row r="221">
      <c r="H221" s="7">
        <f>IF(AND(E221&lt;&gt;"",G221&lt;&gt;""),E221*G221,"")</f>
        <v/>
      </c>
    </row>
    <row r="222">
      <c r="H222" s="7">
        <f>IF(AND(E222&lt;&gt;"",G222&lt;&gt;""),E222*G222,"")</f>
        <v/>
      </c>
    </row>
    <row r="223">
      <c r="H223" s="7">
        <f>IF(AND(E223&lt;&gt;"",G223&lt;&gt;""),E223*G223,"")</f>
        <v/>
      </c>
    </row>
    <row r="224">
      <c r="H224" s="7">
        <f>IF(AND(E224&lt;&gt;"",G224&lt;&gt;""),E224*G224,"")</f>
        <v/>
      </c>
    </row>
    <row r="225">
      <c r="H225" s="7">
        <f>IF(AND(E225&lt;&gt;"",G225&lt;&gt;""),E225*G225,"")</f>
        <v/>
      </c>
    </row>
    <row r="226">
      <c r="H226" s="7">
        <f>IF(AND(E226&lt;&gt;"",G226&lt;&gt;""),E226*G226,"")</f>
        <v/>
      </c>
    </row>
    <row r="227">
      <c r="H227" s="7">
        <f>IF(AND(E227&lt;&gt;"",G227&lt;&gt;""),E227*G227,"")</f>
        <v/>
      </c>
    </row>
    <row r="228">
      <c r="H228" s="7">
        <f>IF(AND(E228&lt;&gt;"",G228&lt;&gt;""),E228*G228,"")</f>
        <v/>
      </c>
    </row>
    <row r="229">
      <c r="H229" s="7">
        <f>IF(AND(E229&lt;&gt;"",G229&lt;&gt;""),E229*G229,"")</f>
        <v/>
      </c>
    </row>
    <row r="230">
      <c r="H230" s="7">
        <f>IF(AND(E230&lt;&gt;"",G230&lt;&gt;""),E230*G230,"")</f>
        <v/>
      </c>
    </row>
    <row r="231">
      <c r="H231" s="7">
        <f>IF(AND(E231&lt;&gt;"",G231&lt;&gt;""),E231*G231,"")</f>
        <v/>
      </c>
    </row>
    <row r="232">
      <c r="H232" s="7">
        <f>IF(AND(E232&lt;&gt;"",G232&lt;&gt;""),E232*G232,"")</f>
        <v/>
      </c>
    </row>
    <row r="233">
      <c r="H233" s="7">
        <f>IF(AND(E233&lt;&gt;"",G233&lt;&gt;""),E233*G233,"")</f>
        <v/>
      </c>
    </row>
    <row r="234">
      <c r="H234" s="7">
        <f>IF(AND(E234&lt;&gt;"",G234&lt;&gt;""),E234*G234,"")</f>
        <v/>
      </c>
    </row>
    <row r="235">
      <c r="H235" s="7">
        <f>IF(AND(E235&lt;&gt;"",G235&lt;&gt;""),E235*G235,"")</f>
        <v/>
      </c>
    </row>
    <row r="236">
      <c r="H236" s="7">
        <f>IF(AND(E236&lt;&gt;"",G236&lt;&gt;""),E236*G236,"")</f>
        <v/>
      </c>
    </row>
    <row r="237">
      <c r="H237" s="7">
        <f>IF(AND(E237&lt;&gt;"",G237&lt;&gt;""),E237*G237,"")</f>
        <v/>
      </c>
    </row>
    <row r="238">
      <c r="H238" s="7">
        <f>IF(AND(E238&lt;&gt;"",G238&lt;&gt;""),E238*G238,"")</f>
        <v/>
      </c>
    </row>
    <row r="239">
      <c r="H239" s="7">
        <f>IF(AND(E239&lt;&gt;"",G239&lt;&gt;""),E239*G239,"")</f>
        <v/>
      </c>
    </row>
    <row r="240">
      <c r="H240" s="7">
        <f>IF(AND(E240&lt;&gt;"",G240&lt;&gt;""),E240*G240,"")</f>
        <v/>
      </c>
    </row>
    <row r="241">
      <c r="H241" s="7">
        <f>IF(AND(E241&lt;&gt;"",G241&lt;&gt;""),E241*G241,"")</f>
        <v/>
      </c>
    </row>
    <row r="242">
      <c r="H242" s="7">
        <f>IF(AND(E242&lt;&gt;"",G242&lt;&gt;""),E242*G242,"")</f>
        <v/>
      </c>
    </row>
    <row r="243">
      <c r="H243" s="7">
        <f>IF(AND(E243&lt;&gt;"",G243&lt;&gt;""),E243*G243,"")</f>
        <v/>
      </c>
    </row>
    <row r="244">
      <c r="H244" s="7">
        <f>IF(AND(E244&lt;&gt;"",G244&lt;&gt;""),E244*G244,"")</f>
        <v/>
      </c>
    </row>
    <row r="245">
      <c r="H245" s="7">
        <f>IF(AND(E245&lt;&gt;"",G245&lt;&gt;""),E245*G245,"")</f>
        <v/>
      </c>
    </row>
    <row r="246">
      <c r="H246" s="7">
        <f>IF(AND(E246&lt;&gt;"",G246&lt;&gt;""),E246*G246,"")</f>
        <v/>
      </c>
    </row>
    <row r="247">
      <c r="H247" s="7">
        <f>IF(AND(E247&lt;&gt;"",G247&lt;&gt;""),E247*G247,"")</f>
        <v/>
      </c>
    </row>
    <row r="248">
      <c r="H248" s="7">
        <f>IF(AND(E248&lt;&gt;"",G248&lt;&gt;""),E248*G248,"")</f>
        <v/>
      </c>
    </row>
    <row r="249">
      <c r="H249" s="7">
        <f>IF(AND(E249&lt;&gt;"",G249&lt;&gt;""),E249*G249,"")</f>
        <v/>
      </c>
    </row>
    <row r="250">
      <c r="H250" s="7">
        <f>IF(AND(E250&lt;&gt;"",G250&lt;&gt;""),E250*G250,"")</f>
        <v/>
      </c>
    </row>
    <row r="251">
      <c r="H251" s="7">
        <f>IF(AND(E251&lt;&gt;"",G251&lt;&gt;""),E251*G251,"")</f>
        <v/>
      </c>
    </row>
    <row r="252">
      <c r="H252" s="7">
        <f>IF(AND(E252&lt;&gt;"",G252&lt;&gt;""),E252*G252,"")</f>
        <v/>
      </c>
    </row>
    <row r="253">
      <c r="H253" s="7">
        <f>IF(AND(E253&lt;&gt;"",G253&lt;&gt;""),E253*G253,"")</f>
        <v/>
      </c>
    </row>
    <row r="254">
      <c r="H254" s="7">
        <f>IF(AND(E254&lt;&gt;"",G254&lt;&gt;""),E254*G254,"")</f>
        <v/>
      </c>
    </row>
    <row r="255">
      <c r="H255" s="7">
        <f>IF(AND(E255&lt;&gt;"",G255&lt;&gt;""),E255*G255,"")</f>
        <v/>
      </c>
    </row>
    <row r="256">
      <c r="H256" s="7">
        <f>IF(AND(E256&lt;&gt;"",G256&lt;&gt;""),E256*G256,"")</f>
        <v/>
      </c>
    </row>
    <row r="257">
      <c r="H257" s="7">
        <f>IF(AND(E257&lt;&gt;"",G257&lt;&gt;""),E257*G257,"")</f>
        <v/>
      </c>
    </row>
    <row r="258">
      <c r="H258" s="7">
        <f>IF(AND(E258&lt;&gt;"",G258&lt;&gt;""),E258*G258,"")</f>
        <v/>
      </c>
    </row>
    <row r="259">
      <c r="H259" s="7">
        <f>IF(AND(E259&lt;&gt;"",G259&lt;&gt;""),E259*G259,"")</f>
        <v/>
      </c>
    </row>
    <row r="260">
      <c r="H260" s="7">
        <f>IF(AND(E260&lt;&gt;"",G260&lt;&gt;""),E260*G260,"")</f>
        <v/>
      </c>
    </row>
    <row r="261">
      <c r="H261" s="7">
        <f>IF(AND(E261&lt;&gt;"",G261&lt;&gt;""),E261*G261,"")</f>
        <v/>
      </c>
    </row>
    <row r="262">
      <c r="H262" s="7">
        <f>IF(AND(E262&lt;&gt;"",G262&lt;&gt;""),E262*G262,"")</f>
        <v/>
      </c>
    </row>
    <row r="263">
      <c r="H263" s="7">
        <f>IF(AND(E263&lt;&gt;"",G263&lt;&gt;""),E263*G263,"")</f>
        <v/>
      </c>
    </row>
    <row r="264">
      <c r="H264" s="7">
        <f>IF(AND(E264&lt;&gt;"",G264&lt;&gt;""),E264*G264,"")</f>
        <v/>
      </c>
    </row>
    <row r="265">
      <c r="H265" s="7">
        <f>IF(AND(E265&lt;&gt;"",G265&lt;&gt;""),E265*G265,"")</f>
        <v/>
      </c>
    </row>
    <row r="266">
      <c r="H266" s="7">
        <f>IF(AND(E266&lt;&gt;"",G266&lt;&gt;""),E266*G266,"")</f>
        <v/>
      </c>
    </row>
    <row r="267">
      <c r="H267" s="7">
        <f>IF(AND(E267&lt;&gt;"",G267&lt;&gt;""),E267*G267,"")</f>
        <v/>
      </c>
    </row>
    <row r="268">
      <c r="H268" s="7">
        <f>IF(AND(E268&lt;&gt;"",G268&lt;&gt;""),E268*G268,"")</f>
        <v/>
      </c>
    </row>
    <row r="269">
      <c r="H269" s="7">
        <f>IF(AND(E269&lt;&gt;"",G269&lt;&gt;""),E269*G269,"")</f>
        <v/>
      </c>
    </row>
    <row r="270">
      <c r="H270" s="7">
        <f>IF(AND(E270&lt;&gt;"",G270&lt;&gt;""),E270*G270,"")</f>
        <v/>
      </c>
    </row>
    <row r="271">
      <c r="H271" s="7">
        <f>IF(AND(E271&lt;&gt;"",G271&lt;&gt;""),E271*G271,"")</f>
        <v/>
      </c>
    </row>
    <row r="272">
      <c r="H272" s="7">
        <f>IF(AND(E272&lt;&gt;"",G272&lt;&gt;""),E272*G272,"")</f>
        <v/>
      </c>
    </row>
    <row r="273">
      <c r="H273" s="7">
        <f>IF(AND(E273&lt;&gt;"",G273&lt;&gt;""),E273*G273,"")</f>
        <v/>
      </c>
    </row>
    <row r="274">
      <c r="H274" s="7">
        <f>IF(AND(E274&lt;&gt;"",G274&lt;&gt;""),E274*G274,"")</f>
        <v/>
      </c>
    </row>
    <row r="275">
      <c r="H275" s="7">
        <f>IF(AND(E275&lt;&gt;"",G275&lt;&gt;""),E275*G275,"")</f>
        <v/>
      </c>
    </row>
    <row r="276">
      <c r="H276" s="7">
        <f>IF(AND(E276&lt;&gt;"",G276&lt;&gt;""),E276*G276,"")</f>
        <v/>
      </c>
    </row>
    <row r="277">
      <c r="H277" s="7">
        <f>IF(AND(E277&lt;&gt;"",G277&lt;&gt;""),E277*G277,"")</f>
        <v/>
      </c>
    </row>
    <row r="278">
      <c r="H278" s="7">
        <f>IF(AND(E278&lt;&gt;"",G278&lt;&gt;""),E278*G278,"")</f>
        <v/>
      </c>
    </row>
    <row r="279">
      <c r="H279" s="7">
        <f>IF(AND(E279&lt;&gt;"",G279&lt;&gt;""),E279*G279,"")</f>
        <v/>
      </c>
    </row>
    <row r="280">
      <c r="H280" s="7">
        <f>IF(AND(E280&lt;&gt;"",G280&lt;&gt;""),E280*G280,"")</f>
        <v/>
      </c>
    </row>
    <row r="281">
      <c r="H281" s="7">
        <f>IF(AND(E281&lt;&gt;"",G281&lt;&gt;""),E281*G281,"")</f>
        <v/>
      </c>
    </row>
    <row r="282">
      <c r="H282" s="7">
        <f>IF(AND(E282&lt;&gt;"",G282&lt;&gt;""),E282*G282,"")</f>
        <v/>
      </c>
    </row>
    <row r="283">
      <c r="H283" s="7">
        <f>IF(AND(E283&lt;&gt;"",G283&lt;&gt;""),E283*G283,"")</f>
        <v/>
      </c>
    </row>
    <row r="284">
      <c r="H284" s="7">
        <f>IF(AND(E284&lt;&gt;"",G284&lt;&gt;""),E284*G284,"")</f>
        <v/>
      </c>
    </row>
    <row r="285">
      <c r="H285" s="7">
        <f>IF(AND(E285&lt;&gt;"",G285&lt;&gt;""),E285*G285,"")</f>
        <v/>
      </c>
    </row>
    <row r="286">
      <c r="H286" s="7">
        <f>IF(AND(E286&lt;&gt;"",G286&lt;&gt;""),E286*G286,"")</f>
        <v/>
      </c>
    </row>
    <row r="287">
      <c r="H287" s="7">
        <f>IF(AND(E287&lt;&gt;"",G287&lt;&gt;""),E287*G287,"")</f>
        <v/>
      </c>
    </row>
    <row r="288">
      <c r="H288" s="7">
        <f>IF(AND(E288&lt;&gt;"",G288&lt;&gt;""),E288*G288,"")</f>
        <v/>
      </c>
    </row>
    <row r="289">
      <c r="H289" s="7">
        <f>IF(AND(E289&lt;&gt;"",G289&lt;&gt;""),E289*G289,"")</f>
        <v/>
      </c>
    </row>
    <row r="290">
      <c r="H290" s="7">
        <f>IF(AND(E290&lt;&gt;"",G290&lt;&gt;""),E290*G290,"")</f>
        <v/>
      </c>
    </row>
    <row r="291">
      <c r="H291" s="7">
        <f>IF(AND(E291&lt;&gt;"",G291&lt;&gt;""),E291*G291,"")</f>
        <v/>
      </c>
    </row>
    <row r="292">
      <c r="H292" s="7">
        <f>IF(AND(E292&lt;&gt;"",G292&lt;&gt;""),E292*G292,"")</f>
        <v/>
      </c>
    </row>
    <row r="293">
      <c r="H293" s="7">
        <f>IF(AND(E293&lt;&gt;"",G293&lt;&gt;""),E293*G293,"")</f>
        <v/>
      </c>
    </row>
    <row r="294">
      <c r="H294" s="7">
        <f>IF(AND(E294&lt;&gt;"",G294&lt;&gt;""),E294*G294,"")</f>
        <v/>
      </c>
    </row>
    <row r="295">
      <c r="H295" s="7">
        <f>IF(AND(E295&lt;&gt;"",G295&lt;&gt;""),E295*G295,"")</f>
        <v/>
      </c>
    </row>
    <row r="296">
      <c r="H296" s="7">
        <f>IF(AND(E296&lt;&gt;"",G296&lt;&gt;""),E296*G296,"")</f>
        <v/>
      </c>
    </row>
    <row r="297">
      <c r="H297" s="7">
        <f>IF(AND(E297&lt;&gt;"",G297&lt;&gt;""),E297*G297,"")</f>
        <v/>
      </c>
    </row>
    <row r="298">
      <c r="H298" s="7">
        <f>IF(AND(E298&lt;&gt;"",G298&lt;&gt;""),E298*G298,"")</f>
        <v/>
      </c>
    </row>
    <row r="299">
      <c r="H299" s="7">
        <f>IF(AND(E299&lt;&gt;"",G299&lt;&gt;""),E299*G299,"")</f>
        <v/>
      </c>
    </row>
    <row r="300">
      <c r="H300" s="7">
        <f>IF(AND(E300&lt;&gt;"",G300&lt;&gt;""),E300*G300,"")</f>
        <v/>
      </c>
    </row>
    <row r="301">
      <c r="H301" s="7">
        <f>IF(AND(E301&lt;&gt;"",G301&lt;&gt;""),E301*G301,"")</f>
        <v/>
      </c>
    </row>
    <row r="302">
      <c r="H302" s="7">
        <f>IF(AND(E302&lt;&gt;"",G302&lt;&gt;""),E302*G302,"")</f>
        <v/>
      </c>
    </row>
    <row r="303">
      <c r="H303" s="7">
        <f>IF(AND(E303&lt;&gt;"",G303&lt;&gt;""),E303*G303,"")</f>
        <v/>
      </c>
    </row>
    <row r="304">
      <c r="H304" s="7">
        <f>IF(AND(E304&lt;&gt;"",G304&lt;&gt;""),E304*G304,"")</f>
        <v/>
      </c>
    </row>
    <row r="305">
      <c r="H305" s="7">
        <f>IF(AND(E305&lt;&gt;"",G305&lt;&gt;""),E305*G305,"")</f>
        <v/>
      </c>
    </row>
    <row r="306">
      <c r="H306" s="7">
        <f>IF(AND(E306&lt;&gt;"",G306&lt;&gt;""),E306*G306,"")</f>
        <v/>
      </c>
    </row>
    <row r="307">
      <c r="H307" s="7">
        <f>IF(AND(E307&lt;&gt;"",G307&lt;&gt;""),E307*G307,"")</f>
        <v/>
      </c>
    </row>
    <row r="308">
      <c r="H308" s="7">
        <f>IF(AND(E308&lt;&gt;"",G308&lt;&gt;""),E308*G308,"")</f>
        <v/>
      </c>
    </row>
    <row r="309">
      <c r="H309" s="7">
        <f>IF(AND(E309&lt;&gt;"",G309&lt;&gt;""),E309*G309,"")</f>
        <v/>
      </c>
    </row>
    <row r="310">
      <c r="H310" s="7">
        <f>IF(AND(E310&lt;&gt;"",G310&lt;&gt;""),E310*G310,"")</f>
        <v/>
      </c>
    </row>
    <row r="311">
      <c r="H311" s="7">
        <f>IF(AND(E311&lt;&gt;"",G311&lt;&gt;""),E311*G311,"")</f>
        <v/>
      </c>
    </row>
    <row r="312">
      <c r="H312" s="7">
        <f>IF(AND(E312&lt;&gt;"",G312&lt;&gt;""),E312*G312,"")</f>
        <v/>
      </c>
    </row>
    <row r="313">
      <c r="H313" s="7">
        <f>IF(AND(E313&lt;&gt;"",G313&lt;&gt;""),E313*G313,"")</f>
        <v/>
      </c>
    </row>
    <row r="314">
      <c r="H314" s="7">
        <f>IF(AND(E314&lt;&gt;"",G314&lt;&gt;""),E314*G314,"")</f>
        <v/>
      </c>
    </row>
    <row r="315">
      <c r="H315" s="7">
        <f>IF(AND(E315&lt;&gt;"",G315&lt;&gt;""),E315*G315,"")</f>
        <v/>
      </c>
    </row>
    <row r="316">
      <c r="H316" s="7">
        <f>IF(AND(E316&lt;&gt;"",G316&lt;&gt;""),E316*G316,"")</f>
        <v/>
      </c>
    </row>
    <row r="317">
      <c r="H317" s="7">
        <f>IF(AND(E317&lt;&gt;"",G317&lt;&gt;""),E317*G317,"")</f>
        <v/>
      </c>
    </row>
    <row r="318">
      <c r="H318" s="7">
        <f>IF(AND(E318&lt;&gt;"",G318&lt;&gt;""),E318*G318,"")</f>
        <v/>
      </c>
    </row>
    <row r="319">
      <c r="H319" s="7">
        <f>IF(AND(E319&lt;&gt;"",G319&lt;&gt;""),E319*G319,"")</f>
        <v/>
      </c>
    </row>
    <row r="320">
      <c r="H320" s="7">
        <f>IF(AND(E320&lt;&gt;"",G320&lt;&gt;""),E320*G320,"")</f>
        <v/>
      </c>
    </row>
    <row r="321">
      <c r="H321" s="7">
        <f>IF(AND(E321&lt;&gt;"",G321&lt;&gt;""),E321*G321,"")</f>
        <v/>
      </c>
    </row>
    <row r="322">
      <c r="H322" s="7">
        <f>IF(AND(E322&lt;&gt;"",G322&lt;&gt;""),E322*G322,"")</f>
        <v/>
      </c>
    </row>
    <row r="323">
      <c r="H323" s="7">
        <f>IF(AND(E323&lt;&gt;"",G323&lt;&gt;""),E323*G323,"")</f>
        <v/>
      </c>
    </row>
    <row r="324">
      <c r="H324" s="7">
        <f>IF(AND(E324&lt;&gt;"",G324&lt;&gt;""),E324*G324,"")</f>
        <v/>
      </c>
    </row>
    <row r="325">
      <c r="H325" s="7">
        <f>IF(AND(E325&lt;&gt;"",G325&lt;&gt;""),E325*G325,"")</f>
        <v/>
      </c>
    </row>
    <row r="326">
      <c r="H326" s="7">
        <f>IF(AND(E326&lt;&gt;"",G326&lt;&gt;""),E326*G326,"")</f>
        <v/>
      </c>
    </row>
    <row r="327">
      <c r="H327" s="7">
        <f>IF(AND(E327&lt;&gt;"",G327&lt;&gt;""),E327*G327,"")</f>
        <v/>
      </c>
    </row>
    <row r="328">
      <c r="H328" s="7">
        <f>IF(AND(E328&lt;&gt;"",G328&lt;&gt;""),E328*G328,"")</f>
        <v/>
      </c>
    </row>
    <row r="329">
      <c r="H329" s="7">
        <f>IF(AND(E329&lt;&gt;"",G329&lt;&gt;""),E329*G329,"")</f>
        <v/>
      </c>
    </row>
    <row r="330">
      <c r="H330" s="7">
        <f>IF(AND(E330&lt;&gt;"",G330&lt;&gt;""),E330*G330,"")</f>
        <v/>
      </c>
    </row>
    <row r="331">
      <c r="H331" s="7">
        <f>IF(AND(E331&lt;&gt;"",G331&lt;&gt;""),E331*G331,"")</f>
        <v/>
      </c>
    </row>
    <row r="332">
      <c r="H332" s="7">
        <f>IF(AND(E332&lt;&gt;"",G332&lt;&gt;""),E332*G332,"")</f>
        <v/>
      </c>
    </row>
    <row r="333">
      <c r="H333" s="7">
        <f>IF(AND(E333&lt;&gt;"",G333&lt;&gt;""),E333*G333,"")</f>
        <v/>
      </c>
    </row>
    <row r="334">
      <c r="H334" s="7">
        <f>IF(AND(E334&lt;&gt;"",G334&lt;&gt;""),E334*G334,"")</f>
        <v/>
      </c>
    </row>
    <row r="335">
      <c r="H335" s="7">
        <f>IF(AND(E335&lt;&gt;"",G335&lt;&gt;""),E335*G335,"")</f>
        <v/>
      </c>
    </row>
    <row r="336">
      <c r="H336" s="7">
        <f>IF(AND(E336&lt;&gt;"",G336&lt;&gt;""),E336*G336,"")</f>
        <v/>
      </c>
    </row>
    <row r="337">
      <c r="H337" s="7">
        <f>IF(AND(E337&lt;&gt;"",G337&lt;&gt;""),E337*G337,"")</f>
        <v/>
      </c>
    </row>
    <row r="338">
      <c r="H338" s="7">
        <f>IF(AND(E338&lt;&gt;"",G338&lt;&gt;""),E338*G338,"")</f>
        <v/>
      </c>
    </row>
    <row r="339">
      <c r="H339" s="7">
        <f>IF(AND(E339&lt;&gt;"",G339&lt;&gt;""),E339*G339,"")</f>
        <v/>
      </c>
    </row>
    <row r="340">
      <c r="H340" s="7">
        <f>IF(AND(E340&lt;&gt;"",G340&lt;&gt;""),E340*G340,"")</f>
        <v/>
      </c>
    </row>
    <row r="341">
      <c r="H341" s="7">
        <f>IF(AND(E341&lt;&gt;"",G341&lt;&gt;""),E341*G341,"")</f>
        <v/>
      </c>
    </row>
    <row r="342">
      <c r="H342" s="7">
        <f>IF(AND(E342&lt;&gt;"",G342&lt;&gt;""),E342*G342,"")</f>
        <v/>
      </c>
    </row>
    <row r="343">
      <c r="H343" s="7">
        <f>IF(AND(E343&lt;&gt;"",G343&lt;&gt;""),E343*G343,"")</f>
        <v/>
      </c>
    </row>
    <row r="344">
      <c r="H344" s="7">
        <f>IF(AND(E344&lt;&gt;"",G344&lt;&gt;""),E344*G344,"")</f>
        <v/>
      </c>
    </row>
    <row r="345">
      <c r="H345" s="7">
        <f>IF(AND(E345&lt;&gt;"",G345&lt;&gt;""),E345*G345,"")</f>
        <v/>
      </c>
    </row>
    <row r="346">
      <c r="H346" s="7">
        <f>IF(AND(E346&lt;&gt;"",G346&lt;&gt;""),E346*G346,"")</f>
        <v/>
      </c>
    </row>
    <row r="347">
      <c r="H347" s="7">
        <f>IF(AND(E347&lt;&gt;"",G347&lt;&gt;""),E347*G347,"")</f>
        <v/>
      </c>
    </row>
    <row r="348">
      <c r="H348" s="7">
        <f>IF(AND(E348&lt;&gt;"",G348&lt;&gt;""),E348*G348,"")</f>
        <v/>
      </c>
    </row>
    <row r="349">
      <c r="H349" s="7">
        <f>IF(AND(E349&lt;&gt;"",G349&lt;&gt;""),E349*G349,"")</f>
        <v/>
      </c>
    </row>
    <row r="350">
      <c r="H350" s="7">
        <f>IF(AND(E350&lt;&gt;"",G350&lt;&gt;""),E350*G350,"")</f>
        <v/>
      </c>
    </row>
    <row r="351">
      <c r="H351" s="7">
        <f>IF(AND(E351&lt;&gt;"",G351&lt;&gt;""),E351*G351,"")</f>
        <v/>
      </c>
    </row>
    <row r="352">
      <c r="H352" s="7">
        <f>IF(AND(E352&lt;&gt;"",G352&lt;&gt;""),E352*G352,"")</f>
        <v/>
      </c>
    </row>
    <row r="353">
      <c r="H353" s="7">
        <f>IF(AND(E353&lt;&gt;"",G353&lt;&gt;""),E353*G353,"")</f>
        <v/>
      </c>
    </row>
    <row r="354">
      <c r="H354" s="7">
        <f>IF(AND(E354&lt;&gt;"",G354&lt;&gt;""),E354*G354,"")</f>
        <v/>
      </c>
    </row>
    <row r="355">
      <c r="H355" s="7">
        <f>IF(AND(E355&lt;&gt;"",G355&lt;&gt;""),E355*G355,"")</f>
        <v/>
      </c>
    </row>
    <row r="356">
      <c r="H356" s="7">
        <f>IF(AND(E356&lt;&gt;"",G356&lt;&gt;""),E356*G356,"")</f>
        <v/>
      </c>
    </row>
    <row r="357">
      <c r="H357" s="7">
        <f>IF(AND(E357&lt;&gt;"",G357&lt;&gt;""),E357*G357,"")</f>
        <v/>
      </c>
    </row>
    <row r="358">
      <c r="H358" s="7">
        <f>IF(AND(E358&lt;&gt;"",G358&lt;&gt;""),E358*G358,"")</f>
        <v/>
      </c>
    </row>
    <row r="359">
      <c r="H359" s="7">
        <f>IF(AND(E359&lt;&gt;"",G359&lt;&gt;""),E359*G359,"")</f>
        <v/>
      </c>
    </row>
    <row r="360">
      <c r="H360" s="7">
        <f>IF(AND(E360&lt;&gt;"",G360&lt;&gt;""),E360*G360,"")</f>
        <v/>
      </c>
    </row>
    <row r="361">
      <c r="H361" s="7">
        <f>IF(AND(E361&lt;&gt;"",G361&lt;&gt;""),E361*G361,"")</f>
        <v/>
      </c>
    </row>
    <row r="362">
      <c r="H362" s="7">
        <f>IF(AND(E362&lt;&gt;"",G362&lt;&gt;""),E362*G362,"")</f>
        <v/>
      </c>
    </row>
    <row r="363">
      <c r="H363" s="7">
        <f>IF(AND(E363&lt;&gt;"",G363&lt;&gt;""),E363*G363,"")</f>
        <v/>
      </c>
    </row>
    <row r="364">
      <c r="H364" s="7">
        <f>IF(AND(E364&lt;&gt;"",G364&lt;&gt;""),E364*G364,"")</f>
        <v/>
      </c>
    </row>
    <row r="365">
      <c r="H365" s="7">
        <f>IF(AND(E365&lt;&gt;"",G365&lt;&gt;""),E365*G365,"")</f>
        <v/>
      </c>
    </row>
    <row r="366">
      <c r="H366" s="7">
        <f>IF(AND(E366&lt;&gt;"",G366&lt;&gt;""),E366*G366,"")</f>
        <v/>
      </c>
    </row>
    <row r="367">
      <c r="H367" s="7">
        <f>IF(AND(E367&lt;&gt;"",G367&lt;&gt;""),E367*G367,"")</f>
        <v/>
      </c>
    </row>
    <row r="368">
      <c r="H368" s="7">
        <f>IF(AND(E368&lt;&gt;"",G368&lt;&gt;""),E368*G368,"")</f>
        <v/>
      </c>
    </row>
    <row r="369">
      <c r="H369" s="7">
        <f>IF(AND(E369&lt;&gt;"",G369&lt;&gt;""),E369*G369,"")</f>
        <v/>
      </c>
    </row>
    <row r="370">
      <c r="H370" s="7">
        <f>IF(AND(E370&lt;&gt;"",G370&lt;&gt;""),E370*G370,"")</f>
        <v/>
      </c>
    </row>
    <row r="371">
      <c r="H371" s="7">
        <f>IF(AND(E371&lt;&gt;"",G371&lt;&gt;""),E371*G371,"")</f>
        <v/>
      </c>
    </row>
    <row r="372">
      <c r="H372" s="7">
        <f>IF(AND(E372&lt;&gt;"",G372&lt;&gt;""),E372*G372,"")</f>
        <v/>
      </c>
    </row>
    <row r="373">
      <c r="H373" s="7">
        <f>IF(AND(E373&lt;&gt;"",G373&lt;&gt;""),E373*G373,"")</f>
        <v/>
      </c>
    </row>
    <row r="374">
      <c r="H374" s="7">
        <f>IF(AND(E374&lt;&gt;"",G374&lt;&gt;""),E374*G374,"")</f>
        <v/>
      </c>
    </row>
    <row r="375">
      <c r="H375" s="7">
        <f>IF(AND(E375&lt;&gt;"",G375&lt;&gt;""),E375*G375,"")</f>
        <v/>
      </c>
    </row>
    <row r="376">
      <c r="H376" s="7">
        <f>IF(AND(E376&lt;&gt;"",G376&lt;&gt;""),E376*G376,"")</f>
        <v/>
      </c>
    </row>
    <row r="377">
      <c r="H377" s="7">
        <f>IF(AND(E377&lt;&gt;"",G377&lt;&gt;""),E377*G377,"")</f>
        <v/>
      </c>
    </row>
    <row r="378">
      <c r="H378" s="7">
        <f>IF(AND(E378&lt;&gt;"",G378&lt;&gt;""),E378*G378,"")</f>
        <v/>
      </c>
    </row>
    <row r="379">
      <c r="H379" s="7">
        <f>IF(AND(E379&lt;&gt;"",G379&lt;&gt;""),E379*G379,"")</f>
        <v/>
      </c>
    </row>
    <row r="380">
      <c r="H380" s="7">
        <f>IF(AND(E380&lt;&gt;"",G380&lt;&gt;""),E380*G380,"")</f>
        <v/>
      </c>
    </row>
    <row r="381">
      <c r="H381" s="7">
        <f>IF(AND(E381&lt;&gt;"",G381&lt;&gt;""),E381*G381,"")</f>
        <v/>
      </c>
    </row>
    <row r="382">
      <c r="H382" s="7">
        <f>IF(AND(E382&lt;&gt;"",G382&lt;&gt;""),E382*G382,"")</f>
        <v/>
      </c>
    </row>
    <row r="383">
      <c r="H383" s="7">
        <f>IF(AND(E383&lt;&gt;"",G383&lt;&gt;""),E383*G383,"")</f>
        <v/>
      </c>
    </row>
    <row r="384">
      <c r="H384" s="7">
        <f>IF(AND(E384&lt;&gt;"",G384&lt;&gt;""),E384*G384,"")</f>
        <v/>
      </c>
    </row>
    <row r="385">
      <c r="H385" s="7">
        <f>IF(AND(E385&lt;&gt;"",G385&lt;&gt;""),E385*G385,"")</f>
        <v/>
      </c>
    </row>
    <row r="386">
      <c r="H386" s="7">
        <f>IF(AND(E386&lt;&gt;"",G386&lt;&gt;""),E386*G386,"")</f>
        <v/>
      </c>
    </row>
    <row r="387">
      <c r="H387" s="7">
        <f>IF(AND(E387&lt;&gt;"",G387&lt;&gt;""),E387*G387,"")</f>
        <v/>
      </c>
    </row>
    <row r="388">
      <c r="H388" s="7">
        <f>IF(AND(E388&lt;&gt;"",G388&lt;&gt;""),E388*G388,"")</f>
        <v/>
      </c>
    </row>
    <row r="389">
      <c r="H389" s="7">
        <f>IF(AND(E389&lt;&gt;"",G389&lt;&gt;""),E389*G389,"")</f>
        <v/>
      </c>
    </row>
    <row r="390">
      <c r="H390" s="7">
        <f>IF(AND(E390&lt;&gt;"",G390&lt;&gt;""),E390*G390,"")</f>
        <v/>
      </c>
    </row>
    <row r="391">
      <c r="H391" s="7">
        <f>IF(AND(E391&lt;&gt;"",G391&lt;&gt;""),E391*G391,"")</f>
        <v/>
      </c>
    </row>
    <row r="392">
      <c r="H392" s="7">
        <f>IF(AND(E392&lt;&gt;"",G392&lt;&gt;""),E392*G392,"")</f>
        <v/>
      </c>
    </row>
    <row r="393">
      <c r="H393" s="7">
        <f>IF(AND(E393&lt;&gt;"",G393&lt;&gt;""),E393*G393,"")</f>
        <v/>
      </c>
    </row>
    <row r="394">
      <c r="H394" s="7">
        <f>IF(AND(E394&lt;&gt;"",G394&lt;&gt;""),E394*G394,"")</f>
        <v/>
      </c>
    </row>
    <row r="395">
      <c r="H395" s="7">
        <f>IF(AND(E395&lt;&gt;"",G395&lt;&gt;""),E395*G395,"")</f>
        <v/>
      </c>
    </row>
    <row r="396">
      <c r="H396" s="7">
        <f>IF(AND(E396&lt;&gt;"",G396&lt;&gt;""),E396*G396,"")</f>
        <v/>
      </c>
    </row>
    <row r="397">
      <c r="H397" s="7">
        <f>IF(AND(E397&lt;&gt;"",G397&lt;&gt;""),E397*G397,"")</f>
        <v/>
      </c>
    </row>
    <row r="398">
      <c r="H398" s="7">
        <f>IF(AND(E398&lt;&gt;"",G398&lt;&gt;""),E398*G398,"")</f>
        <v/>
      </c>
    </row>
    <row r="399">
      <c r="H399" s="7">
        <f>IF(AND(E399&lt;&gt;"",G399&lt;&gt;""),E399*G399,"")</f>
        <v/>
      </c>
    </row>
    <row r="400">
      <c r="H400" s="7">
        <f>IF(AND(E400&lt;&gt;"",G400&lt;&gt;""),E400*G400,"")</f>
        <v/>
      </c>
    </row>
    <row r="401">
      <c r="H401" s="7">
        <f>IF(AND(E401&lt;&gt;"",G401&lt;&gt;""),E401*G401,"")</f>
        <v/>
      </c>
    </row>
    <row r="402">
      <c r="H402" s="7">
        <f>IF(AND(E402&lt;&gt;"",G402&lt;&gt;""),E402*G402,"")</f>
        <v/>
      </c>
    </row>
    <row r="403">
      <c r="H403" s="7">
        <f>IF(AND(E403&lt;&gt;"",G403&lt;&gt;""),E403*G403,"")</f>
        <v/>
      </c>
    </row>
    <row r="404">
      <c r="H404" s="7">
        <f>IF(AND(E404&lt;&gt;"",G404&lt;&gt;""),E404*G404,"")</f>
        <v/>
      </c>
    </row>
    <row r="405">
      <c r="H405" s="7">
        <f>IF(AND(E405&lt;&gt;"",G405&lt;&gt;""),E405*G405,"")</f>
        <v/>
      </c>
    </row>
    <row r="406">
      <c r="H406" s="7">
        <f>IF(AND(E406&lt;&gt;"",G406&lt;&gt;""),E406*G406,"")</f>
        <v/>
      </c>
    </row>
    <row r="407">
      <c r="H407" s="7">
        <f>IF(AND(E407&lt;&gt;"",G407&lt;&gt;""),E407*G407,"")</f>
        <v/>
      </c>
    </row>
    <row r="408">
      <c r="H408" s="7">
        <f>IF(AND(E408&lt;&gt;"",G408&lt;&gt;""),E408*G408,"")</f>
        <v/>
      </c>
    </row>
    <row r="409">
      <c r="H409" s="7">
        <f>IF(AND(E409&lt;&gt;"",G409&lt;&gt;""),E409*G409,"")</f>
        <v/>
      </c>
    </row>
    <row r="410">
      <c r="H410" s="7">
        <f>IF(AND(E410&lt;&gt;"",G410&lt;&gt;""),E410*G410,"")</f>
        <v/>
      </c>
    </row>
    <row r="411">
      <c r="H411" s="7">
        <f>IF(AND(E411&lt;&gt;"",G411&lt;&gt;""),E411*G411,"")</f>
        <v/>
      </c>
    </row>
    <row r="412">
      <c r="H412" s="7">
        <f>IF(AND(E412&lt;&gt;"",G412&lt;&gt;""),E412*G412,"")</f>
        <v/>
      </c>
    </row>
    <row r="413">
      <c r="H413" s="7">
        <f>IF(AND(E413&lt;&gt;"",G413&lt;&gt;""),E413*G413,"")</f>
        <v/>
      </c>
    </row>
    <row r="414">
      <c r="H414" s="7">
        <f>IF(AND(E414&lt;&gt;"",G414&lt;&gt;""),E414*G414,"")</f>
        <v/>
      </c>
    </row>
    <row r="415">
      <c r="H415" s="7">
        <f>IF(AND(E415&lt;&gt;"",G415&lt;&gt;""),E415*G415,"")</f>
        <v/>
      </c>
    </row>
    <row r="416">
      <c r="H416" s="7">
        <f>IF(AND(E416&lt;&gt;"",G416&lt;&gt;""),E416*G416,"")</f>
        <v/>
      </c>
    </row>
    <row r="417">
      <c r="H417" s="7">
        <f>IF(AND(E417&lt;&gt;"",G417&lt;&gt;""),E417*G417,"")</f>
        <v/>
      </c>
    </row>
    <row r="418">
      <c r="H418" s="7">
        <f>IF(AND(E418&lt;&gt;"",G418&lt;&gt;""),E418*G418,"")</f>
        <v/>
      </c>
    </row>
    <row r="419">
      <c r="H419" s="7">
        <f>IF(AND(E419&lt;&gt;"",G419&lt;&gt;""),E419*G419,"")</f>
        <v/>
      </c>
    </row>
    <row r="420">
      <c r="H420" s="7">
        <f>IF(AND(E420&lt;&gt;"",G420&lt;&gt;""),E420*G420,"")</f>
        <v/>
      </c>
    </row>
    <row r="421">
      <c r="H421" s="7">
        <f>IF(AND(E421&lt;&gt;"",G421&lt;&gt;""),E421*G421,"")</f>
        <v/>
      </c>
    </row>
    <row r="422">
      <c r="H422" s="7">
        <f>IF(AND(E422&lt;&gt;"",G422&lt;&gt;""),E422*G422,"")</f>
        <v/>
      </c>
    </row>
    <row r="423">
      <c r="H423" s="7">
        <f>IF(AND(E423&lt;&gt;"",G423&lt;&gt;""),E423*G423,"")</f>
        <v/>
      </c>
    </row>
    <row r="424">
      <c r="H424" s="7">
        <f>IF(AND(E424&lt;&gt;"",G424&lt;&gt;""),E424*G424,"")</f>
        <v/>
      </c>
    </row>
    <row r="425">
      <c r="H425" s="7">
        <f>IF(AND(E425&lt;&gt;"",G425&lt;&gt;""),E425*G425,"")</f>
        <v/>
      </c>
    </row>
    <row r="426">
      <c r="H426" s="7">
        <f>IF(AND(E426&lt;&gt;"",G426&lt;&gt;""),E426*G426,"")</f>
        <v/>
      </c>
    </row>
    <row r="427">
      <c r="H427" s="7">
        <f>IF(AND(E427&lt;&gt;"",G427&lt;&gt;""),E427*G427,"")</f>
        <v/>
      </c>
    </row>
    <row r="428">
      <c r="H428" s="7">
        <f>IF(AND(E428&lt;&gt;"",G428&lt;&gt;""),E428*G428,"")</f>
        <v/>
      </c>
    </row>
    <row r="429">
      <c r="H429" s="7">
        <f>IF(AND(E429&lt;&gt;"",G429&lt;&gt;""),E429*G429,"")</f>
        <v/>
      </c>
    </row>
    <row r="430">
      <c r="H430" s="7">
        <f>IF(AND(E430&lt;&gt;"",G430&lt;&gt;""),E430*G430,"")</f>
        <v/>
      </c>
    </row>
    <row r="431">
      <c r="H431" s="7">
        <f>IF(AND(E431&lt;&gt;"",G431&lt;&gt;""),E431*G431,"")</f>
        <v/>
      </c>
    </row>
    <row r="432">
      <c r="H432" s="7">
        <f>IF(AND(E432&lt;&gt;"",G432&lt;&gt;""),E432*G432,"")</f>
        <v/>
      </c>
    </row>
    <row r="433">
      <c r="H433" s="7">
        <f>IF(AND(E433&lt;&gt;"",G433&lt;&gt;""),E433*G433,"")</f>
        <v/>
      </c>
    </row>
    <row r="434">
      <c r="H434" s="7">
        <f>IF(AND(E434&lt;&gt;"",G434&lt;&gt;""),E434*G434,"")</f>
        <v/>
      </c>
    </row>
    <row r="435">
      <c r="H435" s="7">
        <f>IF(AND(E435&lt;&gt;"",G435&lt;&gt;""),E435*G435,"")</f>
        <v/>
      </c>
    </row>
    <row r="436">
      <c r="H436" s="7">
        <f>IF(AND(E436&lt;&gt;"",G436&lt;&gt;""),E436*G436,"")</f>
        <v/>
      </c>
    </row>
    <row r="437">
      <c r="H437" s="7">
        <f>IF(AND(E437&lt;&gt;"",G437&lt;&gt;""),E437*G437,"")</f>
        <v/>
      </c>
    </row>
    <row r="438">
      <c r="H438" s="7">
        <f>IF(AND(E438&lt;&gt;"",G438&lt;&gt;""),E438*G438,"")</f>
        <v/>
      </c>
    </row>
    <row r="439">
      <c r="H439" s="7">
        <f>IF(AND(E439&lt;&gt;"",G439&lt;&gt;""),E439*G439,"")</f>
        <v/>
      </c>
    </row>
    <row r="440">
      <c r="H440" s="7">
        <f>IF(AND(E440&lt;&gt;"",G440&lt;&gt;""),E440*G440,"")</f>
        <v/>
      </c>
    </row>
    <row r="441">
      <c r="H441" s="7">
        <f>IF(AND(E441&lt;&gt;"",G441&lt;&gt;""),E441*G441,"")</f>
        <v/>
      </c>
    </row>
    <row r="442">
      <c r="H442" s="7">
        <f>IF(AND(E442&lt;&gt;"",G442&lt;&gt;""),E442*G442,"")</f>
        <v/>
      </c>
    </row>
    <row r="443">
      <c r="H443" s="7">
        <f>IF(AND(E443&lt;&gt;"",G443&lt;&gt;""),E443*G443,"")</f>
        <v/>
      </c>
    </row>
    <row r="444">
      <c r="H444" s="7">
        <f>IF(AND(E444&lt;&gt;"",G444&lt;&gt;""),E444*G444,"")</f>
        <v/>
      </c>
    </row>
    <row r="445">
      <c r="H445" s="7">
        <f>IF(AND(E445&lt;&gt;"",G445&lt;&gt;""),E445*G445,"")</f>
        <v/>
      </c>
    </row>
    <row r="446">
      <c r="H446" s="7">
        <f>IF(AND(E446&lt;&gt;"",G446&lt;&gt;""),E446*G446,"")</f>
        <v/>
      </c>
    </row>
    <row r="447">
      <c r="H447" s="7">
        <f>IF(AND(E447&lt;&gt;"",G447&lt;&gt;""),E447*G447,"")</f>
        <v/>
      </c>
    </row>
    <row r="448">
      <c r="H448" s="7">
        <f>IF(AND(E448&lt;&gt;"",G448&lt;&gt;""),E448*G448,"")</f>
        <v/>
      </c>
    </row>
    <row r="449">
      <c r="H449" s="7">
        <f>IF(AND(E449&lt;&gt;"",G449&lt;&gt;""),E449*G449,"")</f>
        <v/>
      </c>
    </row>
    <row r="450">
      <c r="H450" s="7">
        <f>IF(AND(E450&lt;&gt;"",G450&lt;&gt;""),E450*G450,"")</f>
        <v/>
      </c>
    </row>
    <row r="451">
      <c r="H451" s="7">
        <f>IF(AND(E451&lt;&gt;"",G451&lt;&gt;""),E451*G451,"")</f>
        <v/>
      </c>
    </row>
    <row r="452">
      <c r="H452" s="7">
        <f>IF(AND(E452&lt;&gt;"",G452&lt;&gt;""),E452*G452,"")</f>
        <v/>
      </c>
    </row>
    <row r="453">
      <c r="H453" s="7">
        <f>IF(AND(E453&lt;&gt;"",G453&lt;&gt;""),E453*G453,"")</f>
        <v/>
      </c>
    </row>
    <row r="454">
      <c r="H454" s="7">
        <f>IF(AND(E454&lt;&gt;"",G454&lt;&gt;""),E454*G454,"")</f>
        <v/>
      </c>
    </row>
    <row r="455">
      <c r="H455" s="7">
        <f>IF(AND(E455&lt;&gt;"",G455&lt;&gt;""),E455*G455,"")</f>
        <v/>
      </c>
    </row>
    <row r="456">
      <c r="H456" s="7">
        <f>IF(AND(E456&lt;&gt;"",G456&lt;&gt;""),E456*G456,"")</f>
        <v/>
      </c>
    </row>
    <row r="457">
      <c r="H457" s="7">
        <f>IF(AND(E457&lt;&gt;"",G457&lt;&gt;""),E457*G457,"")</f>
        <v/>
      </c>
    </row>
    <row r="458">
      <c r="H458" s="7">
        <f>IF(AND(E458&lt;&gt;"",G458&lt;&gt;""),E458*G458,"")</f>
        <v/>
      </c>
    </row>
    <row r="459">
      <c r="H459" s="7">
        <f>IF(AND(E459&lt;&gt;"",G459&lt;&gt;""),E459*G459,"")</f>
        <v/>
      </c>
    </row>
    <row r="460">
      <c r="H460" s="7">
        <f>IF(AND(E460&lt;&gt;"",G460&lt;&gt;""),E460*G460,"")</f>
        <v/>
      </c>
    </row>
    <row r="461">
      <c r="H461" s="7">
        <f>IF(AND(E461&lt;&gt;"",G461&lt;&gt;""),E461*G461,"")</f>
        <v/>
      </c>
    </row>
    <row r="462">
      <c r="H462" s="7">
        <f>IF(AND(E462&lt;&gt;"",G462&lt;&gt;""),E462*G462,"")</f>
        <v/>
      </c>
    </row>
    <row r="463">
      <c r="H463" s="7">
        <f>IF(AND(E463&lt;&gt;"",G463&lt;&gt;""),E463*G463,"")</f>
        <v/>
      </c>
    </row>
    <row r="464">
      <c r="H464" s="7">
        <f>IF(AND(E464&lt;&gt;"",G464&lt;&gt;""),E464*G464,"")</f>
        <v/>
      </c>
    </row>
    <row r="465">
      <c r="H465" s="7">
        <f>IF(AND(E465&lt;&gt;"",G465&lt;&gt;""),E465*G465,"")</f>
        <v/>
      </c>
    </row>
    <row r="466">
      <c r="H466" s="7">
        <f>IF(AND(E466&lt;&gt;"",G466&lt;&gt;""),E466*G466,"")</f>
        <v/>
      </c>
    </row>
    <row r="467">
      <c r="H467" s="7">
        <f>IF(AND(E467&lt;&gt;"",G467&lt;&gt;""),E467*G467,"")</f>
        <v/>
      </c>
    </row>
    <row r="468">
      <c r="H468" s="7">
        <f>IF(AND(E468&lt;&gt;"",G468&lt;&gt;""),E468*G468,"")</f>
        <v/>
      </c>
    </row>
    <row r="469">
      <c r="H469" s="7">
        <f>IF(AND(E469&lt;&gt;"",G469&lt;&gt;""),E469*G469,"")</f>
        <v/>
      </c>
    </row>
    <row r="470">
      <c r="H470" s="7">
        <f>IF(AND(E470&lt;&gt;"",G470&lt;&gt;""),E470*G470,"")</f>
        <v/>
      </c>
    </row>
    <row r="471">
      <c r="H471" s="7">
        <f>IF(AND(E471&lt;&gt;"",G471&lt;&gt;""),E471*G471,"")</f>
        <v/>
      </c>
    </row>
    <row r="472">
      <c r="H472" s="7">
        <f>IF(AND(E472&lt;&gt;"",G472&lt;&gt;""),E472*G472,"")</f>
        <v/>
      </c>
    </row>
    <row r="473">
      <c r="H473" s="7">
        <f>IF(AND(E473&lt;&gt;"",G473&lt;&gt;""),E473*G473,"")</f>
        <v/>
      </c>
    </row>
    <row r="474">
      <c r="H474" s="7">
        <f>IF(AND(E474&lt;&gt;"",G474&lt;&gt;""),E474*G474,"")</f>
        <v/>
      </c>
    </row>
    <row r="475">
      <c r="H475" s="7">
        <f>IF(AND(E475&lt;&gt;"",G475&lt;&gt;""),E475*G475,"")</f>
        <v/>
      </c>
    </row>
    <row r="476">
      <c r="H476" s="7">
        <f>IF(AND(E476&lt;&gt;"",G476&lt;&gt;""),E476*G476,"")</f>
        <v/>
      </c>
    </row>
    <row r="477">
      <c r="H477" s="7">
        <f>IF(AND(E477&lt;&gt;"",G477&lt;&gt;""),E477*G477,"")</f>
        <v/>
      </c>
    </row>
    <row r="478">
      <c r="H478" s="7">
        <f>IF(AND(E478&lt;&gt;"",G478&lt;&gt;""),E478*G478,"")</f>
        <v/>
      </c>
    </row>
    <row r="479">
      <c r="H479" s="7">
        <f>IF(AND(E479&lt;&gt;"",G479&lt;&gt;""),E479*G479,"")</f>
        <v/>
      </c>
    </row>
    <row r="480">
      <c r="H480" s="7">
        <f>IF(AND(E480&lt;&gt;"",G480&lt;&gt;""),E480*G480,"")</f>
        <v/>
      </c>
    </row>
    <row r="481">
      <c r="H481" s="7">
        <f>IF(AND(E481&lt;&gt;"",G481&lt;&gt;""),E481*G481,"")</f>
        <v/>
      </c>
    </row>
    <row r="482">
      <c r="H482" s="7">
        <f>IF(AND(E482&lt;&gt;"",G482&lt;&gt;""),E482*G482,"")</f>
        <v/>
      </c>
    </row>
    <row r="483">
      <c r="H483" s="7">
        <f>IF(AND(E483&lt;&gt;"",G483&lt;&gt;""),E483*G483,"")</f>
        <v/>
      </c>
    </row>
    <row r="484">
      <c r="H484" s="7">
        <f>IF(AND(E484&lt;&gt;"",G484&lt;&gt;""),E484*G484,"")</f>
        <v/>
      </c>
    </row>
    <row r="485">
      <c r="H485" s="7">
        <f>IF(AND(E485&lt;&gt;"",G485&lt;&gt;""),E485*G485,"")</f>
        <v/>
      </c>
    </row>
    <row r="486">
      <c r="H486" s="7">
        <f>IF(AND(E486&lt;&gt;"",G486&lt;&gt;""),E486*G486,"")</f>
        <v/>
      </c>
    </row>
    <row r="487">
      <c r="H487" s="7">
        <f>IF(AND(E487&lt;&gt;"",G487&lt;&gt;""),E487*G487,"")</f>
        <v/>
      </c>
    </row>
    <row r="488">
      <c r="H488" s="7">
        <f>IF(AND(E488&lt;&gt;"",G488&lt;&gt;""),E488*G488,"")</f>
        <v/>
      </c>
    </row>
    <row r="489">
      <c r="H489" s="7">
        <f>IF(AND(E489&lt;&gt;"",G489&lt;&gt;""),E489*G489,"")</f>
        <v/>
      </c>
    </row>
    <row r="490">
      <c r="H490" s="7">
        <f>IF(AND(E490&lt;&gt;"",G490&lt;&gt;""),E490*G490,"")</f>
        <v/>
      </c>
    </row>
    <row r="491">
      <c r="H491" s="7">
        <f>IF(AND(E491&lt;&gt;"",G491&lt;&gt;""),E491*G491,"")</f>
        <v/>
      </c>
    </row>
    <row r="492">
      <c r="H492" s="7">
        <f>IF(AND(E492&lt;&gt;"",G492&lt;&gt;""),E492*G492,"")</f>
        <v/>
      </c>
    </row>
    <row r="493">
      <c r="H493" s="7">
        <f>IF(AND(E493&lt;&gt;"",G493&lt;&gt;""),E493*G493,"")</f>
        <v/>
      </c>
    </row>
    <row r="494">
      <c r="H494" s="7">
        <f>IF(AND(E494&lt;&gt;"",G494&lt;&gt;""),E494*G494,"")</f>
        <v/>
      </c>
    </row>
    <row r="495">
      <c r="H495" s="7">
        <f>IF(AND(E495&lt;&gt;"",G495&lt;&gt;""),E495*G495,"")</f>
        <v/>
      </c>
    </row>
    <row r="496">
      <c r="H496" s="7">
        <f>IF(AND(E496&lt;&gt;"",G496&lt;&gt;""),E496*G496,"")</f>
        <v/>
      </c>
    </row>
    <row r="497">
      <c r="H497" s="7">
        <f>IF(AND(E497&lt;&gt;"",G497&lt;&gt;""),E497*G497,"")</f>
        <v/>
      </c>
    </row>
    <row r="498">
      <c r="H498" s="7">
        <f>IF(AND(E498&lt;&gt;"",G498&lt;&gt;""),E498*G498,"")</f>
        <v/>
      </c>
    </row>
    <row r="499">
      <c r="H499" s="7">
        <f>IF(AND(E499&lt;&gt;"",G499&lt;&gt;""),E499*G499,"")</f>
        <v/>
      </c>
    </row>
    <row r="500">
      <c r="H500" s="7">
        <f>IF(AND(E500&lt;&gt;"",G500&lt;&gt;""),E500*G500,"")</f>
        <v/>
      </c>
    </row>
  </sheetData>
  <autoFilter ref="A1:K1"/>
  <dataValidations count="4">
    <dataValidation sqref="A2:A5000" showDropDown="0" showInputMessage="0" showErrorMessage="0" allowBlank="0" type="list">
      <formula1>"মাতবাখ,মাদরাসা,তামিরাত,সাধারণ"</formula1>
    </dataValidation>
    <dataValidation sqref="F2:F5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5000" showDropDown="0" showInputMessage="0" showErrorMessage="0" allowBlank="1" type="list">
      <formula1>"নগদ,বাকি"</formula1>
    </dataValidation>
    <dataValidation sqref="I2:I5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9" t="inlineStr">
        <is>
          <t>1447-10-01</t>
        </is>
      </c>
      <c r="B2" s="9" t="n">
        <v>50000</v>
      </c>
      <c r="C2" s="9" t="inlineStr">
        <is>
          <t>বিকাশ অনুদান</t>
        </is>
      </c>
    </row>
    <row r="3">
      <c r="A3" s="9" t="inlineStr">
        <is>
          <t>1447-10-05</t>
        </is>
      </c>
      <c r="B3" s="9" t="n">
        <v>12000</v>
      </c>
      <c r="C3" s="9" t="inlineStr">
        <is>
          <t>ওয়াযিফা আদায় — শাওয়াল</t>
        </is>
      </c>
    </row>
    <row r="4">
      <c r="A4" s="9" t="inlineStr">
        <is>
          <t>2026-07-10</t>
        </is>
      </c>
      <c r="B4" s="9" t="n">
        <v>3000</v>
      </c>
      <c r="C4" s="9" t="inlineStr">
        <is>
          <t>নগদ দান</t>
        </is>
      </c>
    </row>
  </sheetData>
  <autoFilter ref="A1: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2" customWidth="1" min="4" max="4"/>
    <col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9" t="inlineStr">
        <is>
          <t>দেওয়া</t>
        </is>
      </c>
      <c r="B2" s="9" t="inlineStr">
        <is>
          <t>1447-08-15</t>
        </is>
      </c>
      <c r="C2" s="9" t="n">
        <v>20000</v>
      </c>
      <c r="D2" s="9" t="inlineStr">
        <is>
          <t>করিম ভাই</t>
        </is>
      </c>
      <c r="E2" s="9" t="inlineStr">
        <is>
          <t>করজে হাসানা</t>
        </is>
      </c>
    </row>
    <row r="3">
      <c r="A3" s="9" t="inlineStr">
        <is>
          <t>দেওয়া</t>
        </is>
      </c>
      <c r="B3" s="9" t="inlineStr">
        <is>
          <t>1447-09-01</t>
        </is>
      </c>
      <c r="C3" s="9" t="n">
        <v>10000</v>
      </c>
      <c r="D3" s="9" t="inlineStr">
        <is>
          <t>মাদরাসা ফান্ড</t>
        </is>
      </c>
      <c r="E3" s="9" t="inlineStr">
        <is>
          <t>জরুরি করজ</t>
        </is>
      </c>
    </row>
    <row r="4">
      <c r="A4" s="9" t="inlineStr">
        <is>
          <t>আদায়</t>
        </is>
      </c>
      <c r="B4" s="9" t="inlineStr">
        <is>
          <t>1447-10-07</t>
        </is>
      </c>
      <c r="C4" s="9" t="n">
        <v>5000</v>
      </c>
      <c r="D4" s="9" t="inlineStr">
        <is>
          <t>করিম ভাই</t>
        </is>
      </c>
      <c r="E4" s="9" t="inlineStr"/>
    </row>
    <row r="5">
      <c r="A5" s="9" t="inlineStr">
        <is>
          <t>আদায়</t>
        </is>
      </c>
      <c r="B5" s="9" t="inlineStr">
        <is>
          <t>1447-10-11</t>
        </is>
      </c>
      <c r="C5" s="9" t="n">
        <v>2000</v>
      </c>
      <c r="D5" s="9" t="inlineStr">
        <is>
          <t>মাদরাসা ফান্ড</t>
        </is>
      </c>
      <c r="E5" s="9" t="inlineStr"/>
    </row>
  </sheetData>
  <autoFilter ref="A1:E1"/>
  <dataValidations count="1">
    <dataValidation sqref="A2:A5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36" customWidth="1" min="4" max="4"/>
    <col width="48" customWidth="1" min="6" max="6"/>
  </cols>
  <sheetData>
    <row r="1" ht="30" customHeight="1">
      <c r="A1" s="4" t="inlineStr">
        <is>
          <t>তারিখ *</t>
        </is>
      </c>
      <c r="B1" s="4" t="inlineStr">
        <is>
          <t>সরবরাহকারী *</t>
        </is>
      </c>
      <c r="C1" s="4" t="inlineStr">
        <is>
          <t>টাকা *</t>
        </is>
      </c>
      <c r="D1" s="4" t="inlineStr">
        <is>
          <t>মন্তব্য</t>
        </is>
      </c>
      <c r="F1" s="5" t="inlineStr">
        <is>
          <t>সরবরাহকারী ড্রপডাউন = বকেয়া শীটের নাম তালিকা।</t>
        </is>
      </c>
    </row>
    <row r="2">
      <c r="A2" s="9" t="inlineStr">
        <is>
          <t>1447-10-15</t>
        </is>
      </c>
      <c r="B2" s="9" t="inlineStr">
        <is>
          <t>রাজমিস্ত্রি করিম</t>
        </is>
      </c>
      <c r="C2" s="9" t="n">
        <v>5000</v>
      </c>
      <c r="D2" s="9" t="inlineStr">
        <is>
          <t>আংশিক পরিশোধ</t>
        </is>
      </c>
    </row>
  </sheetData>
  <autoFilter ref="A1:D1"/>
  <dataValidations count="1">
    <dataValidation sqref="B2:B5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0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1" t="inlineStr">
        <is>
          <t>মোট বাকি কেনা</t>
        </is>
      </c>
      <c r="B5" s="12">
        <f>SUMIF(ব্যয়!K:K,"বাকি",ব্যয়!H:H)</f>
        <v/>
      </c>
    </row>
    <row r="6">
      <c r="A6" s="11" t="inlineStr">
        <is>
          <t>মোট পরিশোধ</t>
        </is>
      </c>
      <c r="B6" s="12">
        <f>SUM(পরিশোধ!C:C)</f>
        <v/>
      </c>
    </row>
    <row r="7">
      <c r="A7" s="11" t="inlineStr">
        <is>
          <t>এখন মোট বাকি</t>
        </is>
      </c>
      <c r="B7" s="13">
        <f>B5-B6</f>
        <v/>
      </c>
    </row>
    <row r="9">
      <c r="A9" s="14" t="inlineStr">
        <is>
          <t>সরবরাহকারী</t>
        </is>
      </c>
      <c r="B9" s="14" t="inlineStr">
        <is>
          <t>বাকি কেনা</t>
        </is>
      </c>
      <c r="C9" s="14" t="inlineStr">
        <is>
          <t>পরিশোধ</t>
        </is>
      </c>
      <c r="D9" s="14" t="inlineStr">
        <is>
          <t>অবশিষ্ট বাকি</t>
        </is>
      </c>
      <c r="E9" s="14" t="inlineStr">
        <is>
          <t>বার</t>
        </is>
      </c>
    </row>
    <row r="10">
      <c r="A10" s="9" t="inlineStr">
        <is>
          <t>রাজমিস্ত্রি করিম</t>
        </is>
      </c>
      <c r="B10" s="12">
        <f>IF(A10="","",SUMIFS(ব্যয়!$H$2:$H$500,ব্যয়!$I$2:$I$500,A10,ব্যয়!$K$2:$K$500,"বাকি"))</f>
        <v/>
      </c>
      <c r="C10" s="12">
        <f>IF(A10="","",SUMIF(পরিশোধ!$B$2:$B$500,A10,পরিশোধ!$C$2:$C$500))</f>
        <v/>
      </c>
      <c r="D10" s="12">
        <f>IF(A10="","",B10-C10)</f>
        <v/>
      </c>
      <c r="E10" s="15">
        <f>IF(A10="","",COUNTIFS(ব্যয়!$I$2:$I$500,A10,ব্যয়!$K$2:$K$500,"বাকি"))</f>
        <v/>
      </c>
    </row>
    <row r="11">
      <c r="A11" s="9" t="inlineStr">
        <is>
          <t>রহিম স্টোর</t>
        </is>
      </c>
      <c r="B11" s="12">
        <f>IF(A11="","",SUMIFS(ব্যয়!$H$2:$H$500,ব্যয়!$I$2:$I$500,A11,ব্যয়!$K$2:$K$500,"বাকি"))</f>
        <v/>
      </c>
      <c r="C11" s="12">
        <f>IF(A11="","",SUMIF(পরিশোধ!$B$2:$B$500,A11,পরিশোধ!$C$2:$C$500))</f>
        <v/>
      </c>
      <c r="D11" s="12">
        <f>IF(A11="","",B11-C11)</f>
        <v/>
      </c>
      <c r="E11" s="15">
        <f>IF(A11="","",COUNTIFS(ব্যয়!$I$2:$I$500,A11,ব্যয়!$K$2:$K$500,"বাকি"))</f>
        <v/>
      </c>
    </row>
    <row r="12">
      <c r="A12" s="9" t="inlineStr">
        <is>
          <t>বইঘর</t>
        </is>
      </c>
      <c r="B12" s="12">
        <f>IF(A12="","",SUMIFS(ব্যয়!$H$2:$H$500,ব্যয়!$I$2:$I$500,A12,ব্যয়!$K$2:$K$500,"বাকি"))</f>
        <v/>
      </c>
      <c r="C12" s="12">
        <f>IF(A12="","",SUMIF(পরিশোধ!$B$2:$B$500,A12,পরিশোধ!$C$2:$C$500))</f>
        <v/>
      </c>
      <c r="D12" s="12">
        <f>IF(A12="","",B12-C12)</f>
        <v/>
      </c>
      <c r="E12" s="15">
        <f>IF(A12="","",COUNTIFS(ব্যয়!$I$2:$I$500,A12,ব্যয়!$K$2:$K$500,"বাকি"))</f>
        <v/>
      </c>
    </row>
    <row r="13">
      <c r="A13" s="9" t="inlineStr">
        <is>
          <t>পল্লী বিদ্যুৎ</t>
        </is>
      </c>
      <c r="B13" s="12">
        <f>IF(A13="","",SUMIFS(ব্যয়!$H$2:$H$500,ব্যয়!$I$2:$I$500,A13,ব্যয়!$K$2:$K$500,"বাকি"))</f>
        <v/>
      </c>
      <c r="C13" s="12">
        <f>IF(A13="","",SUMIF(পরিশোধ!$B$2:$B$500,A13,পরিশোধ!$C$2:$C$500))</f>
        <v/>
      </c>
      <c r="D13" s="12">
        <f>IF(A13="","",B13-C13)</f>
        <v/>
      </c>
      <c r="E13" s="15">
        <f>IF(A13="","",COUNTIFS(ব্যয়!$I$2:$I$500,A13,ব্যয়!$K$2:$K$500,"বাকি"))</f>
        <v/>
      </c>
    </row>
    <row r="14">
      <c r="A14" s="9" t="inlineStr"/>
      <c r="B14" s="12">
        <f>IF(A14="","",SUMIFS(ব্যয়!$H$2:$H$500,ব্যয়!$I$2:$I$500,A14,ব্যয়!$K$2:$K$500,"বাকি"))</f>
        <v/>
      </c>
      <c r="C14" s="12">
        <f>IF(A14="","",SUMIF(পরিশোধ!$B$2:$B$500,A14,পরিশোধ!$C$2:$C$500))</f>
        <v/>
      </c>
      <c r="D14" s="12">
        <f>IF(A14="","",B14-C14)</f>
        <v/>
      </c>
      <c r="E14" s="15">
        <f>IF(A14="","",COUNTIFS(ব্যয়!$I$2:$I$500,A14,ব্যয়!$K$2:$K$500,"বাকি"))</f>
        <v/>
      </c>
    </row>
    <row r="15">
      <c r="A15" s="9" t="inlineStr"/>
      <c r="B15" s="12">
        <f>IF(A15="","",SUMIFS(ব্যয়!$H$2:$H$500,ব্যয়!$I$2:$I$500,A15,ব্যয়!$K$2:$K$500,"বাকি"))</f>
        <v/>
      </c>
      <c r="C15" s="12">
        <f>IF(A15="","",SUMIF(পরিশোধ!$B$2:$B$500,A15,পরিশোধ!$C$2:$C$500))</f>
        <v/>
      </c>
      <c r="D15" s="12">
        <f>IF(A15="","",B15-C15)</f>
        <v/>
      </c>
      <c r="E15" s="15">
        <f>IF(A15="","",COUNTIFS(ব্যয়!$I$2:$I$500,A15,ব্যয়!$K$2:$K$500,"বাকি"))</f>
        <v/>
      </c>
    </row>
    <row r="16">
      <c r="A16" s="9" t="inlineStr"/>
      <c r="B16" s="12">
        <f>IF(A16="","",SUMIFS(ব্যয়!$H$2:$H$500,ব্যয়!$I$2:$I$500,A16,ব্যয়!$K$2:$K$500,"বাকি"))</f>
        <v/>
      </c>
      <c r="C16" s="12">
        <f>IF(A16="","",SUMIF(পরিশোধ!$B$2:$B$500,A16,পরিশোধ!$C$2:$C$500))</f>
        <v/>
      </c>
      <c r="D16" s="12">
        <f>IF(A16="","",B16-C16)</f>
        <v/>
      </c>
      <c r="E16" s="15">
        <f>IF(A16="","",COUNTIFS(ব্যয়!$I$2:$I$500,A16,ব্যয়!$K$2:$K$500,"বাকি"))</f>
        <v/>
      </c>
    </row>
    <row r="17">
      <c r="A17" s="9" t="inlineStr"/>
      <c r="B17" s="12">
        <f>IF(A17="","",SUMIFS(ব্যয়!$H$2:$H$500,ব্যয়!$I$2:$I$500,A17,ব্যয়!$K$2:$K$500,"বাকি"))</f>
        <v/>
      </c>
      <c r="C17" s="12">
        <f>IF(A17="","",SUMIF(পরিশোধ!$B$2:$B$500,A17,পরিশোধ!$C$2:$C$500))</f>
        <v/>
      </c>
      <c r="D17" s="12">
        <f>IF(A17="","",B17-C17)</f>
        <v/>
      </c>
      <c r="E17" s="15">
        <f>IF(A17="","",COUNTIFS(ব্যয়!$I$2:$I$500,A17,ব্যয়!$K$2:$K$500,"বাকি"))</f>
        <v/>
      </c>
    </row>
    <row r="18">
      <c r="A18" s="9" t="inlineStr"/>
      <c r="B18" s="12">
        <f>IF(A18="","",SUMIFS(ব্যয়!$H$2:$H$500,ব্যয়!$I$2:$I$500,A18,ব্যয়!$K$2:$K$500,"বাকি"))</f>
        <v/>
      </c>
      <c r="C18" s="12">
        <f>IF(A18="","",SUMIF(পরিশোধ!$B$2:$B$500,A18,পরিশোধ!$C$2:$C$500))</f>
        <v/>
      </c>
      <c r="D18" s="12">
        <f>IF(A18="","",B18-C18)</f>
        <v/>
      </c>
      <c r="E18" s="15">
        <f>IF(A18="","",COUNTIFS(ব্যয়!$I$2:$I$500,A18,ব্যয়!$K$2:$K$500,"বাকি"))</f>
        <v/>
      </c>
    </row>
    <row r="19">
      <c r="A19" s="9" t="inlineStr"/>
      <c r="B19" s="12">
        <f>IF(A19="","",SUMIFS(ব্যয়!$H$2:$H$500,ব্যয়!$I$2:$I$500,A19,ব্যয়!$K$2:$K$500,"বাকি"))</f>
        <v/>
      </c>
      <c r="C19" s="12">
        <f>IF(A19="","",SUMIF(পরিশোধ!$B$2:$B$500,A19,পরিশোধ!$C$2:$C$500))</f>
        <v/>
      </c>
      <c r="D19" s="12">
        <f>IF(A19="","",B19-C19)</f>
        <v/>
      </c>
      <c r="E19" s="15">
        <f>IF(A19="","",COUNTIFS(ব্যয়!$I$2:$I$500,A19,ব্যয়!$K$2:$K$500,"বাকি"))</f>
        <v/>
      </c>
    </row>
    <row r="20">
      <c r="A20" s="9" t="inlineStr"/>
      <c r="B20" s="12">
        <f>IF(A20="","",SUMIFS(ব্যয়!$H$2:$H$500,ব্যয়!$I$2:$I$500,A20,ব্যয়!$K$2:$K$500,"বাকি"))</f>
        <v/>
      </c>
      <c r="C20" s="12">
        <f>IF(A20="","",SUMIF(পরিশোধ!$B$2:$B$500,A20,পরিশোধ!$C$2:$C$500))</f>
        <v/>
      </c>
      <c r="D20" s="12">
        <f>IF(A20="","",B20-C20)</f>
        <v/>
      </c>
      <c r="E20" s="15">
        <f>IF(A20="","",COUNTIFS(ব্যয়!$I$2:$I$500,A20,ব্যয়!$K$2:$K$500,"বাকি"))</f>
        <v/>
      </c>
    </row>
    <row r="21">
      <c r="A21" s="9" t="inlineStr"/>
      <c r="B21" s="12">
        <f>IF(A21="","",SUMIFS(ব্যয়!$H$2:$H$500,ব্যয়!$I$2:$I$500,A21,ব্যয়!$K$2:$K$500,"বাকি"))</f>
        <v/>
      </c>
      <c r="C21" s="12">
        <f>IF(A21="","",SUMIF(পরিশোধ!$B$2:$B$500,A21,পরিশোধ!$C$2:$C$500))</f>
        <v/>
      </c>
      <c r="D21" s="12">
        <f>IF(A21="","",B21-C21)</f>
        <v/>
      </c>
      <c r="E21" s="15">
        <f>IF(A21="","",COUNTIFS(ব্যয়!$I$2:$I$500,A21,ব্যয়!$K$2:$K$500,"বাকি"))</f>
        <v/>
      </c>
    </row>
    <row r="22">
      <c r="A22" s="9" t="inlineStr"/>
      <c r="B22" s="12">
        <f>IF(A22="","",SUMIFS(ব্যয়!$H$2:$H$500,ব্যয়!$I$2:$I$500,A22,ব্যয়!$K$2:$K$500,"বাকি"))</f>
        <v/>
      </c>
      <c r="C22" s="12">
        <f>IF(A22="","",SUMIF(পরিশোধ!$B$2:$B$500,A22,পরিশোধ!$C$2:$C$500))</f>
        <v/>
      </c>
      <c r="D22" s="12">
        <f>IF(A22="","",B22-C22)</f>
        <v/>
      </c>
      <c r="E22" s="15">
        <f>IF(A22="","",COUNTIFS(ব্যয়!$I$2:$I$500,A22,ব্যয়!$K$2:$K$500,"বাকি"))</f>
        <v/>
      </c>
    </row>
    <row r="23">
      <c r="A23" s="9" t="inlineStr"/>
      <c r="B23" s="12">
        <f>IF(A23="","",SUMIFS(ব্যয়!$H$2:$H$500,ব্যয়!$I$2:$I$500,A23,ব্যয়!$K$2:$K$500,"বাকি"))</f>
        <v/>
      </c>
      <c r="C23" s="12">
        <f>IF(A23="","",SUMIF(পরিশোধ!$B$2:$B$500,A23,পরিশোধ!$C$2:$C$500))</f>
        <v/>
      </c>
      <c r="D23" s="12">
        <f>IF(A23="","",B23-C23)</f>
        <v/>
      </c>
      <c r="E23" s="15">
        <f>IF(A23="","",COUNTIFS(ব্যয়!$I$2:$I$500,A23,ব্যয়!$K$2:$K$500,"বাকি"))</f>
        <v/>
      </c>
    </row>
    <row r="24">
      <c r="A24" s="9" t="inlineStr"/>
      <c r="B24" s="12">
        <f>IF(A24="","",SUMIFS(ব্যয়!$H$2:$H$500,ব্যয়!$I$2:$I$500,A24,ব্যয়!$K$2:$K$500,"বাকি"))</f>
        <v/>
      </c>
      <c r="C24" s="12">
        <f>IF(A24="","",SUMIF(পরিশোধ!$B$2:$B$500,A24,পরিশোধ!$C$2:$C$500))</f>
        <v/>
      </c>
      <c r="D24" s="12">
        <f>IF(A24="","",B24-C24)</f>
        <v/>
      </c>
      <c r="E24" s="15">
        <f>IF(A24="","",COUNTIFS(ব্যয়!$I$2:$I$500,A24,ব্যয়!$K$2:$K$500,"বাকি"))</f>
        <v/>
      </c>
    </row>
    <row r="25">
      <c r="A25" s="9" t="inlineStr"/>
      <c r="B25" s="12">
        <f>IF(A25="","",SUMIFS(ব্যয়!$H$2:$H$500,ব্যয়!$I$2:$I$500,A25,ব্যয়!$K$2:$K$500,"বাকি"))</f>
        <v/>
      </c>
      <c r="C25" s="12">
        <f>IF(A25="","",SUMIF(পরিশোধ!$B$2:$B$500,A25,পরিশোধ!$C$2:$C$500))</f>
        <v/>
      </c>
      <c r="D25" s="12">
        <f>IF(A25="","",B25-C25)</f>
        <v/>
      </c>
      <c r="E25" s="15">
        <f>IF(A25="","",COUNTIFS(ব্যয়!$I$2:$I$500,A25,ব্যয়!$K$2:$K$500,"বাকি"))</f>
        <v/>
      </c>
    </row>
    <row r="26">
      <c r="A26" s="9" t="inlineStr"/>
      <c r="B26" s="12">
        <f>IF(A26="","",SUMIFS(ব্যয়!$H$2:$H$500,ব্যয়!$I$2:$I$500,A26,ব্যয়!$K$2:$K$500,"বাকি"))</f>
        <v/>
      </c>
      <c r="C26" s="12">
        <f>IF(A26="","",SUMIF(পরিশোধ!$B$2:$B$500,A26,পরিশোধ!$C$2:$C$500))</f>
        <v/>
      </c>
      <c r="D26" s="12">
        <f>IF(A26="","",B26-C26)</f>
        <v/>
      </c>
      <c r="E26" s="15">
        <f>IF(A26="","",COUNTIFS(ব্যয়!$I$2:$I$500,A26,ব্যয়!$K$2:$K$500,"বাকি"))</f>
        <v/>
      </c>
    </row>
    <row r="27">
      <c r="A27" s="9" t="inlineStr"/>
      <c r="B27" s="12">
        <f>IF(A27="","",SUMIFS(ব্যয়!$H$2:$H$500,ব্যয়!$I$2:$I$500,A27,ব্যয়!$K$2:$K$500,"বাকি"))</f>
        <v/>
      </c>
      <c r="C27" s="12">
        <f>IF(A27="","",SUMIF(পরিশোধ!$B$2:$B$500,A27,পরিশোধ!$C$2:$C$500))</f>
        <v/>
      </c>
      <c r="D27" s="12">
        <f>IF(A27="","",B27-C27)</f>
        <v/>
      </c>
      <c r="E27" s="15">
        <f>IF(A27="","",COUNTIFS(ব্যয়!$I$2:$I$500,A27,ব্যয়!$K$2:$K$500,"বাকি"))</f>
        <v/>
      </c>
    </row>
    <row r="28">
      <c r="A28" s="9" t="inlineStr"/>
      <c r="B28" s="12">
        <f>IF(A28="","",SUMIFS(ব্যয়!$H$2:$H$500,ব্যয়!$I$2:$I$500,A28,ব্যয়!$K$2:$K$500,"বাকি"))</f>
        <v/>
      </c>
      <c r="C28" s="12">
        <f>IF(A28="","",SUMIF(পরিশোধ!$B$2:$B$500,A28,পরিশোধ!$C$2:$C$500))</f>
        <v/>
      </c>
      <c r="D28" s="12">
        <f>IF(A28="","",B28-C28)</f>
        <v/>
      </c>
      <c r="E28" s="15">
        <f>IF(A28="","",COUNTIFS(ব্যয়!$I$2:$I$500,A28,ব্যয়!$K$2:$K$500,"বাকি"))</f>
        <v/>
      </c>
    </row>
    <row r="29">
      <c r="A29" s="9" t="inlineStr"/>
      <c r="B29" s="12">
        <f>IF(A29="","",SUMIFS(ব্যয়!$H$2:$H$500,ব্যয়!$I$2:$I$500,A29,ব্যয়!$K$2:$K$500,"বাকি"))</f>
        <v/>
      </c>
      <c r="C29" s="12">
        <f>IF(A29="","",SUMIF(পরিশোধ!$B$2:$B$500,A29,পরিশোধ!$C$2:$C$500))</f>
        <v/>
      </c>
      <c r="D29" s="12">
        <f>IF(A29="","",B29-C29)</f>
        <v/>
      </c>
      <c r="E29" s="15">
        <f>IF(A29="","",COUNTIFS(ব্যয়!$I$2:$I$500,A29,ব্যয়!$K$2:$K$500,"বাকি"))</f>
        <v/>
      </c>
    </row>
    <row r="30">
      <c r="A30" s="9" t="inlineStr"/>
      <c r="B30" s="12">
        <f>IF(A30="","",SUMIFS(ব্যয়!$H$2:$H$500,ব্যয়!$I$2:$I$500,A30,ব্যয়!$K$2:$K$500,"বাকি"))</f>
        <v/>
      </c>
      <c r="C30" s="12">
        <f>IF(A30="","",SUMIF(পরিশোধ!$B$2:$B$500,A30,পরিশোধ!$C$2:$C$500))</f>
        <v/>
      </c>
      <c r="D30" s="12">
        <f>IF(A30="","",B30-C30)</f>
        <v/>
      </c>
      <c r="E30" s="15">
        <f>IF(A30="","",COUNTIFS(ব্যয়!$I$2:$I$500,A30,ব্যয়!$K$2:$K$500,"বাকি"))</f>
        <v/>
      </c>
    </row>
    <row r="31">
      <c r="A31" s="9" t="inlineStr"/>
      <c r="B31" s="12">
        <f>IF(A31="","",SUMIFS(ব্যয়!$H$2:$H$500,ব্যয়!$I$2:$I$500,A31,ব্যয়!$K$2:$K$500,"বাকি"))</f>
        <v/>
      </c>
      <c r="C31" s="12">
        <f>IF(A31="","",SUMIF(পরিশোধ!$B$2:$B$500,A31,পরিশোধ!$C$2:$C$500))</f>
        <v/>
      </c>
      <c r="D31" s="12">
        <f>IF(A31="","",B31-C31)</f>
        <v/>
      </c>
      <c r="E31" s="15">
        <f>IF(A31="","",COUNTIFS(ব্যয়!$I$2:$I$500,A31,ব্যয়!$K$2:$K$500,"বাকি"))</f>
        <v/>
      </c>
    </row>
    <row r="32">
      <c r="A32" s="9" t="inlineStr"/>
      <c r="B32" s="12">
        <f>IF(A32="","",SUMIFS(ব্যয়!$H$2:$H$500,ব্যয়!$I$2:$I$500,A32,ব্যয়!$K$2:$K$500,"বাকি"))</f>
        <v/>
      </c>
      <c r="C32" s="12">
        <f>IF(A32="","",SUMIF(পরিশোধ!$B$2:$B$500,A32,পরিশোধ!$C$2:$C$500))</f>
        <v/>
      </c>
      <c r="D32" s="12">
        <f>IF(A32="","",B32-C32)</f>
        <v/>
      </c>
      <c r="E32" s="15">
        <f>IF(A32="","",COUNTIFS(ব্যয়!$I$2:$I$500,A32,ব্যয়!$K$2:$K$500,"বাকি"))</f>
        <v/>
      </c>
    </row>
    <row r="33">
      <c r="A33" s="9" t="inlineStr"/>
      <c r="B33" s="12">
        <f>IF(A33="","",SUMIFS(ব্যয়!$H$2:$H$500,ব্যয়!$I$2:$I$500,A33,ব্যয়!$K$2:$K$500,"বাকি"))</f>
        <v/>
      </c>
      <c r="C33" s="12">
        <f>IF(A33="","",SUMIF(পরিশোধ!$B$2:$B$500,A33,পরিশোধ!$C$2:$C$500))</f>
        <v/>
      </c>
      <c r="D33" s="12">
        <f>IF(A33="","",B33-C33)</f>
        <v/>
      </c>
      <c r="E33" s="15">
        <f>IF(A33="","",COUNTIFS(ব্যয়!$I$2:$I$500,A33,ব্যয়!$K$2:$K$500,"বাকি"))</f>
        <v/>
      </c>
    </row>
    <row r="34">
      <c r="A34" s="9" t="inlineStr"/>
      <c r="B34" s="12">
        <f>IF(A34="","",SUMIFS(ব্যয়!$H$2:$H$500,ব্যয়!$I$2:$I$500,A34,ব্যয়!$K$2:$K$500,"বাকি"))</f>
        <v/>
      </c>
      <c r="C34" s="12">
        <f>IF(A34="","",SUMIF(পরিশোধ!$B$2:$B$500,A34,পরিশোধ!$C$2:$C$500))</f>
        <v/>
      </c>
      <c r="D34" s="12">
        <f>IF(A34="","",B34-C34)</f>
        <v/>
      </c>
      <c r="E34" s="15">
        <f>IF(A34="","",COUNTIFS(ব্যয়!$I$2:$I$500,A34,ব্যয়!$K$2:$K$500,"বাকি"))</f>
        <v/>
      </c>
    </row>
    <row r="35">
      <c r="A35" s="9" t="inlineStr"/>
      <c r="B35" s="12">
        <f>IF(A35="","",SUMIFS(ব্যয়!$H$2:$H$500,ব্যয়!$I$2:$I$500,A35,ব্যয়!$K$2:$K$500,"বাকি"))</f>
        <v/>
      </c>
      <c r="C35" s="12">
        <f>IF(A35="","",SUMIF(পরিশোধ!$B$2:$B$500,A35,পরিশোধ!$C$2:$C$500))</f>
        <v/>
      </c>
      <c r="D35" s="12">
        <f>IF(A35="","",B35-C35)</f>
        <v/>
      </c>
      <c r="E35" s="15">
        <f>IF(A35="","",COUNTIFS(ব্যয়!$I$2:$I$500,A35,ব্যয়!$K$2:$K$500,"বাকি"))</f>
        <v/>
      </c>
    </row>
    <row r="36">
      <c r="A36" s="9" t="inlineStr"/>
      <c r="B36" s="12">
        <f>IF(A36="","",SUMIFS(ব্যয়!$H$2:$H$500,ব্যয়!$I$2:$I$500,A36,ব্যয়!$K$2:$K$500,"বাকি"))</f>
        <v/>
      </c>
      <c r="C36" s="12">
        <f>IF(A36="","",SUMIF(পরিশোধ!$B$2:$B$500,A36,পরিশোধ!$C$2:$C$500))</f>
        <v/>
      </c>
      <c r="D36" s="12">
        <f>IF(A36="","",B36-C36)</f>
        <v/>
      </c>
      <c r="E36" s="15">
        <f>IF(A36="","",COUNTIFS(ব্যয়!$I$2:$I$500,A36,ব্যয়!$K$2:$K$500,"বাকি"))</f>
        <v/>
      </c>
    </row>
    <row r="37">
      <c r="A37" s="9" t="inlineStr"/>
      <c r="B37" s="12">
        <f>IF(A37="","",SUMIFS(ব্যয়!$H$2:$H$500,ব্যয়!$I$2:$I$500,A37,ব্যয়!$K$2:$K$500,"বাকি"))</f>
        <v/>
      </c>
      <c r="C37" s="12">
        <f>IF(A37="","",SUMIF(পরিশোধ!$B$2:$B$500,A37,পরিশোধ!$C$2:$C$500))</f>
        <v/>
      </c>
      <c r="D37" s="12">
        <f>IF(A37="","",B37-C37)</f>
        <v/>
      </c>
      <c r="E37" s="15">
        <f>IF(A37="","",COUNTIFS(ব্যয়!$I$2:$I$500,A37,ব্যয়!$K$2:$K$500,"বাকি"))</f>
        <v/>
      </c>
    </row>
    <row r="38">
      <c r="A38" s="9" t="inlineStr"/>
      <c r="B38" s="12">
        <f>IF(A38="","",SUMIFS(ব্যয়!$H$2:$H$500,ব্যয়!$I$2:$I$500,A38,ব্যয়!$K$2:$K$500,"বাকি"))</f>
        <v/>
      </c>
      <c r="C38" s="12">
        <f>IF(A38="","",SUMIF(পরিশোধ!$B$2:$B$500,A38,পরিশোধ!$C$2:$C$500))</f>
        <v/>
      </c>
      <c r="D38" s="12">
        <f>IF(A38="","",B38-C38)</f>
        <v/>
      </c>
      <c r="E38" s="15">
        <f>IF(A38="","",COUNTIFS(ব্যয়!$I$2:$I$500,A38,ব্যয়!$K$2:$K$500,"বাকি"))</f>
        <v/>
      </c>
    </row>
    <row r="39">
      <c r="A39" s="9" t="inlineStr"/>
      <c r="B39" s="12">
        <f>IF(A39="","",SUMIFS(ব্যয়!$H$2:$H$500,ব্যয়!$I$2:$I$500,A39,ব্যয়!$K$2:$K$500,"বাকি"))</f>
        <v/>
      </c>
      <c r="C39" s="12">
        <f>IF(A39="","",SUMIF(পরিশোধ!$B$2:$B$500,A39,পরিশোধ!$C$2:$C$500))</f>
        <v/>
      </c>
      <c r="D39" s="12">
        <f>IF(A39="","",B39-C39)</f>
        <v/>
      </c>
      <c r="E39" s="15">
        <f>IF(A39="","",COUNTIFS(ব্যয়!$I$2:$I$500,A39,ব্যয়!$K$2:$K$500,"বাকি"))</f>
        <v/>
      </c>
    </row>
    <row r="40">
      <c r="A40" s="9" t="inlineStr"/>
      <c r="B40" s="12">
        <f>IF(A40="","",SUMIFS(ব্যয়!$H$2:$H$500,ব্যয়!$I$2:$I$500,A40,ব্যয়!$K$2:$K$500,"বাকি"))</f>
        <v/>
      </c>
      <c r="C40" s="12">
        <f>IF(A40="","",SUMIF(পরিশোধ!$B$2:$B$500,A40,পরিশোধ!$C$2:$C$500))</f>
        <v/>
      </c>
      <c r="D40" s="12">
        <f>IF(A40="","",B40-C40)</f>
        <v/>
      </c>
      <c r="E40" s="15">
        <f>IF(A40="","",COUNTIFS(ব্যয়!$I$2:$I$500,A40,ব্যয়!$K$2:$K$500,"বাকি"))</f>
        <v/>
      </c>
    </row>
    <row r="41">
      <c r="A41" s="9" t="inlineStr"/>
      <c r="B41" s="12">
        <f>IF(A41="","",SUMIFS(ব্যয়!$H$2:$H$500,ব্যয়!$I$2:$I$500,A41,ব্যয়!$K$2:$K$500,"বাকি"))</f>
        <v/>
      </c>
      <c r="C41" s="12">
        <f>IF(A41="","",SUMIF(পরিশোধ!$B$2:$B$500,A41,পরিশোধ!$C$2:$C$500))</f>
        <v/>
      </c>
      <c r="D41" s="12">
        <f>IF(A41="","",B41-C41)</f>
        <v/>
      </c>
      <c r="E41" s="15">
        <f>IF(A41="","",COUNTIFS(ব্যয়!$I$2:$I$500,A41,ব্যয়!$K$2:$K$500,"বাকি"))</f>
        <v/>
      </c>
    </row>
    <row r="42">
      <c r="A42" s="9" t="inlineStr"/>
      <c r="B42" s="12">
        <f>IF(A42="","",SUMIFS(ব্যয়!$H$2:$H$500,ব্যয়!$I$2:$I$500,A42,ব্যয়!$K$2:$K$500,"বাকি"))</f>
        <v/>
      </c>
      <c r="C42" s="12">
        <f>IF(A42="","",SUMIF(পরিশোধ!$B$2:$B$500,A42,পরিশোধ!$C$2:$C$500))</f>
        <v/>
      </c>
      <c r="D42" s="12">
        <f>IF(A42="","",B42-C42)</f>
        <v/>
      </c>
      <c r="E42" s="15">
        <f>IF(A42="","",COUNTIFS(ব্যয়!$I$2:$I$500,A42,ব্যয়!$K$2:$K$500,"বাকি"))</f>
        <v/>
      </c>
    </row>
    <row r="43">
      <c r="A43" s="9" t="inlineStr"/>
      <c r="B43" s="12">
        <f>IF(A43="","",SUMIFS(ব্যয়!$H$2:$H$500,ব্যয়!$I$2:$I$500,A43,ব্যয়!$K$2:$K$500,"বাকি"))</f>
        <v/>
      </c>
      <c r="C43" s="12">
        <f>IF(A43="","",SUMIF(পরিশোধ!$B$2:$B$500,A43,পরিশোধ!$C$2:$C$500))</f>
        <v/>
      </c>
      <c r="D43" s="12">
        <f>IF(A43="","",B43-C43)</f>
        <v/>
      </c>
      <c r="E43" s="15">
        <f>IF(A43="","",COUNTIFS(ব্যয়!$I$2:$I$500,A43,ব্যয়!$K$2:$K$500,"বাকি"))</f>
        <v/>
      </c>
    </row>
    <row r="44">
      <c r="A44" s="9" t="inlineStr"/>
      <c r="B44" s="12">
        <f>IF(A44="","",SUMIFS(ব্যয়!$H$2:$H$500,ব্যয়!$I$2:$I$500,A44,ব্যয়!$K$2:$K$500,"বাকি"))</f>
        <v/>
      </c>
      <c r="C44" s="12">
        <f>IF(A44="","",SUMIF(পরিশোধ!$B$2:$B$500,A44,পরিশোধ!$C$2:$C$500))</f>
        <v/>
      </c>
      <c r="D44" s="12">
        <f>IF(A44="","",B44-C44)</f>
        <v/>
      </c>
      <c r="E44" s="15">
        <f>IF(A44="","",COUNTIFS(ব্যয়!$I$2:$I$500,A44,ব্যয়!$K$2:$K$500,"বাকি"))</f>
        <v/>
      </c>
    </row>
    <row r="45">
      <c r="A45" s="9" t="inlineStr"/>
      <c r="B45" s="12">
        <f>IF(A45="","",SUMIFS(ব্যয়!$H$2:$H$500,ব্যয়!$I$2:$I$500,A45,ব্যয়!$K$2:$K$500,"বাকি"))</f>
        <v/>
      </c>
      <c r="C45" s="12">
        <f>IF(A45="","",SUMIF(পরিশোধ!$B$2:$B$500,A45,পরিশোধ!$C$2:$C$500))</f>
        <v/>
      </c>
      <c r="D45" s="12">
        <f>IF(A45="","",B45-C45)</f>
        <v/>
      </c>
      <c r="E45" s="15">
        <f>IF(A45="","",COUNTIFS(ব্যয়!$I$2:$I$500,A45,ব্যয়!$K$2:$K$500,"বাকি"))</f>
        <v/>
      </c>
    </row>
    <row r="46">
      <c r="A46" s="9" t="inlineStr"/>
      <c r="B46" s="12">
        <f>IF(A46="","",SUMIFS(ব্যয়!$H$2:$H$500,ব্যয়!$I$2:$I$500,A46,ব্যয়!$K$2:$K$500,"বাকি"))</f>
        <v/>
      </c>
      <c r="C46" s="12">
        <f>IF(A46="","",SUMIF(পরিশোধ!$B$2:$B$500,A46,পরিশোধ!$C$2:$C$500))</f>
        <v/>
      </c>
      <c r="D46" s="12">
        <f>IF(A46="","",B46-C46)</f>
        <v/>
      </c>
      <c r="E46" s="15">
        <f>IF(A46="","",COUNTIFS(ব্যয়!$I$2:$I$500,A46,ব্যয়!$K$2:$K$500,"বাকি"))</f>
        <v/>
      </c>
    </row>
    <row r="47">
      <c r="A47" s="9" t="inlineStr"/>
      <c r="B47" s="12">
        <f>IF(A47="","",SUMIFS(ব্যয়!$H$2:$H$500,ব্যয়!$I$2:$I$500,A47,ব্যয়!$K$2:$K$500,"বাকি"))</f>
        <v/>
      </c>
      <c r="C47" s="12">
        <f>IF(A47="","",SUMIF(পরিশোধ!$B$2:$B$500,A47,পরিশোধ!$C$2:$C$500))</f>
        <v/>
      </c>
      <c r="D47" s="12">
        <f>IF(A47="","",B47-C47)</f>
        <v/>
      </c>
      <c r="E47" s="15">
        <f>IF(A47="","",COUNTIFS(ব্যয়!$I$2:$I$500,A47,ব্যয়!$K$2:$K$500,"বাকি"))</f>
        <v/>
      </c>
    </row>
    <row r="48">
      <c r="A48" s="9" t="inlineStr"/>
      <c r="B48" s="12">
        <f>IF(A48="","",SUMIFS(ব্যয়!$H$2:$H$500,ব্যয়!$I$2:$I$500,A48,ব্যয়!$K$2:$K$500,"বাকি"))</f>
        <v/>
      </c>
      <c r="C48" s="12">
        <f>IF(A48="","",SUMIF(পরিশোধ!$B$2:$B$500,A48,পরিশোধ!$C$2:$C$500))</f>
        <v/>
      </c>
      <c r="D48" s="12">
        <f>IF(A48="","",B48-C48)</f>
        <v/>
      </c>
      <c r="E48" s="15">
        <f>IF(A48="","",COUNTIFS(ব্যয়!$I$2:$I$500,A48,ব্যয়!$K$2:$K$500,"বাকি"))</f>
        <v/>
      </c>
    </row>
    <row r="49">
      <c r="A49" s="9" t="inlineStr"/>
      <c r="B49" s="12">
        <f>IF(A49="","",SUMIFS(ব্যয়!$H$2:$H$500,ব্যয়!$I$2:$I$500,A49,ব্যয়!$K$2:$K$500,"বাকি"))</f>
        <v/>
      </c>
      <c r="C49" s="12">
        <f>IF(A49="","",SUMIF(পরিশোধ!$B$2:$B$500,A49,পরিশোধ!$C$2:$C$500))</f>
        <v/>
      </c>
      <c r="D49" s="12">
        <f>IF(A49="","",B49-C49)</f>
        <v/>
      </c>
      <c r="E49" s="15">
        <f>IF(A49="","",COUNTIFS(ব্যয়!$I$2:$I$500,A49,ব্যয়!$K$2:$K$500,"বাকি"))</f>
        <v/>
      </c>
    </row>
    <row r="50">
      <c r="A50" s="9" t="inlineStr"/>
      <c r="B50" s="12">
        <f>IF(A50="","",SUMIFS(ব্যয়!$H$2:$H$500,ব্যয়!$I$2:$I$500,A50,ব্যয়!$K$2:$K$500,"বাকি"))</f>
        <v/>
      </c>
      <c r="C50" s="12">
        <f>IF(A50="","",SUMIF(পরিশোধ!$B$2:$B$500,A50,পরিশোধ!$C$2:$C$500))</f>
        <v/>
      </c>
      <c r="D50" s="12">
        <f>IF(A50="","",B50-C50)</f>
        <v/>
      </c>
      <c r="E50" s="15">
        <f>IF(A50="","",COUNTIFS(ব্যয়!$I$2:$I$500,A50,ব্যয়!$K$2:$K$500,"বাকি"))</f>
        <v/>
      </c>
    </row>
    <row r="51">
      <c r="A51" s="9" t="inlineStr"/>
      <c r="B51" s="12">
        <f>IF(A51="","",SUMIFS(ব্যয়!$H$2:$H$500,ব্যয়!$I$2:$I$500,A51,ব্যয়!$K$2:$K$500,"বাকি"))</f>
        <v/>
      </c>
      <c r="C51" s="12">
        <f>IF(A51="","",SUMIF(পরিশোধ!$B$2:$B$500,A51,পরিশোধ!$C$2:$C$500))</f>
        <v/>
      </c>
      <c r="D51" s="12">
        <f>IF(A51="","",B51-C51)</f>
        <v/>
      </c>
      <c r="E51" s="15">
        <f>IF(A51="","",COUNTIFS(ব্যয়!$I$2:$I$500,A51,ব্যয়!$K$2:$K$500,"বাকি"))</f>
        <v/>
      </c>
    </row>
    <row r="52">
      <c r="A52" s="9" t="inlineStr"/>
      <c r="B52" s="12">
        <f>IF(A52="","",SUMIFS(ব্যয়!$H$2:$H$500,ব্যয়!$I$2:$I$500,A52,ব্যয়!$K$2:$K$500,"বাকি"))</f>
        <v/>
      </c>
      <c r="C52" s="12">
        <f>IF(A52="","",SUMIF(পরিশোধ!$B$2:$B$500,A52,পরিশোধ!$C$2:$C$500))</f>
        <v/>
      </c>
      <c r="D52" s="12">
        <f>IF(A52="","",B52-C52)</f>
        <v/>
      </c>
      <c r="E52" s="15">
        <f>IF(A52="","",COUNTIFS(ব্যয়!$I$2:$I$500,A52,ব্যয়!$K$2:$K$500,"বাকি"))</f>
        <v/>
      </c>
    </row>
    <row r="53">
      <c r="A53" s="9" t="inlineStr"/>
      <c r="B53" s="12">
        <f>IF(A53="","",SUMIFS(ব্যয়!$H$2:$H$500,ব্যয়!$I$2:$I$500,A53,ব্যয়!$K$2:$K$500,"বাকি"))</f>
        <v/>
      </c>
      <c r="C53" s="12">
        <f>IF(A53="","",SUMIF(পরিশোধ!$B$2:$B$500,A53,পরিশোধ!$C$2:$C$500))</f>
        <v/>
      </c>
      <c r="D53" s="12">
        <f>IF(A53="","",B53-C53)</f>
        <v/>
      </c>
      <c r="E53" s="15">
        <f>IF(A53="","",COUNTIFS(ব্যয়!$I$2:$I$500,A53,ব্যয়!$K$2:$K$500,"বাকি"))</f>
        <v/>
      </c>
    </row>
    <row r="54">
      <c r="A54" s="9" t="inlineStr"/>
      <c r="B54" s="12">
        <f>IF(A54="","",SUMIFS(ব্যয়!$H$2:$H$500,ব্যয়!$I$2:$I$500,A54,ব্যয়!$K$2:$K$500,"বাকি"))</f>
        <v/>
      </c>
      <c r="C54" s="12">
        <f>IF(A54="","",SUMIF(পরিশোধ!$B$2:$B$500,A54,পরিশোধ!$C$2:$C$500))</f>
        <v/>
      </c>
      <c r="D54" s="12">
        <f>IF(A54="","",B54-C54)</f>
        <v/>
      </c>
      <c r="E54" s="15">
        <f>IF(A54="","",COUNTIFS(ব্যয়!$I$2:$I$500,A54,ব্যয়!$K$2:$K$500,"বাকি"))</f>
        <v/>
      </c>
    </row>
    <row r="55">
      <c r="A55" s="9" t="inlineStr"/>
      <c r="B55" s="12">
        <f>IF(A55="","",SUMIFS(ব্যয়!$H$2:$H$500,ব্যয়!$I$2:$I$500,A55,ব্যয়!$K$2:$K$500,"বাকি"))</f>
        <v/>
      </c>
      <c r="C55" s="12">
        <f>IF(A55="","",SUMIF(পরিশোধ!$B$2:$B$500,A55,পরিশোধ!$C$2:$C$500))</f>
        <v/>
      </c>
      <c r="D55" s="12">
        <f>IF(A55="","",B55-C55)</f>
        <v/>
      </c>
      <c r="E55" s="15">
        <f>IF(A55="","",COUNTIFS(ব্যয়!$I$2:$I$500,A55,ব্যয়!$K$2:$K$500,"বাকি"))</f>
        <v/>
      </c>
    </row>
    <row r="56">
      <c r="A56" s="9" t="inlineStr"/>
      <c r="B56" s="12">
        <f>IF(A56="","",SUMIFS(ব্যয়!$H$2:$H$500,ব্যয়!$I$2:$I$500,A56,ব্যয়!$K$2:$K$500,"বাকি"))</f>
        <v/>
      </c>
      <c r="C56" s="12">
        <f>IF(A56="","",SUMIF(পরিশোধ!$B$2:$B$500,A56,পরিশোধ!$C$2:$C$500))</f>
        <v/>
      </c>
      <c r="D56" s="12">
        <f>IF(A56="","",B56-C56)</f>
        <v/>
      </c>
      <c r="E56" s="15">
        <f>IF(A56="","",COUNTIFS(ব্যয়!$I$2:$I$500,A56,ব্যয়!$K$2:$K$500,"বাকি"))</f>
        <v/>
      </c>
    </row>
    <row r="57">
      <c r="A57" s="9" t="inlineStr"/>
      <c r="B57" s="12">
        <f>IF(A57="","",SUMIFS(ব্যয়!$H$2:$H$500,ব্যয়!$I$2:$I$500,A57,ব্যয়!$K$2:$K$500,"বাকি"))</f>
        <v/>
      </c>
      <c r="C57" s="12">
        <f>IF(A57="","",SUMIF(পরিশোধ!$B$2:$B$500,A57,পরিশোধ!$C$2:$C$500))</f>
        <v/>
      </c>
      <c r="D57" s="12">
        <f>IF(A57="","",B57-C57)</f>
        <v/>
      </c>
      <c r="E57" s="15">
        <f>IF(A57="","",COUNTIFS(ব্যয়!$I$2:$I$500,A57,ব্যয়!$K$2:$K$500,"বাকি"))</f>
        <v/>
      </c>
    </row>
    <row r="58">
      <c r="A58" s="9" t="inlineStr"/>
      <c r="B58" s="12">
        <f>IF(A58="","",SUMIFS(ব্যয়!$H$2:$H$500,ব্যয়!$I$2:$I$500,A58,ব্যয়!$K$2:$K$500,"বাকি"))</f>
        <v/>
      </c>
      <c r="C58" s="12">
        <f>IF(A58="","",SUMIF(পরিশোধ!$B$2:$B$500,A58,পরিশোধ!$C$2:$C$500))</f>
        <v/>
      </c>
      <c r="D58" s="12">
        <f>IF(A58="","",B58-C58)</f>
        <v/>
      </c>
      <c r="E58" s="15">
        <f>IF(A58="","",COUNTIFS(ব্যয়!$I$2:$I$500,A58,ব্যয়!$K$2:$K$500,"বাকি"))</f>
        <v/>
      </c>
    </row>
    <row r="59">
      <c r="A59" s="9" t="inlineStr"/>
      <c r="B59" s="12">
        <f>IF(A59="","",SUMIFS(ব্যয়!$H$2:$H$500,ব্যয়!$I$2:$I$500,A59,ব্যয়!$K$2:$K$500,"বাকি"))</f>
        <v/>
      </c>
      <c r="C59" s="12">
        <f>IF(A59="","",SUMIF(পরিশোধ!$B$2:$B$500,A59,পরিশোধ!$C$2:$C$500))</f>
        <v/>
      </c>
      <c r="D59" s="12">
        <f>IF(A59="","",B59-C59)</f>
        <v/>
      </c>
      <c r="E59" s="15">
        <f>IF(A59="","",COUNTIFS(ব্যয়!$I$2:$I$500,A59,ব্যয়!$K$2:$K$500,"বাকি"))</f>
        <v/>
      </c>
    </row>
    <row r="60">
      <c r="A60" s="9" t="inlineStr"/>
      <c r="B60" s="12">
        <f>IF(A60="","",SUMIFS(ব্যয়!$H$2:$H$500,ব্যয়!$I$2:$I$500,A60,ব্যয়!$K$2:$K$500,"বাকি"))</f>
        <v/>
      </c>
      <c r="C60" s="12">
        <f>IF(A60="","",SUMIF(পরিশোধ!$B$2:$B$500,A60,পরিশোধ!$C$2:$C$500))</f>
        <v/>
      </c>
      <c r="D60" s="12">
        <f>IF(A60="","",B60-C60)</f>
        <v/>
      </c>
      <c r="E60" s="15">
        <f>IF(A60="","",COUNTIFS(ব্যয়!$I$2:$I$500,A60,ব্যয়!$K$2:$K$500,"বাকি"))</f>
        <v/>
      </c>
    </row>
    <row r="61">
      <c r="A61" s="9" t="inlineStr"/>
      <c r="B61" s="12">
        <f>IF(A61="","",SUMIFS(ব্যয়!$H$2:$H$500,ব্যয়!$I$2:$I$500,A61,ব্যয়!$K$2:$K$500,"বাকি"))</f>
        <v/>
      </c>
      <c r="C61" s="12">
        <f>IF(A61="","",SUMIF(পরিশোধ!$B$2:$B$500,A61,পরিশোধ!$C$2:$C$500))</f>
        <v/>
      </c>
      <c r="D61" s="12">
        <f>IF(A61="","",B61-C61)</f>
        <v/>
      </c>
      <c r="E61" s="15">
        <f>IF(A61="","",COUNTIFS(ব্যয়!$I$2:$I$500,A61,ব্যয়!$K$2:$K$500,"বাকি"))</f>
        <v/>
      </c>
    </row>
    <row r="62">
      <c r="A62" s="9" t="inlineStr"/>
      <c r="B62" s="12">
        <f>IF(A62="","",SUMIFS(ব্যয়!$H$2:$H$500,ব্যয়!$I$2:$I$500,A62,ব্যয়!$K$2:$K$500,"বাকি"))</f>
        <v/>
      </c>
      <c r="C62" s="12">
        <f>IF(A62="","",SUMIF(পরিশোধ!$B$2:$B$500,A62,পরিশোধ!$C$2:$C$500))</f>
        <v/>
      </c>
      <c r="D62" s="12">
        <f>IF(A62="","",B62-C62)</f>
        <v/>
      </c>
      <c r="E62" s="15">
        <f>IF(A62="","",COUNTIFS(ব্যয়!$I$2:$I$500,A62,ব্যয়!$K$2:$K$500,"বাকি"))</f>
        <v/>
      </c>
    </row>
    <row r="63">
      <c r="A63" s="9" t="inlineStr"/>
      <c r="B63" s="12">
        <f>IF(A63="","",SUMIFS(ব্যয়!$H$2:$H$500,ব্যয়!$I$2:$I$500,A63,ব্যয়!$K$2:$K$500,"বাকি"))</f>
        <v/>
      </c>
      <c r="C63" s="12">
        <f>IF(A63="","",SUMIF(পরিশোধ!$B$2:$B$500,A63,পরিশোধ!$C$2:$C$500))</f>
        <v/>
      </c>
      <c r="D63" s="12">
        <f>IF(A63="","",B63-C63)</f>
        <v/>
      </c>
      <c r="E63" s="15">
        <f>IF(A63="","",COUNTIFS(ব্যয়!$I$2:$I$500,A63,ব্যয়!$K$2:$K$500,"বাকি"))</f>
        <v/>
      </c>
    </row>
    <row r="64">
      <c r="A64" s="9" t="inlineStr"/>
      <c r="B64" s="12">
        <f>IF(A64="","",SUMIFS(ব্যয়!$H$2:$H$500,ব্যয়!$I$2:$I$500,A64,ব্যয়!$K$2:$K$500,"বাকি"))</f>
        <v/>
      </c>
      <c r="C64" s="12">
        <f>IF(A64="","",SUMIF(পরিশোধ!$B$2:$B$500,A64,পরিশোধ!$C$2:$C$500))</f>
        <v/>
      </c>
      <c r="D64" s="12">
        <f>IF(A64="","",B64-C64)</f>
        <v/>
      </c>
      <c r="E64" s="15">
        <f>IF(A64="","",COUNTIFS(ব্যয়!$I$2:$I$500,A64,ব্যয়!$K$2:$K$500,"বাকি"))</f>
        <v/>
      </c>
    </row>
    <row r="65">
      <c r="A65" s="9" t="inlineStr"/>
      <c r="B65" s="12">
        <f>IF(A65="","",SUMIFS(ব্যয়!$H$2:$H$500,ব্যয়!$I$2:$I$500,A65,ব্যয়!$K$2:$K$500,"বাকি"))</f>
        <v/>
      </c>
      <c r="C65" s="12">
        <f>IF(A65="","",SUMIF(পরিশোধ!$B$2:$B$500,A65,পরিশোধ!$C$2:$C$500))</f>
        <v/>
      </c>
      <c r="D65" s="12">
        <f>IF(A65="","",B65-C65)</f>
        <v/>
      </c>
      <c r="E65" s="15">
        <f>IF(A65="","",COUNTIFS(ব্যয়!$I$2:$I$500,A65,ব্যয়!$K$2:$K$500,"বাকি"))</f>
        <v/>
      </c>
    </row>
    <row r="66">
      <c r="A66" s="9" t="inlineStr"/>
      <c r="B66" s="12">
        <f>IF(A66="","",SUMIFS(ব্যয়!$H$2:$H$500,ব্যয়!$I$2:$I$500,A66,ব্যয়!$K$2:$K$500,"বাকি"))</f>
        <v/>
      </c>
      <c r="C66" s="12">
        <f>IF(A66="","",SUMIF(পরিশোধ!$B$2:$B$500,A66,পরিশোধ!$C$2:$C$500))</f>
        <v/>
      </c>
      <c r="D66" s="12">
        <f>IF(A66="","",B66-C66)</f>
        <v/>
      </c>
      <c r="E66" s="15">
        <f>IF(A66="","",COUNTIFS(ব্যয়!$I$2:$I$500,A66,ব্যয়!$K$2:$K$500,"বাকি"))</f>
        <v/>
      </c>
    </row>
    <row r="67">
      <c r="A67" s="9" t="inlineStr"/>
      <c r="B67" s="12">
        <f>IF(A67="","",SUMIFS(ব্যয়!$H$2:$H$500,ব্যয়!$I$2:$I$500,A67,ব্যয়!$K$2:$K$500,"বাকি"))</f>
        <v/>
      </c>
      <c r="C67" s="12">
        <f>IF(A67="","",SUMIF(পরিশোধ!$B$2:$B$500,A67,পরিশোধ!$C$2:$C$500))</f>
        <v/>
      </c>
      <c r="D67" s="12">
        <f>IF(A67="","",B67-C67)</f>
        <v/>
      </c>
      <c r="E67" s="15">
        <f>IF(A67="","",COUNTIFS(ব্যয়!$I$2:$I$500,A67,ব্যয়!$K$2:$K$500,"বাকি"))</f>
        <v/>
      </c>
    </row>
    <row r="68">
      <c r="A68" s="9" t="inlineStr"/>
      <c r="B68" s="12">
        <f>IF(A68="","",SUMIFS(ব্যয়!$H$2:$H$500,ব্যয়!$I$2:$I$500,A68,ব্যয়!$K$2:$K$500,"বাকি"))</f>
        <v/>
      </c>
      <c r="C68" s="12">
        <f>IF(A68="","",SUMIF(পরিশোধ!$B$2:$B$500,A68,পরিশোধ!$C$2:$C$500))</f>
        <v/>
      </c>
      <c r="D68" s="12">
        <f>IF(A68="","",B68-C68)</f>
        <v/>
      </c>
      <c r="E68" s="15">
        <f>IF(A68="","",COUNTIFS(ব্যয়!$I$2:$I$500,A68,ব্যয়!$K$2:$K$500,"বাকি"))</f>
        <v/>
      </c>
    </row>
    <row r="69">
      <c r="A69" s="9" t="inlineStr"/>
      <c r="B69" s="12">
        <f>IF(A69="","",SUMIFS(ব্যয়!$H$2:$H$500,ব্যয়!$I$2:$I$500,A69,ব্যয়!$K$2:$K$500,"বাকি"))</f>
        <v/>
      </c>
      <c r="C69" s="12">
        <f>IF(A69="","",SUMIF(পরিশোধ!$B$2:$B$500,A69,পরিশোধ!$C$2:$C$500))</f>
        <v/>
      </c>
      <c r="D69" s="12">
        <f>IF(A69="","",B69-C69)</f>
        <v/>
      </c>
      <c r="E69" s="15">
        <f>IF(A69="","",COUNTIFS(ব্যয়!$I$2:$I$500,A69,ব্যয়!$K$2:$K$500,"বাকি"))</f>
        <v/>
      </c>
    </row>
    <row r="70">
      <c r="A70" s="9" t="inlineStr"/>
      <c r="B70" s="12">
        <f>IF(A70="","",SUMIFS(ব্যয়!$H$2:$H$500,ব্যয়!$I$2:$I$500,A70,ব্যয়!$K$2:$K$500,"বাকি"))</f>
        <v/>
      </c>
      <c r="C70" s="12">
        <f>IF(A70="","",SUMIF(পরিশোধ!$B$2:$B$500,A70,পরিশোধ!$C$2:$C$500))</f>
        <v/>
      </c>
      <c r="D70" s="12">
        <f>IF(A70="","",B70-C70)</f>
        <v/>
      </c>
      <c r="E70" s="15">
        <f>IF(A70="","",COUNTIFS(ব্যয়!$I$2:$I$500,A70,ব্যয়!$K$2:$K$500,"বাকি"))</f>
        <v/>
      </c>
    </row>
    <row r="71">
      <c r="A71" s="9" t="inlineStr"/>
      <c r="B71" s="12">
        <f>IF(A71="","",SUMIFS(ব্যয়!$H$2:$H$500,ব্যয়!$I$2:$I$500,A71,ব্যয়!$K$2:$K$500,"বাকি"))</f>
        <v/>
      </c>
      <c r="C71" s="12">
        <f>IF(A71="","",SUMIF(পরিশোধ!$B$2:$B$500,A71,পরিশোধ!$C$2:$C$500))</f>
        <v/>
      </c>
      <c r="D71" s="12">
        <f>IF(A71="","",B71-C71)</f>
        <v/>
      </c>
      <c r="E71" s="15">
        <f>IF(A71="","",COUNTIFS(ব্যয়!$I$2:$I$500,A71,ব্যয়!$K$2:$K$500,"বাকি"))</f>
        <v/>
      </c>
    </row>
    <row r="72">
      <c r="A72" s="9" t="inlineStr"/>
      <c r="B72" s="12">
        <f>IF(A72="","",SUMIFS(ব্যয়!$H$2:$H$500,ব্যয়!$I$2:$I$500,A72,ব্যয়!$K$2:$K$500,"বাকি"))</f>
        <v/>
      </c>
      <c r="C72" s="12">
        <f>IF(A72="","",SUMIF(পরিশোধ!$B$2:$B$500,A72,পরিশোধ!$C$2:$C$500))</f>
        <v/>
      </c>
      <c r="D72" s="12">
        <f>IF(A72="","",B72-C72)</f>
        <v/>
      </c>
      <c r="E72" s="15">
        <f>IF(A72="","",COUNTIFS(ব্যয়!$I$2:$I$500,A72,ব্যয়!$K$2:$K$500,"বাকি"))</f>
        <v/>
      </c>
    </row>
    <row r="73">
      <c r="A73" s="9" t="inlineStr"/>
      <c r="B73" s="12">
        <f>IF(A73="","",SUMIFS(ব্যয়!$H$2:$H$500,ব্যয়!$I$2:$I$500,A73,ব্যয়!$K$2:$K$500,"বাকি"))</f>
        <v/>
      </c>
      <c r="C73" s="12">
        <f>IF(A73="","",SUMIF(পরিশোধ!$B$2:$B$500,A73,পরিশোধ!$C$2:$C$500))</f>
        <v/>
      </c>
      <c r="D73" s="12">
        <f>IF(A73="","",B73-C73)</f>
        <v/>
      </c>
      <c r="E73" s="15">
        <f>IF(A73="","",COUNTIFS(ব্যয়!$I$2:$I$500,A73,ব্যয়!$K$2:$K$500,"বাকি"))</f>
        <v/>
      </c>
    </row>
    <row r="74">
      <c r="A74" s="9" t="inlineStr"/>
      <c r="B74" s="12">
        <f>IF(A74="","",SUMIFS(ব্যয়!$H$2:$H$500,ব্যয়!$I$2:$I$500,A74,ব্যয়!$K$2:$K$500,"বাকি"))</f>
        <v/>
      </c>
      <c r="C74" s="12">
        <f>IF(A74="","",SUMIF(পরিশোধ!$B$2:$B$500,A74,পরিশোধ!$C$2:$C$500))</f>
        <v/>
      </c>
      <c r="D74" s="12">
        <f>IF(A74="","",B74-C74)</f>
        <v/>
      </c>
      <c r="E74" s="15">
        <f>IF(A74="","",COUNTIFS(ব্যয়!$I$2:$I$500,A74,ব্যয়!$K$2:$K$500,"বাকি"))</f>
        <v/>
      </c>
    </row>
    <row r="75">
      <c r="A75" s="9" t="inlineStr"/>
      <c r="B75" s="12">
        <f>IF(A75="","",SUMIFS(ব্যয়!$H$2:$H$500,ব্যয়!$I$2:$I$500,A75,ব্যয়!$K$2:$K$500,"বাকি"))</f>
        <v/>
      </c>
      <c r="C75" s="12">
        <f>IF(A75="","",SUMIF(পরিশোধ!$B$2:$B$500,A75,পরিশোধ!$C$2:$C$500))</f>
        <v/>
      </c>
      <c r="D75" s="12">
        <f>IF(A75="","",B75-C75)</f>
        <v/>
      </c>
      <c r="E75" s="15">
        <f>IF(A75="","",COUNTIFS(ব্যয়!$I$2:$I$500,A75,ব্যয়!$K$2:$K$500,"বাকি"))</f>
        <v/>
      </c>
    </row>
    <row r="76">
      <c r="A76" s="9" t="inlineStr"/>
      <c r="B76" s="12">
        <f>IF(A76="","",SUMIFS(ব্যয়!$H$2:$H$500,ব্যয়!$I$2:$I$500,A76,ব্যয়!$K$2:$K$500,"বাকি"))</f>
        <v/>
      </c>
      <c r="C76" s="12">
        <f>IF(A76="","",SUMIF(পরিশোধ!$B$2:$B$500,A76,পরিশোধ!$C$2:$C$500))</f>
        <v/>
      </c>
      <c r="D76" s="12">
        <f>IF(A76="","",B76-C76)</f>
        <v/>
      </c>
      <c r="E76" s="15">
        <f>IF(A76="","",COUNTIFS(ব্যয়!$I$2:$I$500,A76,ব্যয়!$K$2:$K$500,"বাকি"))</f>
        <v/>
      </c>
    </row>
    <row r="77">
      <c r="A77" s="9" t="inlineStr"/>
      <c r="B77" s="12">
        <f>IF(A77="","",SUMIFS(ব্যয়!$H$2:$H$500,ব্যয়!$I$2:$I$500,A77,ব্যয়!$K$2:$K$500,"বাকি"))</f>
        <v/>
      </c>
      <c r="C77" s="12">
        <f>IF(A77="","",SUMIF(পরিশোধ!$B$2:$B$500,A77,পরিশোধ!$C$2:$C$500))</f>
        <v/>
      </c>
      <c r="D77" s="12">
        <f>IF(A77="","",B77-C77)</f>
        <v/>
      </c>
      <c r="E77" s="15">
        <f>IF(A77="","",COUNTIFS(ব্যয়!$I$2:$I$500,A77,ব্যয়!$K$2:$K$500,"বাকি"))</f>
        <v/>
      </c>
    </row>
    <row r="78">
      <c r="A78" s="9" t="inlineStr"/>
      <c r="B78" s="12">
        <f>IF(A78="","",SUMIFS(ব্যয়!$H$2:$H$500,ব্যয়!$I$2:$I$500,A78,ব্যয়!$K$2:$K$500,"বাকি"))</f>
        <v/>
      </c>
      <c r="C78" s="12">
        <f>IF(A78="","",SUMIF(পরিশোধ!$B$2:$B$500,A78,পরিশোধ!$C$2:$C$500))</f>
        <v/>
      </c>
      <c r="D78" s="12">
        <f>IF(A78="","",B78-C78)</f>
        <v/>
      </c>
      <c r="E78" s="15">
        <f>IF(A78="","",COUNTIFS(ব্যয়!$I$2:$I$500,A78,ব্যয়!$K$2:$K$500,"বাকি"))</f>
        <v/>
      </c>
    </row>
    <row r="79">
      <c r="A79" s="9" t="inlineStr"/>
      <c r="B79" s="12">
        <f>IF(A79="","",SUMIFS(ব্যয়!$H$2:$H$500,ব্যয়!$I$2:$I$500,A79,ব্যয়!$K$2:$K$500,"বাকি"))</f>
        <v/>
      </c>
      <c r="C79" s="12">
        <f>IF(A79="","",SUMIF(পরিশোধ!$B$2:$B$500,A79,পরিশোধ!$C$2:$C$500))</f>
        <v/>
      </c>
      <c r="D79" s="12">
        <f>IF(A79="","",B79-C79)</f>
        <v/>
      </c>
      <c r="E79" s="15">
        <f>IF(A79="","",COUNTIFS(ব্যয়!$I$2:$I$500,A79,ব্যয়!$K$2:$K$500,"বাকি"))</f>
        <v/>
      </c>
    </row>
    <row r="80">
      <c r="A80" s="9" t="inlineStr"/>
      <c r="B80" s="12">
        <f>IF(A80="","",SUMIFS(ব্যয়!$H$2:$H$500,ব্যয়!$I$2:$I$500,A80,ব্যয়!$K$2:$K$500,"বাকি"))</f>
        <v/>
      </c>
      <c r="C80" s="12">
        <f>IF(A80="","",SUMIF(পরিশোধ!$B$2:$B$500,A80,পরিশোধ!$C$2:$C$500))</f>
        <v/>
      </c>
      <c r="D80" s="12">
        <f>IF(A80="","",B80-C80)</f>
        <v/>
      </c>
      <c r="E80" s="15">
        <f>IF(A80="","",COUNTIFS(ব্যয়!$I$2:$I$500,A80,ব্যয়!$K$2:$K$500,"বাকি"))</f>
        <v/>
      </c>
    </row>
    <row r="81">
      <c r="A81" s="9" t="inlineStr"/>
      <c r="B81" s="12">
        <f>IF(A81="","",SUMIFS(ব্যয়!$H$2:$H$500,ব্যয়!$I$2:$I$500,A81,ব্যয়!$K$2:$K$500,"বাকি"))</f>
        <v/>
      </c>
      <c r="C81" s="12">
        <f>IF(A81="","",SUMIF(পরিশোধ!$B$2:$B$500,A81,পরিশোধ!$C$2:$C$500))</f>
        <v/>
      </c>
      <c r="D81" s="12">
        <f>IF(A81="","",B81-C81)</f>
        <v/>
      </c>
      <c r="E81" s="15">
        <f>IF(A81="","",COUNTIFS(ব্যয়!$I$2:$I$500,A81,ব্যয়!$K$2:$K$500,"বাকি"))</f>
        <v/>
      </c>
    </row>
    <row r="82">
      <c r="A82" s="9" t="inlineStr"/>
      <c r="B82" s="12">
        <f>IF(A82="","",SUMIFS(ব্যয়!$H$2:$H$500,ব্যয়!$I$2:$I$500,A82,ব্যয়!$K$2:$K$500,"বাকি"))</f>
        <v/>
      </c>
      <c r="C82" s="12">
        <f>IF(A82="","",SUMIF(পরিশোধ!$B$2:$B$500,A82,পরিশোধ!$C$2:$C$500))</f>
        <v/>
      </c>
      <c r="D82" s="12">
        <f>IF(A82="","",B82-C82)</f>
        <v/>
      </c>
      <c r="E82" s="15">
        <f>IF(A82="","",COUNTIFS(ব্যয়!$I$2:$I$500,A82,ব্যয়!$K$2:$K$500,"বাকি"))</f>
        <v/>
      </c>
    </row>
    <row r="83">
      <c r="A83" s="9" t="inlineStr"/>
      <c r="B83" s="12">
        <f>IF(A83="","",SUMIFS(ব্যয়!$H$2:$H$500,ব্যয়!$I$2:$I$500,A83,ব্যয়!$K$2:$K$500,"বাকি"))</f>
        <v/>
      </c>
      <c r="C83" s="12">
        <f>IF(A83="","",SUMIF(পরিশোধ!$B$2:$B$500,A83,পরিশোধ!$C$2:$C$500))</f>
        <v/>
      </c>
      <c r="D83" s="12">
        <f>IF(A83="","",B83-C83)</f>
        <v/>
      </c>
      <c r="E83" s="15">
        <f>IF(A83="","",COUNTIFS(ব্যয়!$I$2:$I$500,A83,ব্যয়!$K$2:$K$500,"বাকি"))</f>
        <v/>
      </c>
    </row>
    <row r="84">
      <c r="A84" s="9" t="inlineStr"/>
      <c r="B84" s="12">
        <f>IF(A84="","",SUMIFS(ব্যয়!$H$2:$H$500,ব্যয়!$I$2:$I$500,A84,ব্যয়!$K$2:$K$500,"বাকি"))</f>
        <v/>
      </c>
      <c r="C84" s="12">
        <f>IF(A84="","",SUMIF(পরিশোধ!$B$2:$B$500,A84,পরিশোধ!$C$2:$C$500))</f>
        <v/>
      </c>
      <c r="D84" s="12">
        <f>IF(A84="","",B84-C84)</f>
        <v/>
      </c>
      <c r="E84" s="15">
        <f>IF(A84="","",COUNTIFS(ব্যয়!$I$2:$I$500,A84,ব্যয়!$K$2:$K$500,"বাকি"))</f>
        <v/>
      </c>
    </row>
    <row r="85">
      <c r="A85" s="9" t="inlineStr"/>
      <c r="B85" s="12">
        <f>IF(A85="","",SUMIFS(ব্যয়!$H$2:$H$500,ব্যয়!$I$2:$I$500,A85,ব্যয়!$K$2:$K$500,"বাকি"))</f>
        <v/>
      </c>
      <c r="C85" s="12">
        <f>IF(A85="","",SUMIF(পরিশোধ!$B$2:$B$500,A85,পরিশোধ!$C$2:$C$500))</f>
        <v/>
      </c>
      <c r="D85" s="12">
        <f>IF(A85="","",B85-C85)</f>
        <v/>
      </c>
      <c r="E85" s="15">
        <f>IF(A85="","",COUNTIFS(ব্যয়!$I$2:$I$500,A85,ব্যয়!$K$2:$K$500,"বাকি"))</f>
        <v/>
      </c>
    </row>
    <row r="86">
      <c r="A86" s="9" t="inlineStr"/>
      <c r="B86" s="12">
        <f>IF(A86="","",SUMIFS(ব্যয়!$H$2:$H$500,ব্যয়!$I$2:$I$500,A86,ব্যয়!$K$2:$K$500,"বাকি"))</f>
        <v/>
      </c>
      <c r="C86" s="12">
        <f>IF(A86="","",SUMIF(পরিশোধ!$B$2:$B$500,A86,পরিশোধ!$C$2:$C$500))</f>
        <v/>
      </c>
      <c r="D86" s="12">
        <f>IF(A86="","",B86-C86)</f>
        <v/>
      </c>
      <c r="E86" s="15">
        <f>IF(A86="","",COUNTIFS(ব্যয়!$I$2:$I$500,A86,ব্যয়!$K$2:$K$500,"বাকি"))</f>
        <v/>
      </c>
    </row>
    <row r="87">
      <c r="A87" s="9" t="inlineStr"/>
      <c r="B87" s="12">
        <f>IF(A87="","",SUMIFS(ব্যয়!$H$2:$H$500,ব্যয়!$I$2:$I$500,A87,ব্যয়!$K$2:$K$500,"বাকি"))</f>
        <v/>
      </c>
      <c r="C87" s="12">
        <f>IF(A87="","",SUMIF(পরিশোধ!$B$2:$B$500,A87,পরিশোধ!$C$2:$C$500))</f>
        <v/>
      </c>
      <c r="D87" s="12">
        <f>IF(A87="","",B87-C87)</f>
        <v/>
      </c>
      <c r="E87" s="15">
        <f>IF(A87="","",COUNTIFS(ব্যয়!$I$2:$I$500,A87,ব্যয়!$K$2:$K$500,"বাকি"))</f>
        <v/>
      </c>
    </row>
    <row r="88">
      <c r="A88" s="9" t="inlineStr"/>
      <c r="B88" s="12">
        <f>IF(A88="","",SUMIFS(ব্যয়!$H$2:$H$500,ব্যয়!$I$2:$I$500,A88,ব্যয়!$K$2:$K$500,"বাকি"))</f>
        <v/>
      </c>
      <c r="C88" s="12">
        <f>IF(A88="","",SUMIF(পরিশোধ!$B$2:$B$500,A88,পরিশোধ!$C$2:$C$500))</f>
        <v/>
      </c>
      <c r="D88" s="12">
        <f>IF(A88="","",B88-C88)</f>
        <v/>
      </c>
      <c r="E88" s="15">
        <f>IF(A88="","",COUNTIFS(ব্যয়!$I$2:$I$500,A88,ব্যয়!$K$2:$K$500,"বাকি"))</f>
        <v/>
      </c>
    </row>
    <row r="89">
      <c r="A89" s="9" t="inlineStr"/>
      <c r="B89" s="12">
        <f>IF(A89="","",SUMIFS(ব্যয়!$H$2:$H$500,ব্যয়!$I$2:$I$500,A89,ব্যয়!$K$2:$K$500,"বাকি"))</f>
        <v/>
      </c>
      <c r="C89" s="12">
        <f>IF(A89="","",SUMIF(পরিশোধ!$B$2:$B$500,A89,পরিশোধ!$C$2:$C$500))</f>
        <v/>
      </c>
      <c r="D89" s="12">
        <f>IF(A89="","",B89-C89)</f>
        <v/>
      </c>
      <c r="E89" s="15">
        <f>IF(A89="","",COUNTIFS(ব্যয়!$I$2:$I$500,A89,ব্যয়!$K$2:$K$500,"বাকি"))</f>
        <v/>
      </c>
    </row>
    <row r="90">
      <c r="A90" s="9" t="inlineStr"/>
      <c r="B90" s="12">
        <f>IF(A90="","",SUMIFS(ব্যয়!$H$2:$H$500,ব্যয়!$I$2:$I$500,A90,ব্যয়!$K$2:$K$500,"বাকি"))</f>
        <v/>
      </c>
      <c r="C90" s="12">
        <f>IF(A90="","",SUMIF(পরিশোধ!$B$2:$B$500,A90,পরিশোধ!$C$2:$C$500))</f>
        <v/>
      </c>
      <c r="D90" s="12">
        <f>IF(A90="","",B90-C90)</f>
        <v/>
      </c>
      <c r="E90" s="15">
        <f>IF(A90="","",COUNTIFS(ব্যয়!$I$2:$I$500,A90,ব্যয়!$K$2:$K$500,"বাকি"))</f>
        <v/>
      </c>
    </row>
    <row r="91">
      <c r="A91" s="9" t="inlineStr"/>
      <c r="B91" s="12">
        <f>IF(A91="","",SUMIFS(ব্যয়!$H$2:$H$500,ব্যয়!$I$2:$I$500,A91,ব্যয়!$K$2:$K$500,"বাকি"))</f>
        <v/>
      </c>
      <c r="C91" s="12">
        <f>IF(A91="","",SUMIF(পরিশোধ!$B$2:$B$500,A91,পরিশোধ!$C$2:$C$500))</f>
        <v/>
      </c>
      <c r="D91" s="12">
        <f>IF(A91="","",B91-C91)</f>
        <v/>
      </c>
      <c r="E91" s="15">
        <f>IF(A91="","",COUNTIFS(ব্যয়!$I$2:$I$500,A91,ব্যয়!$K$2:$K$500,"বাকি"))</f>
        <v/>
      </c>
    </row>
    <row r="92">
      <c r="A92" s="9" t="inlineStr"/>
      <c r="B92" s="12">
        <f>IF(A92="","",SUMIFS(ব্যয়!$H$2:$H$500,ব্যয়!$I$2:$I$500,A92,ব্যয়!$K$2:$K$500,"বাকি"))</f>
        <v/>
      </c>
      <c r="C92" s="12">
        <f>IF(A92="","",SUMIF(পরিশোধ!$B$2:$B$500,A92,পরিশোধ!$C$2:$C$500))</f>
        <v/>
      </c>
      <c r="D92" s="12">
        <f>IF(A92="","",B92-C92)</f>
        <v/>
      </c>
      <c r="E92" s="15">
        <f>IF(A92="","",COUNTIFS(ব্যয়!$I$2:$I$500,A92,ব্যয়!$K$2:$K$500,"বাকি"))</f>
        <v/>
      </c>
    </row>
    <row r="93">
      <c r="A93" s="9" t="inlineStr"/>
      <c r="B93" s="12">
        <f>IF(A93="","",SUMIFS(ব্যয়!$H$2:$H$500,ব্যয়!$I$2:$I$500,A93,ব্যয়!$K$2:$K$500,"বাকি"))</f>
        <v/>
      </c>
      <c r="C93" s="12">
        <f>IF(A93="","",SUMIF(পরিশোধ!$B$2:$B$500,A93,পরিশোধ!$C$2:$C$500))</f>
        <v/>
      </c>
      <c r="D93" s="12">
        <f>IF(A93="","",B93-C93)</f>
        <v/>
      </c>
      <c r="E93" s="15">
        <f>IF(A93="","",COUNTIFS(ব্যয়!$I$2:$I$500,A93,ব্যয়!$K$2:$K$500,"বাকি"))</f>
        <v/>
      </c>
    </row>
    <row r="94">
      <c r="A94" s="9" t="inlineStr"/>
      <c r="B94" s="12">
        <f>IF(A94="","",SUMIFS(ব্যয়!$H$2:$H$500,ব্যয়!$I$2:$I$500,A94,ব্যয়!$K$2:$K$500,"বাকি"))</f>
        <v/>
      </c>
      <c r="C94" s="12">
        <f>IF(A94="","",SUMIF(পরিশোধ!$B$2:$B$500,A94,পরিশোধ!$C$2:$C$500))</f>
        <v/>
      </c>
      <c r="D94" s="12">
        <f>IF(A94="","",B94-C94)</f>
        <v/>
      </c>
      <c r="E94" s="15">
        <f>IF(A94="","",COUNTIFS(ব্যয়!$I$2:$I$500,A94,ব্যয়!$K$2:$K$500,"বাকি"))</f>
        <v/>
      </c>
    </row>
    <row r="95">
      <c r="A95" s="9" t="inlineStr"/>
      <c r="B95" s="12">
        <f>IF(A95="","",SUMIFS(ব্যয়!$H$2:$H$500,ব্যয়!$I$2:$I$500,A95,ব্যয়!$K$2:$K$500,"বাকি"))</f>
        <v/>
      </c>
      <c r="C95" s="12">
        <f>IF(A95="","",SUMIF(পরিশোধ!$B$2:$B$500,A95,পরিশোধ!$C$2:$C$500))</f>
        <v/>
      </c>
      <c r="D95" s="12">
        <f>IF(A95="","",B95-C95)</f>
        <v/>
      </c>
      <c r="E95" s="15">
        <f>IF(A95="","",COUNTIFS(ব্যয়!$I$2:$I$500,A95,ব্যয়!$K$2:$K$500,"বাকি"))</f>
        <v/>
      </c>
    </row>
    <row r="96">
      <c r="A96" s="9" t="inlineStr"/>
      <c r="B96" s="12">
        <f>IF(A96="","",SUMIFS(ব্যয়!$H$2:$H$500,ব্যয়!$I$2:$I$500,A96,ব্যয়!$K$2:$K$500,"বাকি"))</f>
        <v/>
      </c>
      <c r="C96" s="12">
        <f>IF(A96="","",SUMIF(পরিশোধ!$B$2:$B$500,A96,পরিশোধ!$C$2:$C$500))</f>
        <v/>
      </c>
      <c r="D96" s="12">
        <f>IF(A96="","",B96-C96)</f>
        <v/>
      </c>
      <c r="E96" s="15">
        <f>IF(A96="","",COUNTIFS(ব্যয়!$I$2:$I$500,A96,ব্যয়!$K$2:$K$500,"বাকি"))</f>
        <v/>
      </c>
    </row>
    <row r="97">
      <c r="A97" s="9" t="inlineStr"/>
      <c r="B97" s="12">
        <f>IF(A97="","",SUMIFS(ব্যয়!$H$2:$H$500,ব্যয়!$I$2:$I$500,A97,ব্যয়!$K$2:$K$500,"বাকি"))</f>
        <v/>
      </c>
      <c r="C97" s="12">
        <f>IF(A97="","",SUMIF(পরিশোধ!$B$2:$B$500,A97,পরিশোধ!$C$2:$C$500))</f>
        <v/>
      </c>
      <c r="D97" s="12">
        <f>IF(A97="","",B97-C97)</f>
        <v/>
      </c>
      <c r="E97" s="15">
        <f>IF(A97="","",COUNTIFS(ব্যয়!$I$2:$I$500,A97,ব্যয়!$K$2:$K$500,"বাকি"))</f>
        <v/>
      </c>
    </row>
    <row r="98">
      <c r="A98" s="9" t="inlineStr"/>
      <c r="B98" s="12">
        <f>IF(A98="","",SUMIFS(ব্যয়!$H$2:$H$500,ব্যয়!$I$2:$I$500,A98,ব্যয়!$K$2:$K$500,"বাকি"))</f>
        <v/>
      </c>
      <c r="C98" s="12">
        <f>IF(A98="","",SUMIF(পরিশোধ!$B$2:$B$500,A98,পরিশোধ!$C$2:$C$500))</f>
        <v/>
      </c>
      <c r="D98" s="12">
        <f>IF(A98="","",B98-C98)</f>
        <v/>
      </c>
      <c r="E98" s="15">
        <f>IF(A98="","",COUNTIFS(ব্যয়!$I$2:$I$500,A98,ব্যয়!$K$2:$K$500,"বাকি"))</f>
        <v/>
      </c>
    </row>
    <row r="99">
      <c r="A99" s="9" t="inlineStr"/>
      <c r="B99" s="12">
        <f>IF(A99="","",SUMIFS(ব্যয়!$H$2:$H$500,ব্যয়!$I$2:$I$500,A99,ব্যয়!$K$2:$K$500,"বাকি"))</f>
        <v/>
      </c>
      <c r="C99" s="12">
        <f>IF(A99="","",SUMIF(পরিশোধ!$B$2:$B$500,A99,পরিশোধ!$C$2:$C$500))</f>
        <v/>
      </c>
      <c r="D99" s="12">
        <f>IF(A99="","",B99-C99)</f>
        <v/>
      </c>
      <c r="E99" s="15">
        <f>IF(A99="","",COUNTIFS(ব্যয়!$I$2:$I$500,A99,ব্যয়!$K$2:$K$500,"বাকি"))</f>
        <v/>
      </c>
    </row>
    <row r="100">
      <c r="A100" s="9" t="inlineStr"/>
      <c r="B100" s="12">
        <f>IF(A100="","",SUMIFS(ব্যয়!$H$2:$H$500,ব্যয়!$I$2:$I$500,A100,ব্যয়!$K$2:$K$500,"বাকি"))</f>
        <v/>
      </c>
      <c r="C100" s="12">
        <f>IF(A100="","",SUMIF(পরিশোধ!$B$2:$B$500,A100,পরিশোধ!$C$2:$C$500))</f>
        <v/>
      </c>
      <c r="D100" s="12">
        <f>IF(A100="","",B100-C100)</f>
        <v/>
      </c>
      <c r="E100" s="15">
        <f>IF(A100="","",COUNTIFS(ব্যয়!$I$2:$I$500,A100,ব্যয়!$K$2:$K$500,"বাকি"))</f>
        <v/>
      </c>
    </row>
    <row r="101">
      <c r="A101" s="9" t="inlineStr"/>
      <c r="B101" s="12">
        <f>IF(A101="","",SUMIFS(ব্যয়!$H$2:$H$500,ব্যয়!$I$2:$I$500,A101,ব্যয়!$K$2:$K$500,"বাকি"))</f>
        <v/>
      </c>
      <c r="C101" s="12">
        <f>IF(A101="","",SUMIF(পরিশোধ!$B$2:$B$500,A101,পরিশোধ!$C$2:$C$500))</f>
        <v/>
      </c>
      <c r="D101" s="12">
        <f>IF(A101="","",B101-C101)</f>
        <v/>
      </c>
      <c r="E101" s="15">
        <f>IF(A101="","",COUNTIFS(ব্যয়!$I$2:$I$500,A101,ব্যয়!$K$2:$K$500,"বাকি"))</f>
        <v/>
      </c>
    </row>
    <row r="102">
      <c r="A102" s="9" t="inlineStr"/>
      <c r="B102" s="12">
        <f>IF(A102="","",SUMIFS(ব্যয়!$H$2:$H$500,ব্যয়!$I$2:$I$500,A102,ব্যয়!$K$2:$K$500,"বাকি"))</f>
        <v/>
      </c>
      <c r="C102" s="12">
        <f>IF(A102="","",SUMIF(পরিশোধ!$B$2:$B$500,A102,পরিশোধ!$C$2:$C$500))</f>
        <v/>
      </c>
      <c r="D102" s="12">
        <f>IF(A102="","",B102-C102)</f>
        <v/>
      </c>
      <c r="E102" s="15">
        <f>IF(A102="","",COUNTIFS(ব্যয়!$I$2:$I$500,A102,ব্যয়!$K$2:$K$500,"বাকি"))</f>
        <v/>
      </c>
    </row>
    <row r="103">
      <c r="A103" s="9" t="inlineStr"/>
      <c r="B103" s="12">
        <f>IF(A103="","",SUMIFS(ব্যয়!$H$2:$H$500,ব্যয়!$I$2:$I$500,A103,ব্যয়!$K$2:$K$500,"বাকি"))</f>
        <v/>
      </c>
      <c r="C103" s="12">
        <f>IF(A103="","",SUMIF(পরিশোধ!$B$2:$B$500,A103,পরিশোধ!$C$2:$C$500))</f>
        <v/>
      </c>
      <c r="D103" s="12">
        <f>IF(A103="","",B103-C103)</f>
        <v/>
      </c>
      <c r="E103" s="15">
        <f>IF(A103="","",COUNTIFS(ব্যয়!$I$2:$I$500,A103,ব্যয়!$K$2:$K$500,"বাকি"))</f>
        <v/>
      </c>
    </row>
    <row r="104">
      <c r="A104" s="9" t="inlineStr"/>
      <c r="B104" s="12">
        <f>IF(A104="","",SUMIFS(ব্যয়!$H$2:$H$500,ব্যয়!$I$2:$I$500,A104,ব্যয়!$K$2:$K$500,"বাকি"))</f>
        <v/>
      </c>
      <c r="C104" s="12">
        <f>IF(A104="","",SUMIF(পরিশোধ!$B$2:$B$500,A104,পরিশোধ!$C$2:$C$500))</f>
        <v/>
      </c>
      <c r="D104" s="12">
        <f>IF(A104="","",B104-C104)</f>
        <v/>
      </c>
      <c r="E104" s="15">
        <f>IF(A104="","",COUNTIFS(ব্যয়!$I$2:$I$500,A104,ব্যয়!$K$2:$K$500,"বাকি"))</f>
        <v/>
      </c>
    </row>
    <row r="105">
      <c r="A105" s="9" t="inlineStr"/>
      <c r="B105" s="12">
        <f>IF(A105="","",SUMIFS(ব্যয়!$H$2:$H$500,ব্যয়!$I$2:$I$500,A105,ব্যয়!$K$2:$K$500,"বাকি"))</f>
        <v/>
      </c>
      <c r="C105" s="12">
        <f>IF(A105="","",SUMIF(পরিশোধ!$B$2:$B$500,A105,পরিশোধ!$C$2:$C$500))</f>
        <v/>
      </c>
      <c r="D105" s="12">
        <f>IF(A105="","",B105-C105)</f>
        <v/>
      </c>
      <c r="E105" s="15">
        <f>IF(A105="","",COUNTIFS(ব্যয়!$I$2:$I$500,A105,ব্যয়!$K$2:$K$500,"বাকি"))</f>
        <v/>
      </c>
    </row>
    <row r="106">
      <c r="A106" s="9" t="inlineStr"/>
      <c r="B106" s="12">
        <f>IF(A106="","",SUMIFS(ব্যয়!$H$2:$H$500,ব্যয়!$I$2:$I$500,A106,ব্যয়!$K$2:$K$500,"বাকি"))</f>
        <v/>
      </c>
      <c r="C106" s="12">
        <f>IF(A106="","",SUMIF(পরিশোধ!$B$2:$B$500,A106,পরিশোধ!$C$2:$C$500))</f>
        <v/>
      </c>
      <c r="D106" s="12">
        <f>IF(A106="","",B106-C106)</f>
        <v/>
      </c>
      <c r="E106" s="15">
        <f>IF(A106="","",COUNTIFS(ব্যয়!$I$2:$I$500,A106,ব্যয়!$K$2:$K$500,"বাকি"))</f>
        <v/>
      </c>
    </row>
    <row r="107">
      <c r="A107" s="9" t="inlineStr"/>
      <c r="B107" s="12">
        <f>IF(A107="","",SUMIFS(ব্যয়!$H$2:$H$500,ব্যয়!$I$2:$I$500,A107,ব্যয়!$K$2:$K$500,"বাকি"))</f>
        <v/>
      </c>
      <c r="C107" s="12">
        <f>IF(A107="","",SUMIF(পরিশোধ!$B$2:$B$500,A107,পরিশোধ!$C$2:$C$500))</f>
        <v/>
      </c>
      <c r="D107" s="12">
        <f>IF(A107="","",B107-C107)</f>
        <v/>
      </c>
      <c r="E107" s="15">
        <f>IF(A107="","",COUNTIFS(ব্যয়!$I$2:$I$500,A107,ব্যয়!$K$2:$K$500,"বাকি"))</f>
        <v/>
      </c>
    </row>
    <row r="108">
      <c r="A108" s="9" t="inlineStr"/>
      <c r="B108" s="12">
        <f>IF(A108="","",SUMIFS(ব্যয়!$H$2:$H$500,ব্যয়!$I$2:$I$500,A108,ব্যয়!$K$2:$K$500,"বাকি"))</f>
        <v/>
      </c>
      <c r="C108" s="12">
        <f>IF(A108="","",SUMIF(পরিশোধ!$B$2:$B$500,A108,পরিশোধ!$C$2:$C$500))</f>
        <v/>
      </c>
      <c r="D108" s="12">
        <f>IF(A108="","",B108-C108)</f>
        <v/>
      </c>
      <c r="E108" s="15">
        <f>IF(A108="","",COUNTIFS(ব্যয়!$I$2:$I$500,A108,ব্যয়!$K$2:$K$500,"বাকি"))</f>
        <v/>
      </c>
    </row>
    <row r="109">
      <c r="A109" s="9" t="inlineStr"/>
      <c r="B109" s="12">
        <f>IF(A109="","",SUMIFS(ব্যয়!$H$2:$H$500,ব্যয়!$I$2:$I$500,A109,ব্যয়!$K$2:$K$500,"বাকি"))</f>
        <v/>
      </c>
      <c r="C109" s="12">
        <f>IF(A109="","",SUMIF(পরিশোধ!$B$2:$B$500,A109,পরিশোধ!$C$2:$C$500))</f>
        <v/>
      </c>
      <c r="D109" s="12">
        <f>IF(A109="","",B109-C109)</f>
        <v/>
      </c>
      <c r="E109" s="15">
        <f>IF(A109="","",COUNTIFS(ব্যয়!$I$2:$I$500,A109,ব্যয়!$K$2:$K$500,"বাকি"))</f>
        <v/>
      </c>
    </row>
    <row r="111">
      <c r="A111" s="5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</cols>
  <sheetData>
    <row r="1">
      <c r="A1" s="1" t="inlineStr">
        <is>
          <t>সামারি (লাইভ)</t>
        </is>
      </c>
    </row>
    <row r="2">
      <c r="A2" s="14" t="inlineStr">
        <is>
          <t>বিবরণ</t>
        </is>
      </c>
      <c r="B2" s="14" t="inlineStr">
        <is>
          <t>টাকা</t>
        </is>
      </c>
    </row>
    <row r="3">
      <c r="A3" s="16" t="inlineStr">
        <is>
          <t>মোট ব্যয় (সব বই)</t>
        </is>
      </c>
      <c r="B3" s="17">
        <f>SUM(ব্যয়!H:H)</f>
        <v/>
      </c>
    </row>
    <row r="4">
      <c r="A4" s="16" t="inlineStr">
        <is>
          <t>মোট আয়</t>
        </is>
      </c>
      <c r="B4" s="17">
        <f>SUM(আয়!B:B)</f>
        <v/>
      </c>
    </row>
    <row r="5">
      <c r="A5" s="16" t="inlineStr">
        <is>
          <t>করজ দেওয়া</t>
        </is>
      </c>
      <c r="B5" s="17">
        <f>SUMIF(করজ!A:A,"দেওয়া",করজ!C:C)</f>
        <v/>
      </c>
    </row>
    <row r="6">
      <c r="A6" s="16" t="inlineStr">
        <is>
          <t>করজ আদায়</t>
        </is>
      </c>
      <c r="B6" s="17">
        <f>SUMIF(করজ!A:A,"আদায়",করজ!C:C)</f>
        <v/>
      </c>
    </row>
    <row r="7">
      <c r="A7" s="16" t="inlineStr">
        <is>
          <t>করজ বাকি</t>
        </is>
      </c>
      <c r="B7" s="17">
        <f>B5-B6</f>
        <v/>
      </c>
    </row>
    <row r="8">
      <c r="A8" s="16" t="inlineStr">
        <is>
          <t>সরবরাহকারী বাকি</t>
        </is>
      </c>
      <c r="B8" s="17">
        <f>বকেয়া!B7</f>
        <v/>
      </c>
    </row>
    <row r="9">
      <c r="A9" s="16" t="inlineStr">
        <is>
          <t>নগদ (আনুমানিক)</t>
        </is>
      </c>
      <c r="B9" s="17">
        <f>B4-B3-B5+B6</f>
        <v/>
      </c>
    </row>
    <row r="11">
      <c r="A11" s="18" t="inlineStr">
        <is>
          <t>বই অনুযায়ী ব্যয়</t>
        </is>
      </c>
    </row>
    <row r="12">
      <c r="A12" s="14" t="inlineStr">
        <is>
          <t>হিসাব বই</t>
        </is>
      </c>
      <c r="B12" s="14" t="inlineStr">
        <is>
          <t>মোট</t>
        </is>
      </c>
    </row>
    <row r="13">
      <c r="A13" s="19" t="inlineStr">
        <is>
          <t>মাতবাখ</t>
        </is>
      </c>
      <c r="B13" s="17">
        <f>SUMIF(ব্যয়!A:A,A13,ব্যয়!H:H)</f>
        <v/>
      </c>
    </row>
    <row r="14">
      <c r="A14" s="19" t="inlineStr">
        <is>
          <t>মাদরাসা</t>
        </is>
      </c>
      <c r="B14" s="17">
        <f>SUMIF(ব্যয়!A:A,A14,ব্যয়!H:H)</f>
        <v/>
      </c>
    </row>
    <row r="15">
      <c r="A15" s="19" t="inlineStr">
        <is>
          <t>তামিরাত</t>
        </is>
      </c>
      <c r="B15" s="17">
        <f>SUMIF(ব্যয়!A:A,A15,ব্যয়!H:H)</f>
        <v/>
      </c>
    </row>
    <row r="16">
      <c r="A16" s="19" t="inlineStr">
        <is>
          <t>সাধারণ</t>
        </is>
      </c>
      <c r="B16" s="17">
        <f>SUMIF(ব্যয়!A:A,A16,ব্যয়!H:H)</f>
        <v/>
      </c>
    </row>
    <row r="18">
      <c r="A18" s="5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</sheetData>
  <mergeCells count="2">
    <mergeCell ref="A1:C1"/>
    <mergeCell ref="A18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2026-07-14T14:10:12Z</dcterms:created>
  <dcterms:modified xmlns:dcterms="http://purl.org/dc/terms/" xmlns:xsi="http://www.w3.org/2001/XMLSchema-instance" xsi:type="dcterms:W3CDTF">2026-07-14T14:10:12Z</dcterms:modified>
</cp:coreProperties>
</file>