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নির্দেশনা" sheetId="1" state="visible" r:id="rId1"/>
    <sheet xmlns:r="http://schemas.openxmlformats.org/officeDocument/2006/relationships" name="ব্যয়" sheetId="2" state="visible" r:id="rId2"/>
    <sheet xmlns:r="http://schemas.openxmlformats.org/officeDocument/2006/relationships" name="আয়" sheetId="3" state="visible" r:id="rId3"/>
    <sheet xmlns:r="http://schemas.openxmlformats.org/officeDocument/2006/relationships" name="করজ" sheetId="4" state="visible" r:id="rId4"/>
    <sheet xmlns:r="http://schemas.openxmlformats.org/officeDocument/2006/relationships" name="পরিশোধ" sheetId="5" state="visible" r:id="rId5"/>
    <sheet xmlns:r="http://schemas.openxmlformats.org/officeDocument/2006/relationships" name="বকেয়া" sheetId="6" state="visible" r:id="rId6"/>
    <sheet xmlns:r="http://schemas.openxmlformats.org/officeDocument/2006/relationships" name="ড্যাশবোর্ড" sheetId="7" state="visible" r:id="rId7"/>
  </sheets>
  <definedNames>
    <definedName name="SupplierList">'বকেয়া'!$A$10:$A$109</definedName>
    <definedName name="_xlnm._FilterDatabase" localSheetId="1" hidden="1">'ব্যয়'!$A$1:$M$20000</definedName>
    <definedName name="_xlnm._FilterDatabase" localSheetId="2" hidden="1">'আয়'!$A$1:$C$20000</definedName>
    <definedName name="_xlnm._FilterDatabase" localSheetId="3" hidden="1">'করজ'!$A$1:$E$20000</definedName>
    <definedName name="_xlnm._FilterDatabase" localSheetId="4" hidden="1">'পরিশোধ'!$A$1:$F$20000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[$-1170401]yyyy-mm-dd"/>
  </numFmts>
  <fonts count="8">
    <font>
      <name val="Calibri"/>
      <family val="2"/>
      <color theme="1"/>
      <sz val="11"/>
      <scheme val="minor"/>
    </font>
    <font>
      <name val="Calibri"/>
      <b val="1"/>
      <color rgb="001A1208"/>
      <sz val="14"/>
    </font>
    <font>
      <b val="1"/>
      <sz val="11"/>
    </font>
    <font>
      <name val="Calibri"/>
      <b val="1"/>
      <color rgb="00F5E6C8"/>
      <sz val="11"/>
    </font>
    <font>
      <name val="Calibri"/>
      <color rgb="005C5346"/>
      <sz val="10"/>
    </font>
    <font>
      <b val="1"/>
      <color rgb="00C1440E"/>
      <sz val="14"/>
    </font>
    <font>
      <b val="1"/>
      <sz val="12"/>
    </font>
    <font>
      <b val="1"/>
      <color rgb="001A1208"/>
    </font>
  </fonts>
  <fills count="6">
    <fill>
      <patternFill/>
    </fill>
    <fill>
      <patternFill patternType="gray125"/>
    </fill>
    <fill>
      <patternFill patternType="solid">
        <fgColor rgb="001A1208"/>
      </patternFill>
    </fill>
    <fill>
      <patternFill patternType="solid">
        <fgColor rgb="00FFFBF2"/>
      </patternFill>
    </fill>
    <fill>
      <patternFill patternType="solid">
        <fgColor rgb="00F0F7F4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9D0C3"/>
      </left>
      <right style="thin">
        <color rgb="00D9D0C3"/>
      </right>
      <top style="thin">
        <color rgb="00D9D0C3"/>
      </top>
      <bottom style="thin">
        <color rgb="00D9D0C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0" borderId="0" pivotButton="0" quotePrefix="0" xfId="0"/>
    <xf numFmtId="166" fontId="0" fillId="3" borderId="1" pivotButton="0" quotePrefix="0" xfId="0"/>
    <xf numFmtId="0" fontId="0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5" borderId="1" pivotButton="0" quotePrefix="0" xfId="0"/>
    <xf numFmtId="3" fontId="0" fillId="4" borderId="1" pivotButton="0" quotePrefix="0" xfId="0"/>
    <xf numFmtId="3" fontId="5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5" borderId="1" pivotButton="0" quotePrefix="0" xfId="0"/>
    <xf numFmtId="3" fontId="0" fillId="0" borderId="1" pivotButton="0" quotePrefix="0" xfId="0"/>
    <xf numFmtId="3" fontId="0" fillId="5" borderId="1" pivotButton="0" quotePrefix="0" xfId="0"/>
    <xf numFmtId="0" fontId="0" fillId="0" borderId="1" pivotButton="0" quotePrefix="0" xfId="0"/>
    <xf numFmtId="0" fontId="7" fillId="5" borderId="1" pivotButton="0" quotePrefix="0" xfId="0"/>
    <xf numFmtId="3" fontId="7" fillId="5" borderId="1" pivotButton="0" quotePrefix="0" xfId="0"/>
    <xf numFmtId="0" fontId="7" fillId="3" borderId="1" pivotButton="0" quotePrefix="0" xfId="0"/>
    <xf numFmtId="0" fontId="0" fillId="3" borderId="1" applyAlignment="1" pivotButton="0" quotePrefix="0" xfId="0" applyProtection="1">
      <alignment vertical="center"/>
      <protection locked="0"/>
    </xf>
    <xf numFmtId="166" fontId="0" fillId="3" borderId="1" applyAlignment="1" pivotButton="0" quotePrefix="0" xfId="0" applyProtection="1">
      <alignment vertical="center"/>
      <protection locked="0"/>
    </xf>
    <xf numFmtId="165" fontId="0" fillId="3" borderId="1" applyAlignment="1" pivotButton="0" quotePrefix="0" xfId="0" applyProtection="1">
      <alignment vertical="center"/>
      <protection locked="0"/>
    </xf>
    <xf numFmtId="166" fontId="0" fillId="0" borderId="0" pivotButton="0" quotePrefix="0" xfId="0" applyProtection="1">
      <protection locked="0"/>
    </xf>
    <xf numFmtId="0" fontId="0" fillId="0" borderId="0" pivotButton="0" quotePrefix="0" xfId="0" applyProtection="1">
      <protection locked="0"/>
    </xf>
    <xf numFmtId="166" fontId="0" fillId="3" borderId="1" pivotButton="0" quotePrefix="0" xfId="0" applyProtection="1">
      <protection locked="0"/>
    </xf>
    <xf numFmtId="0" fontId="0" fillId="3" borderId="1" pivotButton="0" quotePrefix="0" xfId="0" applyProtection="1">
      <protection locked="0"/>
    </xf>
    <xf numFmtId="0" fontId="7" fillId="3" borderId="1" pivotButton="0" quotePrefix="0" xfId="0" applyProtection="1"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  <col hidden="1" width="13" customWidth="1" min="26" max="26"/>
  </cols>
  <sheetData>
    <row r="1">
      <c r="A1" s="1" t="inlineStr">
        <is>
          <t>দপ্তর হিসাব — স্ট্যান্ডার্ড Excel টেমপ্লেট</t>
        </is>
      </c>
      <c r="Z1" t="inlineStr">
        <is>
          <t>daftar-hisab-v3-20260723</t>
        </is>
      </c>
    </row>
    <row r="3" ht="40" customHeight="1">
      <c r="A3" s="2" t="inlineStr">
        <is>
          <t>এই ফাইল কী</t>
        </is>
      </c>
      <c r="B3" s="3" t="inlineStr">
        <is>
          <t>দৈনন্দিন সব লেনদেন এখানে রাখুন। দিনশেষে অ্যাপে আপলোড করলে অ্যাপ লেটেস্ট দেখাবে।</t>
        </is>
      </c>
    </row>
    <row r="4" ht="40" customHeight="1">
      <c r="A4" s="2" t="inlineStr">
        <is>
          <t>শীট</t>
        </is>
      </c>
      <c r="B4" s="3" t="inlineStr">
        <is>
          <t>ব্যয় · আয় · করজ · পরিশোধ · বকেয়া · ড্যাশবোর্ড। ব্যয়/আয়/করজ/পরিশোধ অ্যাপে যায়; বকেয়া ও ড্যাশবোর্ড হিসাব দেখায়।</t>
        </is>
      </c>
    </row>
    <row r="5" ht="40" customHeight="1">
      <c r="A5" s="2" t="inlineStr">
        <is>
          <t>ব্যয়</t>
        </is>
      </c>
      <c r="B5" s="3" t="inlineStr">
        <is>
          <t>মাতবাখ/মাদরাসা/তামিরাত/সাধারণ। বাকি কেনাকাটায় পরিশোধ=বাকি + সরবরাহকারী নাম।</t>
        </is>
      </c>
    </row>
    <row r="6" ht="40" customHeight="1">
      <c r="A6" s="2" t="inlineStr">
        <is>
          <t>মোট টাকা</t>
        </is>
      </c>
      <c r="B6" s="3" t="inlineStr">
        <is>
          <t>মোট টাকা নিজে লিখুন। পরিমাণ থাকলে একক মূল্য = মোট ÷ পরিমাণ হিসেবে অটো বসবে।</t>
        </is>
      </c>
    </row>
    <row r="7" ht="40" customHeight="1">
      <c r="A7" s="2" t="inlineStr">
        <is>
          <t>বকেয়া</t>
        </is>
      </c>
      <c r="B7" s="3" t="inlineStr">
        <is>
          <t>এই শীটের «সরবরাহকারী» কলামে নাম লিখুন — ব্যয় ও পরিশোধ শীটের ড্রপডাউনে অটো আসবে। অবশিষ্ট = বাকি কেনা − পরিশোধ।</t>
        </is>
      </c>
    </row>
    <row r="8" ht="40" customHeight="1">
      <c r="A8" s="2" t="inlineStr">
        <is>
          <t>পরিশোধ</t>
        </is>
      </c>
      <c r="B8" s="3" t="inlineStr">
        <is>
          <t>বকেয়া মেটানোর এন্ট্রি; সংশ্লিষ্ট হিসাব বিভাগ ও সরবরাহকারী বেছে নিন।</t>
        </is>
      </c>
    </row>
    <row r="9" ht="40" customHeight="1">
      <c r="A9" s="2" t="inlineStr">
        <is>
          <t>আয় / করজ</t>
        </is>
      </c>
      <c r="B9" s="3" t="inlineStr">
        <is>
          <t>নিয়মিত আয় আলাদা; করজে দেওয়া/আদায় করজ শীটে।</t>
        </is>
      </c>
    </row>
    <row r="10" ht="40" customHeight="1">
      <c r="A10" s="2" t="inlineStr">
        <is>
          <t>তারিখ</t>
        </is>
      </c>
      <c r="B10" s="3" t="inlineStr">
        <is>
          <t>ঘরটি আসল Excel Date; দেখা যাবে হিজরী সন-মাস-দিন। Date Filter/Sort কাজ করবে। নতুন তারিখ Excel date picker বা স্বীকৃত date entry দিয়ে দিন।</t>
        </is>
      </c>
    </row>
    <row r="11" ht="40" customHeight="1">
      <c r="A11" s="2" t="inlineStr">
        <is>
          <t>অ্যাপে</t>
        </is>
      </c>
      <c r="B11" s="3" t="inlineStr">
        <is>
          <t>হিসাব → এক্সেল ↧ → এই ফাইল আপলোড। একই ফাইল আবার দিলে একই সারি আপডেট হবে; ডুপ্লিকেট হবে না।</t>
        </is>
      </c>
    </row>
  </sheetData>
  <sheetProtection sheet="1" objects="1" scenarios="1" formatColumns="0" formatRows="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style="31" width="14" customWidth="1" min="1" max="1"/>
    <col style="31" width="14" customWidth="1" min="2" max="2"/>
    <col style="31" width="14" customWidth="1" min="3" max="3"/>
    <col style="31" width="26" customWidth="1" min="4" max="4"/>
    <col style="31" width="10" customWidth="1" min="5" max="5"/>
    <col style="31" width="10" customWidth="1" min="6" max="6"/>
    <col width="12" customWidth="1" min="7" max="7"/>
    <col style="31" width="16" customWidth="1" min="8" max="8"/>
    <col style="31" width="18" customWidth="1" min="9" max="9"/>
    <col style="31" width="12" customWidth="1" min="10" max="10"/>
    <col style="31" width="10" customWidth="1" min="11" max="11"/>
    <col hidden="1" width="13" customWidth="1" min="12" max="12"/>
    <col hidden="1" width="13" customWidth="1" min="13" max="13"/>
    <col width="55" customWidth="1" min="15" max="15"/>
  </cols>
  <sheetData>
    <row r="1" ht="30" customHeight="1">
      <c r="A1" s="4" t="inlineStr">
        <is>
          <t>হিসাব বিভাগ *</t>
        </is>
      </c>
      <c r="B1" s="4" t="inlineStr">
        <is>
          <t>তারিখ *</t>
        </is>
      </c>
      <c r="C1" s="4" t="inlineStr">
        <is>
          <t>খাত</t>
        </is>
      </c>
      <c r="D1" s="4" t="inlineStr">
        <is>
          <t>বিবরণ</t>
        </is>
      </c>
      <c r="E1" s="4" t="inlineStr">
        <is>
          <t>পরিমাণ</t>
        </is>
      </c>
      <c r="F1" s="4" t="inlineStr">
        <is>
          <t>মাপ</t>
        </is>
      </c>
      <c r="G1" s="4" t="inlineStr">
        <is>
          <t>একক মূল্য (অটো)</t>
        </is>
      </c>
      <c r="H1" s="4" t="inlineStr">
        <is>
          <t>মোট টাকা *</t>
        </is>
      </c>
      <c r="I1" s="4" t="inlineStr">
        <is>
          <t>সরবরাহকারী</t>
        </is>
      </c>
      <c r="J1" s="4" t="inlineStr">
        <is>
          <t>রশিদ নং</t>
        </is>
      </c>
      <c r="K1" s="4" t="inlineStr">
        <is>
          <t>পরিশোধ</t>
        </is>
      </c>
      <c r="L1" s="5" t="inlineStr">
        <is>
          <t>হিজরী বছর (অটো)</t>
        </is>
      </c>
      <c r="M1" s="5" t="inlineStr">
        <is>
          <t>হিজরী মাস নং (অটো)</t>
        </is>
      </c>
      <c r="O1" s="6" t="inlineStr">
        <is>
          <t>মোট টাকা ঘরে সরাসরি টাকা লিখুন। পরিমাণ থাকলে একক মূল্য = মোট টাকা ÷ পরিমাণ (অটো)। পরিমাণ না থাকলে একক মূল্য খালি থাকবে।</t>
        </is>
      </c>
    </row>
    <row r="2">
      <c r="A2" s="27" t="inlineStr">
        <is>
          <t>মাতবাখ</t>
        </is>
      </c>
      <c r="B2" s="28" t="n">
        <v>46102</v>
      </c>
      <c r="C2" s="27" t="inlineStr">
        <is>
          <t>কাঁচামাল</t>
        </is>
      </c>
      <c r="D2" s="27" t="inlineStr">
        <is>
          <t>চাল</t>
        </is>
      </c>
      <c r="E2" s="27" t="n">
        <v>50</v>
      </c>
      <c r="F2" s="27" t="inlineStr">
        <is>
          <t>কেজি</t>
        </is>
      </c>
      <c r="G2" s="9">
        <f>IF(AND(E2&lt;&gt;"",E2&lt;&gt;0,H2&lt;&gt;""),H2/E2,"")</f>
        <v/>
      </c>
      <c r="H2" s="29" t="n">
        <v>3500</v>
      </c>
      <c r="I2" s="27" t="inlineStr">
        <is>
          <t>রহিম স্টোর</t>
        </is>
      </c>
      <c r="J2" s="27" t="inlineStr">
        <is>
          <t>১০১</t>
        </is>
      </c>
      <c r="K2" s="27" t="inlineStr">
        <is>
          <t>নগদ</t>
        </is>
      </c>
      <c r="L2">
        <f>IF(B2="","",IFERROR(VALUE(TEXT(B2,"[$-1170401]yyyy")),""))</f>
        <v/>
      </c>
      <c r="M2">
        <f>IF(B2="","",IFERROR(VALUE(TEXT(B2,"[$-1170401]mm")),""))</f>
        <v/>
      </c>
    </row>
    <row r="3">
      <c r="A3" s="27" t="inlineStr">
        <is>
          <t>মাতবাখ</t>
        </is>
      </c>
      <c r="B3" s="28" t="n">
        <v>46103</v>
      </c>
      <c r="C3" s="27" t="inlineStr">
        <is>
          <t>কাঁচামাল</t>
        </is>
      </c>
      <c r="D3" s="27" t="inlineStr">
        <is>
          <t>ডাল</t>
        </is>
      </c>
      <c r="E3" s="27" t="n">
        <v>20</v>
      </c>
      <c r="F3" s="27" t="inlineStr">
        <is>
          <t>কেজি</t>
        </is>
      </c>
      <c r="G3" s="9">
        <f>IF(AND(E3&lt;&gt;"",E3&lt;&gt;0,H3&lt;&gt;""),H3/E3,"")</f>
        <v/>
      </c>
      <c r="H3" s="29" t="n">
        <v>2400</v>
      </c>
      <c r="I3" s="27" t="inlineStr">
        <is>
          <t>রহিম স্টোর</t>
        </is>
      </c>
      <c r="J3" s="27" t="inlineStr"/>
      <c r="K3" s="27" t="inlineStr">
        <is>
          <t>নগদ</t>
        </is>
      </c>
      <c r="L3">
        <f>IF(B3="","",IFERROR(VALUE(TEXT(B3,"[$-1170401]yyyy")),""))</f>
        <v/>
      </c>
      <c r="M3">
        <f>IF(B3="","",IFERROR(VALUE(TEXT(B3,"[$-1170401]mm")),""))</f>
        <v/>
      </c>
    </row>
    <row r="4">
      <c r="A4" s="27" t="inlineStr">
        <is>
          <t>মাদরাসা</t>
        </is>
      </c>
      <c r="B4" s="28" t="n">
        <v>46104</v>
      </c>
      <c r="C4" s="27" t="inlineStr">
        <is>
          <t>স্টেশনারি</t>
        </is>
      </c>
      <c r="D4" s="27" t="inlineStr">
        <is>
          <t>খাতা ও কলম</t>
        </is>
      </c>
      <c r="E4" s="27" t="n">
        <v>10</v>
      </c>
      <c r="F4" s="27" t="inlineStr">
        <is>
          <t>প্যাকেট</t>
        </is>
      </c>
      <c r="G4" s="9">
        <f>IF(AND(E4&lt;&gt;"",E4&lt;&gt;0,H4&lt;&gt;""),H4/E4,"")</f>
        <v/>
      </c>
      <c r="H4" s="29" t="n">
        <v>800</v>
      </c>
      <c r="I4" s="27" t="inlineStr">
        <is>
          <t>বইঘর</t>
        </is>
      </c>
      <c r="J4" s="27" t="inlineStr"/>
      <c r="K4" s="27" t="inlineStr">
        <is>
          <t>নগদ</t>
        </is>
      </c>
      <c r="L4">
        <f>IF(B4="","",IFERROR(VALUE(TEXT(B4,"[$-1170401]yyyy")),""))</f>
        <v/>
      </c>
      <c r="M4">
        <f>IF(B4="","",IFERROR(VALUE(TEXT(B4,"[$-1170401]mm")),""))</f>
        <v/>
      </c>
    </row>
    <row r="5">
      <c r="A5" s="27" t="inlineStr">
        <is>
          <t>তামিরাত</t>
        </is>
      </c>
      <c r="B5" s="28" t="n">
        <v>46090</v>
      </c>
      <c r="C5" s="27" t="inlineStr">
        <is>
          <t>মেরামত</t>
        </is>
      </c>
      <c r="D5" s="27" t="inlineStr">
        <is>
          <t>ছাদের প্লাস্টার</t>
        </is>
      </c>
      <c r="E5" s="27" t="n">
        <v>1</v>
      </c>
      <c r="F5" s="27" t="inlineStr">
        <is>
          <t>পিস</t>
        </is>
      </c>
      <c r="G5" s="9">
        <f>IF(AND(E5&lt;&gt;"",E5&lt;&gt;0,H5&lt;&gt;""),H5/E5,"")</f>
        <v/>
      </c>
      <c r="H5" s="29" t="n">
        <v>15000</v>
      </c>
      <c r="I5" s="27" t="inlineStr">
        <is>
          <t>রাজমিস্ত্রি করিম</t>
        </is>
      </c>
      <c r="J5" s="27" t="inlineStr"/>
      <c r="K5" s="27" t="inlineStr">
        <is>
          <t>বাকি</t>
        </is>
      </c>
      <c r="L5">
        <f>IF(B5="","",IFERROR(VALUE(TEXT(B5,"[$-1170401]yyyy")),""))</f>
        <v/>
      </c>
      <c r="M5">
        <f>IF(B5="","",IFERROR(VALUE(TEXT(B5,"[$-1170401]mm")),""))</f>
        <v/>
      </c>
    </row>
    <row r="6">
      <c r="A6" s="27" t="inlineStr">
        <is>
          <t>সাধারণ</t>
        </is>
      </c>
      <c r="B6" s="28" t="n">
        <v>46106</v>
      </c>
      <c r="C6" s="27" t="inlineStr">
        <is>
          <t>পরিবহন</t>
        </is>
      </c>
      <c r="D6" s="27" t="inlineStr">
        <is>
          <t>বাজার আনা-নেওয়া</t>
        </is>
      </c>
      <c r="E6" s="27" t="inlineStr"/>
      <c r="F6" s="27" t="inlineStr"/>
      <c r="G6" s="9">
        <f>IF(AND(E6&lt;&gt;"",E6&lt;&gt;0,H6&lt;&gt;""),H6/E6,"")</f>
        <v/>
      </c>
      <c r="H6" s="29" t="n">
        <v>500</v>
      </c>
      <c r="I6" s="27" t="inlineStr"/>
      <c r="J6" s="27" t="inlineStr"/>
      <c r="K6" s="27" t="inlineStr">
        <is>
          <t>নগদ</t>
        </is>
      </c>
      <c r="L6">
        <f>IF(B6="","",IFERROR(VALUE(TEXT(B6,"[$-1170401]yyyy")),""))</f>
        <v/>
      </c>
      <c r="M6">
        <f>IF(B6="","",IFERROR(VALUE(TEXT(B6,"[$-1170401]mm")),""))</f>
        <v/>
      </c>
    </row>
    <row r="7">
      <c r="A7" s="27" t="inlineStr">
        <is>
          <t>মাদরাসা</t>
        </is>
      </c>
      <c r="B7" s="28" t="n">
        <v>46213</v>
      </c>
      <c r="C7" s="27" t="inlineStr">
        <is>
          <t>বিদ্যুৎ</t>
        </is>
      </c>
      <c r="D7" s="27" t="inlineStr">
        <is>
          <t>বিদ্যুৎ বিল</t>
        </is>
      </c>
      <c r="E7" s="27" t="inlineStr"/>
      <c r="F7" s="27" t="inlineStr"/>
      <c r="G7" s="9">
        <f>IF(AND(E7&lt;&gt;"",E7&lt;&gt;0,H7&lt;&gt;""),H7/E7,"")</f>
        <v/>
      </c>
      <c r="H7" s="29" t="n">
        <v>4500</v>
      </c>
      <c r="I7" s="27" t="inlineStr">
        <is>
          <t>পল্লী বিদ্যুৎ</t>
        </is>
      </c>
      <c r="J7" s="27" t="inlineStr">
        <is>
          <t>বিল-৮৮</t>
        </is>
      </c>
      <c r="K7" s="27" t="inlineStr">
        <is>
          <t>নগদ</t>
        </is>
      </c>
      <c r="L7">
        <f>IF(B7="","",IFERROR(VALUE(TEXT(B7,"[$-1170401]yyyy")),""))</f>
        <v/>
      </c>
      <c r="M7">
        <f>IF(B7="","",IFERROR(VALUE(TEXT(B7,"[$-1170401]mm")),""))</f>
        <v/>
      </c>
    </row>
    <row r="8">
      <c r="B8" s="30" t="n"/>
      <c r="G8" s="9">
        <f>IF(AND(E8&lt;&gt;"",E8&lt;&gt;0,H8&lt;&gt;""),H8/E8,"")</f>
        <v/>
      </c>
      <c r="L8">
        <f>IF(B8="","",IFERROR(VALUE(TEXT(B8,"[$-1170401]yyyy")),""))</f>
        <v/>
      </c>
      <c r="M8">
        <f>IF(B8="","",IFERROR(VALUE(TEXT(B8,"[$-1170401]mm")),""))</f>
        <v/>
      </c>
    </row>
    <row r="9">
      <c r="B9" s="30" t="n"/>
      <c r="G9" s="9">
        <f>IF(AND(E9&lt;&gt;"",E9&lt;&gt;0,H9&lt;&gt;""),H9/E9,"")</f>
        <v/>
      </c>
      <c r="L9">
        <f>IF(B9="","",IFERROR(VALUE(TEXT(B9,"[$-1170401]yyyy")),""))</f>
        <v/>
      </c>
      <c r="M9">
        <f>IF(B9="","",IFERROR(VALUE(TEXT(B9,"[$-1170401]mm")),""))</f>
        <v/>
      </c>
    </row>
    <row r="10">
      <c r="B10" s="30" t="n"/>
      <c r="G10" s="9">
        <f>IF(AND(E10&lt;&gt;"",E10&lt;&gt;0,H10&lt;&gt;""),H10/E10,"")</f>
        <v/>
      </c>
      <c r="L10">
        <f>IF(B10="","",IFERROR(VALUE(TEXT(B10,"[$-1170401]yyyy")),""))</f>
        <v/>
      </c>
      <c r="M10">
        <f>IF(B10="","",IFERROR(VALUE(TEXT(B10,"[$-1170401]mm")),""))</f>
        <v/>
      </c>
    </row>
    <row r="11">
      <c r="B11" s="30" t="n"/>
      <c r="G11" s="9">
        <f>IF(AND(E11&lt;&gt;"",E11&lt;&gt;0,H11&lt;&gt;""),H11/E11,"")</f>
        <v/>
      </c>
      <c r="L11">
        <f>IF(B11="","",IFERROR(VALUE(TEXT(B11,"[$-1170401]yyyy")),""))</f>
        <v/>
      </c>
      <c r="M11">
        <f>IF(B11="","",IFERROR(VALUE(TEXT(B11,"[$-1170401]mm")),""))</f>
        <v/>
      </c>
    </row>
    <row r="12">
      <c r="B12" s="30" t="n"/>
      <c r="G12" s="9">
        <f>IF(AND(E12&lt;&gt;"",E12&lt;&gt;0,H12&lt;&gt;""),H12/E12,"")</f>
        <v/>
      </c>
      <c r="L12">
        <f>IF(B12="","",IFERROR(VALUE(TEXT(B12,"[$-1170401]yyyy")),""))</f>
        <v/>
      </c>
      <c r="M12">
        <f>IF(B12="","",IFERROR(VALUE(TEXT(B12,"[$-1170401]mm")),""))</f>
        <v/>
      </c>
    </row>
    <row r="13">
      <c r="B13" s="30" t="n"/>
      <c r="G13" s="9">
        <f>IF(AND(E13&lt;&gt;"",E13&lt;&gt;0,H13&lt;&gt;""),H13/E13,"")</f>
        <v/>
      </c>
      <c r="L13">
        <f>IF(B13="","",IFERROR(VALUE(TEXT(B13,"[$-1170401]yyyy")),""))</f>
        <v/>
      </c>
      <c r="M13">
        <f>IF(B13="","",IFERROR(VALUE(TEXT(B13,"[$-1170401]mm")),""))</f>
        <v/>
      </c>
    </row>
    <row r="14">
      <c r="B14" s="30" t="n"/>
      <c r="G14" s="9">
        <f>IF(AND(E14&lt;&gt;"",E14&lt;&gt;0,H14&lt;&gt;""),H14/E14,"")</f>
        <v/>
      </c>
      <c r="L14">
        <f>IF(B14="","",IFERROR(VALUE(TEXT(B14,"[$-1170401]yyyy")),""))</f>
        <v/>
      </c>
      <c r="M14">
        <f>IF(B14="","",IFERROR(VALUE(TEXT(B14,"[$-1170401]mm")),""))</f>
        <v/>
      </c>
    </row>
    <row r="15">
      <c r="B15" s="30" t="n"/>
      <c r="G15" s="9">
        <f>IF(AND(E15&lt;&gt;"",E15&lt;&gt;0,H15&lt;&gt;""),H15/E15,"")</f>
        <v/>
      </c>
      <c r="L15">
        <f>IF(B15="","",IFERROR(VALUE(TEXT(B15,"[$-1170401]yyyy")),""))</f>
        <v/>
      </c>
      <c r="M15">
        <f>IF(B15="","",IFERROR(VALUE(TEXT(B15,"[$-1170401]mm")),""))</f>
        <v/>
      </c>
    </row>
    <row r="16">
      <c r="B16" s="30" t="n"/>
      <c r="G16" s="9">
        <f>IF(AND(E16&lt;&gt;"",E16&lt;&gt;0,H16&lt;&gt;""),H16/E16,"")</f>
        <v/>
      </c>
      <c r="L16">
        <f>IF(B16="","",IFERROR(VALUE(TEXT(B16,"[$-1170401]yyyy")),""))</f>
        <v/>
      </c>
      <c r="M16">
        <f>IF(B16="","",IFERROR(VALUE(TEXT(B16,"[$-1170401]mm")),""))</f>
        <v/>
      </c>
    </row>
    <row r="17">
      <c r="B17" s="30" t="n"/>
      <c r="G17" s="9">
        <f>IF(AND(E17&lt;&gt;"",E17&lt;&gt;0,H17&lt;&gt;""),H17/E17,"")</f>
        <v/>
      </c>
      <c r="L17">
        <f>IF(B17="","",IFERROR(VALUE(TEXT(B17,"[$-1170401]yyyy")),""))</f>
        <v/>
      </c>
      <c r="M17">
        <f>IF(B17="","",IFERROR(VALUE(TEXT(B17,"[$-1170401]mm")),""))</f>
        <v/>
      </c>
    </row>
    <row r="18">
      <c r="B18" s="30" t="n"/>
      <c r="G18" s="9">
        <f>IF(AND(E18&lt;&gt;"",E18&lt;&gt;0,H18&lt;&gt;""),H18/E18,"")</f>
        <v/>
      </c>
      <c r="L18">
        <f>IF(B18="","",IFERROR(VALUE(TEXT(B18,"[$-1170401]yyyy")),""))</f>
        <v/>
      </c>
      <c r="M18">
        <f>IF(B18="","",IFERROR(VALUE(TEXT(B18,"[$-1170401]mm")),""))</f>
        <v/>
      </c>
    </row>
    <row r="19">
      <c r="B19" s="30" t="n"/>
      <c r="G19" s="9">
        <f>IF(AND(E19&lt;&gt;"",E19&lt;&gt;0,H19&lt;&gt;""),H19/E19,"")</f>
        <v/>
      </c>
      <c r="L19">
        <f>IF(B19="","",IFERROR(VALUE(TEXT(B19,"[$-1170401]yyyy")),""))</f>
        <v/>
      </c>
      <c r="M19">
        <f>IF(B19="","",IFERROR(VALUE(TEXT(B19,"[$-1170401]mm")),""))</f>
        <v/>
      </c>
    </row>
    <row r="20">
      <c r="B20" s="30" t="n"/>
      <c r="G20" s="9">
        <f>IF(AND(E20&lt;&gt;"",E20&lt;&gt;0,H20&lt;&gt;""),H20/E20,"")</f>
        <v/>
      </c>
      <c r="L20">
        <f>IF(B20="","",IFERROR(VALUE(TEXT(B20,"[$-1170401]yyyy")),""))</f>
        <v/>
      </c>
      <c r="M20">
        <f>IF(B20="","",IFERROR(VALUE(TEXT(B20,"[$-1170401]mm")),""))</f>
        <v/>
      </c>
    </row>
    <row r="21">
      <c r="B21" s="30" t="n"/>
      <c r="G21" s="9">
        <f>IF(AND(E21&lt;&gt;"",E21&lt;&gt;0,H21&lt;&gt;""),H21/E21,"")</f>
        <v/>
      </c>
      <c r="L21">
        <f>IF(B21="","",IFERROR(VALUE(TEXT(B21,"[$-1170401]yyyy")),""))</f>
        <v/>
      </c>
      <c r="M21">
        <f>IF(B21="","",IFERROR(VALUE(TEXT(B21,"[$-1170401]mm")),""))</f>
        <v/>
      </c>
    </row>
    <row r="22">
      <c r="B22" s="30" t="n"/>
      <c r="G22" s="9">
        <f>IF(AND(E22&lt;&gt;"",E22&lt;&gt;0,H22&lt;&gt;""),H22/E22,"")</f>
        <v/>
      </c>
      <c r="L22">
        <f>IF(B22="","",IFERROR(VALUE(TEXT(B22,"[$-1170401]yyyy")),""))</f>
        <v/>
      </c>
      <c r="M22">
        <f>IF(B22="","",IFERROR(VALUE(TEXT(B22,"[$-1170401]mm")),""))</f>
        <v/>
      </c>
    </row>
    <row r="23">
      <c r="B23" s="30" t="n"/>
      <c r="G23" s="9">
        <f>IF(AND(E23&lt;&gt;"",E23&lt;&gt;0,H23&lt;&gt;""),H23/E23,"")</f>
        <v/>
      </c>
      <c r="L23">
        <f>IF(B23="","",IFERROR(VALUE(TEXT(B23,"[$-1170401]yyyy")),""))</f>
        <v/>
      </c>
      <c r="M23">
        <f>IF(B23="","",IFERROR(VALUE(TEXT(B23,"[$-1170401]mm")),""))</f>
        <v/>
      </c>
    </row>
    <row r="24">
      <c r="B24" s="30" t="n"/>
      <c r="G24" s="9">
        <f>IF(AND(E24&lt;&gt;"",E24&lt;&gt;0,H24&lt;&gt;""),H24/E24,"")</f>
        <v/>
      </c>
      <c r="L24">
        <f>IF(B24="","",IFERROR(VALUE(TEXT(B24,"[$-1170401]yyyy")),""))</f>
        <v/>
      </c>
      <c r="M24">
        <f>IF(B24="","",IFERROR(VALUE(TEXT(B24,"[$-1170401]mm")),""))</f>
        <v/>
      </c>
    </row>
    <row r="25">
      <c r="B25" s="30" t="n"/>
      <c r="G25" s="9">
        <f>IF(AND(E25&lt;&gt;"",E25&lt;&gt;0,H25&lt;&gt;""),H25/E25,"")</f>
        <v/>
      </c>
      <c r="L25">
        <f>IF(B25="","",IFERROR(VALUE(TEXT(B25,"[$-1170401]yyyy")),""))</f>
        <v/>
      </c>
      <c r="M25">
        <f>IF(B25="","",IFERROR(VALUE(TEXT(B25,"[$-1170401]mm")),""))</f>
        <v/>
      </c>
    </row>
    <row r="26">
      <c r="B26" s="30" t="n"/>
      <c r="G26" s="9">
        <f>IF(AND(E26&lt;&gt;"",E26&lt;&gt;0,H26&lt;&gt;""),H26/E26,"")</f>
        <v/>
      </c>
      <c r="L26">
        <f>IF(B26="","",IFERROR(VALUE(TEXT(B26,"[$-1170401]yyyy")),""))</f>
        <v/>
      </c>
      <c r="M26">
        <f>IF(B26="","",IFERROR(VALUE(TEXT(B26,"[$-1170401]mm")),""))</f>
        <v/>
      </c>
    </row>
    <row r="27">
      <c r="B27" s="30" t="n"/>
      <c r="G27" s="9">
        <f>IF(AND(E27&lt;&gt;"",E27&lt;&gt;0,H27&lt;&gt;""),H27/E27,"")</f>
        <v/>
      </c>
      <c r="L27">
        <f>IF(B27="","",IFERROR(VALUE(TEXT(B27,"[$-1170401]yyyy")),""))</f>
        <v/>
      </c>
      <c r="M27">
        <f>IF(B27="","",IFERROR(VALUE(TEXT(B27,"[$-1170401]mm")),""))</f>
        <v/>
      </c>
    </row>
    <row r="28">
      <c r="B28" s="30" t="n"/>
      <c r="G28" s="9">
        <f>IF(AND(E28&lt;&gt;"",E28&lt;&gt;0,H28&lt;&gt;""),H28/E28,"")</f>
        <v/>
      </c>
      <c r="L28">
        <f>IF(B28="","",IFERROR(VALUE(TEXT(B28,"[$-1170401]yyyy")),""))</f>
        <v/>
      </c>
      <c r="M28">
        <f>IF(B28="","",IFERROR(VALUE(TEXT(B28,"[$-1170401]mm")),""))</f>
        <v/>
      </c>
    </row>
    <row r="29">
      <c r="B29" s="30" t="n"/>
      <c r="G29" s="9">
        <f>IF(AND(E29&lt;&gt;"",E29&lt;&gt;0,H29&lt;&gt;""),H29/E29,"")</f>
        <v/>
      </c>
      <c r="L29">
        <f>IF(B29="","",IFERROR(VALUE(TEXT(B29,"[$-1170401]yyyy")),""))</f>
        <v/>
      </c>
      <c r="M29">
        <f>IF(B29="","",IFERROR(VALUE(TEXT(B29,"[$-1170401]mm")),""))</f>
        <v/>
      </c>
    </row>
    <row r="30">
      <c r="B30" s="30" t="n"/>
      <c r="G30" s="9">
        <f>IF(AND(E30&lt;&gt;"",E30&lt;&gt;0,H30&lt;&gt;""),H30/E30,"")</f>
        <v/>
      </c>
      <c r="L30">
        <f>IF(B30="","",IFERROR(VALUE(TEXT(B30,"[$-1170401]yyyy")),""))</f>
        <v/>
      </c>
      <c r="M30">
        <f>IF(B30="","",IFERROR(VALUE(TEXT(B30,"[$-1170401]mm")),""))</f>
        <v/>
      </c>
    </row>
    <row r="31">
      <c r="B31" s="30" t="n"/>
      <c r="G31" s="9">
        <f>IF(AND(E31&lt;&gt;"",E31&lt;&gt;0,H31&lt;&gt;""),H31/E31,"")</f>
        <v/>
      </c>
      <c r="L31">
        <f>IF(B31="","",IFERROR(VALUE(TEXT(B31,"[$-1170401]yyyy")),""))</f>
        <v/>
      </c>
      <c r="M31">
        <f>IF(B31="","",IFERROR(VALUE(TEXT(B31,"[$-1170401]mm")),""))</f>
        <v/>
      </c>
    </row>
    <row r="32">
      <c r="B32" s="30" t="n"/>
      <c r="G32" s="9">
        <f>IF(AND(E32&lt;&gt;"",E32&lt;&gt;0,H32&lt;&gt;""),H32/E32,"")</f>
        <v/>
      </c>
      <c r="L32">
        <f>IF(B32="","",IFERROR(VALUE(TEXT(B32,"[$-1170401]yyyy")),""))</f>
        <v/>
      </c>
      <c r="M32">
        <f>IF(B32="","",IFERROR(VALUE(TEXT(B32,"[$-1170401]mm")),""))</f>
        <v/>
      </c>
    </row>
    <row r="33">
      <c r="B33" s="30" t="n"/>
      <c r="G33" s="9">
        <f>IF(AND(E33&lt;&gt;"",E33&lt;&gt;0,H33&lt;&gt;""),H33/E33,"")</f>
        <v/>
      </c>
      <c r="L33">
        <f>IF(B33="","",IFERROR(VALUE(TEXT(B33,"[$-1170401]yyyy")),""))</f>
        <v/>
      </c>
      <c r="M33">
        <f>IF(B33="","",IFERROR(VALUE(TEXT(B33,"[$-1170401]mm")),""))</f>
        <v/>
      </c>
    </row>
    <row r="34">
      <c r="B34" s="30" t="n"/>
      <c r="G34" s="9">
        <f>IF(AND(E34&lt;&gt;"",E34&lt;&gt;0,H34&lt;&gt;""),H34/E34,"")</f>
        <v/>
      </c>
      <c r="L34">
        <f>IF(B34="","",IFERROR(VALUE(TEXT(B34,"[$-1170401]yyyy")),""))</f>
        <v/>
      </c>
      <c r="M34">
        <f>IF(B34="","",IFERROR(VALUE(TEXT(B34,"[$-1170401]mm")),""))</f>
        <v/>
      </c>
    </row>
    <row r="35">
      <c r="B35" s="30" t="n"/>
      <c r="G35" s="9">
        <f>IF(AND(E35&lt;&gt;"",E35&lt;&gt;0,H35&lt;&gt;""),H35/E35,"")</f>
        <v/>
      </c>
      <c r="L35">
        <f>IF(B35="","",IFERROR(VALUE(TEXT(B35,"[$-1170401]yyyy")),""))</f>
        <v/>
      </c>
      <c r="M35">
        <f>IF(B35="","",IFERROR(VALUE(TEXT(B35,"[$-1170401]mm")),""))</f>
        <v/>
      </c>
    </row>
    <row r="36">
      <c r="B36" s="30" t="n"/>
      <c r="G36" s="9">
        <f>IF(AND(E36&lt;&gt;"",E36&lt;&gt;0,H36&lt;&gt;""),H36/E36,"")</f>
        <v/>
      </c>
      <c r="L36">
        <f>IF(B36="","",IFERROR(VALUE(TEXT(B36,"[$-1170401]yyyy")),""))</f>
        <v/>
      </c>
      <c r="M36">
        <f>IF(B36="","",IFERROR(VALUE(TEXT(B36,"[$-1170401]mm")),""))</f>
        <v/>
      </c>
    </row>
    <row r="37">
      <c r="B37" s="30" t="n"/>
      <c r="G37" s="9">
        <f>IF(AND(E37&lt;&gt;"",E37&lt;&gt;0,H37&lt;&gt;""),H37/E37,"")</f>
        <v/>
      </c>
      <c r="L37">
        <f>IF(B37="","",IFERROR(VALUE(TEXT(B37,"[$-1170401]yyyy")),""))</f>
        <v/>
      </c>
      <c r="M37">
        <f>IF(B37="","",IFERROR(VALUE(TEXT(B37,"[$-1170401]mm")),""))</f>
        <v/>
      </c>
    </row>
    <row r="38">
      <c r="B38" s="30" t="n"/>
      <c r="G38" s="9">
        <f>IF(AND(E38&lt;&gt;"",E38&lt;&gt;0,H38&lt;&gt;""),H38/E38,"")</f>
        <v/>
      </c>
      <c r="L38">
        <f>IF(B38="","",IFERROR(VALUE(TEXT(B38,"[$-1170401]yyyy")),""))</f>
        <v/>
      </c>
      <c r="M38">
        <f>IF(B38="","",IFERROR(VALUE(TEXT(B38,"[$-1170401]mm")),""))</f>
        <v/>
      </c>
    </row>
    <row r="39">
      <c r="B39" s="30" t="n"/>
      <c r="G39" s="9">
        <f>IF(AND(E39&lt;&gt;"",E39&lt;&gt;0,H39&lt;&gt;""),H39/E39,"")</f>
        <v/>
      </c>
      <c r="L39">
        <f>IF(B39="","",IFERROR(VALUE(TEXT(B39,"[$-1170401]yyyy")),""))</f>
        <v/>
      </c>
      <c r="M39">
        <f>IF(B39="","",IFERROR(VALUE(TEXT(B39,"[$-1170401]mm")),""))</f>
        <v/>
      </c>
    </row>
    <row r="40">
      <c r="B40" s="30" t="n"/>
      <c r="G40" s="9">
        <f>IF(AND(E40&lt;&gt;"",E40&lt;&gt;0,H40&lt;&gt;""),H40/E40,"")</f>
        <v/>
      </c>
      <c r="L40">
        <f>IF(B40="","",IFERROR(VALUE(TEXT(B40,"[$-1170401]yyyy")),""))</f>
        <v/>
      </c>
      <c r="M40">
        <f>IF(B40="","",IFERROR(VALUE(TEXT(B40,"[$-1170401]mm")),""))</f>
        <v/>
      </c>
    </row>
    <row r="41">
      <c r="B41" s="30" t="n"/>
      <c r="G41" s="9">
        <f>IF(AND(E41&lt;&gt;"",E41&lt;&gt;0,H41&lt;&gt;""),H41/E41,"")</f>
        <v/>
      </c>
      <c r="L41">
        <f>IF(B41="","",IFERROR(VALUE(TEXT(B41,"[$-1170401]yyyy")),""))</f>
        <v/>
      </c>
      <c r="M41">
        <f>IF(B41="","",IFERROR(VALUE(TEXT(B41,"[$-1170401]mm")),""))</f>
        <v/>
      </c>
    </row>
    <row r="42">
      <c r="B42" s="30" t="n"/>
      <c r="G42" s="9">
        <f>IF(AND(E42&lt;&gt;"",E42&lt;&gt;0,H42&lt;&gt;""),H42/E42,"")</f>
        <v/>
      </c>
      <c r="L42">
        <f>IF(B42="","",IFERROR(VALUE(TEXT(B42,"[$-1170401]yyyy")),""))</f>
        <v/>
      </c>
      <c r="M42">
        <f>IF(B42="","",IFERROR(VALUE(TEXT(B42,"[$-1170401]mm")),""))</f>
        <v/>
      </c>
    </row>
    <row r="43">
      <c r="B43" s="30" t="n"/>
      <c r="G43" s="9">
        <f>IF(AND(E43&lt;&gt;"",E43&lt;&gt;0,H43&lt;&gt;""),H43/E43,"")</f>
        <v/>
      </c>
      <c r="L43">
        <f>IF(B43="","",IFERROR(VALUE(TEXT(B43,"[$-1170401]yyyy")),""))</f>
        <v/>
      </c>
      <c r="M43">
        <f>IF(B43="","",IFERROR(VALUE(TEXT(B43,"[$-1170401]mm")),""))</f>
        <v/>
      </c>
    </row>
    <row r="44">
      <c r="B44" s="30" t="n"/>
      <c r="G44" s="9">
        <f>IF(AND(E44&lt;&gt;"",E44&lt;&gt;0,H44&lt;&gt;""),H44/E44,"")</f>
        <v/>
      </c>
      <c r="L44">
        <f>IF(B44="","",IFERROR(VALUE(TEXT(B44,"[$-1170401]yyyy")),""))</f>
        <v/>
      </c>
      <c r="M44">
        <f>IF(B44="","",IFERROR(VALUE(TEXT(B44,"[$-1170401]mm")),""))</f>
        <v/>
      </c>
    </row>
    <row r="45">
      <c r="B45" s="30" t="n"/>
      <c r="G45" s="9">
        <f>IF(AND(E45&lt;&gt;"",E45&lt;&gt;0,H45&lt;&gt;""),H45/E45,"")</f>
        <v/>
      </c>
      <c r="L45">
        <f>IF(B45="","",IFERROR(VALUE(TEXT(B45,"[$-1170401]yyyy")),""))</f>
        <v/>
      </c>
      <c r="M45">
        <f>IF(B45="","",IFERROR(VALUE(TEXT(B45,"[$-1170401]mm")),""))</f>
        <v/>
      </c>
    </row>
    <row r="46">
      <c r="B46" s="30" t="n"/>
      <c r="G46" s="9">
        <f>IF(AND(E46&lt;&gt;"",E46&lt;&gt;0,H46&lt;&gt;""),H46/E46,"")</f>
        <v/>
      </c>
      <c r="L46">
        <f>IF(B46="","",IFERROR(VALUE(TEXT(B46,"[$-1170401]yyyy")),""))</f>
        <v/>
      </c>
      <c r="M46">
        <f>IF(B46="","",IFERROR(VALUE(TEXT(B46,"[$-1170401]mm")),""))</f>
        <v/>
      </c>
    </row>
    <row r="47">
      <c r="B47" s="30" t="n"/>
      <c r="G47" s="9">
        <f>IF(AND(E47&lt;&gt;"",E47&lt;&gt;0,H47&lt;&gt;""),H47/E47,"")</f>
        <v/>
      </c>
      <c r="L47">
        <f>IF(B47="","",IFERROR(VALUE(TEXT(B47,"[$-1170401]yyyy")),""))</f>
        <v/>
      </c>
      <c r="M47">
        <f>IF(B47="","",IFERROR(VALUE(TEXT(B47,"[$-1170401]mm")),""))</f>
        <v/>
      </c>
    </row>
    <row r="48">
      <c r="B48" s="30" t="n"/>
      <c r="G48" s="9">
        <f>IF(AND(E48&lt;&gt;"",E48&lt;&gt;0,H48&lt;&gt;""),H48/E48,"")</f>
        <v/>
      </c>
      <c r="L48">
        <f>IF(B48="","",IFERROR(VALUE(TEXT(B48,"[$-1170401]yyyy")),""))</f>
        <v/>
      </c>
      <c r="M48">
        <f>IF(B48="","",IFERROR(VALUE(TEXT(B48,"[$-1170401]mm")),""))</f>
        <v/>
      </c>
    </row>
    <row r="49">
      <c r="B49" s="30" t="n"/>
      <c r="G49" s="9">
        <f>IF(AND(E49&lt;&gt;"",E49&lt;&gt;0,H49&lt;&gt;""),H49/E49,"")</f>
        <v/>
      </c>
      <c r="L49">
        <f>IF(B49="","",IFERROR(VALUE(TEXT(B49,"[$-1170401]yyyy")),""))</f>
        <v/>
      </c>
      <c r="M49">
        <f>IF(B49="","",IFERROR(VALUE(TEXT(B49,"[$-1170401]mm")),""))</f>
        <v/>
      </c>
    </row>
    <row r="50">
      <c r="B50" s="30" t="n"/>
      <c r="G50" s="9">
        <f>IF(AND(E50&lt;&gt;"",E50&lt;&gt;0,H50&lt;&gt;""),H50/E50,"")</f>
        <v/>
      </c>
      <c r="L50">
        <f>IF(B50="","",IFERROR(VALUE(TEXT(B50,"[$-1170401]yyyy")),""))</f>
        <v/>
      </c>
      <c r="M50">
        <f>IF(B50="","",IFERROR(VALUE(TEXT(B50,"[$-1170401]mm")),""))</f>
        <v/>
      </c>
    </row>
    <row r="51">
      <c r="B51" s="30" t="n"/>
      <c r="G51" s="9">
        <f>IF(AND(E51&lt;&gt;"",E51&lt;&gt;0,H51&lt;&gt;""),H51/E51,"")</f>
        <v/>
      </c>
      <c r="L51">
        <f>IF(B51="","",IFERROR(VALUE(TEXT(B51,"[$-1170401]yyyy")),""))</f>
        <v/>
      </c>
      <c r="M51">
        <f>IF(B51="","",IFERROR(VALUE(TEXT(B51,"[$-1170401]mm")),""))</f>
        <v/>
      </c>
    </row>
    <row r="52">
      <c r="B52" s="30" t="n"/>
      <c r="G52" s="9">
        <f>IF(AND(E52&lt;&gt;"",E52&lt;&gt;0,H52&lt;&gt;""),H52/E52,"")</f>
        <v/>
      </c>
      <c r="L52">
        <f>IF(B52="","",IFERROR(VALUE(TEXT(B52,"[$-1170401]yyyy")),""))</f>
        <v/>
      </c>
      <c r="M52">
        <f>IF(B52="","",IFERROR(VALUE(TEXT(B52,"[$-1170401]mm")),""))</f>
        <v/>
      </c>
    </row>
    <row r="53">
      <c r="B53" s="30" t="n"/>
      <c r="G53" s="9">
        <f>IF(AND(E53&lt;&gt;"",E53&lt;&gt;0,H53&lt;&gt;""),H53/E53,"")</f>
        <v/>
      </c>
      <c r="L53">
        <f>IF(B53="","",IFERROR(VALUE(TEXT(B53,"[$-1170401]yyyy")),""))</f>
        <v/>
      </c>
      <c r="M53">
        <f>IF(B53="","",IFERROR(VALUE(TEXT(B53,"[$-1170401]mm")),""))</f>
        <v/>
      </c>
    </row>
    <row r="54">
      <c r="B54" s="30" t="n"/>
      <c r="G54" s="9">
        <f>IF(AND(E54&lt;&gt;"",E54&lt;&gt;0,H54&lt;&gt;""),H54/E54,"")</f>
        <v/>
      </c>
      <c r="L54">
        <f>IF(B54="","",IFERROR(VALUE(TEXT(B54,"[$-1170401]yyyy")),""))</f>
        <v/>
      </c>
      <c r="M54">
        <f>IF(B54="","",IFERROR(VALUE(TEXT(B54,"[$-1170401]mm")),""))</f>
        <v/>
      </c>
    </row>
    <row r="55">
      <c r="B55" s="30" t="n"/>
      <c r="G55" s="9">
        <f>IF(AND(E55&lt;&gt;"",E55&lt;&gt;0,H55&lt;&gt;""),H55/E55,"")</f>
        <v/>
      </c>
      <c r="L55">
        <f>IF(B55="","",IFERROR(VALUE(TEXT(B55,"[$-1170401]yyyy")),""))</f>
        <v/>
      </c>
      <c r="M55">
        <f>IF(B55="","",IFERROR(VALUE(TEXT(B55,"[$-1170401]mm")),""))</f>
        <v/>
      </c>
    </row>
    <row r="56">
      <c r="B56" s="30" t="n"/>
      <c r="G56" s="9">
        <f>IF(AND(E56&lt;&gt;"",E56&lt;&gt;0,H56&lt;&gt;""),H56/E56,"")</f>
        <v/>
      </c>
      <c r="L56">
        <f>IF(B56="","",IFERROR(VALUE(TEXT(B56,"[$-1170401]yyyy")),""))</f>
        <v/>
      </c>
      <c r="M56">
        <f>IF(B56="","",IFERROR(VALUE(TEXT(B56,"[$-1170401]mm")),""))</f>
        <v/>
      </c>
    </row>
    <row r="57">
      <c r="B57" s="30" t="n"/>
      <c r="G57" s="9">
        <f>IF(AND(E57&lt;&gt;"",E57&lt;&gt;0,H57&lt;&gt;""),H57/E57,"")</f>
        <v/>
      </c>
      <c r="L57">
        <f>IF(B57="","",IFERROR(VALUE(TEXT(B57,"[$-1170401]yyyy")),""))</f>
        <v/>
      </c>
      <c r="M57">
        <f>IF(B57="","",IFERROR(VALUE(TEXT(B57,"[$-1170401]mm")),""))</f>
        <v/>
      </c>
    </row>
    <row r="58">
      <c r="B58" s="30" t="n"/>
      <c r="G58" s="9">
        <f>IF(AND(E58&lt;&gt;"",E58&lt;&gt;0,H58&lt;&gt;""),H58/E58,"")</f>
        <v/>
      </c>
      <c r="L58">
        <f>IF(B58="","",IFERROR(VALUE(TEXT(B58,"[$-1170401]yyyy")),""))</f>
        <v/>
      </c>
      <c r="M58">
        <f>IF(B58="","",IFERROR(VALUE(TEXT(B58,"[$-1170401]mm")),""))</f>
        <v/>
      </c>
    </row>
    <row r="59">
      <c r="B59" s="30" t="n"/>
      <c r="G59" s="9">
        <f>IF(AND(E59&lt;&gt;"",E59&lt;&gt;0,H59&lt;&gt;""),H59/E59,"")</f>
        <v/>
      </c>
      <c r="L59">
        <f>IF(B59="","",IFERROR(VALUE(TEXT(B59,"[$-1170401]yyyy")),""))</f>
        <v/>
      </c>
      <c r="M59">
        <f>IF(B59="","",IFERROR(VALUE(TEXT(B59,"[$-1170401]mm")),""))</f>
        <v/>
      </c>
    </row>
    <row r="60">
      <c r="B60" s="30" t="n"/>
      <c r="G60" s="9">
        <f>IF(AND(E60&lt;&gt;"",E60&lt;&gt;0,H60&lt;&gt;""),H60/E60,"")</f>
        <v/>
      </c>
      <c r="L60">
        <f>IF(B60="","",IFERROR(VALUE(TEXT(B60,"[$-1170401]yyyy")),""))</f>
        <v/>
      </c>
      <c r="M60">
        <f>IF(B60="","",IFERROR(VALUE(TEXT(B60,"[$-1170401]mm")),""))</f>
        <v/>
      </c>
    </row>
    <row r="61">
      <c r="B61" s="30" t="n"/>
      <c r="G61" s="9">
        <f>IF(AND(E61&lt;&gt;"",E61&lt;&gt;0,H61&lt;&gt;""),H61/E61,"")</f>
        <v/>
      </c>
      <c r="L61">
        <f>IF(B61="","",IFERROR(VALUE(TEXT(B61,"[$-1170401]yyyy")),""))</f>
        <v/>
      </c>
      <c r="M61">
        <f>IF(B61="","",IFERROR(VALUE(TEXT(B61,"[$-1170401]mm")),""))</f>
        <v/>
      </c>
    </row>
    <row r="62">
      <c r="B62" s="30" t="n"/>
      <c r="G62" s="9">
        <f>IF(AND(E62&lt;&gt;"",E62&lt;&gt;0,H62&lt;&gt;""),H62/E62,"")</f>
        <v/>
      </c>
      <c r="L62">
        <f>IF(B62="","",IFERROR(VALUE(TEXT(B62,"[$-1170401]yyyy")),""))</f>
        <v/>
      </c>
      <c r="M62">
        <f>IF(B62="","",IFERROR(VALUE(TEXT(B62,"[$-1170401]mm")),""))</f>
        <v/>
      </c>
    </row>
    <row r="63">
      <c r="B63" s="30" t="n"/>
      <c r="G63" s="9">
        <f>IF(AND(E63&lt;&gt;"",E63&lt;&gt;0,H63&lt;&gt;""),H63/E63,"")</f>
        <v/>
      </c>
      <c r="L63">
        <f>IF(B63="","",IFERROR(VALUE(TEXT(B63,"[$-1170401]yyyy")),""))</f>
        <v/>
      </c>
      <c r="M63">
        <f>IF(B63="","",IFERROR(VALUE(TEXT(B63,"[$-1170401]mm")),""))</f>
        <v/>
      </c>
    </row>
    <row r="64">
      <c r="B64" s="30" t="n"/>
      <c r="G64" s="9">
        <f>IF(AND(E64&lt;&gt;"",E64&lt;&gt;0,H64&lt;&gt;""),H64/E64,"")</f>
        <v/>
      </c>
      <c r="L64">
        <f>IF(B64="","",IFERROR(VALUE(TEXT(B64,"[$-1170401]yyyy")),""))</f>
        <v/>
      </c>
      <c r="M64">
        <f>IF(B64="","",IFERROR(VALUE(TEXT(B64,"[$-1170401]mm")),""))</f>
        <v/>
      </c>
    </row>
    <row r="65">
      <c r="B65" s="30" t="n"/>
      <c r="G65" s="9">
        <f>IF(AND(E65&lt;&gt;"",E65&lt;&gt;0,H65&lt;&gt;""),H65/E65,"")</f>
        <v/>
      </c>
      <c r="L65">
        <f>IF(B65="","",IFERROR(VALUE(TEXT(B65,"[$-1170401]yyyy")),""))</f>
        <v/>
      </c>
      <c r="M65">
        <f>IF(B65="","",IFERROR(VALUE(TEXT(B65,"[$-1170401]mm")),""))</f>
        <v/>
      </c>
    </row>
    <row r="66">
      <c r="B66" s="30" t="n"/>
      <c r="G66" s="9">
        <f>IF(AND(E66&lt;&gt;"",E66&lt;&gt;0,H66&lt;&gt;""),H66/E66,"")</f>
        <v/>
      </c>
      <c r="L66">
        <f>IF(B66="","",IFERROR(VALUE(TEXT(B66,"[$-1170401]yyyy")),""))</f>
        <v/>
      </c>
      <c r="M66">
        <f>IF(B66="","",IFERROR(VALUE(TEXT(B66,"[$-1170401]mm")),""))</f>
        <v/>
      </c>
    </row>
    <row r="67">
      <c r="B67" s="30" t="n"/>
      <c r="G67" s="9">
        <f>IF(AND(E67&lt;&gt;"",E67&lt;&gt;0,H67&lt;&gt;""),H67/E67,"")</f>
        <v/>
      </c>
      <c r="L67">
        <f>IF(B67="","",IFERROR(VALUE(TEXT(B67,"[$-1170401]yyyy")),""))</f>
        <v/>
      </c>
      <c r="M67">
        <f>IF(B67="","",IFERROR(VALUE(TEXT(B67,"[$-1170401]mm")),""))</f>
        <v/>
      </c>
    </row>
    <row r="68">
      <c r="B68" s="30" t="n"/>
      <c r="G68" s="9">
        <f>IF(AND(E68&lt;&gt;"",E68&lt;&gt;0,H68&lt;&gt;""),H68/E68,"")</f>
        <v/>
      </c>
      <c r="L68">
        <f>IF(B68="","",IFERROR(VALUE(TEXT(B68,"[$-1170401]yyyy")),""))</f>
        <v/>
      </c>
      <c r="M68">
        <f>IF(B68="","",IFERROR(VALUE(TEXT(B68,"[$-1170401]mm")),""))</f>
        <v/>
      </c>
    </row>
    <row r="69">
      <c r="B69" s="30" t="n"/>
      <c r="G69" s="9">
        <f>IF(AND(E69&lt;&gt;"",E69&lt;&gt;0,H69&lt;&gt;""),H69/E69,"")</f>
        <v/>
      </c>
      <c r="L69">
        <f>IF(B69="","",IFERROR(VALUE(TEXT(B69,"[$-1170401]yyyy")),""))</f>
        <v/>
      </c>
      <c r="M69">
        <f>IF(B69="","",IFERROR(VALUE(TEXT(B69,"[$-1170401]mm")),""))</f>
        <v/>
      </c>
    </row>
    <row r="70">
      <c r="B70" s="30" t="n"/>
      <c r="G70" s="9">
        <f>IF(AND(E70&lt;&gt;"",E70&lt;&gt;0,H70&lt;&gt;""),H70/E70,"")</f>
        <v/>
      </c>
      <c r="L70">
        <f>IF(B70="","",IFERROR(VALUE(TEXT(B70,"[$-1170401]yyyy")),""))</f>
        <v/>
      </c>
      <c r="M70">
        <f>IF(B70="","",IFERROR(VALUE(TEXT(B70,"[$-1170401]mm")),""))</f>
        <v/>
      </c>
    </row>
    <row r="71">
      <c r="B71" s="30" t="n"/>
      <c r="G71" s="9">
        <f>IF(AND(E71&lt;&gt;"",E71&lt;&gt;0,H71&lt;&gt;""),H71/E71,"")</f>
        <v/>
      </c>
      <c r="L71">
        <f>IF(B71="","",IFERROR(VALUE(TEXT(B71,"[$-1170401]yyyy")),""))</f>
        <v/>
      </c>
      <c r="M71">
        <f>IF(B71="","",IFERROR(VALUE(TEXT(B71,"[$-1170401]mm")),""))</f>
        <v/>
      </c>
    </row>
    <row r="72">
      <c r="B72" s="30" t="n"/>
      <c r="G72" s="9">
        <f>IF(AND(E72&lt;&gt;"",E72&lt;&gt;0,H72&lt;&gt;""),H72/E72,"")</f>
        <v/>
      </c>
      <c r="L72">
        <f>IF(B72="","",IFERROR(VALUE(TEXT(B72,"[$-1170401]yyyy")),""))</f>
        <v/>
      </c>
      <c r="M72">
        <f>IF(B72="","",IFERROR(VALUE(TEXT(B72,"[$-1170401]mm")),""))</f>
        <v/>
      </c>
    </row>
    <row r="73">
      <c r="B73" s="30" t="n"/>
      <c r="G73" s="9">
        <f>IF(AND(E73&lt;&gt;"",E73&lt;&gt;0,H73&lt;&gt;""),H73/E73,"")</f>
        <v/>
      </c>
      <c r="L73">
        <f>IF(B73="","",IFERROR(VALUE(TEXT(B73,"[$-1170401]yyyy")),""))</f>
        <v/>
      </c>
      <c r="M73">
        <f>IF(B73="","",IFERROR(VALUE(TEXT(B73,"[$-1170401]mm")),""))</f>
        <v/>
      </c>
    </row>
    <row r="74">
      <c r="B74" s="30" t="n"/>
      <c r="G74" s="9">
        <f>IF(AND(E74&lt;&gt;"",E74&lt;&gt;0,H74&lt;&gt;""),H74/E74,"")</f>
        <v/>
      </c>
      <c r="L74">
        <f>IF(B74="","",IFERROR(VALUE(TEXT(B74,"[$-1170401]yyyy")),""))</f>
        <v/>
      </c>
      <c r="M74">
        <f>IF(B74="","",IFERROR(VALUE(TEXT(B74,"[$-1170401]mm")),""))</f>
        <v/>
      </c>
    </row>
    <row r="75">
      <c r="B75" s="30" t="n"/>
      <c r="G75" s="9">
        <f>IF(AND(E75&lt;&gt;"",E75&lt;&gt;0,H75&lt;&gt;""),H75/E75,"")</f>
        <v/>
      </c>
      <c r="L75">
        <f>IF(B75="","",IFERROR(VALUE(TEXT(B75,"[$-1170401]yyyy")),""))</f>
        <v/>
      </c>
      <c r="M75">
        <f>IF(B75="","",IFERROR(VALUE(TEXT(B75,"[$-1170401]mm")),""))</f>
        <v/>
      </c>
    </row>
    <row r="76">
      <c r="B76" s="30" t="n"/>
      <c r="G76" s="9">
        <f>IF(AND(E76&lt;&gt;"",E76&lt;&gt;0,H76&lt;&gt;""),H76/E76,"")</f>
        <v/>
      </c>
      <c r="L76">
        <f>IF(B76="","",IFERROR(VALUE(TEXT(B76,"[$-1170401]yyyy")),""))</f>
        <v/>
      </c>
      <c r="M76">
        <f>IF(B76="","",IFERROR(VALUE(TEXT(B76,"[$-1170401]mm")),""))</f>
        <v/>
      </c>
    </row>
    <row r="77">
      <c r="B77" s="30" t="n"/>
      <c r="G77" s="9">
        <f>IF(AND(E77&lt;&gt;"",E77&lt;&gt;0,H77&lt;&gt;""),H77/E77,"")</f>
        <v/>
      </c>
      <c r="L77">
        <f>IF(B77="","",IFERROR(VALUE(TEXT(B77,"[$-1170401]yyyy")),""))</f>
        <v/>
      </c>
      <c r="M77">
        <f>IF(B77="","",IFERROR(VALUE(TEXT(B77,"[$-1170401]mm")),""))</f>
        <v/>
      </c>
    </row>
    <row r="78">
      <c r="B78" s="30" t="n"/>
      <c r="G78" s="9">
        <f>IF(AND(E78&lt;&gt;"",E78&lt;&gt;0,H78&lt;&gt;""),H78/E78,"")</f>
        <v/>
      </c>
      <c r="L78">
        <f>IF(B78="","",IFERROR(VALUE(TEXT(B78,"[$-1170401]yyyy")),""))</f>
        <v/>
      </c>
      <c r="M78">
        <f>IF(B78="","",IFERROR(VALUE(TEXT(B78,"[$-1170401]mm")),""))</f>
        <v/>
      </c>
    </row>
    <row r="79">
      <c r="B79" s="30" t="n"/>
      <c r="G79" s="9">
        <f>IF(AND(E79&lt;&gt;"",E79&lt;&gt;0,H79&lt;&gt;""),H79/E79,"")</f>
        <v/>
      </c>
      <c r="L79">
        <f>IF(B79="","",IFERROR(VALUE(TEXT(B79,"[$-1170401]yyyy")),""))</f>
        <v/>
      </c>
      <c r="M79">
        <f>IF(B79="","",IFERROR(VALUE(TEXT(B79,"[$-1170401]mm")),""))</f>
        <v/>
      </c>
    </row>
    <row r="80">
      <c r="B80" s="30" t="n"/>
      <c r="G80" s="9">
        <f>IF(AND(E80&lt;&gt;"",E80&lt;&gt;0,H80&lt;&gt;""),H80/E80,"")</f>
        <v/>
      </c>
      <c r="L80">
        <f>IF(B80="","",IFERROR(VALUE(TEXT(B80,"[$-1170401]yyyy")),""))</f>
        <v/>
      </c>
      <c r="M80">
        <f>IF(B80="","",IFERROR(VALUE(TEXT(B80,"[$-1170401]mm")),""))</f>
        <v/>
      </c>
    </row>
    <row r="81">
      <c r="B81" s="30" t="n"/>
      <c r="G81" s="9">
        <f>IF(AND(E81&lt;&gt;"",E81&lt;&gt;0,H81&lt;&gt;""),H81/E81,"")</f>
        <v/>
      </c>
      <c r="L81">
        <f>IF(B81="","",IFERROR(VALUE(TEXT(B81,"[$-1170401]yyyy")),""))</f>
        <v/>
      </c>
      <c r="M81">
        <f>IF(B81="","",IFERROR(VALUE(TEXT(B81,"[$-1170401]mm")),""))</f>
        <v/>
      </c>
    </row>
    <row r="82">
      <c r="B82" s="30" t="n"/>
      <c r="G82" s="9">
        <f>IF(AND(E82&lt;&gt;"",E82&lt;&gt;0,H82&lt;&gt;""),H82/E82,"")</f>
        <v/>
      </c>
      <c r="L82">
        <f>IF(B82="","",IFERROR(VALUE(TEXT(B82,"[$-1170401]yyyy")),""))</f>
        <v/>
      </c>
      <c r="M82">
        <f>IF(B82="","",IFERROR(VALUE(TEXT(B82,"[$-1170401]mm")),""))</f>
        <v/>
      </c>
    </row>
    <row r="83">
      <c r="B83" s="30" t="n"/>
      <c r="G83" s="9">
        <f>IF(AND(E83&lt;&gt;"",E83&lt;&gt;0,H83&lt;&gt;""),H83/E83,"")</f>
        <v/>
      </c>
      <c r="L83">
        <f>IF(B83="","",IFERROR(VALUE(TEXT(B83,"[$-1170401]yyyy")),""))</f>
        <v/>
      </c>
      <c r="M83">
        <f>IF(B83="","",IFERROR(VALUE(TEXT(B83,"[$-1170401]mm")),""))</f>
        <v/>
      </c>
    </row>
    <row r="84">
      <c r="B84" s="30" t="n"/>
      <c r="G84" s="9">
        <f>IF(AND(E84&lt;&gt;"",E84&lt;&gt;0,H84&lt;&gt;""),H84/E84,"")</f>
        <v/>
      </c>
      <c r="L84">
        <f>IF(B84="","",IFERROR(VALUE(TEXT(B84,"[$-1170401]yyyy")),""))</f>
        <v/>
      </c>
      <c r="M84">
        <f>IF(B84="","",IFERROR(VALUE(TEXT(B84,"[$-1170401]mm")),""))</f>
        <v/>
      </c>
    </row>
    <row r="85">
      <c r="B85" s="30" t="n"/>
      <c r="G85" s="9">
        <f>IF(AND(E85&lt;&gt;"",E85&lt;&gt;0,H85&lt;&gt;""),H85/E85,"")</f>
        <v/>
      </c>
      <c r="L85">
        <f>IF(B85="","",IFERROR(VALUE(TEXT(B85,"[$-1170401]yyyy")),""))</f>
        <v/>
      </c>
      <c r="M85">
        <f>IF(B85="","",IFERROR(VALUE(TEXT(B85,"[$-1170401]mm")),""))</f>
        <v/>
      </c>
    </row>
    <row r="86">
      <c r="B86" s="30" t="n"/>
      <c r="G86" s="9">
        <f>IF(AND(E86&lt;&gt;"",E86&lt;&gt;0,H86&lt;&gt;""),H86/E86,"")</f>
        <v/>
      </c>
      <c r="L86">
        <f>IF(B86="","",IFERROR(VALUE(TEXT(B86,"[$-1170401]yyyy")),""))</f>
        <v/>
      </c>
      <c r="M86">
        <f>IF(B86="","",IFERROR(VALUE(TEXT(B86,"[$-1170401]mm")),""))</f>
        <v/>
      </c>
    </row>
    <row r="87">
      <c r="B87" s="30" t="n"/>
      <c r="G87" s="9">
        <f>IF(AND(E87&lt;&gt;"",E87&lt;&gt;0,H87&lt;&gt;""),H87/E87,"")</f>
        <v/>
      </c>
      <c r="L87">
        <f>IF(B87="","",IFERROR(VALUE(TEXT(B87,"[$-1170401]yyyy")),""))</f>
        <v/>
      </c>
      <c r="M87">
        <f>IF(B87="","",IFERROR(VALUE(TEXT(B87,"[$-1170401]mm")),""))</f>
        <v/>
      </c>
    </row>
    <row r="88">
      <c r="B88" s="30" t="n"/>
      <c r="G88" s="9">
        <f>IF(AND(E88&lt;&gt;"",E88&lt;&gt;0,H88&lt;&gt;""),H88/E88,"")</f>
        <v/>
      </c>
      <c r="L88">
        <f>IF(B88="","",IFERROR(VALUE(TEXT(B88,"[$-1170401]yyyy")),""))</f>
        <v/>
      </c>
      <c r="M88">
        <f>IF(B88="","",IFERROR(VALUE(TEXT(B88,"[$-1170401]mm")),""))</f>
        <v/>
      </c>
    </row>
    <row r="89">
      <c r="B89" s="30" t="n"/>
      <c r="G89" s="9">
        <f>IF(AND(E89&lt;&gt;"",E89&lt;&gt;0,H89&lt;&gt;""),H89/E89,"")</f>
        <v/>
      </c>
      <c r="L89">
        <f>IF(B89="","",IFERROR(VALUE(TEXT(B89,"[$-1170401]yyyy")),""))</f>
        <v/>
      </c>
      <c r="M89">
        <f>IF(B89="","",IFERROR(VALUE(TEXT(B89,"[$-1170401]mm")),""))</f>
        <v/>
      </c>
    </row>
    <row r="90">
      <c r="B90" s="30" t="n"/>
      <c r="G90" s="9">
        <f>IF(AND(E90&lt;&gt;"",E90&lt;&gt;0,H90&lt;&gt;""),H90/E90,"")</f>
        <v/>
      </c>
      <c r="L90">
        <f>IF(B90="","",IFERROR(VALUE(TEXT(B90,"[$-1170401]yyyy")),""))</f>
        <v/>
      </c>
      <c r="M90">
        <f>IF(B90="","",IFERROR(VALUE(TEXT(B90,"[$-1170401]mm")),""))</f>
        <v/>
      </c>
    </row>
    <row r="91">
      <c r="B91" s="30" t="n"/>
      <c r="G91" s="9">
        <f>IF(AND(E91&lt;&gt;"",E91&lt;&gt;0,H91&lt;&gt;""),H91/E91,"")</f>
        <v/>
      </c>
      <c r="L91">
        <f>IF(B91="","",IFERROR(VALUE(TEXT(B91,"[$-1170401]yyyy")),""))</f>
        <v/>
      </c>
      <c r="M91">
        <f>IF(B91="","",IFERROR(VALUE(TEXT(B91,"[$-1170401]mm")),""))</f>
        <v/>
      </c>
    </row>
    <row r="92">
      <c r="B92" s="30" t="n"/>
      <c r="G92" s="9">
        <f>IF(AND(E92&lt;&gt;"",E92&lt;&gt;0,H92&lt;&gt;""),H92/E92,"")</f>
        <v/>
      </c>
      <c r="L92">
        <f>IF(B92="","",IFERROR(VALUE(TEXT(B92,"[$-1170401]yyyy")),""))</f>
        <v/>
      </c>
      <c r="M92">
        <f>IF(B92="","",IFERROR(VALUE(TEXT(B92,"[$-1170401]mm")),""))</f>
        <v/>
      </c>
    </row>
    <row r="93">
      <c r="B93" s="30" t="n"/>
      <c r="G93" s="9">
        <f>IF(AND(E93&lt;&gt;"",E93&lt;&gt;0,H93&lt;&gt;""),H93/E93,"")</f>
        <v/>
      </c>
      <c r="L93">
        <f>IF(B93="","",IFERROR(VALUE(TEXT(B93,"[$-1170401]yyyy")),""))</f>
        <v/>
      </c>
      <c r="M93">
        <f>IF(B93="","",IFERROR(VALUE(TEXT(B93,"[$-1170401]mm")),""))</f>
        <v/>
      </c>
    </row>
    <row r="94">
      <c r="B94" s="30" t="n"/>
      <c r="G94" s="9">
        <f>IF(AND(E94&lt;&gt;"",E94&lt;&gt;0,H94&lt;&gt;""),H94/E94,"")</f>
        <v/>
      </c>
      <c r="L94">
        <f>IF(B94="","",IFERROR(VALUE(TEXT(B94,"[$-1170401]yyyy")),""))</f>
        <v/>
      </c>
      <c r="M94">
        <f>IF(B94="","",IFERROR(VALUE(TEXT(B94,"[$-1170401]mm")),""))</f>
        <v/>
      </c>
    </row>
    <row r="95">
      <c r="B95" s="30" t="n"/>
      <c r="G95" s="9">
        <f>IF(AND(E95&lt;&gt;"",E95&lt;&gt;0,H95&lt;&gt;""),H95/E95,"")</f>
        <v/>
      </c>
      <c r="L95">
        <f>IF(B95="","",IFERROR(VALUE(TEXT(B95,"[$-1170401]yyyy")),""))</f>
        <v/>
      </c>
      <c r="M95">
        <f>IF(B95="","",IFERROR(VALUE(TEXT(B95,"[$-1170401]mm")),""))</f>
        <v/>
      </c>
    </row>
    <row r="96">
      <c r="B96" s="30" t="n"/>
      <c r="G96" s="9">
        <f>IF(AND(E96&lt;&gt;"",E96&lt;&gt;0,H96&lt;&gt;""),H96/E96,"")</f>
        <v/>
      </c>
      <c r="L96">
        <f>IF(B96="","",IFERROR(VALUE(TEXT(B96,"[$-1170401]yyyy")),""))</f>
        <v/>
      </c>
      <c r="M96">
        <f>IF(B96="","",IFERROR(VALUE(TEXT(B96,"[$-1170401]mm")),""))</f>
        <v/>
      </c>
    </row>
    <row r="97">
      <c r="B97" s="30" t="n"/>
      <c r="G97" s="9">
        <f>IF(AND(E97&lt;&gt;"",E97&lt;&gt;0,H97&lt;&gt;""),H97/E97,"")</f>
        <v/>
      </c>
      <c r="L97">
        <f>IF(B97="","",IFERROR(VALUE(TEXT(B97,"[$-1170401]yyyy")),""))</f>
        <v/>
      </c>
      <c r="M97">
        <f>IF(B97="","",IFERROR(VALUE(TEXT(B97,"[$-1170401]mm")),""))</f>
        <v/>
      </c>
    </row>
    <row r="98">
      <c r="B98" s="30" t="n"/>
      <c r="G98" s="9">
        <f>IF(AND(E98&lt;&gt;"",E98&lt;&gt;0,H98&lt;&gt;""),H98/E98,"")</f>
        <v/>
      </c>
      <c r="L98">
        <f>IF(B98="","",IFERROR(VALUE(TEXT(B98,"[$-1170401]yyyy")),""))</f>
        <v/>
      </c>
      <c r="M98">
        <f>IF(B98="","",IFERROR(VALUE(TEXT(B98,"[$-1170401]mm")),""))</f>
        <v/>
      </c>
    </row>
    <row r="99">
      <c r="B99" s="30" t="n"/>
      <c r="G99" s="9">
        <f>IF(AND(E99&lt;&gt;"",E99&lt;&gt;0,H99&lt;&gt;""),H99/E99,"")</f>
        <v/>
      </c>
      <c r="L99">
        <f>IF(B99="","",IFERROR(VALUE(TEXT(B99,"[$-1170401]yyyy")),""))</f>
        <v/>
      </c>
      <c r="M99">
        <f>IF(B99="","",IFERROR(VALUE(TEXT(B99,"[$-1170401]mm")),""))</f>
        <v/>
      </c>
    </row>
    <row r="100">
      <c r="B100" s="30" t="n"/>
      <c r="G100" s="9">
        <f>IF(AND(E100&lt;&gt;"",E100&lt;&gt;0,H100&lt;&gt;""),H100/E100,"")</f>
        <v/>
      </c>
      <c r="L100">
        <f>IF(B100="","",IFERROR(VALUE(TEXT(B100,"[$-1170401]yyyy")),""))</f>
        <v/>
      </c>
      <c r="M100">
        <f>IF(B100="","",IFERROR(VALUE(TEXT(B100,"[$-1170401]mm")),""))</f>
        <v/>
      </c>
    </row>
    <row r="101">
      <c r="B101" s="30" t="n"/>
      <c r="G101" s="9">
        <f>IF(AND(E101&lt;&gt;"",E101&lt;&gt;0,H101&lt;&gt;""),H101/E101,"")</f>
        <v/>
      </c>
      <c r="L101">
        <f>IF(B101="","",IFERROR(VALUE(TEXT(B101,"[$-1170401]yyyy")),""))</f>
        <v/>
      </c>
      <c r="M101">
        <f>IF(B101="","",IFERROR(VALUE(TEXT(B101,"[$-1170401]mm")),""))</f>
        <v/>
      </c>
    </row>
    <row r="102">
      <c r="B102" s="30" t="n"/>
      <c r="G102" s="9">
        <f>IF(AND(E102&lt;&gt;"",E102&lt;&gt;0,H102&lt;&gt;""),H102/E102,"")</f>
        <v/>
      </c>
      <c r="L102">
        <f>IF(B102="","",IFERROR(VALUE(TEXT(B102,"[$-1170401]yyyy")),""))</f>
        <v/>
      </c>
      <c r="M102">
        <f>IF(B102="","",IFERROR(VALUE(TEXT(B102,"[$-1170401]mm")),""))</f>
        <v/>
      </c>
    </row>
    <row r="103">
      <c r="B103" s="30" t="n"/>
      <c r="G103" s="9">
        <f>IF(AND(E103&lt;&gt;"",E103&lt;&gt;0,H103&lt;&gt;""),H103/E103,"")</f>
        <v/>
      </c>
      <c r="L103">
        <f>IF(B103="","",IFERROR(VALUE(TEXT(B103,"[$-1170401]yyyy")),""))</f>
        <v/>
      </c>
      <c r="M103">
        <f>IF(B103="","",IFERROR(VALUE(TEXT(B103,"[$-1170401]mm")),""))</f>
        <v/>
      </c>
    </row>
    <row r="104">
      <c r="B104" s="30" t="n"/>
      <c r="G104" s="9">
        <f>IF(AND(E104&lt;&gt;"",E104&lt;&gt;0,H104&lt;&gt;""),H104/E104,"")</f>
        <v/>
      </c>
      <c r="L104">
        <f>IF(B104="","",IFERROR(VALUE(TEXT(B104,"[$-1170401]yyyy")),""))</f>
        <v/>
      </c>
      <c r="M104">
        <f>IF(B104="","",IFERROR(VALUE(TEXT(B104,"[$-1170401]mm")),""))</f>
        <v/>
      </c>
    </row>
    <row r="105">
      <c r="B105" s="30" t="n"/>
      <c r="G105" s="9">
        <f>IF(AND(E105&lt;&gt;"",E105&lt;&gt;0,H105&lt;&gt;""),H105/E105,"")</f>
        <v/>
      </c>
      <c r="L105">
        <f>IF(B105="","",IFERROR(VALUE(TEXT(B105,"[$-1170401]yyyy")),""))</f>
        <v/>
      </c>
      <c r="M105">
        <f>IF(B105="","",IFERROR(VALUE(TEXT(B105,"[$-1170401]mm")),""))</f>
        <v/>
      </c>
    </row>
    <row r="106">
      <c r="B106" s="30" t="n"/>
      <c r="G106" s="9">
        <f>IF(AND(E106&lt;&gt;"",E106&lt;&gt;0,H106&lt;&gt;""),H106/E106,"")</f>
        <v/>
      </c>
      <c r="L106">
        <f>IF(B106="","",IFERROR(VALUE(TEXT(B106,"[$-1170401]yyyy")),""))</f>
        <v/>
      </c>
      <c r="M106">
        <f>IF(B106="","",IFERROR(VALUE(TEXT(B106,"[$-1170401]mm")),""))</f>
        <v/>
      </c>
    </row>
    <row r="107">
      <c r="B107" s="30" t="n"/>
      <c r="G107" s="9">
        <f>IF(AND(E107&lt;&gt;"",E107&lt;&gt;0,H107&lt;&gt;""),H107/E107,"")</f>
        <v/>
      </c>
      <c r="L107">
        <f>IF(B107="","",IFERROR(VALUE(TEXT(B107,"[$-1170401]yyyy")),""))</f>
        <v/>
      </c>
      <c r="M107">
        <f>IF(B107="","",IFERROR(VALUE(TEXT(B107,"[$-1170401]mm")),""))</f>
        <v/>
      </c>
    </row>
    <row r="108">
      <c r="B108" s="30" t="n"/>
      <c r="G108" s="9">
        <f>IF(AND(E108&lt;&gt;"",E108&lt;&gt;0,H108&lt;&gt;""),H108/E108,"")</f>
        <v/>
      </c>
      <c r="L108">
        <f>IF(B108="","",IFERROR(VALUE(TEXT(B108,"[$-1170401]yyyy")),""))</f>
        <v/>
      </c>
      <c r="M108">
        <f>IF(B108="","",IFERROR(VALUE(TEXT(B108,"[$-1170401]mm")),""))</f>
        <v/>
      </c>
    </row>
    <row r="109">
      <c r="B109" s="30" t="n"/>
      <c r="G109" s="9">
        <f>IF(AND(E109&lt;&gt;"",E109&lt;&gt;0,H109&lt;&gt;""),H109/E109,"")</f>
        <v/>
      </c>
      <c r="L109">
        <f>IF(B109="","",IFERROR(VALUE(TEXT(B109,"[$-1170401]yyyy")),""))</f>
        <v/>
      </c>
      <c r="M109">
        <f>IF(B109="","",IFERROR(VALUE(TEXT(B109,"[$-1170401]mm")),""))</f>
        <v/>
      </c>
    </row>
    <row r="110">
      <c r="B110" s="30" t="n"/>
      <c r="G110" s="9">
        <f>IF(AND(E110&lt;&gt;"",E110&lt;&gt;0,H110&lt;&gt;""),H110/E110,"")</f>
        <v/>
      </c>
      <c r="L110">
        <f>IF(B110="","",IFERROR(VALUE(TEXT(B110,"[$-1170401]yyyy")),""))</f>
        <v/>
      </c>
      <c r="M110">
        <f>IF(B110="","",IFERROR(VALUE(TEXT(B110,"[$-1170401]mm")),""))</f>
        <v/>
      </c>
    </row>
    <row r="111">
      <c r="B111" s="30" t="n"/>
      <c r="G111" s="9">
        <f>IF(AND(E111&lt;&gt;"",E111&lt;&gt;0,H111&lt;&gt;""),H111/E111,"")</f>
        <v/>
      </c>
      <c r="L111">
        <f>IF(B111="","",IFERROR(VALUE(TEXT(B111,"[$-1170401]yyyy")),""))</f>
        <v/>
      </c>
      <c r="M111">
        <f>IF(B111="","",IFERROR(VALUE(TEXT(B111,"[$-1170401]mm")),""))</f>
        <v/>
      </c>
    </row>
    <row r="112">
      <c r="B112" s="30" t="n"/>
      <c r="G112" s="9">
        <f>IF(AND(E112&lt;&gt;"",E112&lt;&gt;0,H112&lt;&gt;""),H112/E112,"")</f>
        <v/>
      </c>
      <c r="L112">
        <f>IF(B112="","",IFERROR(VALUE(TEXT(B112,"[$-1170401]yyyy")),""))</f>
        <v/>
      </c>
      <c r="M112">
        <f>IF(B112="","",IFERROR(VALUE(TEXT(B112,"[$-1170401]mm")),""))</f>
        <v/>
      </c>
    </row>
    <row r="113">
      <c r="B113" s="30" t="n"/>
      <c r="G113" s="9">
        <f>IF(AND(E113&lt;&gt;"",E113&lt;&gt;0,H113&lt;&gt;""),H113/E113,"")</f>
        <v/>
      </c>
      <c r="L113">
        <f>IF(B113="","",IFERROR(VALUE(TEXT(B113,"[$-1170401]yyyy")),""))</f>
        <v/>
      </c>
      <c r="M113">
        <f>IF(B113="","",IFERROR(VALUE(TEXT(B113,"[$-1170401]mm")),""))</f>
        <v/>
      </c>
    </row>
    <row r="114">
      <c r="B114" s="30" t="n"/>
      <c r="G114" s="9">
        <f>IF(AND(E114&lt;&gt;"",E114&lt;&gt;0,H114&lt;&gt;""),H114/E114,"")</f>
        <v/>
      </c>
      <c r="L114">
        <f>IF(B114="","",IFERROR(VALUE(TEXT(B114,"[$-1170401]yyyy")),""))</f>
        <v/>
      </c>
      <c r="M114">
        <f>IF(B114="","",IFERROR(VALUE(TEXT(B114,"[$-1170401]mm")),""))</f>
        <v/>
      </c>
    </row>
    <row r="115">
      <c r="B115" s="30" t="n"/>
      <c r="G115" s="9">
        <f>IF(AND(E115&lt;&gt;"",E115&lt;&gt;0,H115&lt;&gt;""),H115/E115,"")</f>
        <v/>
      </c>
      <c r="L115">
        <f>IF(B115="","",IFERROR(VALUE(TEXT(B115,"[$-1170401]yyyy")),""))</f>
        <v/>
      </c>
      <c r="M115">
        <f>IF(B115="","",IFERROR(VALUE(TEXT(B115,"[$-1170401]mm")),""))</f>
        <v/>
      </c>
    </row>
    <row r="116">
      <c r="B116" s="30" t="n"/>
      <c r="G116" s="9">
        <f>IF(AND(E116&lt;&gt;"",E116&lt;&gt;0,H116&lt;&gt;""),H116/E116,"")</f>
        <v/>
      </c>
      <c r="L116">
        <f>IF(B116="","",IFERROR(VALUE(TEXT(B116,"[$-1170401]yyyy")),""))</f>
        <v/>
      </c>
      <c r="M116">
        <f>IF(B116="","",IFERROR(VALUE(TEXT(B116,"[$-1170401]mm")),""))</f>
        <v/>
      </c>
    </row>
    <row r="117">
      <c r="B117" s="30" t="n"/>
      <c r="G117" s="9">
        <f>IF(AND(E117&lt;&gt;"",E117&lt;&gt;0,H117&lt;&gt;""),H117/E117,"")</f>
        <v/>
      </c>
      <c r="L117">
        <f>IF(B117="","",IFERROR(VALUE(TEXT(B117,"[$-1170401]yyyy")),""))</f>
        <v/>
      </c>
      <c r="M117">
        <f>IF(B117="","",IFERROR(VALUE(TEXT(B117,"[$-1170401]mm")),""))</f>
        <v/>
      </c>
    </row>
    <row r="118">
      <c r="B118" s="30" t="n"/>
      <c r="G118" s="9">
        <f>IF(AND(E118&lt;&gt;"",E118&lt;&gt;0,H118&lt;&gt;""),H118/E118,"")</f>
        <v/>
      </c>
      <c r="L118">
        <f>IF(B118="","",IFERROR(VALUE(TEXT(B118,"[$-1170401]yyyy")),""))</f>
        <v/>
      </c>
      <c r="M118">
        <f>IF(B118="","",IFERROR(VALUE(TEXT(B118,"[$-1170401]mm")),""))</f>
        <v/>
      </c>
    </row>
    <row r="119">
      <c r="B119" s="30" t="n"/>
      <c r="G119" s="9">
        <f>IF(AND(E119&lt;&gt;"",E119&lt;&gt;0,H119&lt;&gt;""),H119/E119,"")</f>
        <v/>
      </c>
      <c r="L119">
        <f>IF(B119="","",IFERROR(VALUE(TEXT(B119,"[$-1170401]yyyy")),""))</f>
        <v/>
      </c>
      <c r="M119">
        <f>IF(B119="","",IFERROR(VALUE(TEXT(B119,"[$-1170401]mm")),""))</f>
        <v/>
      </c>
    </row>
    <row r="120">
      <c r="B120" s="30" t="n"/>
      <c r="G120" s="9">
        <f>IF(AND(E120&lt;&gt;"",E120&lt;&gt;0,H120&lt;&gt;""),H120/E120,"")</f>
        <v/>
      </c>
      <c r="L120">
        <f>IF(B120="","",IFERROR(VALUE(TEXT(B120,"[$-1170401]yyyy")),""))</f>
        <v/>
      </c>
      <c r="M120">
        <f>IF(B120="","",IFERROR(VALUE(TEXT(B120,"[$-1170401]mm")),""))</f>
        <v/>
      </c>
    </row>
    <row r="121">
      <c r="B121" s="30" t="n"/>
      <c r="G121" s="9">
        <f>IF(AND(E121&lt;&gt;"",E121&lt;&gt;0,H121&lt;&gt;""),H121/E121,"")</f>
        <v/>
      </c>
      <c r="L121">
        <f>IF(B121="","",IFERROR(VALUE(TEXT(B121,"[$-1170401]yyyy")),""))</f>
        <v/>
      </c>
      <c r="M121">
        <f>IF(B121="","",IFERROR(VALUE(TEXT(B121,"[$-1170401]mm")),""))</f>
        <v/>
      </c>
    </row>
    <row r="122">
      <c r="B122" s="30" t="n"/>
      <c r="G122" s="9">
        <f>IF(AND(E122&lt;&gt;"",E122&lt;&gt;0,H122&lt;&gt;""),H122/E122,"")</f>
        <v/>
      </c>
      <c r="L122">
        <f>IF(B122="","",IFERROR(VALUE(TEXT(B122,"[$-1170401]yyyy")),""))</f>
        <v/>
      </c>
      <c r="M122">
        <f>IF(B122="","",IFERROR(VALUE(TEXT(B122,"[$-1170401]mm")),""))</f>
        <v/>
      </c>
    </row>
    <row r="123">
      <c r="B123" s="30" t="n"/>
      <c r="G123" s="9">
        <f>IF(AND(E123&lt;&gt;"",E123&lt;&gt;0,H123&lt;&gt;""),H123/E123,"")</f>
        <v/>
      </c>
      <c r="L123">
        <f>IF(B123="","",IFERROR(VALUE(TEXT(B123,"[$-1170401]yyyy")),""))</f>
        <v/>
      </c>
      <c r="M123">
        <f>IF(B123="","",IFERROR(VALUE(TEXT(B123,"[$-1170401]mm")),""))</f>
        <v/>
      </c>
    </row>
    <row r="124">
      <c r="B124" s="30" t="n"/>
      <c r="G124" s="9">
        <f>IF(AND(E124&lt;&gt;"",E124&lt;&gt;0,H124&lt;&gt;""),H124/E124,"")</f>
        <v/>
      </c>
      <c r="L124">
        <f>IF(B124="","",IFERROR(VALUE(TEXT(B124,"[$-1170401]yyyy")),""))</f>
        <v/>
      </c>
      <c r="M124">
        <f>IF(B124="","",IFERROR(VALUE(TEXT(B124,"[$-1170401]mm")),""))</f>
        <v/>
      </c>
    </row>
    <row r="125">
      <c r="B125" s="30" t="n"/>
      <c r="G125" s="9">
        <f>IF(AND(E125&lt;&gt;"",E125&lt;&gt;0,H125&lt;&gt;""),H125/E125,"")</f>
        <v/>
      </c>
      <c r="L125">
        <f>IF(B125="","",IFERROR(VALUE(TEXT(B125,"[$-1170401]yyyy")),""))</f>
        <v/>
      </c>
      <c r="M125">
        <f>IF(B125="","",IFERROR(VALUE(TEXT(B125,"[$-1170401]mm")),""))</f>
        <v/>
      </c>
    </row>
    <row r="126">
      <c r="B126" s="30" t="n"/>
      <c r="G126" s="9">
        <f>IF(AND(E126&lt;&gt;"",E126&lt;&gt;0,H126&lt;&gt;""),H126/E126,"")</f>
        <v/>
      </c>
      <c r="L126">
        <f>IF(B126="","",IFERROR(VALUE(TEXT(B126,"[$-1170401]yyyy")),""))</f>
        <v/>
      </c>
      <c r="M126">
        <f>IF(B126="","",IFERROR(VALUE(TEXT(B126,"[$-1170401]mm")),""))</f>
        <v/>
      </c>
    </row>
    <row r="127">
      <c r="B127" s="30" t="n"/>
      <c r="G127" s="9">
        <f>IF(AND(E127&lt;&gt;"",E127&lt;&gt;0,H127&lt;&gt;""),H127/E127,"")</f>
        <v/>
      </c>
      <c r="L127">
        <f>IF(B127="","",IFERROR(VALUE(TEXT(B127,"[$-1170401]yyyy")),""))</f>
        <v/>
      </c>
      <c r="M127">
        <f>IF(B127="","",IFERROR(VALUE(TEXT(B127,"[$-1170401]mm")),""))</f>
        <v/>
      </c>
    </row>
    <row r="128">
      <c r="B128" s="30" t="n"/>
      <c r="G128" s="9">
        <f>IF(AND(E128&lt;&gt;"",E128&lt;&gt;0,H128&lt;&gt;""),H128/E128,"")</f>
        <v/>
      </c>
      <c r="L128">
        <f>IF(B128="","",IFERROR(VALUE(TEXT(B128,"[$-1170401]yyyy")),""))</f>
        <v/>
      </c>
      <c r="M128">
        <f>IF(B128="","",IFERROR(VALUE(TEXT(B128,"[$-1170401]mm")),""))</f>
        <v/>
      </c>
    </row>
    <row r="129">
      <c r="B129" s="30" t="n"/>
      <c r="G129" s="9">
        <f>IF(AND(E129&lt;&gt;"",E129&lt;&gt;0,H129&lt;&gt;""),H129/E129,"")</f>
        <v/>
      </c>
      <c r="L129">
        <f>IF(B129="","",IFERROR(VALUE(TEXT(B129,"[$-1170401]yyyy")),""))</f>
        <v/>
      </c>
      <c r="M129">
        <f>IF(B129="","",IFERROR(VALUE(TEXT(B129,"[$-1170401]mm")),""))</f>
        <v/>
      </c>
    </row>
    <row r="130">
      <c r="B130" s="30" t="n"/>
      <c r="G130" s="9">
        <f>IF(AND(E130&lt;&gt;"",E130&lt;&gt;0,H130&lt;&gt;""),H130/E130,"")</f>
        <v/>
      </c>
      <c r="L130">
        <f>IF(B130="","",IFERROR(VALUE(TEXT(B130,"[$-1170401]yyyy")),""))</f>
        <v/>
      </c>
      <c r="M130">
        <f>IF(B130="","",IFERROR(VALUE(TEXT(B130,"[$-1170401]mm")),""))</f>
        <v/>
      </c>
    </row>
    <row r="131">
      <c r="B131" s="30" t="n"/>
      <c r="G131" s="9">
        <f>IF(AND(E131&lt;&gt;"",E131&lt;&gt;0,H131&lt;&gt;""),H131/E131,"")</f>
        <v/>
      </c>
      <c r="L131">
        <f>IF(B131="","",IFERROR(VALUE(TEXT(B131,"[$-1170401]yyyy")),""))</f>
        <v/>
      </c>
      <c r="M131">
        <f>IF(B131="","",IFERROR(VALUE(TEXT(B131,"[$-1170401]mm")),""))</f>
        <v/>
      </c>
    </row>
    <row r="132">
      <c r="B132" s="30" t="n"/>
      <c r="G132" s="9">
        <f>IF(AND(E132&lt;&gt;"",E132&lt;&gt;0,H132&lt;&gt;""),H132/E132,"")</f>
        <v/>
      </c>
      <c r="L132">
        <f>IF(B132="","",IFERROR(VALUE(TEXT(B132,"[$-1170401]yyyy")),""))</f>
        <v/>
      </c>
      <c r="M132">
        <f>IF(B132="","",IFERROR(VALUE(TEXT(B132,"[$-1170401]mm")),""))</f>
        <v/>
      </c>
    </row>
    <row r="133">
      <c r="B133" s="30" t="n"/>
      <c r="G133" s="9">
        <f>IF(AND(E133&lt;&gt;"",E133&lt;&gt;0,H133&lt;&gt;""),H133/E133,"")</f>
        <v/>
      </c>
      <c r="L133">
        <f>IF(B133="","",IFERROR(VALUE(TEXT(B133,"[$-1170401]yyyy")),""))</f>
        <v/>
      </c>
      <c r="M133">
        <f>IF(B133="","",IFERROR(VALUE(TEXT(B133,"[$-1170401]mm")),""))</f>
        <v/>
      </c>
    </row>
    <row r="134">
      <c r="B134" s="30" t="n"/>
      <c r="G134" s="9">
        <f>IF(AND(E134&lt;&gt;"",E134&lt;&gt;0,H134&lt;&gt;""),H134/E134,"")</f>
        <v/>
      </c>
      <c r="L134">
        <f>IF(B134="","",IFERROR(VALUE(TEXT(B134,"[$-1170401]yyyy")),""))</f>
        <v/>
      </c>
      <c r="M134">
        <f>IF(B134="","",IFERROR(VALUE(TEXT(B134,"[$-1170401]mm")),""))</f>
        <v/>
      </c>
    </row>
    <row r="135">
      <c r="B135" s="30" t="n"/>
      <c r="G135" s="9">
        <f>IF(AND(E135&lt;&gt;"",E135&lt;&gt;0,H135&lt;&gt;""),H135/E135,"")</f>
        <v/>
      </c>
      <c r="L135">
        <f>IF(B135="","",IFERROR(VALUE(TEXT(B135,"[$-1170401]yyyy")),""))</f>
        <v/>
      </c>
      <c r="M135">
        <f>IF(B135="","",IFERROR(VALUE(TEXT(B135,"[$-1170401]mm")),""))</f>
        <v/>
      </c>
    </row>
    <row r="136">
      <c r="B136" s="30" t="n"/>
      <c r="G136" s="9">
        <f>IF(AND(E136&lt;&gt;"",E136&lt;&gt;0,H136&lt;&gt;""),H136/E136,"")</f>
        <v/>
      </c>
      <c r="L136">
        <f>IF(B136="","",IFERROR(VALUE(TEXT(B136,"[$-1170401]yyyy")),""))</f>
        <v/>
      </c>
      <c r="M136">
        <f>IF(B136="","",IFERROR(VALUE(TEXT(B136,"[$-1170401]mm")),""))</f>
        <v/>
      </c>
    </row>
    <row r="137">
      <c r="B137" s="30" t="n"/>
      <c r="G137" s="9">
        <f>IF(AND(E137&lt;&gt;"",E137&lt;&gt;0,H137&lt;&gt;""),H137/E137,"")</f>
        <v/>
      </c>
      <c r="L137">
        <f>IF(B137="","",IFERROR(VALUE(TEXT(B137,"[$-1170401]yyyy")),""))</f>
        <v/>
      </c>
      <c r="M137">
        <f>IF(B137="","",IFERROR(VALUE(TEXT(B137,"[$-1170401]mm")),""))</f>
        <v/>
      </c>
    </row>
    <row r="138">
      <c r="B138" s="30" t="n"/>
      <c r="G138" s="9">
        <f>IF(AND(E138&lt;&gt;"",E138&lt;&gt;0,H138&lt;&gt;""),H138/E138,"")</f>
        <v/>
      </c>
      <c r="L138">
        <f>IF(B138="","",IFERROR(VALUE(TEXT(B138,"[$-1170401]yyyy")),""))</f>
        <v/>
      </c>
      <c r="M138">
        <f>IF(B138="","",IFERROR(VALUE(TEXT(B138,"[$-1170401]mm")),""))</f>
        <v/>
      </c>
    </row>
    <row r="139">
      <c r="B139" s="30" t="n"/>
      <c r="G139" s="9">
        <f>IF(AND(E139&lt;&gt;"",E139&lt;&gt;0,H139&lt;&gt;""),H139/E139,"")</f>
        <v/>
      </c>
      <c r="L139">
        <f>IF(B139="","",IFERROR(VALUE(TEXT(B139,"[$-1170401]yyyy")),""))</f>
        <v/>
      </c>
      <c r="M139">
        <f>IF(B139="","",IFERROR(VALUE(TEXT(B139,"[$-1170401]mm")),""))</f>
        <v/>
      </c>
    </row>
    <row r="140">
      <c r="B140" s="30" t="n"/>
      <c r="G140" s="9">
        <f>IF(AND(E140&lt;&gt;"",E140&lt;&gt;0,H140&lt;&gt;""),H140/E140,"")</f>
        <v/>
      </c>
      <c r="L140">
        <f>IF(B140="","",IFERROR(VALUE(TEXT(B140,"[$-1170401]yyyy")),""))</f>
        <v/>
      </c>
      <c r="M140">
        <f>IF(B140="","",IFERROR(VALUE(TEXT(B140,"[$-1170401]mm")),""))</f>
        <v/>
      </c>
    </row>
    <row r="141">
      <c r="B141" s="30" t="n"/>
      <c r="G141" s="9">
        <f>IF(AND(E141&lt;&gt;"",E141&lt;&gt;0,H141&lt;&gt;""),H141/E141,"")</f>
        <v/>
      </c>
      <c r="L141">
        <f>IF(B141="","",IFERROR(VALUE(TEXT(B141,"[$-1170401]yyyy")),""))</f>
        <v/>
      </c>
      <c r="M141">
        <f>IF(B141="","",IFERROR(VALUE(TEXT(B141,"[$-1170401]mm")),""))</f>
        <v/>
      </c>
    </row>
    <row r="142">
      <c r="B142" s="30" t="n"/>
      <c r="G142" s="9">
        <f>IF(AND(E142&lt;&gt;"",E142&lt;&gt;0,H142&lt;&gt;""),H142/E142,"")</f>
        <v/>
      </c>
      <c r="L142">
        <f>IF(B142="","",IFERROR(VALUE(TEXT(B142,"[$-1170401]yyyy")),""))</f>
        <v/>
      </c>
      <c r="M142">
        <f>IF(B142="","",IFERROR(VALUE(TEXT(B142,"[$-1170401]mm")),""))</f>
        <v/>
      </c>
    </row>
    <row r="143">
      <c r="B143" s="30" t="n"/>
      <c r="G143" s="9">
        <f>IF(AND(E143&lt;&gt;"",E143&lt;&gt;0,H143&lt;&gt;""),H143/E143,"")</f>
        <v/>
      </c>
      <c r="L143">
        <f>IF(B143="","",IFERROR(VALUE(TEXT(B143,"[$-1170401]yyyy")),""))</f>
        <v/>
      </c>
      <c r="M143">
        <f>IF(B143="","",IFERROR(VALUE(TEXT(B143,"[$-1170401]mm")),""))</f>
        <v/>
      </c>
    </row>
    <row r="144">
      <c r="B144" s="30" t="n"/>
      <c r="G144" s="9">
        <f>IF(AND(E144&lt;&gt;"",E144&lt;&gt;0,H144&lt;&gt;""),H144/E144,"")</f>
        <v/>
      </c>
      <c r="L144">
        <f>IF(B144="","",IFERROR(VALUE(TEXT(B144,"[$-1170401]yyyy")),""))</f>
        <v/>
      </c>
      <c r="M144">
        <f>IF(B144="","",IFERROR(VALUE(TEXT(B144,"[$-1170401]mm")),""))</f>
        <v/>
      </c>
    </row>
    <row r="145">
      <c r="B145" s="30" t="n"/>
      <c r="G145" s="9">
        <f>IF(AND(E145&lt;&gt;"",E145&lt;&gt;0,H145&lt;&gt;""),H145/E145,"")</f>
        <v/>
      </c>
      <c r="L145">
        <f>IF(B145="","",IFERROR(VALUE(TEXT(B145,"[$-1170401]yyyy")),""))</f>
        <v/>
      </c>
      <c r="M145">
        <f>IF(B145="","",IFERROR(VALUE(TEXT(B145,"[$-1170401]mm")),""))</f>
        <v/>
      </c>
    </row>
    <row r="146">
      <c r="B146" s="30" t="n"/>
      <c r="G146" s="9">
        <f>IF(AND(E146&lt;&gt;"",E146&lt;&gt;0,H146&lt;&gt;""),H146/E146,"")</f>
        <v/>
      </c>
      <c r="L146">
        <f>IF(B146="","",IFERROR(VALUE(TEXT(B146,"[$-1170401]yyyy")),""))</f>
        <v/>
      </c>
      <c r="M146">
        <f>IF(B146="","",IFERROR(VALUE(TEXT(B146,"[$-1170401]mm")),""))</f>
        <v/>
      </c>
    </row>
    <row r="147">
      <c r="B147" s="30" t="n"/>
      <c r="G147" s="9">
        <f>IF(AND(E147&lt;&gt;"",E147&lt;&gt;0,H147&lt;&gt;""),H147/E147,"")</f>
        <v/>
      </c>
      <c r="L147">
        <f>IF(B147="","",IFERROR(VALUE(TEXT(B147,"[$-1170401]yyyy")),""))</f>
        <v/>
      </c>
      <c r="M147">
        <f>IF(B147="","",IFERROR(VALUE(TEXT(B147,"[$-1170401]mm")),""))</f>
        <v/>
      </c>
    </row>
    <row r="148">
      <c r="B148" s="30" t="n"/>
      <c r="G148" s="9">
        <f>IF(AND(E148&lt;&gt;"",E148&lt;&gt;0,H148&lt;&gt;""),H148/E148,"")</f>
        <v/>
      </c>
      <c r="L148">
        <f>IF(B148="","",IFERROR(VALUE(TEXT(B148,"[$-1170401]yyyy")),""))</f>
        <v/>
      </c>
      <c r="M148">
        <f>IF(B148="","",IFERROR(VALUE(TEXT(B148,"[$-1170401]mm")),""))</f>
        <v/>
      </c>
    </row>
    <row r="149">
      <c r="B149" s="30" t="n"/>
      <c r="G149" s="9">
        <f>IF(AND(E149&lt;&gt;"",E149&lt;&gt;0,H149&lt;&gt;""),H149/E149,"")</f>
        <v/>
      </c>
      <c r="L149">
        <f>IF(B149="","",IFERROR(VALUE(TEXT(B149,"[$-1170401]yyyy")),""))</f>
        <v/>
      </c>
      <c r="M149">
        <f>IF(B149="","",IFERROR(VALUE(TEXT(B149,"[$-1170401]mm")),""))</f>
        <v/>
      </c>
    </row>
    <row r="150">
      <c r="B150" s="30" t="n"/>
      <c r="G150" s="9">
        <f>IF(AND(E150&lt;&gt;"",E150&lt;&gt;0,H150&lt;&gt;""),H150/E150,"")</f>
        <v/>
      </c>
      <c r="L150">
        <f>IF(B150="","",IFERROR(VALUE(TEXT(B150,"[$-1170401]yyyy")),""))</f>
        <v/>
      </c>
      <c r="M150">
        <f>IF(B150="","",IFERROR(VALUE(TEXT(B150,"[$-1170401]mm")),""))</f>
        <v/>
      </c>
    </row>
    <row r="151">
      <c r="B151" s="30" t="n"/>
      <c r="G151" s="9">
        <f>IF(AND(E151&lt;&gt;"",E151&lt;&gt;0,H151&lt;&gt;""),H151/E151,"")</f>
        <v/>
      </c>
      <c r="L151">
        <f>IF(B151="","",IFERROR(VALUE(TEXT(B151,"[$-1170401]yyyy")),""))</f>
        <v/>
      </c>
      <c r="M151">
        <f>IF(B151="","",IFERROR(VALUE(TEXT(B151,"[$-1170401]mm")),""))</f>
        <v/>
      </c>
    </row>
    <row r="152">
      <c r="B152" s="30" t="n"/>
      <c r="G152" s="9">
        <f>IF(AND(E152&lt;&gt;"",E152&lt;&gt;0,H152&lt;&gt;""),H152/E152,"")</f>
        <v/>
      </c>
      <c r="L152">
        <f>IF(B152="","",IFERROR(VALUE(TEXT(B152,"[$-1170401]yyyy")),""))</f>
        <v/>
      </c>
      <c r="M152">
        <f>IF(B152="","",IFERROR(VALUE(TEXT(B152,"[$-1170401]mm")),""))</f>
        <v/>
      </c>
    </row>
    <row r="153">
      <c r="B153" s="30" t="n"/>
      <c r="G153" s="9">
        <f>IF(AND(E153&lt;&gt;"",E153&lt;&gt;0,H153&lt;&gt;""),H153/E153,"")</f>
        <v/>
      </c>
      <c r="L153">
        <f>IF(B153="","",IFERROR(VALUE(TEXT(B153,"[$-1170401]yyyy")),""))</f>
        <v/>
      </c>
      <c r="M153">
        <f>IF(B153="","",IFERROR(VALUE(TEXT(B153,"[$-1170401]mm")),""))</f>
        <v/>
      </c>
    </row>
    <row r="154">
      <c r="B154" s="30" t="n"/>
      <c r="G154" s="9">
        <f>IF(AND(E154&lt;&gt;"",E154&lt;&gt;0,H154&lt;&gt;""),H154/E154,"")</f>
        <v/>
      </c>
      <c r="L154">
        <f>IF(B154="","",IFERROR(VALUE(TEXT(B154,"[$-1170401]yyyy")),""))</f>
        <v/>
      </c>
      <c r="M154">
        <f>IF(B154="","",IFERROR(VALUE(TEXT(B154,"[$-1170401]mm")),""))</f>
        <v/>
      </c>
    </row>
    <row r="155">
      <c r="B155" s="30" t="n"/>
      <c r="G155" s="9">
        <f>IF(AND(E155&lt;&gt;"",E155&lt;&gt;0,H155&lt;&gt;""),H155/E155,"")</f>
        <v/>
      </c>
      <c r="L155">
        <f>IF(B155="","",IFERROR(VALUE(TEXT(B155,"[$-1170401]yyyy")),""))</f>
        <v/>
      </c>
      <c r="M155">
        <f>IF(B155="","",IFERROR(VALUE(TEXT(B155,"[$-1170401]mm")),""))</f>
        <v/>
      </c>
    </row>
    <row r="156">
      <c r="B156" s="30" t="n"/>
      <c r="G156" s="9">
        <f>IF(AND(E156&lt;&gt;"",E156&lt;&gt;0,H156&lt;&gt;""),H156/E156,"")</f>
        <v/>
      </c>
      <c r="L156">
        <f>IF(B156="","",IFERROR(VALUE(TEXT(B156,"[$-1170401]yyyy")),""))</f>
        <v/>
      </c>
      <c r="M156">
        <f>IF(B156="","",IFERROR(VALUE(TEXT(B156,"[$-1170401]mm")),""))</f>
        <v/>
      </c>
    </row>
    <row r="157">
      <c r="B157" s="30" t="n"/>
      <c r="G157" s="9">
        <f>IF(AND(E157&lt;&gt;"",E157&lt;&gt;0,H157&lt;&gt;""),H157/E157,"")</f>
        <v/>
      </c>
      <c r="L157">
        <f>IF(B157="","",IFERROR(VALUE(TEXT(B157,"[$-1170401]yyyy")),""))</f>
        <v/>
      </c>
      <c r="M157">
        <f>IF(B157="","",IFERROR(VALUE(TEXT(B157,"[$-1170401]mm")),""))</f>
        <v/>
      </c>
    </row>
    <row r="158">
      <c r="B158" s="30" t="n"/>
      <c r="G158" s="9">
        <f>IF(AND(E158&lt;&gt;"",E158&lt;&gt;0,H158&lt;&gt;""),H158/E158,"")</f>
        <v/>
      </c>
      <c r="L158">
        <f>IF(B158="","",IFERROR(VALUE(TEXT(B158,"[$-1170401]yyyy")),""))</f>
        <v/>
      </c>
      <c r="M158">
        <f>IF(B158="","",IFERROR(VALUE(TEXT(B158,"[$-1170401]mm")),""))</f>
        <v/>
      </c>
    </row>
    <row r="159">
      <c r="B159" s="30" t="n"/>
      <c r="G159" s="9">
        <f>IF(AND(E159&lt;&gt;"",E159&lt;&gt;0,H159&lt;&gt;""),H159/E159,"")</f>
        <v/>
      </c>
      <c r="L159">
        <f>IF(B159="","",IFERROR(VALUE(TEXT(B159,"[$-1170401]yyyy")),""))</f>
        <v/>
      </c>
      <c r="M159">
        <f>IF(B159="","",IFERROR(VALUE(TEXT(B159,"[$-1170401]mm")),""))</f>
        <v/>
      </c>
    </row>
    <row r="160">
      <c r="B160" s="30" t="n"/>
      <c r="G160" s="9">
        <f>IF(AND(E160&lt;&gt;"",E160&lt;&gt;0,H160&lt;&gt;""),H160/E160,"")</f>
        <v/>
      </c>
      <c r="L160">
        <f>IF(B160="","",IFERROR(VALUE(TEXT(B160,"[$-1170401]yyyy")),""))</f>
        <v/>
      </c>
      <c r="M160">
        <f>IF(B160="","",IFERROR(VALUE(TEXT(B160,"[$-1170401]mm")),""))</f>
        <v/>
      </c>
    </row>
    <row r="161">
      <c r="B161" s="30" t="n"/>
      <c r="G161" s="9">
        <f>IF(AND(E161&lt;&gt;"",E161&lt;&gt;0,H161&lt;&gt;""),H161/E161,"")</f>
        <v/>
      </c>
      <c r="L161">
        <f>IF(B161="","",IFERROR(VALUE(TEXT(B161,"[$-1170401]yyyy")),""))</f>
        <v/>
      </c>
      <c r="M161">
        <f>IF(B161="","",IFERROR(VALUE(TEXT(B161,"[$-1170401]mm")),""))</f>
        <v/>
      </c>
    </row>
    <row r="162">
      <c r="B162" s="30" t="n"/>
      <c r="G162" s="9">
        <f>IF(AND(E162&lt;&gt;"",E162&lt;&gt;0,H162&lt;&gt;""),H162/E162,"")</f>
        <v/>
      </c>
      <c r="L162">
        <f>IF(B162="","",IFERROR(VALUE(TEXT(B162,"[$-1170401]yyyy")),""))</f>
        <v/>
      </c>
      <c r="M162">
        <f>IF(B162="","",IFERROR(VALUE(TEXT(B162,"[$-1170401]mm")),""))</f>
        <v/>
      </c>
    </row>
    <row r="163">
      <c r="B163" s="30" t="n"/>
      <c r="G163" s="9">
        <f>IF(AND(E163&lt;&gt;"",E163&lt;&gt;0,H163&lt;&gt;""),H163/E163,"")</f>
        <v/>
      </c>
      <c r="L163">
        <f>IF(B163="","",IFERROR(VALUE(TEXT(B163,"[$-1170401]yyyy")),""))</f>
        <v/>
      </c>
      <c r="M163">
        <f>IF(B163="","",IFERROR(VALUE(TEXT(B163,"[$-1170401]mm")),""))</f>
        <v/>
      </c>
    </row>
    <row r="164">
      <c r="B164" s="30" t="n"/>
      <c r="G164" s="9">
        <f>IF(AND(E164&lt;&gt;"",E164&lt;&gt;0,H164&lt;&gt;""),H164/E164,"")</f>
        <v/>
      </c>
      <c r="L164">
        <f>IF(B164="","",IFERROR(VALUE(TEXT(B164,"[$-1170401]yyyy")),""))</f>
        <v/>
      </c>
      <c r="M164">
        <f>IF(B164="","",IFERROR(VALUE(TEXT(B164,"[$-1170401]mm")),""))</f>
        <v/>
      </c>
    </row>
    <row r="165">
      <c r="B165" s="30" t="n"/>
      <c r="G165" s="9">
        <f>IF(AND(E165&lt;&gt;"",E165&lt;&gt;0,H165&lt;&gt;""),H165/E165,"")</f>
        <v/>
      </c>
      <c r="L165">
        <f>IF(B165="","",IFERROR(VALUE(TEXT(B165,"[$-1170401]yyyy")),""))</f>
        <v/>
      </c>
      <c r="M165">
        <f>IF(B165="","",IFERROR(VALUE(TEXT(B165,"[$-1170401]mm")),""))</f>
        <v/>
      </c>
    </row>
    <row r="166">
      <c r="B166" s="30" t="n"/>
      <c r="G166" s="9">
        <f>IF(AND(E166&lt;&gt;"",E166&lt;&gt;0,H166&lt;&gt;""),H166/E166,"")</f>
        <v/>
      </c>
      <c r="L166">
        <f>IF(B166="","",IFERROR(VALUE(TEXT(B166,"[$-1170401]yyyy")),""))</f>
        <v/>
      </c>
      <c r="M166">
        <f>IF(B166="","",IFERROR(VALUE(TEXT(B166,"[$-1170401]mm")),""))</f>
        <v/>
      </c>
    </row>
    <row r="167">
      <c r="B167" s="30" t="n"/>
      <c r="G167" s="9">
        <f>IF(AND(E167&lt;&gt;"",E167&lt;&gt;0,H167&lt;&gt;""),H167/E167,"")</f>
        <v/>
      </c>
      <c r="L167">
        <f>IF(B167="","",IFERROR(VALUE(TEXT(B167,"[$-1170401]yyyy")),""))</f>
        <v/>
      </c>
      <c r="M167">
        <f>IF(B167="","",IFERROR(VALUE(TEXT(B167,"[$-1170401]mm")),""))</f>
        <v/>
      </c>
    </row>
    <row r="168">
      <c r="B168" s="30" t="n"/>
      <c r="G168" s="9">
        <f>IF(AND(E168&lt;&gt;"",E168&lt;&gt;0,H168&lt;&gt;""),H168/E168,"")</f>
        <v/>
      </c>
      <c r="L168">
        <f>IF(B168="","",IFERROR(VALUE(TEXT(B168,"[$-1170401]yyyy")),""))</f>
        <v/>
      </c>
      <c r="M168">
        <f>IF(B168="","",IFERROR(VALUE(TEXT(B168,"[$-1170401]mm")),""))</f>
        <v/>
      </c>
    </row>
    <row r="169">
      <c r="B169" s="30" t="n"/>
      <c r="G169" s="9">
        <f>IF(AND(E169&lt;&gt;"",E169&lt;&gt;0,H169&lt;&gt;""),H169/E169,"")</f>
        <v/>
      </c>
      <c r="L169">
        <f>IF(B169="","",IFERROR(VALUE(TEXT(B169,"[$-1170401]yyyy")),""))</f>
        <v/>
      </c>
      <c r="M169">
        <f>IF(B169="","",IFERROR(VALUE(TEXT(B169,"[$-1170401]mm")),""))</f>
        <v/>
      </c>
    </row>
    <row r="170">
      <c r="B170" s="30" t="n"/>
      <c r="G170" s="9">
        <f>IF(AND(E170&lt;&gt;"",E170&lt;&gt;0,H170&lt;&gt;""),H170/E170,"")</f>
        <v/>
      </c>
      <c r="L170">
        <f>IF(B170="","",IFERROR(VALUE(TEXT(B170,"[$-1170401]yyyy")),""))</f>
        <v/>
      </c>
      <c r="M170">
        <f>IF(B170="","",IFERROR(VALUE(TEXT(B170,"[$-1170401]mm")),""))</f>
        <v/>
      </c>
    </row>
    <row r="171">
      <c r="B171" s="30" t="n"/>
      <c r="G171" s="9">
        <f>IF(AND(E171&lt;&gt;"",E171&lt;&gt;0,H171&lt;&gt;""),H171/E171,"")</f>
        <v/>
      </c>
      <c r="L171">
        <f>IF(B171="","",IFERROR(VALUE(TEXT(B171,"[$-1170401]yyyy")),""))</f>
        <v/>
      </c>
      <c r="M171">
        <f>IF(B171="","",IFERROR(VALUE(TEXT(B171,"[$-1170401]mm")),""))</f>
        <v/>
      </c>
    </row>
    <row r="172">
      <c r="B172" s="30" t="n"/>
      <c r="G172" s="9">
        <f>IF(AND(E172&lt;&gt;"",E172&lt;&gt;0,H172&lt;&gt;""),H172/E172,"")</f>
        <v/>
      </c>
      <c r="L172">
        <f>IF(B172="","",IFERROR(VALUE(TEXT(B172,"[$-1170401]yyyy")),""))</f>
        <v/>
      </c>
      <c r="M172">
        <f>IF(B172="","",IFERROR(VALUE(TEXT(B172,"[$-1170401]mm")),""))</f>
        <v/>
      </c>
    </row>
    <row r="173">
      <c r="B173" s="30" t="n"/>
      <c r="G173" s="9">
        <f>IF(AND(E173&lt;&gt;"",E173&lt;&gt;0,H173&lt;&gt;""),H173/E173,"")</f>
        <v/>
      </c>
      <c r="L173">
        <f>IF(B173="","",IFERROR(VALUE(TEXT(B173,"[$-1170401]yyyy")),""))</f>
        <v/>
      </c>
      <c r="M173">
        <f>IF(B173="","",IFERROR(VALUE(TEXT(B173,"[$-1170401]mm")),""))</f>
        <v/>
      </c>
    </row>
    <row r="174">
      <c r="B174" s="30" t="n"/>
      <c r="G174" s="9">
        <f>IF(AND(E174&lt;&gt;"",E174&lt;&gt;0,H174&lt;&gt;""),H174/E174,"")</f>
        <v/>
      </c>
      <c r="L174">
        <f>IF(B174="","",IFERROR(VALUE(TEXT(B174,"[$-1170401]yyyy")),""))</f>
        <v/>
      </c>
      <c r="M174">
        <f>IF(B174="","",IFERROR(VALUE(TEXT(B174,"[$-1170401]mm")),""))</f>
        <v/>
      </c>
    </row>
    <row r="175">
      <c r="B175" s="30" t="n"/>
      <c r="G175" s="9">
        <f>IF(AND(E175&lt;&gt;"",E175&lt;&gt;0,H175&lt;&gt;""),H175/E175,"")</f>
        <v/>
      </c>
      <c r="L175">
        <f>IF(B175="","",IFERROR(VALUE(TEXT(B175,"[$-1170401]yyyy")),""))</f>
        <v/>
      </c>
      <c r="M175">
        <f>IF(B175="","",IFERROR(VALUE(TEXT(B175,"[$-1170401]mm")),""))</f>
        <v/>
      </c>
    </row>
    <row r="176">
      <c r="B176" s="30" t="n"/>
      <c r="G176" s="9">
        <f>IF(AND(E176&lt;&gt;"",E176&lt;&gt;0,H176&lt;&gt;""),H176/E176,"")</f>
        <v/>
      </c>
      <c r="L176">
        <f>IF(B176="","",IFERROR(VALUE(TEXT(B176,"[$-1170401]yyyy")),""))</f>
        <v/>
      </c>
      <c r="M176">
        <f>IF(B176="","",IFERROR(VALUE(TEXT(B176,"[$-1170401]mm")),""))</f>
        <v/>
      </c>
    </row>
    <row r="177">
      <c r="B177" s="30" t="n"/>
      <c r="G177" s="9">
        <f>IF(AND(E177&lt;&gt;"",E177&lt;&gt;0,H177&lt;&gt;""),H177/E177,"")</f>
        <v/>
      </c>
      <c r="L177">
        <f>IF(B177="","",IFERROR(VALUE(TEXT(B177,"[$-1170401]yyyy")),""))</f>
        <v/>
      </c>
      <c r="M177">
        <f>IF(B177="","",IFERROR(VALUE(TEXT(B177,"[$-1170401]mm")),""))</f>
        <v/>
      </c>
    </row>
    <row r="178">
      <c r="B178" s="30" t="n"/>
      <c r="G178" s="9">
        <f>IF(AND(E178&lt;&gt;"",E178&lt;&gt;0,H178&lt;&gt;""),H178/E178,"")</f>
        <v/>
      </c>
      <c r="L178">
        <f>IF(B178="","",IFERROR(VALUE(TEXT(B178,"[$-1170401]yyyy")),""))</f>
        <v/>
      </c>
      <c r="M178">
        <f>IF(B178="","",IFERROR(VALUE(TEXT(B178,"[$-1170401]mm")),""))</f>
        <v/>
      </c>
    </row>
    <row r="179">
      <c r="B179" s="30" t="n"/>
      <c r="G179" s="9">
        <f>IF(AND(E179&lt;&gt;"",E179&lt;&gt;0,H179&lt;&gt;""),H179/E179,"")</f>
        <v/>
      </c>
      <c r="L179">
        <f>IF(B179="","",IFERROR(VALUE(TEXT(B179,"[$-1170401]yyyy")),""))</f>
        <v/>
      </c>
      <c r="M179">
        <f>IF(B179="","",IFERROR(VALUE(TEXT(B179,"[$-1170401]mm")),""))</f>
        <v/>
      </c>
    </row>
    <row r="180">
      <c r="B180" s="30" t="n"/>
      <c r="G180" s="9">
        <f>IF(AND(E180&lt;&gt;"",E180&lt;&gt;0,H180&lt;&gt;""),H180/E180,"")</f>
        <v/>
      </c>
      <c r="L180">
        <f>IF(B180="","",IFERROR(VALUE(TEXT(B180,"[$-1170401]yyyy")),""))</f>
        <v/>
      </c>
      <c r="M180">
        <f>IF(B180="","",IFERROR(VALUE(TEXT(B180,"[$-1170401]mm")),""))</f>
        <v/>
      </c>
    </row>
    <row r="181">
      <c r="B181" s="30" t="n"/>
      <c r="G181" s="9">
        <f>IF(AND(E181&lt;&gt;"",E181&lt;&gt;0,H181&lt;&gt;""),H181/E181,"")</f>
        <v/>
      </c>
      <c r="L181">
        <f>IF(B181="","",IFERROR(VALUE(TEXT(B181,"[$-1170401]yyyy")),""))</f>
        <v/>
      </c>
      <c r="M181">
        <f>IF(B181="","",IFERROR(VALUE(TEXT(B181,"[$-1170401]mm")),""))</f>
        <v/>
      </c>
    </row>
    <row r="182">
      <c r="B182" s="30" t="n"/>
      <c r="G182" s="9">
        <f>IF(AND(E182&lt;&gt;"",E182&lt;&gt;0,H182&lt;&gt;""),H182/E182,"")</f>
        <v/>
      </c>
      <c r="L182">
        <f>IF(B182="","",IFERROR(VALUE(TEXT(B182,"[$-1170401]yyyy")),""))</f>
        <v/>
      </c>
      <c r="M182">
        <f>IF(B182="","",IFERROR(VALUE(TEXT(B182,"[$-1170401]mm")),""))</f>
        <v/>
      </c>
    </row>
    <row r="183">
      <c r="B183" s="30" t="n"/>
      <c r="G183" s="9">
        <f>IF(AND(E183&lt;&gt;"",E183&lt;&gt;0,H183&lt;&gt;""),H183/E183,"")</f>
        <v/>
      </c>
      <c r="L183">
        <f>IF(B183="","",IFERROR(VALUE(TEXT(B183,"[$-1170401]yyyy")),""))</f>
        <v/>
      </c>
      <c r="M183">
        <f>IF(B183="","",IFERROR(VALUE(TEXT(B183,"[$-1170401]mm")),""))</f>
        <v/>
      </c>
    </row>
    <row r="184">
      <c r="B184" s="30" t="n"/>
      <c r="G184" s="9">
        <f>IF(AND(E184&lt;&gt;"",E184&lt;&gt;0,H184&lt;&gt;""),H184/E184,"")</f>
        <v/>
      </c>
      <c r="L184">
        <f>IF(B184="","",IFERROR(VALUE(TEXT(B184,"[$-1170401]yyyy")),""))</f>
        <v/>
      </c>
      <c r="M184">
        <f>IF(B184="","",IFERROR(VALUE(TEXT(B184,"[$-1170401]mm")),""))</f>
        <v/>
      </c>
    </row>
    <row r="185">
      <c r="B185" s="30" t="n"/>
      <c r="G185" s="9">
        <f>IF(AND(E185&lt;&gt;"",E185&lt;&gt;0,H185&lt;&gt;""),H185/E185,"")</f>
        <v/>
      </c>
      <c r="L185">
        <f>IF(B185="","",IFERROR(VALUE(TEXT(B185,"[$-1170401]yyyy")),""))</f>
        <v/>
      </c>
      <c r="M185">
        <f>IF(B185="","",IFERROR(VALUE(TEXT(B185,"[$-1170401]mm")),""))</f>
        <v/>
      </c>
    </row>
    <row r="186">
      <c r="B186" s="30" t="n"/>
      <c r="G186" s="9">
        <f>IF(AND(E186&lt;&gt;"",E186&lt;&gt;0,H186&lt;&gt;""),H186/E186,"")</f>
        <v/>
      </c>
      <c r="L186">
        <f>IF(B186="","",IFERROR(VALUE(TEXT(B186,"[$-1170401]yyyy")),""))</f>
        <v/>
      </c>
      <c r="M186">
        <f>IF(B186="","",IFERROR(VALUE(TEXT(B186,"[$-1170401]mm")),""))</f>
        <v/>
      </c>
    </row>
    <row r="187">
      <c r="B187" s="30" t="n"/>
      <c r="G187" s="9">
        <f>IF(AND(E187&lt;&gt;"",E187&lt;&gt;0,H187&lt;&gt;""),H187/E187,"")</f>
        <v/>
      </c>
      <c r="L187">
        <f>IF(B187="","",IFERROR(VALUE(TEXT(B187,"[$-1170401]yyyy")),""))</f>
        <v/>
      </c>
      <c r="M187">
        <f>IF(B187="","",IFERROR(VALUE(TEXT(B187,"[$-1170401]mm")),""))</f>
        <v/>
      </c>
    </row>
    <row r="188">
      <c r="B188" s="30" t="n"/>
      <c r="G188" s="9">
        <f>IF(AND(E188&lt;&gt;"",E188&lt;&gt;0,H188&lt;&gt;""),H188/E188,"")</f>
        <v/>
      </c>
      <c r="L188">
        <f>IF(B188="","",IFERROR(VALUE(TEXT(B188,"[$-1170401]yyyy")),""))</f>
        <v/>
      </c>
      <c r="M188">
        <f>IF(B188="","",IFERROR(VALUE(TEXT(B188,"[$-1170401]mm")),""))</f>
        <v/>
      </c>
    </row>
    <row r="189">
      <c r="B189" s="30" t="n"/>
      <c r="G189" s="9">
        <f>IF(AND(E189&lt;&gt;"",E189&lt;&gt;0,H189&lt;&gt;""),H189/E189,"")</f>
        <v/>
      </c>
      <c r="L189">
        <f>IF(B189="","",IFERROR(VALUE(TEXT(B189,"[$-1170401]yyyy")),""))</f>
        <v/>
      </c>
      <c r="M189">
        <f>IF(B189="","",IFERROR(VALUE(TEXT(B189,"[$-1170401]mm")),""))</f>
        <v/>
      </c>
    </row>
    <row r="190">
      <c r="B190" s="30" t="n"/>
      <c r="G190" s="9">
        <f>IF(AND(E190&lt;&gt;"",E190&lt;&gt;0,H190&lt;&gt;""),H190/E190,"")</f>
        <v/>
      </c>
      <c r="L190">
        <f>IF(B190="","",IFERROR(VALUE(TEXT(B190,"[$-1170401]yyyy")),""))</f>
        <v/>
      </c>
      <c r="M190">
        <f>IF(B190="","",IFERROR(VALUE(TEXT(B190,"[$-1170401]mm")),""))</f>
        <v/>
      </c>
    </row>
    <row r="191">
      <c r="B191" s="30" t="n"/>
      <c r="G191" s="9">
        <f>IF(AND(E191&lt;&gt;"",E191&lt;&gt;0,H191&lt;&gt;""),H191/E191,"")</f>
        <v/>
      </c>
      <c r="L191">
        <f>IF(B191="","",IFERROR(VALUE(TEXT(B191,"[$-1170401]yyyy")),""))</f>
        <v/>
      </c>
      <c r="M191">
        <f>IF(B191="","",IFERROR(VALUE(TEXT(B191,"[$-1170401]mm")),""))</f>
        <v/>
      </c>
    </row>
    <row r="192">
      <c r="B192" s="30" t="n"/>
      <c r="G192" s="9">
        <f>IF(AND(E192&lt;&gt;"",E192&lt;&gt;0,H192&lt;&gt;""),H192/E192,"")</f>
        <v/>
      </c>
      <c r="L192">
        <f>IF(B192="","",IFERROR(VALUE(TEXT(B192,"[$-1170401]yyyy")),""))</f>
        <v/>
      </c>
      <c r="M192">
        <f>IF(B192="","",IFERROR(VALUE(TEXT(B192,"[$-1170401]mm")),""))</f>
        <v/>
      </c>
    </row>
    <row r="193">
      <c r="B193" s="30" t="n"/>
      <c r="G193" s="9">
        <f>IF(AND(E193&lt;&gt;"",E193&lt;&gt;0,H193&lt;&gt;""),H193/E193,"")</f>
        <v/>
      </c>
      <c r="L193">
        <f>IF(B193="","",IFERROR(VALUE(TEXT(B193,"[$-1170401]yyyy")),""))</f>
        <v/>
      </c>
      <c r="M193">
        <f>IF(B193="","",IFERROR(VALUE(TEXT(B193,"[$-1170401]mm")),""))</f>
        <v/>
      </c>
    </row>
    <row r="194">
      <c r="B194" s="30" t="n"/>
      <c r="G194" s="9">
        <f>IF(AND(E194&lt;&gt;"",E194&lt;&gt;0,H194&lt;&gt;""),H194/E194,"")</f>
        <v/>
      </c>
      <c r="L194">
        <f>IF(B194="","",IFERROR(VALUE(TEXT(B194,"[$-1170401]yyyy")),""))</f>
        <v/>
      </c>
      <c r="M194">
        <f>IF(B194="","",IFERROR(VALUE(TEXT(B194,"[$-1170401]mm")),""))</f>
        <v/>
      </c>
    </row>
    <row r="195">
      <c r="B195" s="30" t="n"/>
      <c r="G195" s="9">
        <f>IF(AND(E195&lt;&gt;"",E195&lt;&gt;0,H195&lt;&gt;""),H195/E195,"")</f>
        <v/>
      </c>
      <c r="L195">
        <f>IF(B195="","",IFERROR(VALUE(TEXT(B195,"[$-1170401]yyyy")),""))</f>
        <v/>
      </c>
      <c r="M195">
        <f>IF(B195="","",IFERROR(VALUE(TEXT(B195,"[$-1170401]mm")),""))</f>
        <v/>
      </c>
    </row>
    <row r="196">
      <c r="B196" s="30" t="n"/>
      <c r="G196" s="9">
        <f>IF(AND(E196&lt;&gt;"",E196&lt;&gt;0,H196&lt;&gt;""),H196/E196,"")</f>
        <v/>
      </c>
      <c r="L196">
        <f>IF(B196="","",IFERROR(VALUE(TEXT(B196,"[$-1170401]yyyy")),""))</f>
        <v/>
      </c>
      <c r="M196">
        <f>IF(B196="","",IFERROR(VALUE(TEXT(B196,"[$-1170401]mm")),""))</f>
        <v/>
      </c>
    </row>
    <row r="197">
      <c r="B197" s="30" t="n"/>
      <c r="G197" s="9">
        <f>IF(AND(E197&lt;&gt;"",E197&lt;&gt;0,H197&lt;&gt;""),H197/E197,"")</f>
        <v/>
      </c>
      <c r="L197">
        <f>IF(B197="","",IFERROR(VALUE(TEXT(B197,"[$-1170401]yyyy")),""))</f>
        <v/>
      </c>
      <c r="M197">
        <f>IF(B197="","",IFERROR(VALUE(TEXT(B197,"[$-1170401]mm")),""))</f>
        <v/>
      </c>
    </row>
    <row r="198">
      <c r="B198" s="30" t="n"/>
      <c r="G198" s="9">
        <f>IF(AND(E198&lt;&gt;"",E198&lt;&gt;0,H198&lt;&gt;""),H198/E198,"")</f>
        <v/>
      </c>
      <c r="L198">
        <f>IF(B198="","",IFERROR(VALUE(TEXT(B198,"[$-1170401]yyyy")),""))</f>
        <v/>
      </c>
      <c r="M198">
        <f>IF(B198="","",IFERROR(VALUE(TEXT(B198,"[$-1170401]mm")),""))</f>
        <v/>
      </c>
    </row>
    <row r="199">
      <c r="B199" s="30" t="n"/>
      <c r="G199" s="9">
        <f>IF(AND(E199&lt;&gt;"",E199&lt;&gt;0,H199&lt;&gt;""),H199/E199,"")</f>
        <v/>
      </c>
      <c r="L199">
        <f>IF(B199="","",IFERROR(VALUE(TEXT(B199,"[$-1170401]yyyy")),""))</f>
        <v/>
      </c>
      <c r="M199">
        <f>IF(B199="","",IFERROR(VALUE(TEXT(B199,"[$-1170401]mm")),""))</f>
        <v/>
      </c>
    </row>
    <row r="200">
      <c r="B200" s="30" t="n"/>
      <c r="G200" s="9">
        <f>IF(AND(E200&lt;&gt;"",E200&lt;&gt;0,H200&lt;&gt;""),H200/E200,"")</f>
        <v/>
      </c>
      <c r="L200">
        <f>IF(B200="","",IFERROR(VALUE(TEXT(B200,"[$-1170401]yyyy")),""))</f>
        <v/>
      </c>
      <c r="M200">
        <f>IF(B200="","",IFERROR(VALUE(TEXT(B200,"[$-1170401]mm")),""))</f>
        <v/>
      </c>
    </row>
    <row r="201">
      <c r="B201" s="30" t="n"/>
      <c r="G201" s="9">
        <f>IF(AND(E201&lt;&gt;"",E201&lt;&gt;0,H201&lt;&gt;""),H201/E201,"")</f>
        <v/>
      </c>
      <c r="L201">
        <f>IF(B201="","",IFERROR(VALUE(TEXT(B201,"[$-1170401]yyyy")),""))</f>
        <v/>
      </c>
      <c r="M201">
        <f>IF(B201="","",IFERROR(VALUE(TEXT(B201,"[$-1170401]mm")),""))</f>
        <v/>
      </c>
    </row>
    <row r="202">
      <c r="B202" s="30" t="n"/>
      <c r="G202" s="9">
        <f>IF(AND(E202&lt;&gt;"",E202&lt;&gt;0,H202&lt;&gt;""),H202/E202,"")</f>
        <v/>
      </c>
      <c r="L202">
        <f>IF(B202="","",IFERROR(VALUE(TEXT(B202,"[$-1170401]yyyy")),""))</f>
        <v/>
      </c>
      <c r="M202">
        <f>IF(B202="","",IFERROR(VALUE(TEXT(B202,"[$-1170401]mm")),""))</f>
        <v/>
      </c>
    </row>
    <row r="203">
      <c r="B203" s="30" t="n"/>
      <c r="G203" s="9">
        <f>IF(AND(E203&lt;&gt;"",E203&lt;&gt;0,H203&lt;&gt;""),H203/E203,"")</f>
        <v/>
      </c>
      <c r="L203">
        <f>IF(B203="","",IFERROR(VALUE(TEXT(B203,"[$-1170401]yyyy")),""))</f>
        <v/>
      </c>
      <c r="M203">
        <f>IF(B203="","",IFERROR(VALUE(TEXT(B203,"[$-1170401]mm")),""))</f>
        <v/>
      </c>
    </row>
    <row r="204">
      <c r="B204" s="30" t="n"/>
      <c r="G204" s="9">
        <f>IF(AND(E204&lt;&gt;"",E204&lt;&gt;0,H204&lt;&gt;""),H204/E204,"")</f>
        <v/>
      </c>
      <c r="L204">
        <f>IF(B204="","",IFERROR(VALUE(TEXT(B204,"[$-1170401]yyyy")),""))</f>
        <v/>
      </c>
      <c r="M204">
        <f>IF(B204="","",IFERROR(VALUE(TEXT(B204,"[$-1170401]mm")),""))</f>
        <v/>
      </c>
    </row>
    <row r="205">
      <c r="B205" s="30" t="n"/>
      <c r="G205" s="9">
        <f>IF(AND(E205&lt;&gt;"",E205&lt;&gt;0,H205&lt;&gt;""),H205/E205,"")</f>
        <v/>
      </c>
      <c r="L205">
        <f>IF(B205="","",IFERROR(VALUE(TEXT(B205,"[$-1170401]yyyy")),""))</f>
        <v/>
      </c>
      <c r="M205">
        <f>IF(B205="","",IFERROR(VALUE(TEXT(B205,"[$-1170401]mm")),""))</f>
        <v/>
      </c>
    </row>
    <row r="206">
      <c r="B206" s="30" t="n"/>
      <c r="G206" s="9">
        <f>IF(AND(E206&lt;&gt;"",E206&lt;&gt;0,H206&lt;&gt;""),H206/E206,"")</f>
        <v/>
      </c>
      <c r="L206">
        <f>IF(B206="","",IFERROR(VALUE(TEXT(B206,"[$-1170401]yyyy")),""))</f>
        <v/>
      </c>
      <c r="M206">
        <f>IF(B206="","",IFERROR(VALUE(TEXT(B206,"[$-1170401]mm")),""))</f>
        <v/>
      </c>
    </row>
    <row r="207">
      <c r="B207" s="30" t="n"/>
      <c r="G207" s="9">
        <f>IF(AND(E207&lt;&gt;"",E207&lt;&gt;0,H207&lt;&gt;""),H207/E207,"")</f>
        <v/>
      </c>
      <c r="L207">
        <f>IF(B207="","",IFERROR(VALUE(TEXT(B207,"[$-1170401]yyyy")),""))</f>
        <v/>
      </c>
      <c r="M207">
        <f>IF(B207="","",IFERROR(VALUE(TEXT(B207,"[$-1170401]mm")),""))</f>
        <v/>
      </c>
    </row>
    <row r="208">
      <c r="B208" s="30" t="n"/>
      <c r="G208" s="9">
        <f>IF(AND(E208&lt;&gt;"",E208&lt;&gt;0,H208&lt;&gt;""),H208/E208,"")</f>
        <v/>
      </c>
      <c r="L208">
        <f>IF(B208="","",IFERROR(VALUE(TEXT(B208,"[$-1170401]yyyy")),""))</f>
        <v/>
      </c>
      <c r="M208">
        <f>IF(B208="","",IFERROR(VALUE(TEXT(B208,"[$-1170401]mm")),""))</f>
        <v/>
      </c>
    </row>
    <row r="209">
      <c r="B209" s="30" t="n"/>
      <c r="G209" s="9">
        <f>IF(AND(E209&lt;&gt;"",E209&lt;&gt;0,H209&lt;&gt;""),H209/E209,"")</f>
        <v/>
      </c>
      <c r="L209">
        <f>IF(B209="","",IFERROR(VALUE(TEXT(B209,"[$-1170401]yyyy")),""))</f>
        <v/>
      </c>
      <c r="M209">
        <f>IF(B209="","",IFERROR(VALUE(TEXT(B209,"[$-1170401]mm")),""))</f>
        <v/>
      </c>
    </row>
    <row r="210">
      <c r="B210" s="30" t="n"/>
      <c r="G210" s="9">
        <f>IF(AND(E210&lt;&gt;"",E210&lt;&gt;0,H210&lt;&gt;""),H210/E210,"")</f>
        <v/>
      </c>
      <c r="L210">
        <f>IF(B210="","",IFERROR(VALUE(TEXT(B210,"[$-1170401]yyyy")),""))</f>
        <v/>
      </c>
      <c r="M210">
        <f>IF(B210="","",IFERROR(VALUE(TEXT(B210,"[$-1170401]mm")),""))</f>
        <v/>
      </c>
    </row>
    <row r="211">
      <c r="B211" s="30" t="n"/>
      <c r="G211" s="9">
        <f>IF(AND(E211&lt;&gt;"",E211&lt;&gt;0,H211&lt;&gt;""),H211/E211,"")</f>
        <v/>
      </c>
      <c r="L211">
        <f>IF(B211="","",IFERROR(VALUE(TEXT(B211,"[$-1170401]yyyy")),""))</f>
        <v/>
      </c>
      <c r="M211">
        <f>IF(B211="","",IFERROR(VALUE(TEXT(B211,"[$-1170401]mm")),""))</f>
        <v/>
      </c>
    </row>
    <row r="212">
      <c r="B212" s="30" t="n"/>
      <c r="G212" s="9">
        <f>IF(AND(E212&lt;&gt;"",E212&lt;&gt;0,H212&lt;&gt;""),H212/E212,"")</f>
        <v/>
      </c>
      <c r="L212">
        <f>IF(B212="","",IFERROR(VALUE(TEXT(B212,"[$-1170401]yyyy")),""))</f>
        <v/>
      </c>
      <c r="M212">
        <f>IF(B212="","",IFERROR(VALUE(TEXT(B212,"[$-1170401]mm")),""))</f>
        <v/>
      </c>
    </row>
    <row r="213">
      <c r="B213" s="30" t="n"/>
      <c r="G213" s="9">
        <f>IF(AND(E213&lt;&gt;"",E213&lt;&gt;0,H213&lt;&gt;""),H213/E213,"")</f>
        <v/>
      </c>
      <c r="L213">
        <f>IF(B213="","",IFERROR(VALUE(TEXT(B213,"[$-1170401]yyyy")),""))</f>
        <v/>
      </c>
      <c r="M213">
        <f>IF(B213="","",IFERROR(VALUE(TEXT(B213,"[$-1170401]mm")),""))</f>
        <v/>
      </c>
    </row>
    <row r="214">
      <c r="B214" s="30" t="n"/>
      <c r="G214" s="9">
        <f>IF(AND(E214&lt;&gt;"",E214&lt;&gt;0,H214&lt;&gt;""),H214/E214,"")</f>
        <v/>
      </c>
      <c r="L214">
        <f>IF(B214="","",IFERROR(VALUE(TEXT(B214,"[$-1170401]yyyy")),""))</f>
        <v/>
      </c>
      <c r="M214">
        <f>IF(B214="","",IFERROR(VALUE(TEXT(B214,"[$-1170401]mm")),""))</f>
        <v/>
      </c>
    </row>
    <row r="215">
      <c r="B215" s="30" t="n"/>
      <c r="G215" s="9">
        <f>IF(AND(E215&lt;&gt;"",E215&lt;&gt;0,H215&lt;&gt;""),H215/E215,"")</f>
        <v/>
      </c>
      <c r="L215">
        <f>IF(B215="","",IFERROR(VALUE(TEXT(B215,"[$-1170401]yyyy")),""))</f>
        <v/>
      </c>
      <c r="M215">
        <f>IF(B215="","",IFERROR(VALUE(TEXT(B215,"[$-1170401]mm")),""))</f>
        <v/>
      </c>
    </row>
    <row r="216">
      <c r="B216" s="30" t="n"/>
      <c r="G216" s="9">
        <f>IF(AND(E216&lt;&gt;"",E216&lt;&gt;0,H216&lt;&gt;""),H216/E216,"")</f>
        <v/>
      </c>
      <c r="L216">
        <f>IF(B216="","",IFERROR(VALUE(TEXT(B216,"[$-1170401]yyyy")),""))</f>
        <v/>
      </c>
      <c r="M216">
        <f>IF(B216="","",IFERROR(VALUE(TEXT(B216,"[$-1170401]mm")),""))</f>
        <v/>
      </c>
    </row>
    <row r="217">
      <c r="B217" s="30" t="n"/>
      <c r="G217" s="9">
        <f>IF(AND(E217&lt;&gt;"",E217&lt;&gt;0,H217&lt;&gt;""),H217/E217,"")</f>
        <v/>
      </c>
      <c r="L217">
        <f>IF(B217="","",IFERROR(VALUE(TEXT(B217,"[$-1170401]yyyy")),""))</f>
        <v/>
      </c>
      <c r="M217">
        <f>IF(B217="","",IFERROR(VALUE(TEXT(B217,"[$-1170401]mm")),""))</f>
        <v/>
      </c>
    </row>
    <row r="218">
      <c r="B218" s="30" t="n"/>
      <c r="G218" s="9">
        <f>IF(AND(E218&lt;&gt;"",E218&lt;&gt;0,H218&lt;&gt;""),H218/E218,"")</f>
        <v/>
      </c>
      <c r="L218">
        <f>IF(B218="","",IFERROR(VALUE(TEXT(B218,"[$-1170401]yyyy")),""))</f>
        <v/>
      </c>
      <c r="M218">
        <f>IF(B218="","",IFERROR(VALUE(TEXT(B218,"[$-1170401]mm")),""))</f>
        <v/>
      </c>
    </row>
    <row r="219">
      <c r="B219" s="30" t="n"/>
      <c r="G219" s="9">
        <f>IF(AND(E219&lt;&gt;"",E219&lt;&gt;0,H219&lt;&gt;""),H219/E219,"")</f>
        <v/>
      </c>
      <c r="L219">
        <f>IF(B219="","",IFERROR(VALUE(TEXT(B219,"[$-1170401]yyyy")),""))</f>
        <v/>
      </c>
      <c r="M219">
        <f>IF(B219="","",IFERROR(VALUE(TEXT(B219,"[$-1170401]mm")),""))</f>
        <v/>
      </c>
    </row>
    <row r="220">
      <c r="B220" s="30" t="n"/>
      <c r="G220" s="9">
        <f>IF(AND(E220&lt;&gt;"",E220&lt;&gt;0,H220&lt;&gt;""),H220/E220,"")</f>
        <v/>
      </c>
      <c r="L220">
        <f>IF(B220="","",IFERROR(VALUE(TEXT(B220,"[$-1170401]yyyy")),""))</f>
        <v/>
      </c>
      <c r="M220">
        <f>IF(B220="","",IFERROR(VALUE(TEXT(B220,"[$-1170401]mm")),""))</f>
        <v/>
      </c>
    </row>
    <row r="221">
      <c r="B221" s="30" t="n"/>
      <c r="G221" s="9">
        <f>IF(AND(E221&lt;&gt;"",E221&lt;&gt;0,H221&lt;&gt;""),H221/E221,"")</f>
        <v/>
      </c>
      <c r="L221">
        <f>IF(B221="","",IFERROR(VALUE(TEXT(B221,"[$-1170401]yyyy")),""))</f>
        <v/>
      </c>
      <c r="M221">
        <f>IF(B221="","",IFERROR(VALUE(TEXT(B221,"[$-1170401]mm")),""))</f>
        <v/>
      </c>
    </row>
    <row r="222">
      <c r="B222" s="30" t="n"/>
      <c r="G222" s="9">
        <f>IF(AND(E222&lt;&gt;"",E222&lt;&gt;0,H222&lt;&gt;""),H222/E222,"")</f>
        <v/>
      </c>
      <c r="L222">
        <f>IF(B222="","",IFERROR(VALUE(TEXT(B222,"[$-1170401]yyyy")),""))</f>
        <v/>
      </c>
      <c r="M222">
        <f>IF(B222="","",IFERROR(VALUE(TEXT(B222,"[$-1170401]mm")),""))</f>
        <v/>
      </c>
    </row>
    <row r="223">
      <c r="B223" s="30" t="n"/>
      <c r="G223" s="9">
        <f>IF(AND(E223&lt;&gt;"",E223&lt;&gt;0,H223&lt;&gt;""),H223/E223,"")</f>
        <v/>
      </c>
      <c r="L223">
        <f>IF(B223="","",IFERROR(VALUE(TEXT(B223,"[$-1170401]yyyy")),""))</f>
        <v/>
      </c>
      <c r="M223">
        <f>IF(B223="","",IFERROR(VALUE(TEXT(B223,"[$-1170401]mm")),""))</f>
        <v/>
      </c>
    </row>
    <row r="224">
      <c r="B224" s="30" t="n"/>
      <c r="G224" s="9">
        <f>IF(AND(E224&lt;&gt;"",E224&lt;&gt;0,H224&lt;&gt;""),H224/E224,"")</f>
        <v/>
      </c>
      <c r="L224">
        <f>IF(B224="","",IFERROR(VALUE(TEXT(B224,"[$-1170401]yyyy")),""))</f>
        <v/>
      </c>
      <c r="M224">
        <f>IF(B224="","",IFERROR(VALUE(TEXT(B224,"[$-1170401]mm")),""))</f>
        <v/>
      </c>
    </row>
    <row r="225">
      <c r="B225" s="30" t="n"/>
      <c r="G225" s="9">
        <f>IF(AND(E225&lt;&gt;"",E225&lt;&gt;0,H225&lt;&gt;""),H225/E225,"")</f>
        <v/>
      </c>
      <c r="L225">
        <f>IF(B225="","",IFERROR(VALUE(TEXT(B225,"[$-1170401]yyyy")),""))</f>
        <v/>
      </c>
      <c r="M225">
        <f>IF(B225="","",IFERROR(VALUE(TEXT(B225,"[$-1170401]mm")),""))</f>
        <v/>
      </c>
    </row>
    <row r="226">
      <c r="B226" s="30" t="n"/>
      <c r="G226" s="9">
        <f>IF(AND(E226&lt;&gt;"",E226&lt;&gt;0,H226&lt;&gt;""),H226/E226,"")</f>
        <v/>
      </c>
      <c r="L226">
        <f>IF(B226="","",IFERROR(VALUE(TEXT(B226,"[$-1170401]yyyy")),""))</f>
        <v/>
      </c>
      <c r="M226">
        <f>IF(B226="","",IFERROR(VALUE(TEXT(B226,"[$-1170401]mm")),""))</f>
        <v/>
      </c>
    </row>
    <row r="227">
      <c r="B227" s="30" t="n"/>
      <c r="G227" s="9">
        <f>IF(AND(E227&lt;&gt;"",E227&lt;&gt;0,H227&lt;&gt;""),H227/E227,"")</f>
        <v/>
      </c>
      <c r="L227">
        <f>IF(B227="","",IFERROR(VALUE(TEXT(B227,"[$-1170401]yyyy")),""))</f>
        <v/>
      </c>
      <c r="M227">
        <f>IF(B227="","",IFERROR(VALUE(TEXT(B227,"[$-1170401]mm")),""))</f>
        <v/>
      </c>
    </row>
    <row r="228">
      <c r="B228" s="30" t="n"/>
      <c r="G228" s="9">
        <f>IF(AND(E228&lt;&gt;"",E228&lt;&gt;0,H228&lt;&gt;""),H228/E228,"")</f>
        <v/>
      </c>
      <c r="L228">
        <f>IF(B228="","",IFERROR(VALUE(TEXT(B228,"[$-1170401]yyyy")),""))</f>
        <v/>
      </c>
      <c r="M228">
        <f>IF(B228="","",IFERROR(VALUE(TEXT(B228,"[$-1170401]mm")),""))</f>
        <v/>
      </c>
    </row>
    <row r="229">
      <c r="B229" s="30" t="n"/>
      <c r="G229" s="9">
        <f>IF(AND(E229&lt;&gt;"",E229&lt;&gt;0,H229&lt;&gt;""),H229/E229,"")</f>
        <v/>
      </c>
      <c r="L229">
        <f>IF(B229="","",IFERROR(VALUE(TEXT(B229,"[$-1170401]yyyy")),""))</f>
        <v/>
      </c>
      <c r="M229">
        <f>IF(B229="","",IFERROR(VALUE(TEXT(B229,"[$-1170401]mm")),""))</f>
        <v/>
      </c>
    </row>
    <row r="230">
      <c r="B230" s="30" t="n"/>
      <c r="G230" s="9">
        <f>IF(AND(E230&lt;&gt;"",E230&lt;&gt;0,H230&lt;&gt;""),H230/E230,"")</f>
        <v/>
      </c>
      <c r="L230">
        <f>IF(B230="","",IFERROR(VALUE(TEXT(B230,"[$-1170401]yyyy")),""))</f>
        <v/>
      </c>
      <c r="M230">
        <f>IF(B230="","",IFERROR(VALUE(TEXT(B230,"[$-1170401]mm")),""))</f>
        <v/>
      </c>
    </row>
    <row r="231">
      <c r="B231" s="30" t="n"/>
      <c r="G231" s="9">
        <f>IF(AND(E231&lt;&gt;"",E231&lt;&gt;0,H231&lt;&gt;""),H231/E231,"")</f>
        <v/>
      </c>
      <c r="L231">
        <f>IF(B231="","",IFERROR(VALUE(TEXT(B231,"[$-1170401]yyyy")),""))</f>
        <v/>
      </c>
      <c r="M231">
        <f>IF(B231="","",IFERROR(VALUE(TEXT(B231,"[$-1170401]mm")),""))</f>
        <v/>
      </c>
    </row>
    <row r="232">
      <c r="B232" s="30" t="n"/>
      <c r="G232" s="9">
        <f>IF(AND(E232&lt;&gt;"",E232&lt;&gt;0,H232&lt;&gt;""),H232/E232,"")</f>
        <v/>
      </c>
      <c r="L232">
        <f>IF(B232="","",IFERROR(VALUE(TEXT(B232,"[$-1170401]yyyy")),""))</f>
        <v/>
      </c>
      <c r="M232">
        <f>IF(B232="","",IFERROR(VALUE(TEXT(B232,"[$-1170401]mm")),""))</f>
        <v/>
      </c>
    </row>
    <row r="233">
      <c r="B233" s="30" t="n"/>
      <c r="G233" s="9">
        <f>IF(AND(E233&lt;&gt;"",E233&lt;&gt;0,H233&lt;&gt;""),H233/E233,"")</f>
        <v/>
      </c>
      <c r="L233">
        <f>IF(B233="","",IFERROR(VALUE(TEXT(B233,"[$-1170401]yyyy")),""))</f>
        <v/>
      </c>
      <c r="M233">
        <f>IF(B233="","",IFERROR(VALUE(TEXT(B233,"[$-1170401]mm")),""))</f>
        <v/>
      </c>
    </row>
    <row r="234">
      <c r="B234" s="30" t="n"/>
      <c r="G234" s="9">
        <f>IF(AND(E234&lt;&gt;"",E234&lt;&gt;0,H234&lt;&gt;""),H234/E234,"")</f>
        <v/>
      </c>
      <c r="L234">
        <f>IF(B234="","",IFERROR(VALUE(TEXT(B234,"[$-1170401]yyyy")),""))</f>
        <v/>
      </c>
      <c r="M234">
        <f>IF(B234="","",IFERROR(VALUE(TEXT(B234,"[$-1170401]mm")),""))</f>
        <v/>
      </c>
    </row>
    <row r="235">
      <c r="B235" s="30" t="n"/>
      <c r="G235" s="9">
        <f>IF(AND(E235&lt;&gt;"",E235&lt;&gt;0,H235&lt;&gt;""),H235/E235,"")</f>
        <v/>
      </c>
      <c r="L235">
        <f>IF(B235="","",IFERROR(VALUE(TEXT(B235,"[$-1170401]yyyy")),""))</f>
        <v/>
      </c>
      <c r="M235">
        <f>IF(B235="","",IFERROR(VALUE(TEXT(B235,"[$-1170401]mm")),""))</f>
        <v/>
      </c>
    </row>
    <row r="236">
      <c r="B236" s="30" t="n"/>
      <c r="G236" s="9">
        <f>IF(AND(E236&lt;&gt;"",E236&lt;&gt;0,H236&lt;&gt;""),H236/E236,"")</f>
        <v/>
      </c>
      <c r="L236">
        <f>IF(B236="","",IFERROR(VALUE(TEXT(B236,"[$-1170401]yyyy")),""))</f>
        <v/>
      </c>
      <c r="M236">
        <f>IF(B236="","",IFERROR(VALUE(TEXT(B236,"[$-1170401]mm")),""))</f>
        <v/>
      </c>
    </row>
    <row r="237">
      <c r="B237" s="30" t="n"/>
      <c r="G237" s="9">
        <f>IF(AND(E237&lt;&gt;"",E237&lt;&gt;0,H237&lt;&gt;""),H237/E237,"")</f>
        <v/>
      </c>
      <c r="L237">
        <f>IF(B237="","",IFERROR(VALUE(TEXT(B237,"[$-1170401]yyyy")),""))</f>
        <v/>
      </c>
      <c r="M237">
        <f>IF(B237="","",IFERROR(VALUE(TEXT(B237,"[$-1170401]mm")),""))</f>
        <v/>
      </c>
    </row>
    <row r="238">
      <c r="B238" s="30" t="n"/>
      <c r="G238" s="9">
        <f>IF(AND(E238&lt;&gt;"",E238&lt;&gt;0,H238&lt;&gt;""),H238/E238,"")</f>
        <v/>
      </c>
      <c r="L238">
        <f>IF(B238="","",IFERROR(VALUE(TEXT(B238,"[$-1170401]yyyy")),""))</f>
        <v/>
      </c>
      <c r="M238">
        <f>IF(B238="","",IFERROR(VALUE(TEXT(B238,"[$-1170401]mm")),""))</f>
        <v/>
      </c>
    </row>
    <row r="239">
      <c r="B239" s="30" t="n"/>
      <c r="G239" s="9">
        <f>IF(AND(E239&lt;&gt;"",E239&lt;&gt;0,H239&lt;&gt;""),H239/E239,"")</f>
        <v/>
      </c>
      <c r="L239">
        <f>IF(B239="","",IFERROR(VALUE(TEXT(B239,"[$-1170401]yyyy")),""))</f>
        <v/>
      </c>
      <c r="M239">
        <f>IF(B239="","",IFERROR(VALUE(TEXT(B239,"[$-1170401]mm")),""))</f>
        <v/>
      </c>
    </row>
    <row r="240">
      <c r="B240" s="30" t="n"/>
      <c r="G240" s="9">
        <f>IF(AND(E240&lt;&gt;"",E240&lt;&gt;0,H240&lt;&gt;""),H240/E240,"")</f>
        <v/>
      </c>
      <c r="L240">
        <f>IF(B240="","",IFERROR(VALUE(TEXT(B240,"[$-1170401]yyyy")),""))</f>
        <v/>
      </c>
      <c r="M240">
        <f>IF(B240="","",IFERROR(VALUE(TEXT(B240,"[$-1170401]mm")),""))</f>
        <v/>
      </c>
    </row>
    <row r="241">
      <c r="B241" s="30" t="n"/>
      <c r="G241" s="9">
        <f>IF(AND(E241&lt;&gt;"",E241&lt;&gt;0,H241&lt;&gt;""),H241/E241,"")</f>
        <v/>
      </c>
      <c r="L241">
        <f>IF(B241="","",IFERROR(VALUE(TEXT(B241,"[$-1170401]yyyy")),""))</f>
        <v/>
      </c>
      <c r="M241">
        <f>IF(B241="","",IFERROR(VALUE(TEXT(B241,"[$-1170401]mm")),""))</f>
        <v/>
      </c>
    </row>
    <row r="242">
      <c r="B242" s="30" t="n"/>
      <c r="G242" s="9">
        <f>IF(AND(E242&lt;&gt;"",E242&lt;&gt;0,H242&lt;&gt;""),H242/E242,"")</f>
        <v/>
      </c>
      <c r="L242">
        <f>IF(B242="","",IFERROR(VALUE(TEXT(B242,"[$-1170401]yyyy")),""))</f>
        <v/>
      </c>
      <c r="M242">
        <f>IF(B242="","",IFERROR(VALUE(TEXT(B242,"[$-1170401]mm")),""))</f>
        <v/>
      </c>
    </row>
    <row r="243">
      <c r="B243" s="30" t="n"/>
      <c r="G243" s="9">
        <f>IF(AND(E243&lt;&gt;"",E243&lt;&gt;0,H243&lt;&gt;""),H243/E243,"")</f>
        <v/>
      </c>
      <c r="L243">
        <f>IF(B243="","",IFERROR(VALUE(TEXT(B243,"[$-1170401]yyyy")),""))</f>
        <v/>
      </c>
      <c r="M243">
        <f>IF(B243="","",IFERROR(VALUE(TEXT(B243,"[$-1170401]mm")),""))</f>
        <v/>
      </c>
    </row>
    <row r="244">
      <c r="B244" s="30" t="n"/>
      <c r="G244" s="9">
        <f>IF(AND(E244&lt;&gt;"",E244&lt;&gt;0,H244&lt;&gt;""),H244/E244,"")</f>
        <v/>
      </c>
      <c r="L244">
        <f>IF(B244="","",IFERROR(VALUE(TEXT(B244,"[$-1170401]yyyy")),""))</f>
        <v/>
      </c>
      <c r="M244">
        <f>IF(B244="","",IFERROR(VALUE(TEXT(B244,"[$-1170401]mm")),""))</f>
        <v/>
      </c>
    </row>
    <row r="245">
      <c r="B245" s="30" t="n"/>
      <c r="G245" s="9">
        <f>IF(AND(E245&lt;&gt;"",E245&lt;&gt;0,H245&lt;&gt;""),H245/E245,"")</f>
        <v/>
      </c>
      <c r="L245">
        <f>IF(B245="","",IFERROR(VALUE(TEXT(B245,"[$-1170401]yyyy")),""))</f>
        <v/>
      </c>
      <c r="M245">
        <f>IF(B245="","",IFERROR(VALUE(TEXT(B245,"[$-1170401]mm")),""))</f>
        <v/>
      </c>
    </row>
    <row r="246">
      <c r="B246" s="30" t="n"/>
      <c r="G246" s="9">
        <f>IF(AND(E246&lt;&gt;"",E246&lt;&gt;0,H246&lt;&gt;""),H246/E246,"")</f>
        <v/>
      </c>
      <c r="L246">
        <f>IF(B246="","",IFERROR(VALUE(TEXT(B246,"[$-1170401]yyyy")),""))</f>
        <v/>
      </c>
      <c r="M246">
        <f>IF(B246="","",IFERROR(VALUE(TEXT(B246,"[$-1170401]mm")),""))</f>
        <v/>
      </c>
    </row>
    <row r="247">
      <c r="B247" s="30" t="n"/>
      <c r="G247" s="9">
        <f>IF(AND(E247&lt;&gt;"",E247&lt;&gt;0,H247&lt;&gt;""),H247/E247,"")</f>
        <v/>
      </c>
      <c r="L247">
        <f>IF(B247="","",IFERROR(VALUE(TEXT(B247,"[$-1170401]yyyy")),""))</f>
        <v/>
      </c>
      <c r="M247">
        <f>IF(B247="","",IFERROR(VALUE(TEXT(B247,"[$-1170401]mm")),""))</f>
        <v/>
      </c>
    </row>
    <row r="248">
      <c r="B248" s="30" t="n"/>
      <c r="G248" s="9">
        <f>IF(AND(E248&lt;&gt;"",E248&lt;&gt;0,H248&lt;&gt;""),H248/E248,"")</f>
        <v/>
      </c>
      <c r="L248">
        <f>IF(B248="","",IFERROR(VALUE(TEXT(B248,"[$-1170401]yyyy")),""))</f>
        <v/>
      </c>
      <c r="M248">
        <f>IF(B248="","",IFERROR(VALUE(TEXT(B248,"[$-1170401]mm")),""))</f>
        <v/>
      </c>
    </row>
    <row r="249">
      <c r="B249" s="30" t="n"/>
      <c r="G249" s="9">
        <f>IF(AND(E249&lt;&gt;"",E249&lt;&gt;0,H249&lt;&gt;""),H249/E249,"")</f>
        <v/>
      </c>
      <c r="L249">
        <f>IF(B249="","",IFERROR(VALUE(TEXT(B249,"[$-1170401]yyyy")),""))</f>
        <v/>
      </c>
      <c r="M249">
        <f>IF(B249="","",IFERROR(VALUE(TEXT(B249,"[$-1170401]mm")),""))</f>
        <v/>
      </c>
    </row>
    <row r="250">
      <c r="B250" s="30" t="n"/>
      <c r="G250" s="9">
        <f>IF(AND(E250&lt;&gt;"",E250&lt;&gt;0,H250&lt;&gt;""),H250/E250,"")</f>
        <v/>
      </c>
      <c r="L250">
        <f>IF(B250="","",IFERROR(VALUE(TEXT(B250,"[$-1170401]yyyy")),""))</f>
        <v/>
      </c>
      <c r="M250">
        <f>IF(B250="","",IFERROR(VALUE(TEXT(B250,"[$-1170401]mm")),""))</f>
        <v/>
      </c>
    </row>
    <row r="251">
      <c r="B251" s="30" t="n"/>
      <c r="G251" s="9">
        <f>IF(AND(E251&lt;&gt;"",E251&lt;&gt;0,H251&lt;&gt;""),H251/E251,"")</f>
        <v/>
      </c>
      <c r="L251">
        <f>IF(B251="","",IFERROR(VALUE(TEXT(B251,"[$-1170401]yyyy")),""))</f>
        <v/>
      </c>
      <c r="M251">
        <f>IF(B251="","",IFERROR(VALUE(TEXT(B251,"[$-1170401]mm")),""))</f>
        <v/>
      </c>
    </row>
    <row r="252">
      <c r="B252" s="30" t="n"/>
      <c r="G252" s="9">
        <f>IF(AND(E252&lt;&gt;"",E252&lt;&gt;0,H252&lt;&gt;""),H252/E252,"")</f>
        <v/>
      </c>
      <c r="L252">
        <f>IF(B252="","",IFERROR(VALUE(TEXT(B252,"[$-1170401]yyyy")),""))</f>
        <v/>
      </c>
      <c r="M252">
        <f>IF(B252="","",IFERROR(VALUE(TEXT(B252,"[$-1170401]mm")),""))</f>
        <v/>
      </c>
    </row>
    <row r="253">
      <c r="B253" s="30" t="n"/>
      <c r="G253" s="9">
        <f>IF(AND(E253&lt;&gt;"",E253&lt;&gt;0,H253&lt;&gt;""),H253/E253,"")</f>
        <v/>
      </c>
      <c r="L253">
        <f>IF(B253="","",IFERROR(VALUE(TEXT(B253,"[$-1170401]yyyy")),""))</f>
        <v/>
      </c>
      <c r="M253">
        <f>IF(B253="","",IFERROR(VALUE(TEXT(B253,"[$-1170401]mm")),""))</f>
        <v/>
      </c>
    </row>
    <row r="254">
      <c r="B254" s="30" t="n"/>
      <c r="G254" s="9">
        <f>IF(AND(E254&lt;&gt;"",E254&lt;&gt;0,H254&lt;&gt;""),H254/E254,"")</f>
        <v/>
      </c>
      <c r="L254">
        <f>IF(B254="","",IFERROR(VALUE(TEXT(B254,"[$-1170401]yyyy")),""))</f>
        <v/>
      </c>
      <c r="M254">
        <f>IF(B254="","",IFERROR(VALUE(TEXT(B254,"[$-1170401]mm")),""))</f>
        <v/>
      </c>
    </row>
    <row r="255">
      <c r="B255" s="30" t="n"/>
      <c r="G255" s="9">
        <f>IF(AND(E255&lt;&gt;"",E255&lt;&gt;0,H255&lt;&gt;""),H255/E255,"")</f>
        <v/>
      </c>
      <c r="L255">
        <f>IF(B255="","",IFERROR(VALUE(TEXT(B255,"[$-1170401]yyyy")),""))</f>
        <v/>
      </c>
      <c r="M255">
        <f>IF(B255="","",IFERROR(VALUE(TEXT(B255,"[$-1170401]mm")),""))</f>
        <v/>
      </c>
    </row>
    <row r="256">
      <c r="B256" s="30" t="n"/>
      <c r="G256" s="9">
        <f>IF(AND(E256&lt;&gt;"",E256&lt;&gt;0,H256&lt;&gt;""),H256/E256,"")</f>
        <v/>
      </c>
      <c r="L256">
        <f>IF(B256="","",IFERROR(VALUE(TEXT(B256,"[$-1170401]yyyy")),""))</f>
        <v/>
      </c>
      <c r="M256">
        <f>IF(B256="","",IFERROR(VALUE(TEXT(B256,"[$-1170401]mm")),""))</f>
        <v/>
      </c>
    </row>
    <row r="257">
      <c r="B257" s="30" t="n"/>
      <c r="G257" s="9">
        <f>IF(AND(E257&lt;&gt;"",E257&lt;&gt;0,H257&lt;&gt;""),H257/E257,"")</f>
        <v/>
      </c>
      <c r="L257">
        <f>IF(B257="","",IFERROR(VALUE(TEXT(B257,"[$-1170401]yyyy")),""))</f>
        <v/>
      </c>
      <c r="M257">
        <f>IF(B257="","",IFERROR(VALUE(TEXT(B257,"[$-1170401]mm")),""))</f>
        <v/>
      </c>
    </row>
    <row r="258">
      <c r="B258" s="30" t="n"/>
      <c r="G258" s="9">
        <f>IF(AND(E258&lt;&gt;"",E258&lt;&gt;0,H258&lt;&gt;""),H258/E258,"")</f>
        <v/>
      </c>
      <c r="L258">
        <f>IF(B258="","",IFERROR(VALUE(TEXT(B258,"[$-1170401]yyyy")),""))</f>
        <v/>
      </c>
      <c r="M258">
        <f>IF(B258="","",IFERROR(VALUE(TEXT(B258,"[$-1170401]mm")),""))</f>
        <v/>
      </c>
    </row>
    <row r="259">
      <c r="B259" s="30" t="n"/>
      <c r="G259" s="9">
        <f>IF(AND(E259&lt;&gt;"",E259&lt;&gt;0,H259&lt;&gt;""),H259/E259,"")</f>
        <v/>
      </c>
      <c r="L259">
        <f>IF(B259="","",IFERROR(VALUE(TEXT(B259,"[$-1170401]yyyy")),""))</f>
        <v/>
      </c>
      <c r="M259">
        <f>IF(B259="","",IFERROR(VALUE(TEXT(B259,"[$-1170401]mm")),""))</f>
        <v/>
      </c>
    </row>
    <row r="260">
      <c r="B260" s="30" t="n"/>
      <c r="G260" s="9">
        <f>IF(AND(E260&lt;&gt;"",E260&lt;&gt;0,H260&lt;&gt;""),H260/E260,"")</f>
        <v/>
      </c>
      <c r="L260">
        <f>IF(B260="","",IFERROR(VALUE(TEXT(B260,"[$-1170401]yyyy")),""))</f>
        <v/>
      </c>
      <c r="M260">
        <f>IF(B260="","",IFERROR(VALUE(TEXT(B260,"[$-1170401]mm")),""))</f>
        <v/>
      </c>
    </row>
    <row r="261">
      <c r="B261" s="30" t="n"/>
      <c r="G261" s="9">
        <f>IF(AND(E261&lt;&gt;"",E261&lt;&gt;0,H261&lt;&gt;""),H261/E261,"")</f>
        <v/>
      </c>
      <c r="L261">
        <f>IF(B261="","",IFERROR(VALUE(TEXT(B261,"[$-1170401]yyyy")),""))</f>
        <v/>
      </c>
      <c r="M261">
        <f>IF(B261="","",IFERROR(VALUE(TEXT(B261,"[$-1170401]mm")),""))</f>
        <v/>
      </c>
    </row>
    <row r="262">
      <c r="B262" s="30" t="n"/>
      <c r="G262" s="9">
        <f>IF(AND(E262&lt;&gt;"",E262&lt;&gt;0,H262&lt;&gt;""),H262/E262,"")</f>
        <v/>
      </c>
      <c r="L262">
        <f>IF(B262="","",IFERROR(VALUE(TEXT(B262,"[$-1170401]yyyy")),""))</f>
        <v/>
      </c>
      <c r="M262">
        <f>IF(B262="","",IFERROR(VALUE(TEXT(B262,"[$-1170401]mm")),""))</f>
        <v/>
      </c>
    </row>
    <row r="263">
      <c r="B263" s="30" t="n"/>
      <c r="G263" s="9">
        <f>IF(AND(E263&lt;&gt;"",E263&lt;&gt;0,H263&lt;&gt;""),H263/E263,"")</f>
        <v/>
      </c>
      <c r="L263">
        <f>IF(B263="","",IFERROR(VALUE(TEXT(B263,"[$-1170401]yyyy")),""))</f>
        <v/>
      </c>
      <c r="M263">
        <f>IF(B263="","",IFERROR(VALUE(TEXT(B263,"[$-1170401]mm")),""))</f>
        <v/>
      </c>
    </row>
    <row r="264">
      <c r="B264" s="30" t="n"/>
      <c r="G264" s="9">
        <f>IF(AND(E264&lt;&gt;"",E264&lt;&gt;0,H264&lt;&gt;""),H264/E264,"")</f>
        <v/>
      </c>
      <c r="L264">
        <f>IF(B264="","",IFERROR(VALUE(TEXT(B264,"[$-1170401]yyyy")),""))</f>
        <v/>
      </c>
      <c r="M264">
        <f>IF(B264="","",IFERROR(VALUE(TEXT(B264,"[$-1170401]mm")),""))</f>
        <v/>
      </c>
    </row>
    <row r="265">
      <c r="B265" s="30" t="n"/>
      <c r="G265" s="9">
        <f>IF(AND(E265&lt;&gt;"",E265&lt;&gt;0,H265&lt;&gt;""),H265/E265,"")</f>
        <v/>
      </c>
      <c r="L265">
        <f>IF(B265="","",IFERROR(VALUE(TEXT(B265,"[$-1170401]yyyy")),""))</f>
        <v/>
      </c>
      <c r="M265">
        <f>IF(B265="","",IFERROR(VALUE(TEXT(B265,"[$-1170401]mm")),""))</f>
        <v/>
      </c>
    </row>
    <row r="266">
      <c r="B266" s="30" t="n"/>
      <c r="G266" s="9">
        <f>IF(AND(E266&lt;&gt;"",E266&lt;&gt;0,H266&lt;&gt;""),H266/E266,"")</f>
        <v/>
      </c>
      <c r="L266">
        <f>IF(B266="","",IFERROR(VALUE(TEXT(B266,"[$-1170401]yyyy")),""))</f>
        <v/>
      </c>
      <c r="M266">
        <f>IF(B266="","",IFERROR(VALUE(TEXT(B266,"[$-1170401]mm")),""))</f>
        <v/>
      </c>
    </row>
    <row r="267">
      <c r="B267" s="30" t="n"/>
      <c r="G267" s="9">
        <f>IF(AND(E267&lt;&gt;"",E267&lt;&gt;0,H267&lt;&gt;""),H267/E267,"")</f>
        <v/>
      </c>
      <c r="L267">
        <f>IF(B267="","",IFERROR(VALUE(TEXT(B267,"[$-1170401]yyyy")),""))</f>
        <v/>
      </c>
      <c r="M267">
        <f>IF(B267="","",IFERROR(VALUE(TEXT(B267,"[$-1170401]mm")),""))</f>
        <v/>
      </c>
    </row>
    <row r="268">
      <c r="B268" s="30" t="n"/>
      <c r="G268" s="9">
        <f>IF(AND(E268&lt;&gt;"",E268&lt;&gt;0,H268&lt;&gt;""),H268/E268,"")</f>
        <v/>
      </c>
      <c r="L268">
        <f>IF(B268="","",IFERROR(VALUE(TEXT(B268,"[$-1170401]yyyy")),""))</f>
        <v/>
      </c>
      <c r="M268">
        <f>IF(B268="","",IFERROR(VALUE(TEXT(B268,"[$-1170401]mm")),""))</f>
        <v/>
      </c>
    </row>
    <row r="269">
      <c r="B269" s="30" t="n"/>
      <c r="G269" s="9">
        <f>IF(AND(E269&lt;&gt;"",E269&lt;&gt;0,H269&lt;&gt;""),H269/E269,"")</f>
        <v/>
      </c>
      <c r="L269">
        <f>IF(B269="","",IFERROR(VALUE(TEXT(B269,"[$-1170401]yyyy")),""))</f>
        <v/>
      </c>
      <c r="M269">
        <f>IF(B269="","",IFERROR(VALUE(TEXT(B269,"[$-1170401]mm")),""))</f>
        <v/>
      </c>
    </row>
    <row r="270">
      <c r="B270" s="30" t="n"/>
      <c r="G270" s="9">
        <f>IF(AND(E270&lt;&gt;"",E270&lt;&gt;0,H270&lt;&gt;""),H270/E270,"")</f>
        <v/>
      </c>
      <c r="L270">
        <f>IF(B270="","",IFERROR(VALUE(TEXT(B270,"[$-1170401]yyyy")),""))</f>
        <v/>
      </c>
      <c r="M270">
        <f>IF(B270="","",IFERROR(VALUE(TEXT(B270,"[$-1170401]mm")),""))</f>
        <v/>
      </c>
    </row>
    <row r="271">
      <c r="B271" s="30" t="n"/>
      <c r="G271" s="9">
        <f>IF(AND(E271&lt;&gt;"",E271&lt;&gt;0,H271&lt;&gt;""),H271/E271,"")</f>
        <v/>
      </c>
      <c r="L271">
        <f>IF(B271="","",IFERROR(VALUE(TEXT(B271,"[$-1170401]yyyy")),""))</f>
        <v/>
      </c>
      <c r="M271">
        <f>IF(B271="","",IFERROR(VALUE(TEXT(B271,"[$-1170401]mm")),""))</f>
        <v/>
      </c>
    </row>
    <row r="272">
      <c r="B272" s="30" t="n"/>
      <c r="G272" s="9">
        <f>IF(AND(E272&lt;&gt;"",E272&lt;&gt;0,H272&lt;&gt;""),H272/E272,"")</f>
        <v/>
      </c>
      <c r="L272">
        <f>IF(B272="","",IFERROR(VALUE(TEXT(B272,"[$-1170401]yyyy")),""))</f>
        <v/>
      </c>
      <c r="M272">
        <f>IF(B272="","",IFERROR(VALUE(TEXT(B272,"[$-1170401]mm")),""))</f>
        <v/>
      </c>
    </row>
    <row r="273">
      <c r="B273" s="30" t="n"/>
      <c r="G273" s="9">
        <f>IF(AND(E273&lt;&gt;"",E273&lt;&gt;0,H273&lt;&gt;""),H273/E273,"")</f>
        <v/>
      </c>
      <c r="L273">
        <f>IF(B273="","",IFERROR(VALUE(TEXT(B273,"[$-1170401]yyyy")),""))</f>
        <v/>
      </c>
      <c r="M273">
        <f>IF(B273="","",IFERROR(VALUE(TEXT(B273,"[$-1170401]mm")),""))</f>
        <v/>
      </c>
    </row>
    <row r="274">
      <c r="B274" s="30" t="n"/>
      <c r="G274" s="9">
        <f>IF(AND(E274&lt;&gt;"",E274&lt;&gt;0,H274&lt;&gt;""),H274/E274,"")</f>
        <v/>
      </c>
      <c r="L274">
        <f>IF(B274="","",IFERROR(VALUE(TEXT(B274,"[$-1170401]yyyy")),""))</f>
        <v/>
      </c>
      <c r="M274">
        <f>IF(B274="","",IFERROR(VALUE(TEXT(B274,"[$-1170401]mm")),""))</f>
        <v/>
      </c>
    </row>
    <row r="275">
      <c r="B275" s="30" t="n"/>
      <c r="G275" s="9">
        <f>IF(AND(E275&lt;&gt;"",E275&lt;&gt;0,H275&lt;&gt;""),H275/E275,"")</f>
        <v/>
      </c>
      <c r="L275">
        <f>IF(B275="","",IFERROR(VALUE(TEXT(B275,"[$-1170401]yyyy")),""))</f>
        <v/>
      </c>
      <c r="M275">
        <f>IF(B275="","",IFERROR(VALUE(TEXT(B275,"[$-1170401]mm")),""))</f>
        <v/>
      </c>
    </row>
    <row r="276">
      <c r="B276" s="30" t="n"/>
      <c r="G276" s="9">
        <f>IF(AND(E276&lt;&gt;"",E276&lt;&gt;0,H276&lt;&gt;""),H276/E276,"")</f>
        <v/>
      </c>
      <c r="L276">
        <f>IF(B276="","",IFERROR(VALUE(TEXT(B276,"[$-1170401]yyyy")),""))</f>
        <v/>
      </c>
      <c r="M276">
        <f>IF(B276="","",IFERROR(VALUE(TEXT(B276,"[$-1170401]mm")),""))</f>
        <v/>
      </c>
    </row>
    <row r="277">
      <c r="B277" s="30" t="n"/>
      <c r="G277" s="9">
        <f>IF(AND(E277&lt;&gt;"",E277&lt;&gt;0,H277&lt;&gt;""),H277/E277,"")</f>
        <v/>
      </c>
      <c r="L277">
        <f>IF(B277="","",IFERROR(VALUE(TEXT(B277,"[$-1170401]yyyy")),""))</f>
        <v/>
      </c>
      <c r="M277">
        <f>IF(B277="","",IFERROR(VALUE(TEXT(B277,"[$-1170401]mm")),""))</f>
        <v/>
      </c>
    </row>
    <row r="278">
      <c r="B278" s="30" t="n"/>
      <c r="G278" s="9">
        <f>IF(AND(E278&lt;&gt;"",E278&lt;&gt;0,H278&lt;&gt;""),H278/E278,"")</f>
        <v/>
      </c>
      <c r="L278">
        <f>IF(B278="","",IFERROR(VALUE(TEXT(B278,"[$-1170401]yyyy")),""))</f>
        <v/>
      </c>
      <c r="M278">
        <f>IF(B278="","",IFERROR(VALUE(TEXT(B278,"[$-1170401]mm")),""))</f>
        <v/>
      </c>
    </row>
    <row r="279">
      <c r="B279" s="30" t="n"/>
      <c r="G279" s="9">
        <f>IF(AND(E279&lt;&gt;"",E279&lt;&gt;0,H279&lt;&gt;""),H279/E279,"")</f>
        <v/>
      </c>
      <c r="L279">
        <f>IF(B279="","",IFERROR(VALUE(TEXT(B279,"[$-1170401]yyyy")),""))</f>
        <v/>
      </c>
      <c r="M279">
        <f>IF(B279="","",IFERROR(VALUE(TEXT(B279,"[$-1170401]mm")),""))</f>
        <v/>
      </c>
    </row>
    <row r="280">
      <c r="B280" s="30" t="n"/>
      <c r="G280" s="9">
        <f>IF(AND(E280&lt;&gt;"",E280&lt;&gt;0,H280&lt;&gt;""),H280/E280,"")</f>
        <v/>
      </c>
      <c r="L280">
        <f>IF(B280="","",IFERROR(VALUE(TEXT(B280,"[$-1170401]yyyy")),""))</f>
        <v/>
      </c>
      <c r="M280">
        <f>IF(B280="","",IFERROR(VALUE(TEXT(B280,"[$-1170401]mm")),""))</f>
        <v/>
      </c>
    </row>
    <row r="281">
      <c r="B281" s="30" t="n"/>
      <c r="G281" s="9">
        <f>IF(AND(E281&lt;&gt;"",E281&lt;&gt;0,H281&lt;&gt;""),H281/E281,"")</f>
        <v/>
      </c>
      <c r="L281">
        <f>IF(B281="","",IFERROR(VALUE(TEXT(B281,"[$-1170401]yyyy")),""))</f>
        <v/>
      </c>
      <c r="M281">
        <f>IF(B281="","",IFERROR(VALUE(TEXT(B281,"[$-1170401]mm")),""))</f>
        <v/>
      </c>
    </row>
    <row r="282">
      <c r="B282" s="30" t="n"/>
      <c r="G282" s="9">
        <f>IF(AND(E282&lt;&gt;"",E282&lt;&gt;0,H282&lt;&gt;""),H282/E282,"")</f>
        <v/>
      </c>
      <c r="L282">
        <f>IF(B282="","",IFERROR(VALUE(TEXT(B282,"[$-1170401]yyyy")),""))</f>
        <v/>
      </c>
      <c r="M282">
        <f>IF(B282="","",IFERROR(VALUE(TEXT(B282,"[$-1170401]mm")),""))</f>
        <v/>
      </c>
    </row>
    <row r="283">
      <c r="B283" s="30" t="n"/>
      <c r="G283" s="9">
        <f>IF(AND(E283&lt;&gt;"",E283&lt;&gt;0,H283&lt;&gt;""),H283/E283,"")</f>
        <v/>
      </c>
      <c r="L283">
        <f>IF(B283="","",IFERROR(VALUE(TEXT(B283,"[$-1170401]yyyy")),""))</f>
        <v/>
      </c>
      <c r="M283">
        <f>IF(B283="","",IFERROR(VALUE(TEXT(B283,"[$-1170401]mm")),""))</f>
        <v/>
      </c>
    </row>
    <row r="284">
      <c r="B284" s="30" t="n"/>
      <c r="G284" s="9">
        <f>IF(AND(E284&lt;&gt;"",E284&lt;&gt;0,H284&lt;&gt;""),H284/E284,"")</f>
        <v/>
      </c>
      <c r="L284">
        <f>IF(B284="","",IFERROR(VALUE(TEXT(B284,"[$-1170401]yyyy")),""))</f>
        <v/>
      </c>
      <c r="M284">
        <f>IF(B284="","",IFERROR(VALUE(TEXT(B284,"[$-1170401]mm")),""))</f>
        <v/>
      </c>
    </row>
    <row r="285">
      <c r="B285" s="30" t="n"/>
      <c r="G285" s="9">
        <f>IF(AND(E285&lt;&gt;"",E285&lt;&gt;0,H285&lt;&gt;""),H285/E285,"")</f>
        <v/>
      </c>
      <c r="L285">
        <f>IF(B285="","",IFERROR(VALUE(TEXT(B285,"[$-1170401]yyyy")),""))</f>
        <v/>
      </c>
      <c r="M285">
        <f>IF(B285="","",IFERROR(VALUE(TEXT(B285,"[$-1170401]mm")),""))</f>
        <v/>
      </c>
    </row>
    <row r="286">
      <c r="B286" s="30" t="n"/>
      <c r="G286" s="9">
        <f>IF(AND(E286&lt;&gt;"",E286&lt;&gt;0,H286&lt;&gt;""),H286/E286,"")</f>
        <v/>
      </c>
      <c r="L286">
        <f>IF(B286="","",IFERROR(VALUE(TEXT(B286,"[$-1170401]yyyy")),""))</f>
        <v/>
      </c>
      <c r="M286">
        <f>IF(B286="","",IFERROR(VALUE(TEXT(B286,"[$-1170401]mm")),""))</f>
        <v/>
      </c>
    </row>
    <row r="287">
      <c r="B287" s="30" t="n"/>
      <c r="G287" s="9">
        <f>IF(AND(E287&lt;&gt;"",E287&lt;&gt;0,H287&lt;&gt;""),H287/E287,"")</f>
        <v/>
      </c>
      <c r="L287">
        <f>IF(B287="","",IFERROR(VALUE(TEXT(B287,"[$-1170401]yyyy")),""))</f>
        <v/>
      </c>
      <c r="M287">
        <f>IF(B287="","",IFERROR(VALUE(TEXT(B287,"[$-1170401]mm")),""))</f>
        <v/>
      </c>
    </row>
    <row r="288">
      <c r="B288" s="30" t="n"/>
      <c r="G288" s="9">
        <f>IF(AND(E288&lt;&gt;"",E288&lt;&gt;0,H288&lt;&gt;""),H288/E288,"")</f>
        <v/>
      </c>
      <c r="L288">
        <f>IF(B288="","",IFERROR(VALUE(TEXT(B288,"[$-1170401]yyyy")),""))</f>
        <v/>
      </c>
      <c r="M288">
        <f>IF(B288="","",IFERROR(VALUE(TEXT(B288,"[$-1170401]mm")),""))</f>
        <v/>
      </c>
    </row>
    <row r="289">
      <c r="B289" s="30" t="n"/>
      <c r="G289" s="9">
        <f>IF(AND(E289&lt;&gt;"",E289&lt;&gt;0,H289&lt;&gt;""),H289/E289,"")</f>
        <v/>
      </c>
      <c r="L289">
        <f>IF(B289="","",IFERROR(VALUE(TEXT(B289,"[$-1170401]yyyy")),""))</f>
        <v/>
      </c>
      <c r="M289">
        <f>IF(B289="","",IFERROR(VALUE(TEXT(B289,"[$-1170401]mm")),""))</f>
        <v/>
      </c>
    </row>
    <row r="290">
      <c r="B290" s="30" t="n"/>
      <c r="G290" s="9">
        <f>IF(AND(E290&lt;&gt;"",E290&lt;&gt;0,H290&lt;&gt;""),H290/E290,"")</f>
        <v/>
      </c>
      <c r="L290">
        <f>IF(B290="","",IFERROR(VALUE(TEXT(B290,"[$-1170401]yyyy")),""))</f>
        <v/>
      </c>
      <c r="M290">
        <f>IF(B290="","",IFERROR(VALUE(TEXT(B290,"[$-1170401]mm")),""))</f>
        <v/>
      </c>
    </row>
    <row r="291">
      <c r="B291" s="30" t="n"/>
      <c r="G291" s="9">
        <f>IF(AND(E291&lt;&gt;"",E291&lt;&gt;0,H291&lt;&gt;""),H291/E291,"")</f>
        <v/>
      </c>
      <c r="L291">
        <f>IF(B291="","",IFERROR(VALUE(TEXT(B291,"[$-1170401]yyyy")),""))</f>
        <v/>
      </c>
      <c r="M291">
        <f>IF(B291="","",IFERROR(VALUE(TEXT(B291,"[$-1170401]mm")),""))</f>
        <v/>
      </c>
    </row>
    <row r="292">
      <c r="B292" s="30" t="n"/>
      <c r="G292" s="9">
        <f>IF(AND(E292&lt;&gt;"",E292&lt;&gt;0,H292&lt;&gt;""),H292/E292,"")</f>
        <v/>
      </c>
      <c r="L292">
        <f>IF(B292="","",IFERROR(VALUE(TEXT(B292,"[$-1170401]yyyy")),""))</f>
        <v/>
      </c>
      <c r="M292">
        <f>IF(B292="","",IFERROR(VALUE(TEXT(B292,"[$-1170401]mm")),""))</f>
        <v/>
      </c>
    </row>
    <row r="293">
      <c r="B293" s="30" t="n"/>
      <c r="G293" s="9">
        <f>IF(AND(E293&lt;&gt;"",E293&lt;&gt;0,H293&lt;&gt;""),H293/E293,"")</f>
        <v/>
      </c>
      <c r="L293">
        <f>IF(B293="","",IFERROR(VALUE(TEXT(B293,"[$-1170401]yyyy")),""))</f>
        <v/>
      </c>
      <c r="M293">
        <f>IF(B293="","",IFERROR(VALUE(TEXT(B293,"[$-1170401]mm")),""))</f>
        <v/>
      </c>
    </row>
    <row r="294">
      <c r="B294" s="30" t="n"/>
      <c r="G294" s="9">
        <f>IF(AND(E294&lt;&gt;"",E294&lt;&gt;0,H294&lt;&gt;""),H294/E294,"")</f>
        <v/>
      </c>
      <c r="L294">
        <f>IF(B294="","",IFERROR(VALUE(TEXT(B294,"[$-1170401]yyyy")),""))</f>
        <v/>
      </c>
      <c r="M294">
        <f>IF(B294="","",IFERROR(VALUE(TEXT(B294,"[$-1170401]mm")),""))</f>
        <v/>
      </c>
    </row>
    <row r="295">
      <c r="B295" s="30" t="n"/>
      <c r="G295" s="9">
        <f>IF(AND(E295&lt;&gt;"",E295&lt;&gt;0,H295&lt;&gt;""),H295/E295,"")</f>
        <v/>
      </c>
      <c r="L295">
        <f>IF(B295="","",IFERROR(VALUE(TEXT(B295,"[$-1170401]yyyy")),""))</f>
        <v/>
      </c>
      <c r="M295">
        <f>IF(B295="","",IFERROR(VALUE(TEXT(B295,"[$-1170401]mm")),""))</f>
        <v/>
      </c>
    </row>
    <row r="296">
      <c r="B296" s="30" t="n"/>
      <c r="G296" s="9">
        <f>IF(AND(E296&lt;&gt;"",E296&lt;&gt;0,H296&lt;&gt;""),H296/E296,"")</f>
        <v/>
      </c>
      <c r="L296">
        <f>IF(B296="","",IFERROR(VALUE(TEXT(B296,"[$-1170401]yyyy")),""))</f>
        <v/>
      </c>
      <c r="M296">
        <f>IF(B296="","",IFERROR(VALUE(TEXT(B296,"[$-1170401]mm")),""))</f>
        <v/>
      </c>
    </row>
    <row r="297">
      <c r="B297" s="30" t="n"/>
      <c r="G297" s="9">
        <f>IF(AND(E297&lt;&gt;"",E297&lt;&gt;0,H297&lt;&gt;""),H297/E297,"")</f>
        <v/>
      </c>
      <c r="L297">
        <f>IF(B297="","",IFERROR(VALUE(TEXT(B297,"[$-1170401]yyyy")),""))</f>
        <v/>
      </c>
      <c r="M297">
        <f>IF(B297="","",IFERROR(VALUE(TEXT(B297,"[$-1170401]mm")),""))</f>
        <v/>
      </c>
    </row>
    <row r="298">
      <c r="B298" s="30" t="n"/>
      <c r="G298" s="9">
        <f>IF(AND(E298&lt;&gt;"",E298&lt;&gt;0,H298&lt;&gt;""),H298/E298,"")</f>
        <v/>
      </c>
      <c r="L298">
        <f>IF(B298="","",IFERROR(VALUE(TEXT(B298,"[$-1170401]yyyy")),""))</f>
        <v/>
      </c>
      <c r="M298">
        <f>IF(B298="","",IFERROR(VALUE(TEXT(B298,"[$-1170401]mm")),""))</f>
        <v/>
      </c>
    </row>
    <row r="299">
      <c r="B299" s="30" t="n"/>
      <c r="G299" s="9">
        <f>IF(AND(E299&lt;&gt;"",E299&lt;&gt;0,H299&lt;&gt;""),H299/E299,"")</f>
        <v/>
      </c>
      <c r="L299">
        <f>IF(B299="","",IFERROR(VALUE(TEXT(B299,"[$-1170401]yyyy")),""))</f>
        <v/>
      </c>
      <c r="M299">
        <f>IF(B299="","",IFERROR(VALUE(TEXT(B299,"[$-1170401]mm")),""))</f>
        <v/>
      </c>
    </row>
    <row r="300">
      <c r="B300" s="30" t="n"/>
      <c r="G300" s="9">
        <f>IF(AND(E300&lt;&gt;"",E300&lt;&gt;0,H300&lt;&gt;""),H300/E300,"")</f>
        <v/>
      </c>
      <c r="L300">
        <f>IF(B300="","",IFERROR(VALUE(TEXT(B300,"[$-1170401]yyyy")),""))</f>
        <v/>
      </c>
      <c r="M300">
        <f>IF(B300="","",IFERROR(VALUE(TEXT(B300,"[$-1170401]mm")),""))</f>
        <v/>
      </c>
    </row>
    <row r="301">
      <c r="B301" s="30" t="n"/>
      <c r="G301" s="9">
        <f>IF(AND(E301&lt;&gt;"",E301&lt;&gt;0,H301&lt;&gt;""),H301/E301,"")</f>
        <v/>
      </c>
      <c r="L301">
        <f>IF(B301="","",IFERROR(VALUE(TEXT(B301,"[$-1170401]yyyy")),""))</f>
        <v/>
      </c>
      <c r="M301">
        <f>IF(B301="","",IFERROR(VALUE(TEXT(B301,"[$-1170401]mm")),""))</f>
        <v/>
      </c>
    </row>
    <row r="302">
      <c r="B302" s="30" t="n"/>
      <c r="G302" s="9">
        <f>IF(AND(E302&lt;&gt;"",E302&lt;&gt;0,H302&lt;&gt;""),H302/E302,"")</f>
        <v/>
      </c>
      <c r="L302">
        <f>IF(B302="","",IFERROR(VALUE(TEXT(B302,"[$-1170401]yyyy")),""))</f>
        <v/>
      </c>
      <c r="M302">
        <f>IF(B302="","",IFERROR(VALUE(TEXT(B302,"[$-1170401]mm")),""))</f>
        <v/>
      </c>
    </row>
    <row r="303">
      <c r="B303" s="30" t="n"/>
      <c r="G303" s="9">
        <f>IF(AND(E303&lt;&gt;"",E303&lt;&gt;0,H303&lt;&gt;""),H303/E303,"")</f>
        <v/>
      </c>
      <c r="L303">
        <f>IF(B303="","",IFERROR(VALUE(TEXT(B303,"[$-1170401]yyyy")),""))</f>
        <v/>
      </c>
      <c r="M303">
        <f>IF(B303="","",IFERROR(VALUE(TEXT(B303,"[$-1170401]mm")),""))</f>
        <v/>
      </c>
    </row>
    <row r="304">
      <c r="B304" s="30" t="n"/>
      <c r="G304" s="9">
        <f>IF(AND(E304&lt;&gt;"",E304&lt;&gt;0,H304&lt;&gt;""),H304/E304,"")</f>
        <v/>
      </c>
      <c r="L304">
        <f>IF(B304="","",IFERROR(VALUE(TEXT(B304,"[$-1170401]yyyy")),""))</f>
        <v/>
      </c>
      <c r="M304">
        <f>IF(B304="","",IFERROR(VALUE(TEXT(B304,"[$-1170401]mm")),""))</f>
        <v/>
      </c>
    </row>
    <row r="305">
      <c r="B305" s="30" t="n"/>
      <c r="G305" s="9">
        <f>IF(AND(E305&lt;&gt;"",E305&lt;&gt;0,H305&lt;&gt;""),H305/E305,"")</f>
        <v/>
      </c>
      <c r="L305">
        <f>IF(B305="","",IFERROR(VALUE(TEXT(B305,"[$-1170401]yyyy")),""))</f>
        <v/>
      </c>
      <c r="M305">
        <f>IF(B305="","",IFERROR(VALUE(TEXT(B305,"[$-1170401]mm")),""))</f>
        <v/>
      </c>
    </row>
    <row r="306">
      <c r="B306" s="30" t="n"/>
      <c r="G306" s="9">
        <f>IF(AND(E306&lt;&gt;"",E306&lt;&gt;0,H306&lt;&gt;""),H306/E306,"")</f>
        <v/>
      </c>
      <c r="L306">
        <f>IF(B306="","",IFERROR(VALUE(TEXT(B306,"[$-1170401]yyyy")),""))</f>
        <v/>
      </c>
      <c r="M306">
        <f>IF(B306="","",IFERROR(VALUE(TEXT(B306,"[$-1170401]mm")),""))</f>
        <v/>
      </c>
    </row>
    <row r="307">
      <c r="B307" s="30" t="n"/>
      <c r="G307" s="9">
        <f>IF(AND(E307&lt;&gt;"",E307&lt;&gt;0,H307&lt;&gt;""),H307/E307,"")</f>
        <v/>
      </c>
      <c r="L307">
        <f>IF(B307="","",IFERROR(VALUE(TEXT(B307,"[$-1170401]yyyy")),""))</f>
        <v/>
      </c>
      <c r="M307">
        <f>IF(B307="","",IFERROR(VALUE(TEXT(B307,"[$-1170401]mm")),""))</f>
        <v/>
      </c>
    </row>
    <row r="308">
      <c r="B308" s="30" t="n"/>
      <c r="G308" s="9">
        <f>IF(AND(E308&lt;&gt;"",E308&lt;&gt;0,H308&lt;&gt;""),H308/E308,"")</f>
        <v/>
      </c>
      <c r="L308">
        <f>IF(B308="","",IFERROR(VALUE(TEXT(B308,"[$-1170401]yyyy")),""))</f>
        <v/>
      </c>
      <c r="M308">
        <f>IF(B308="","",IFERROR(VALUE(TEXT(B308,"[$-1170401]mm")),""))</f>
        <v/>
      </c>
    </row>
    <row r="309">
      <c r="B309" s="30" t="n"/>
      <c r="G309" s="9">
        <f>IF(AND(E309&lt;&gt;"",E309&lt;&gt;0,H309&lt;&gt;""),H309/E309,"")</f>
        <v/>
      </c>
      <c r="L309">
        <f>IF(B309="","",IFERROR(VALUE(TEXT(B309,"[$-1170401]yyyy")),""))</f>
        <v/>
      </c>
      <c r="M309">
        <f>IF(B309="","",IFERROR(VALUE(TEXT(B309,"[$-1170401]mm")),""))</f>
        <v/>
      </c>
    </row>
    <row r="310">
      <c r="B310" s="30" t="n"/>
      <c r="G310" s="9">
        <f>IF(AND(E310&lt;&gt;"",E310&lt;&gt;0,H310&lt;&gt;""),H310/E310,"")</f>
        <v/>
      </c>
      <c r="L310">
        <f>IF(B310="","",IFERROR(VALUE(TEXT(B310,"[$-1170401]yyyy")),""))</f>
        <v/>
      </c>
      <c r="M310">
        <f>IF(B310="","",IFERROR(VALUE(TEXT(B310,"[$-1170401]mm")),""))</f>
        <v/>
      </c>
    </row>
    <row r="311">
      <c r="B311" s="30" t="n"/>
      <c r="G311" s="9">
        <f>IF(AND(E311&lt;&gt;"",E311&lt;&gt;0,H311&lt;&gt;""),H311/E311,"")</f>
        <v/>
      </c>
      <c r="L311">
        <f>IF(B311="","",IFERROR(VALUE(TEXT(B311,"[$-1170401]yyyy")),""))</f>
        <v/>
      </c>
      <c r="M311">
        <f>IF(B311="","",IFERROR(VALUE(TEXT(B311,"[$-1170401]mm")),""))</f>
        <v/>
      </c>
    </row>
    <row r="312">
      <c r="B312" s="30" t="n"/>
      <c r="G312" s="9">
        <f>IF(AND(E312&lt;&gt;"",E312&lt;&gt;0,H312&lt;&gt;""),H312/E312,"")</f>
        <v/>
      </c>
      <c r="L312">
        <f>IF(B312="","",IFERROR(VALUE(TEXT(B312,"[$-1170401]yyyy")),""))</f>
        <v/>
      </c>
      <c r="M312">
        <f>IF(B312="","",IFERROR(VALUE(TEXT(B312,"[$-1170401]mm")),""))</f>
        <v/>
      </c>
    </row>
    <row r="313">
      <c r="B313" s="30" t="n"/>
      <c r="G313" s="9">
        <f>IF(AND(E313&lt;&gt;"",E313&lt;&gt;0,H313&lt;&gt;""),H313/E313,"")</f>
        <v/>
      </c>
      <c r="L313">
        <f>IF(B313="","",IFERROR(VALUE(TEXT(B313,"[$-1170401]yyyy")),""))</f>
        <v/>
      </c>
      <c r="M313">
        <f>IF(B313="","",IFERROR(VALUE(TEXT(B313,"[$-1170401]mm")),""))</f>
        <v/>
      </c>
    </row>
    <row r="314">
      <c r="B314" s="30" t="n"/>
      <c r="G314" s="9">
        <f>IF(AND(E314&lt;&gt;"",E314&lt;&gt;0,H314&lt;&gt;""),H314/E314,"")</f>
        <v/>
      </c>
      <c r="L314">
        <f>IF(B314="","",IFERROR(VALUE(TEXT(B314,"[$-1170401]yyyy")),""))</f>
        <v/>
      </c>
      <c r="M314">
        <f>IF(B314="","",IFERROR(VALUE(TEXT(B314,"[$-1170401]mm")),""))</f>
        <v/>
      </c>
    </row>
    <row r="315">
      <c r="B315" s="30" t="n"/>
      <c r="G315" s="9">
        <f>IF(AND(E315&lt;&gt;"",E315&lt;&gt;0,H315&lt;&gt;""),H315/E315,"")</f>
        <v/>
      </c>
      <c r="L315">
        <f>IF(B315="","",IFERROR(VALUE(TEXT(B315,"[$-1170401]yyyy")),""))</f>
        <v/>
      </c>
      <c r="M315">
        <f>IF(B315="","",IFERROR(VALUE(TEXT(B315,"[$-1170401]mm")),""))</f>
        <v/>
      </c>
    </row>
    <row r="316">
      <c r="B316" s="30" t="n"/>
      <c r="G316" s="9">
        <f>IF(AND(E316&lt;&gt;"",E316&lt;&gt;0,H316&lt;&gt;""),H316/E316,"")</f>
        <v/>
      </c>
      <c r="L316">
        <f>IF(B316="","",IFERROR(VALUE(TEXT(B316,"[$-1170401]yyyy")),""))</f>
        <v/>
      </c>
      <c r="M316">
        <f>IF(B316="","",IFERROR(VALUE(TEXT(B316,"[$-1170401]mm")),""))</f>
        <v/>
      </c>
    </row>
    <row r="317">
      <c r="B317" s="30" t="n"/>
      <c r="G317" s="9">
        <f>IF(AND(E317&lt;&gt;"",E317&lt;&gt;0,H317&lt;&gt;""),H317/E317,"")</f>
        <v/>
      </c>
      <c r="L317">
        <f>IF(B317="","",IFERROR(VALUE(TEXT(B317,"[$-1170401]yyyy")),""))</f>
        <v/>
      </c>
      <c r="M317">
        <f>IF(B317="","",IFERROR(VALUE(TEXT(B317,"[$-1170401]mm")),""))</f>
        <v/>
      </c>
    </row>
    <row r="318">
      <c r="B318" s="30" t="n"/>
      <c r="G318" s="9">
        <f>IF(AND(E318&lt;&gt;"",E318&lt;&gt;0,H318&lt;&gt;""),H318/E318,"")</f>
        <v/>
      </c>
      <c r="L318">
        <f>IF(B318="","",IFERROR(VALUE(TEXT(B318,"[$-1170401]yyyy")),""))</f>
        <v/>
      </c>
      <c r="M318">
        <f>IF(B318="","",IFERROR(VALUE(TEXT(B318,"[$-1170401]mm")),""))</f>
        <v/>
      </c>
    </row>
    <row r="319">
      <c r="B319" s="30" t="n"/>
      <c r="G319" s="9">
        <f>IF(AND(E319&lt;&gt;"",E319&lt;&gt;0,H319&lt;&gt;""),H319/E319,"")</f>
        <v/>
      </c>
      <c r="L319">
        <f>IF(B319="","",IFERROR(VALUE(TEXT(B319,"[$-1170401]yyyy")),""))</f>
        <v/>
      </c>
      <c r="M319">
        <f>IF(B319="","",IFERROR(VALUE(TEXT(B319,"[$-1170401]mm")),""))</f>
        <v/>
      </c>
    </row>
    <row r="320">
      <c r="B320" s="30" t="n"/>
      <c r="G320" s="9">
        <f>IF(AND(E320&lt;&gt;"",E320&lt;&gt;0,H320&lt;&gt;""),H320/E320,"")</f>
        <v/>
      </c>
      <c r="L320">
        <f>IF(B320="","",IFERROR(VALUE(TEXT(B320,"[$-1170401]yyyy")),""))</f>
        <v/>
      </c>
      <c r="M320">
        <f>IF(B320="","",IFERROR(VALUE(TEXT(B320,"[$-1170401]mm")),""))</f>
        <v/>
      </c>
    </row>
    <row r="321">
      <c r="B321" s="30" t="n"/>
      <c r="G321" s="9">
        <f>IF(AND(E321&lt;&gt;"",E321&lt;&gt;0,H321&lt;&gt;""),H321/E321,"")</f>
        <v/>
      </c>
      <c r="L321">
        <f>IF(B321="","",IFERROR(VALUE(TEXT(B321,"[$-1170401]yyyy")),""))</f>
        <v/>
      </c>
      <c r="M321">
        <f>IF(B321="","",IFERROR(VALUE(TEXT(B321,"[$-1170401]mm")),""))</f>
        <v/>
      </c>
    </row>
    <row r="322">
      <c r="B322" s="30" t="n"/>
      <c r="G322" s="9">
        <f>IF(AND(E322&lt;&gt;"",E322&lt;&gt;0,H322&lt;&gt;""),H322/E322,"")</f>
        <v/>
      </c>
      <c r="L322">
        <f>IF(B322="","",IFERROR(VALUE(TEXT(B322,"[$-1170401]yyyy")),""))</f>
        <v/>
      </c>
      <c r="M322">
        <f>IF(B322="","",IFERROR(VALUE(TEXT(B322,"[$-1170401]mm")),""))</f>
        <v/>
      </c>
    </row>
    <row r="323">
      <c r="B323" s="30" t="n"/>
      <c r="G323" s="9">
        <f>IF(AND(E323&lt;&gt;"",E323&lt;&gt;0,H323&lt;&gt;""),H323/E323,"")</f>
        <v/>
      </c>
      <c r="L323">
        <f>IF(B323="","",IFERROR(VALUE(TEXT(B323,"[$-1170401]yyyy")),""))</f>
        <v/>
      </c>
      <c r="M323">
        <f>IF(B323="","",IFERROR(VALUE(TEXT(B323,"[$-1170401]mm")),""))</f>
        <v/>
      </c>
    </row>
    <row r="324">
      <c r="B324" s="30" t="n"/>
      <c r="G324" s="9">
        <f>IF(AND(E324&lt;&gt;"",E324&lt;&gt;0,H324&lt;&gt;""),H324/E324,"")</f>
        <v/>
      </c>
      <c r="L324">
        <f>IF(B324="","",IFERROR(VALUE(TEXT(B324,"[$-1170401]yyyy")),""))</f>
        <v/>
      </c>
      <c r="M324">
        <f>IF(B324="","",IFERROR(VALUE(TEXT(B324,"[$-1170401]mm")),""))</f>
        <v/>
      </c>
    </row>
    <row r="325">
      <c r="B325" s="30" t="n"/>
      <c r="G325" s="9">
        <f>IF(AND(E325&lt;&gt;"",E325&lt;&gt;0,H325&lt;&gt;""),H325/E325,"")</f>
        <v/>
      </c>
      <c r="L325">
        <f>IF(B325="","",IFERROR(VALUE(TEXT(B325,"[$-1170401]yyyy")),""))</f>
        <v/>
      </c>
      <c r="M325">
        <f>IF(B325="","",IFERROR(VALUE(TEXT(B325,"[$-1170401]mm")),""))</f>
        <v/>
      </c>
    </row>
    <row r="326">
      <c r="B326" s="30" t="n"/>
      <c r="G326" s="9">
        <f>IF(AND(E326&lt;&gt;"",E326&lt;&gt;0,H326&lt;&gt;""),H326/E326,"")</f>
        <v/>
      </c>
      <c r="L326">
        <f>IF(B326="","",IFERROR(VALUE(TEXT(B326,"[$-1170401]yyyy")),""))</f>
        <v/>
      </c>
      <c r="M326">
        <f>IF(B326="","",IFERROR(VALUE(TEXT(B326,"[$-1170401]mm")),""))</f>
        <v/>
      </c>
    </row>
    <row r="327">
      <c r="B327" s="30" t="n"/>
      <c r="G327" s="9">
        <f>IF(AND(E327&lt;&gt;"",E327&lt;&gt;0,H327&lt;&gt;""),H327/E327,"")</f>
        <v/>
      </c>
      <c r="L327">
        <f>IF(B327="","",IFERROR(VALUE(TEXT(B327,"[$-1170401]yyyy")),""))</f>
        <v/>
      </c>
      <c r="M327">
        <f>IF(B327="","",IFERROR(VALUE(TEXT(B327,"[$-1170401]mm")),""))</f>
        <v/>
      </c>
    </row>
    <row r="328">
      <c r="B328" s="30" t="n"/>
      <c r="G328" s="9">
        <f>IF(AND(E328&lt;&gt;"",E328&lt;&gt;0,H328&lt;&gt;""),H328/E328,"")</f>
        <v/>
      </c>
      <c r="L328">
        <f>IF(B328="","",IFERROR(VALUE(TEXT(B328,"[$-1170401]yyyy")),""))</f>
        <v/>
      </c>
      <c r="M328">
        <f>IF(B328="","",IFERROR(VALUE(TEXT(B328,"[$-1170401]mm")),""))</f>
        <v/>
      </c>
    </row>
    <row r="329">
      <c r="B329" s="30" t="n"/>
      <c r="G329" s="9">
        <f>IF(AND(E329&lt;&gt;"",E329&lt;&gt;0,H329&lt;&gt;""),H329/E329,"")</f>
        <v/>
      </c>
      <c r="L329">
        <f>IF(B329="","",IFERROR(VALUE(TEXT(B329,"[$-1170401]yyyy")),""))</f>
        <v/>
      </c>
      <c r="M329">
        <f>IF(B329="","",IFERROR(VALUE(TEXT(B329,"[$-1170401]mm")),""))</f>
        <v/>
      </c>
    </row>
    <row r="330">
      <c r="B330" s="30" t="n"/>
      <c r="G330" s="9">
        <f>IF(AND(E330&lt;&gt;"",E330&lt;&gt;0,H330&lt;&gt;""),H330/E330,"")</f>
        <v/>
      </c>
      <c r="L330">
        <f>IF(B330="","",IFERROR(VALUE(TEXT(B330,"[$-1170401]yyyy")),""))</f>
        <v/>
      </c>
      <c r="M330">
        <f>IF(B330="","",IFERROR(VALUE(TEXT(B330,"[$-1170401]mm")),""))</f>
        <v/>
      </c>
    </row>
    <row r="331">
      <c r="B331" s="30" t="n"/>
      <c r="G331" s="9">
        <f>IF(AND(E331&lt;&gt;"",E331&lt;&gt;0,H331&lt;&gt;""),H331/E331,"")</f>
        <v/>
      </c>
      <c r="L331">
        <f>IF(B331="","",IFERROR(VALUE(TEXT(B331,"[$-1170401]yyyy")),""))</f>
        <v/>
      </c>
      <c r="M331">
        <f>IF(B331="","",IFERROR(VALUE(TEXT(B331,"[$-1170401]mm")),""))</f>
        <v/>
      </c>
    </row>
    <row r="332">
      <c r="B332" s="30" t="n"/>
      <c r="G332" s="9">
        <f>IF(AND(E332&lt;&gt;"",E332&lt;&gt;0,H332&lt;&gt;""),H332/E332,"")</f>
        <v/>
      </c>
      <c r="L332">
        <f>IF(B332="","",IFERROR(VALUE(TEXT(B332,"[$-1170401]yyyy")),""))</f>
        <v/>
      </c>
      <c r="M332">
        <f>IF(B332="","",IFERROR(VALUE(TEXT(B332,"[$-1170401]mm")),""))</f>
        <v/>
      </c>
    </row>
    <row r="333">
      <c r="B333" s="30" t="n"/>
      <c r="G333" s="9">
        <f>IF(AND(E333&lt;&gt;"",E333&lt;&gt;0,H333&lt;&gt;""),H333/E333,"")</f>
        <v/>
      </c>
      <c r="L333">
        <f>IF(B333="","",IFERROR(VALUE(TEXT(B333,"[$-1170401]yyyy")),""))</f>
        <v/>
      </c>
      <c r="M333">
        <f>IF(B333="","",IFERROR(VALUE(TEXT(B333,"[$-1170401]mm")),""))</f>
        <v/>
      </c>
    </row>
    <row r="334">
      <c r="B334" s="30" t="n"/>
      <c r="G334" s="9">
        <f>IF(AND(E334&lt;&gt;"",E334&lt;&gt;0,H334&lt;&gt;""),H334/E334,"")</f>
        <v/>
      </c>
      <c r="L334">
        <f>IF(B334="","",IFERROR(VALUE(TEXT(B334,"[$-1170401]yyyy")),""))</f>
        <v/>
      </c>
      <c r="M334">
        <f>IF(B334="","",IFERROR(VALUE(TEXT(B334,"[$-1170401]mm")),""))</f>
        <v/>
      </c>
    </row>
    <row r="335">
      <c r="B335" s="30" t="n"/>
      <c r="G335" s="9">
        <f>IF(AND(E335&lt;&gt;"",E335&lt;&gt;0,H335&lt;&gt;""),H335/E335,"")</f>
        <v/>
      </c>
      <c r="L335">
        <f>IF(B335="","",IFERROR(VALUE(TEXT(B335,"[$-1170401]yyyy")),""))</f>
        <v/>
      </c>
      <c r="M335">
        <f>IF(B335="","",IFERROR(VALUE(TEXT(B335,"[$-1170401]mm")),""))</f>
        <v/>
      </c>
    </row>
    <row r="336">
      <c r="B336" s="30" t="n"/>
      <c r="G336" s="9">
        <f>IF(AND(E336&lt;&gt;"",E336&lt;&gt;0,H336&lt;&gt;""),H336/E336,"")</f>
        <v/>
      </c>
      <c r="L336">
        <f>IF(B336="","",IFERROR(VALUE(TEXT(B336,"[$-1170401]yyyy")),""))</f>
        <v/>
      </c>
      <c r="M336">
        <f>IF(B336="","",IFERROR(VALUE(TEXT(B336,"[$-1170401]mm")),""))</f>
        <v/>
      </c>
    </row>
    <row r="337">
      <c r="B337" s="30" t="n"/>
      <c r="G337" s="9">
        <f>IF(AND(E337&lt;&gt;"",E337&lt;&gt;0,H337&lt;&gt;""),H337/E337,"")</f>
        <v/>
      </c>
      <c r="L337">
        <f>IF(B337="","",IFERROR(VALUE(TEXT(B337,"[$-1170401]yyyy")),""))</f>
        <v/>
      </c>
      <c r="M337">
        <f>IF(B337="","",IFERROR(VALUE(TEXT(B337,"[$-1170401]mm")),""))</f>
        <v/>
      </c>
    </row>
    <row r="338">
      <c r="B338" s="30" t="n"/>
      <c r="G338" s="9">
        <f>IF(AND(E338&lt;&gt;"",E338&lt;&gt;0,H338&lt;&gt;""),H338/E338,"")</f>
        <v/>
      </c>
      <c r="L338">
        <f>IF(B338="","",IFERROR(VALUE(TEXT(B338,"[$-1170401]yyyy")),""))</f>
        <v/>
      </c>
      <c r="M338">
        <f>IF(B338="","",IFERROR(VALUE(TEXT(B338,"[$-1170401]mm")),""))</f>
        <v/>
      </c>
    </row>
    <row r="339">
      <c r="B339" s="30" t="n"/>
      <c r="G339" s="9">
        <f>IF(AND(E339&lt;&gt;"",E339&lt;&gt;0,H339&lt;&gt;""),H339/E339,"")</f>
        <v/>
      </c>
      <c r="L339">
        <f>IF(B339="","",IFERROR(VALUE(TEXT(B339,"[$-1170401]yyyy")),""))</f>
        <v/>
      </c>
      <c r="M339">
        <f>IF(B339="","",IFERROR(VALUE(TEXT(B339,"[$-1170401]mm")),""))</f>
        <v/>
      </c>
    </row>
    <row r="340">
      <c r="B340" s="30" t="n"/>
      <c r="G340" s="9">
        <f>IF(AND(E340&lt;&gt;"",E340&lt;&gt;0,H340&lt;&gt;""),H340/E340,"")</f>
        <v/>
      </c>
      <c r="L340">
        <f>IF(B340="","",IFERROR(VALUE(TEXT(B340,"[$-1170401]yyyy")),""))</f>
        <v/>
      </c>
      <c r="M340">
        <f>IF(B340="","",IFERROR(VALUE(TEXT(B340,"[$-1170401]mm")),""))</f>
        <v/>
      </c>
    </row>
    <row r="341">
      <c r="B341" s="30" t="n"/>
      <c r="G341" s="9">
        <f>IF(AND(E341&lt;&gt;"",E341&lt;&gt;0,H341&lt;&gt;""),H341/E341,"")</f>
        <v/>
      </c>
      <c r="L341">
        <f>IF(B341="","",IFERROR(VALUE(TEXT(B341,"[$-1170401]yyyy")),""))</f>
        <v/>
      </c>
      <c r="M341">
        <f>IF(B341="","",IFERROR(VALUE(TEXT(B341,"[$-1170401]mm")),""))</f>
        <v/>
      </c>
    </row>
    <row r="342">
      <c r="B342" s="30" t="n"/>
      <c r="G342" s="9">
        <f>IF(AND(E342&lt;&gt;"",E342&lt;&gt;0,H342&lt;&gt;""),H342/E342,"")</f>
        <v/>
      </c>
      <c r="L342">
        <f>IF(B342="","",IFERROR(VALUE(TEXT(B342,"[$-1170401]yyyy")),""))</f>
        <v/>
      </c>
      <c r="M342">
        <f>IF(B342="","",IFERROR(VALUE(TEXT(B342,"[$-1170401]mm")),""))</f>
        <v/>
      </c>
    </row>
    <row r="343">
      <c r="B343" s="30" t="n"/>
      <c r="G343" s="9">
        <f>IF(AND(E343&lt;&gt;"",E343&lt;&gt;0,H343&lt;&gt;""),H343/E343,"")</f>
        <v/>
      </c>
      <c r="L343">
        <f>IF(B343="","",IFERROR(VALUE(TEXT(B343,"[$-1170401]yyyy")),""))</f>
        <v/>
      </c>
      <c r="M343">
        <f>IF(B343="","",IFERROR(VALUE(TEXT(B343,"[$-1170401]mm")),""))</f>
        <v/>
      </c>
    </row>
    <row r="344">
      <c r="B344" s="30" t="n"/>
      <c r="G344" s="9">
        <f>IF(AND(E344&lt;&gt;"",E344&lt;&gt;0,H344&lt;&gt;""),H344/E344,"")</f>
        <v/>
      </c>
      <c r="L344">
        <f>IF(B344="","",IFERROR(VALUE(TEXT(B344,"[$-1170401]yyyy")),""))</f>
        <v/>
      </c>
      <c r="M344">
        <f>IF(B344="","",IFERROR(VALUE(TEXT(B344,"[$-1170401]mm")),""))</f>
        <v/>
      </c>
    </row>
    <row r="345">
      <c r="B345" s="30" t="n"/>
      <c r="G345" s="9">
        <f>IF(AND(E345&lt;&gt;"",E345&lt;&gt;0,H345&lt;&gt;""),H345/E345,"")</f>
        <v/>
      </c>
      <c r="L345">
        <f>IF(B345="","",IFERROR(VALUE(TEXT(B345,"[$-1170401]yyyy")),""))</f>
        <v/>
      </c>
      <c r="M345">
        <f>IF(B345="","",IFERROR(VALUE(TEXT(B345,"[$-1170401]mm")),""))</f>
        <v/>
      </c>
    </row>
    <row r="346">
      <c r="B346" s="30" t="n"/>
      <c r="G346" s="9">
        <f>IF(AND(E346&lt;&gt;"",E346&lt;&gt;0,H346&lt;&gt;""),H346/E346,"")</f>
        <v/>
      </c>
      <c r="L346">
        <f>IF(B346="","",IFERROR(VALUE(TEXT(B346,"[$-1170401]yyyy")),""))</f>
        <v/>
      </c>
      <c r="M346">
        <f>IF(B346="","",IFERROR(VALUE(TEXT(B346,"[$-1170401]mm")),""))</f>
        <v/>
      </c>
    </row>
    <row r="347">
      <c r="B347" s="30" t="n"/>
      <c r="G347" s="9">
        <f>IF(AND(E347&lt;&gt;"",E347&lt;&gt;0,H347&lt;&gt;""),H347/E347,"")</f>
        <v/>
      </c>
      <c r="L347">
        <f>IF(B347="","",IFERROR(VALUE(TEXT(B347,"[$-1170401]yyyy")),""))</f>
        <v/>
      </c>
      <c r="M347">
        <f>IF(B347="","",IFERROR(VALUE(TEXT(B347,"[$-1170401]mm")),""))</f>
        <v/>
      </c>
    </row>
    <row r="348">
      <c r="B348" s="30" t="n"/>
      <c r="G348" s="9">
        <f>IF(AND(E348&lt;&gt;"",E348&lt;&gt;0,H348&lt;&gt;""),H348/E348,"")</f>
        <v/>
      </c>
      <c r="L348">
        <f>IF(B348="","",IFERROR(VALUE(TEXT(B348,"[$-1170401]yyyy")),""))</f>
        <v/>
      </c>
      <c r="M348">
        <f>IF(B348="","",IFERROR(VALUE(TEXT(B348,"[$-1170401]mm")),""))</f>
        <v/>
      </c>
    </row>
    <row r="349">
      <c r="B349" s="30" t="n"/>
      <c r="G349" s="9">
        <f>IF(AND(E349&lt;&gt;"",E349&lt;&gt;0,H349&lt;&gt;""),H349/E349,"")</f>
        <v/>
      </c>
      <c r="L349">
        <f>IF(B349="","",IFERROR(VALUE(TEXT(B349,"[$-1170401]yyyy")),""))</f>
        <v/>
      </c>
      <c r="M349">
        <f>IF(B349="","",IFERROR(VALUE(TEXT(B349,"[$-1170401]mm")),""))</f>
        <v/>
      </c>
    </row>
    <row r="350">
      <c r="B350" s="30" t="n"/>
      <c r="G350" s="9">
        <f>IF(AND(E350&lt;&gt;"",E350&lt;&gt;0,H350&lt;&gt;""),H350/E350,"")</f>
        <v/>
      </c>
      <c r="L350">
        <f>IF(B350="","",IFERROR(VALUE(TEXT(B350,"[$-1170401]yyyy")),""))</f>
        <v/>
      </c>
      <c r="M350">
        <f>IF(B350="","",IFERROR(VALUE(TEXT(B350,"[$-1170401]mm")),""))</f>
        <v/>
      </c>
    </row>
    <row r="351">
      <c r="B351" s="30" t="n"/>
      <c r="G351" s="9">
        <f>IF(AND(E351&lt;&gt;"",E351&lt;&gt;0,H351&lt;&gt;""),H351/E351,"")</f>
        <v/>
      </c>
      <c r="L351">
        <f>IF(B351="","",IFERROR(VALUE(TEXT(B351,"[$-1170401]yyyy")),""))</f>
        <v/>
      </c>
      <c r="M351">
        <f>IF(B351="","",IFERROR(VALUE(TEXT(B351,"[$-1170401]mm")),""))</f>
        <v/>
      </c>
    </row>
    <row r="352">
      <c r="B352" s="30" t="n"/>
      <c r="G352" s="9">
        <f>IF(AND(E352&lt;&gt;"",E352&lt;&gt;0,H352&lt;&gt;""),H352/E352,"")</f>
        <v/>
      </c>
      <c r="L352">
        <f>IF(B352="","",IFERROR(VALUE(TEXT(B352,"[$-1170401]yyyy")),""))</f>
        <v/>
      </c>
      <c r="M352">
        <f>IF(B352="","",IFERROR(VALUE(TEXT(B352,"[$-1170401]mm")),""))</f>
        <v/>
      </c>
    </row>
    <row r="353">
      <c r="B353" s="30" t="n"/>
      <c r="G353" s="9">
        <f>IF(AND(E353&lt;&gt;"",E353&lt;&gt;0,H353&lt;&gt;""),H353/E353,"")</f>
        <v/>
      </c>
      <c r="L353">
        <f>IF(B353="","",IFERROR(VALUE(TEXT(B353,"[$-1170401]yyyy")),""))</f>
        <v/>
      </c>
      <c r="M353">
        <f>IF(B353="","",IFERROR(VALUE(TEXT(B353,"[$-1170401]mm")),""))</f>
        <v/>
      </c>
    </row>
    <row r="354">
      <c r="B354" s="30" t="n"/>
      <c r="G354" s="9">
        <f>IF(AND(E354&lt;&gt;"",E354&lt;&gt;0,H354&lt;&gt;""),H354/E354,"")</f>
        <v/>
      </c>
      <c r="L354">
        <f>IF(B354="","",IFERROR(VALUE(TEXT(B354,"[$-1170401]yyyy")),""))</f>
        <v/>
      </c>
      <c r="M354">
        <f>IF(B354="","",IFERROR(VALUE(TEXT(B354,"[$-1170401]mm")),""))</f>
        <v/>
      </c>
    </row>
    <row r="355">
      <c r="B355" s="30" t="n"/>
      <c r="G355" s="9">
        <f>IF(AND(E355&lt;&gt;"",E355&lt;&gt;0,H355&lt;&gt;""),H355/E355,"")</f>
        <v/>
      </c>
      <c r="L355">
        <f>IF(B355="","",IFERROR(VALUE(TEXT(B355,"[$-1170401]yyyy")),""))</f>
        <v/>
      </c>
      <c r="M355">
        <f>IF(B355="","",IFERROR(VALUE(TEXT(B355,"[$-1170401]mm")),""))</f>
        <v/>
      </c>
    </row>
    <row r="356">
      <c r="B356" s="30" t="n"/>
      <c r="G356" s="9">
        <f>IF(AND(E356&lt;&gt;"",E356&lt;&gt;0,H356&lt;&gt;""),H356/E356,"")</f>
        <v/>
      </c>
      <c r="L356">
        <f>IF(B356="","",IFERROR(VALUE(TEXT(B356,"[$-1170401]yyyy")),""))</f>
        <v/>
      </c>
      <c r="M356">
        <f>IF(B356="","",IFERROR(VALUE(TEXT(B356,"[$-1170401]mm")),""))</f>
        <v/>
      </c>
    </row>
    <row r="357">
      <c r="B357" s="30" t="n"/>
      <c r="G357" s="9">
        <f>IF(AND(E357&lt;&gt;"",E357&lt;&gt;0,H357&lt;&gt;""),H357/E357,"")</f>
        <v/>
      </c>
      <c r="L357">
        <f>IF(B357="","",IFERROR(VALUE(TEXT(B357,"[$-1170401]yyyy")),""))</f>
        <v/>
      </c>
      <c r="M357">
        <f>IF(B357="","",IFERROR(VALUE(TEXT(B357,"[$-1170401]mm")),""))</f>
        <v/>
      </c>
    </row>
    <row r="358">
      <c r="B358" s="30" t="n"/>
      <c r="G358" s="9">
        <f>IF(AND(E358&lt;&gt;"",E358&lt;&gt;0,H358&lt;&gt;""),H358/E358,"")</f>
        <v/>
      </c>
      <c r="L358">
        <f>IF(B358="","",IFERROR(VALUE(TEXT(B358,"[$-1170401]yyyy")),""))</f>
        <v/>
      </c>
      <c r="M358">
        <f>IF(B358="","",IFERROR(VALUE(TEXT(B358,"[$-1170401]mm")),""))</f>
        <v/>
      </c>
    </row>
    <row r="359">
      <c r="B359" s="30" t="n"/>
      <c r="G359" s="9">
        <f>IF(AND(E359&lt;&gt;"",E359&lt;&gt;0,H359&lt;&gt;""),H359/E359,"")</f>
        <v/>
      </c>
      <c r="L359">
        <f>IF(B359="","",IFERROR(VALUE(TEXT(B359,"[$-1170401]yyyy")),""))</f>
        <v/>
      </c>
      <c r="M359">
        <f>IF(B359="","",IFERROR(VALUE(TEXT(B359,"[$-1170401]mm")),""))</f>
        <v/>
      </c>
    </row>
    <row r="360">
      <c r="B360" s="30" t="n"/>
      <c r="G360" s="9">
        <f>IF(AND(E360&lt;&gt;"",E360&lt;&gt;0,H360&lt;&gt;""),H360/E360,"")</f>
        <v/>
      </c>
      <c r="L360">
        <f>IF(B360="","",IFERROR(VALUE(TEXT(B360,"[$-1170401]yyyy")),""))</f>
        <v/>
      </c>
      <c r="M360">
        <f>IF(B360="","",IFERROR(VALUE(TEXT(B360,"[$-1170401]mm")),""))</f>
        <v/>
      </c>
    </row>
    <row r="361">
      <c r="B361" s="30" t="n"/>
      <c r="G361" s="9">
        <f>IF(AND(E361&lt;&gt;"",E361&lt;&gt;0,H361&lt;&gt;""),H361/E361,"")</f>
        <v/>
      </c>
      <c r="L361">
        <f>IF(B361="","",IFERROR(VALUE(TEXT(B361,"[$-1170401]yyyy")),""))</f>
        <v/>
      </c>
      <c r="M361">
        <f>IF(B361="","",IFERROR(VALUE(TEXT(B361,"[$-1170401]mm")),""))</f>
        <v/>
      </c>
    </row>
    <row r="362">
      <c r="B362" s="30" t="n"/>
      <c r="G362" s="9">
        <f>IF(AND(E362&lt;&gt;"",E362&lt;&gt;0,H362&lt;&gt;""),H362/E362,"")</f>
        <v/>
      </c>
      <c r="L362">
        <f>IF(B362="","",IFERROR(VALUE(TEXT(B362,"[$-1170401]yyyy")),""))</f>
        <v/>
      </c>
      <c r="M362">
        <f>IF(B362="","",IFERROR(VALUE(TEXT(B362,"[$-1170401]mm")),""))</f>
        <v/>
      </c>
    </row>
    <row r="363">
      <c r="B363" s="30" t="n"/>
      <c r="G363" s="9">
        <f>IF(AND(E363&lt;&gt;"",E363&lt;&gt;0,H363&lt;&gt;""),H363/E363,"")</f>
        <v/>
      </c>
      <c r="L363">
        <f>IF(B363="","",IFERROR(VALUE(TEXT(B363,"[$-1170401]yyyy")),""))</f>
        <v/>
      </c>
      <c r="M363">
        <f>IF(B363="","",IFERROR(VALUE(TEXT(B363,"[$-1170401]mm")),""))</f>
        <v/>
      </c>
    </row>
    <row r="364">
      <c r="B364" s="30" t="n"/>
      <c r="G364" s="9">
        <f>IF(AND(E364&lt;&gt;"",E364&lt;&gt;0,H364&lt;&gt;""),H364/E364,"")</f>
        <v/>
      </c>
      <c r="L364">
        <f>IF(B364="","",IFERROR(VALUE(TEXT(B364,"[$-1170401]yyyy")),""))</f>
        <v/>
      </c>
      <c r="M364">
        <f>IF(B364="","",IFERROR(VALUE(TEXT(B364,"[$-1170401]mm")),""))</f>
        <v/>
      </c>
    </row>
    <row r="365">
      <c r="B365" s="30" t="n"/>
      <c r="G365" s="9">
        <f>IF(AND(E365&lt;&gt;"",E365&lt;&gt;0,H365&lt;&gt;""),H365/E365,"")</f>
        <v/>
      </c>
      <c r="L365">
        <f>IF(B365="","",IFERROR(VALUE(TEXT(B365,"[$-1170401]yyyy")),""))</f>
        <v/>
      </c>
      <c r="M365">
        <f>IF(B365="","",IFERROR(VALUE(TEXT(B365,"[$-1170401]mm")),""))</f>
        <v/>
      </c>
    </row>
    <row r="366">
      <c r="B366" s="30" t="n"/>
      <c r="G366" s="9">
        <f>IF(AND(E366&lt;&gt;"",E366&lt;&gt;0,H366&lt;&gt;""),H366/E366,"")</f>
        <v/>
      </c>
      <c r="L366">
        <f>IF(B366="","",IFERROR(VALUE(TEXT(B366,"[$-1170401]yyyy")),""))</f>
        <v/>
      </c>
      <c r="M366">
        <f>IF(B366="","",IFERROR(VALUE(TEXT(B366,"[$-1170401]mm")),""))</f>
        <v/>
      </c>
    </row>
    <row r="367">
      <c r="B367" s="30" t="n"/>
      <c r="G367" s="9">
        <f>IF(AND(E367&lt;&gt;"",E367&lt;&gt;0,H367&lt;&gt;""),H367/E367,"")</f>
        <v/>
      </c>
      <c r="L367">
        <f>IF(B367="","",IFERROR(VALUE(TEXT(B367,"[$-1170401]yyyy")),""))</f>
        <v/>
      </c>
      <c r="M367">
        <f>IF(B367="","",IFERROR(VALUE(TEXT(B367,"[$-1170401]mm")),""))</f>
        <v/>
      </c>
    </row>
    <row r="368">
      <c r="B368" s="30" t="n"/>
      <c r="G368" s="9">
        <f>IF(AND(E368&lt;&gt;"",E368&lt;&gt;0,H368&lt;&gt;""),H368/E368,"")</f>
        <v/>
      </c>
      <c r="L368">
        <f>IF(B368="","",IFERROR(VALUE(TEXT(B368,"[$-1170401]yyyy")),""))</f>
        <v/>
      </c>
      <c r="M368">
        <f>IF(B368="","",IFERROR(VALUE(TEXT(B368,"[$-1170401]mm")),""))</f>
        <v/>
      </c>
    </row>
    <row r="369">
      <c r="B369" s="30" t="n"/>
      <c r="G369" s="9">
        <f>IF(AND(E369&lt;&gt;"",E369&lt;&gt;0,H369&lt;&gt;""),H369/E369,"")</f>
        <v/>
      </c>
      <c r="L369">
        <f>IF(B369="","",IFERROR(VALUE(TEXT(B369,"[$-1170401]yyyy")),""))</f>
        <v/>
      </c>
      <c r="M369">
        <f>IF(B369="","",IFERROR(VALUE(TEXT(B369,"[$-1170401]mm")),""))</f>
        <v/>
      </c>
    </row>
    <row r="370">
      <c r="B370" s="30" t="n"/>
      <c r="G370" s="9">
        <f>IF(AND(E370&lt;&gt;"",E370&lt;&gt;0,H370&lt;&gt;""),H370/E370,"")</f>
        <v/>
      </c>
      <c r="L370">
        <f>IF(B370="","",IFERROR(VALUE(TEXT(B370,"[$-1170401]yyyy")),""))</f>
        <v/>
      </c>
      <c r="M370">
        <f>IF(B370="","",IFERROR(VALUE(TEXT(B370,"[$-1170401]mm")),""))</f>
        <v/>
      </c>
    </row>
    <row r="371">
      <c r="B371" s="30" t="n"/>
      <c r="G371" s="9">
        <f>IF(AND(E371&lt;&gt;"",E371&lt;&gt;0,H371&lt;&gt;""),H371/E371,"")</f>
        <v/>
      </c>
      <c r="L371">
        <f>IF(B371="","",IFERROR(VALUE(TEXT(B371,"[$-1170401]yyyy")),""))</f>
        <v/>
      </c>
      <c r="M371">
        <f>IF(B371="","",IFERROR(VALUE(TEXT(B371,"[$-1170401]mm")),""))</f>
        <v/>
      </c>
    </row>
    <row r="372">
      <c r="B372" s="30" t="n"/>
      <c r="G372" s="9">
        <f>IF(AND(E372&lt;&gt;"",E372&lt;&gt;0,H372&lt;&gt;""),H372/E372,"")</f>
        <v/>
      </c>
      <c r="L372">
        <f>IF(B372="","",IFERROR(VALUE(TEXT(B372,"[$-1170401]yyyy")),""))</f>
        <v/>
      </c>
      <c r="M372">
        <f>IF(B372="","",IFERROR(VALUE(TEXT(B372,"[$-1170401]mm")),""))</f>
        <v/>
      </c>
    </row>
    <row r="373">
      <c r="B373" s="30" t="n"/>
      <c r="G373" s="9">
        <f>IF(AND(E373&lt;&gt;"",E373&lt;&gt;0,H373&lt;&gt;""),H373/E373,"")</f>
        <v/>
      </c>
      <c r="L373">
        <f>IF(B373="","",IFERROR(VALUE(TEXT(B373,"[$-1170401]yyyy")),""))</f>
        <v/>
      </c>
      <c r="M373">
        <f>IF(B373="","",IFERROR(VALUE(TEXT(B373,"[$-1170401]mm")),""))</f>
        <v/>
      </c>
    </row>
    <row r="374">
      <c r="B374" s="30" t="n"/>
      <c r="G374" s="9">
        <f>IF(AND(E374&lt;&gt;"",E374&lt;&gt;0,H374&lt;&gt;""),H374/E374,"")</f>
        <v/>
      </c>
      <c r="L374">
        <f>IF(B374="","",IFERROR(VALUE(TEXT(B374,"[$-1170401]yyyy")),""))</f>
        <v/>
      </c>
      <c r="M374">
        <f>IF(B374="","",IFERROR(VALUE(TEXT(B374,"[$-1170401]mm")),""))</f>
        <v/>
      </c>
    </row>
    <row r="375">
      <c r="B375" s="30" t="n"/>
      <c r="G375" s="9">
        <f>IF(AND(E375&lt;&gt;"",E375&lt;&gt;0,H375&lt;&gt;""),H375/E375,"")</f>
        <v/>
      </c>
      <c r="L375">
        <f>IF(B375="","",IFERROR(VALUE(TEXT(B375,"[$-1170401]yyyy")),""))</f>
        <v/>
      </c>
      <c r="M375">
        <f>IF(B375="","",IFERROR(VALUE(TEXT(B375,"[$-1170401]mm")),""))</f>
        <v/>
      </c>
    </row>
    <row r="376">
      <c r="B376" s="30" t="n"/>
      <c r="G376" s="9">
        <f>IF(AND(E376&lt;&gt;"",E376&lt;&gt;0,H376&lt;&gt;""),H376/E376,"")</f>
        <v/>
      </c>
      <c r="L376">
        <f>IF(B376="","",IFERROR(VALUE(TEXT(B376,"[$-1170401]yyyy")),""))</f>
        <v/>
      </c>
      <c r="M376">
        <f>IF(B376="","",IFERROR(VALUE(TEXT(B376,"[$-1170401]mm")),""))</f>
        <v/>
      </c>
    </row>
    <row r="377">
      <c r="B377" s="30" t="n"/>
      <c r="G377" s="9">
        <f>IF(AND(E377&lt;&gt;"",E377&lt;&gt;0,H377&lt;&gt;""),H377/E377,"")</f>
        <v/>
      </c>
      <c r="L377">
        <f>IF(B377="","",IFERROR(VALUE(TEXT(B377,"[$-1170401]yyyy")),""))</f>
        <v/>
      </c>
      <c r="M377">
        <f>IF(B377="","",IFERROR(VALUE(TEXT(B377,"[$-1170401]mm")),""))</f>
        <v/>
      </c>
    </row>
    <row r="378">
      <c r="B378" s="30" t="n"/>
      <c r="G378" s="9">
        <f>IF(AND(E378&lt;&gt;"",E378&lt;&gt;0,H378&lt;&gt;""),H378/E378,"")</f>
        <v/>
      </c>
      <c r="L378">
        <f>IF(B378="","",IFERROR(VALUE(TEXT(B378,"[$-1170401]yyyy")),""))</f>
        <v/>
      </c>
      <c r="M378">
        <f>IF(B378="","",IFERROR(VALUE(TEXT(B378,"[$-1170401]mm")),""))</f>
        <v/>
      </c>
    </row>
    <row r="379">
      <c r="B379" s="30" t="n"/>
      <c r="G379" s="9">
        <f>IF(AND(E379&lt;&gt;"",E379&lt;&gt;0,H379&lt;&gt;""),H379/E379,"")</f>
        <v/>
      </c>
      <c r="L379">
        <f>IF(B379="","",IFERROR(VALUE(TEXT(B379,"[$-1170401]yyyy")),""))</f>
        <v/>
      </c>
      <c r="M379">
        <f>IF(B379="","",IFERROR(VALUE(TEXT(B379,"[$-1170401]mm")),""))</f>
        <v/>
      </c>
    </row>
    <row r="380">
      <c r="B380" s="30" t="n"/>
      <c r="G380" s="9">
        <f>IF(AND(E380&lt;&gt;"",E380&lt;&gt;0,H380&lt;&gt;""),H380/E380,"")</f>
        <v/>
      </c>
      <c r="L380">
        <f>IF(B380="","",IFERROR(VALUE(TEXT(B380,"[$-1170401]yyyy")),""))</f>
        <v/>
      </c>
      <c r="M380">
        <f>IF(B380="","",IFERROR(VALUE(TEXT(B380,"[$-1170401]mm")),""))</f>
        <v/>
      </c>
    </row>
    <row r="381">
      <c r="B381" s="30" t="n"/>
      <c r="G381" s="9">
        <f>IF(AND(E381&lt;&gt;"",E381&lt;&gt;0,H381&lt;&gt;""),H381/E381,"")</f>
        <v/>
      </c>
      <c r="L381">
        <f>IF(B381="","",IFERROR(VALUE(TEXT(B381,"[$-1170401]yyyy")),""))</f>
        <v/>
      </c>
      <c r="M381">
        <f>IF(B381="","",IFERROR(VALUE(TEXT(B381,"[$-1170401]mm")),""))</f>
        <v/>
      </c>
    </row>
    <row r="382">
      <c r="B382" s="30" t="n"/>
      <c r="G382" s="9">
        <f>IF(AND(E382&lt;&gt;"",E382&lt;&gt;0,H382&lt;&gt;""),H382/E382,"")</f>
        <v/>
      </c>
      <c r="L382">
        <f>IF(B382="","",IFERROR(VALUE(TEXT(B382,"[$-1170401]yyyy")),""))</f>
        <v/>
      </c>
      <c r="M382">
        <f>IF(B382="","",IFERROR(VALUE(TEXT(B382,"[$-1170401]mm")),""))</f>
        <v/>
      </c>
    </row>
    <row r="383">
      <c r="B383" s="30" t="n"/>
      <c r="G383" s="9">
        <f>IF(AND(E383&lt;&gt;"",E383&lt;&gt;0,H383&lt;&gt;""),H383/E383,"")</f>
        <v/>
      </c>
      <c r="L383">
        <f>IF(B383="","",IFERROR(VALUE(TEXT(B383,"[$-1170401]yyyy")),""))</f>
        <v/>
      </c>
      <c r="M383">
        <f>IF(B383="","",IFERROR(VALUE(TEXT(B383,"[$-1170401]mm")),""))</f>
        <v/>
      </c>
    </row>
    <row r="384">
      <c r="B384" s="30" t="n"/>
      <c r="G384" s="9">
        <f>IF(AND(E384&lt;&gt;"",E384&lt;&gt;0,H384&lt;&gt;""),H384/E384,"")</f>
        <v/>
      </c>
      <c r="L384">
        <f>IF(B384="","",IFERROR(VALUE(TEXT(B384,"[$-1170401]yyyy")),""))</f>
        <v/>
      </c>
      <c r="M384">
        <f>IF(B384="","",IFERROR(VALUE(TEXT(B384,"[$-1170401]mm")),""))</f>
        <v/>
      </c>
    </row>
    <row r="385">
      <c r="B385" s="30" t="n"/>
      <c r="G385" s="9">
        <f>IF(AND(E385&lt;&gt;"",E385&lt;&gt;0,H385&lt;&gt;""),H385/E385,"")</f>
        <v/>
      </c>
      <c r="L385">
        <f>IF(B385="","",IFERROR(VALUE(TEXT(B385,"[$-1170401]yyyy")),""))</f>
        <v/>
      </c>
      <c r="M385">
        <f>IF(B385="","",IFERROR(VALUE(TEXT(B385,"[$-1170401]mm")),""))</f>
        <v/>
      </c>
    </row>
    <row r="386">
      <c r="B386" s="30" t="n"/>
      <c r="G386" s="9">
        <f>IF(AND(E386&lt;&gt;"",E386&lt;&gt;0,H386&lt;&gt;""),H386/E386,"")</f>
        <v/>
      </c>
      <c r="L386">
        <f>IF(B386="","",IFERROR(VALUE(TEXT(B386,"[$-1170401]yyyy")),""))</f>
        <v/>
      </c>
      <c r="M386">
        <f>IF(B386="","",IFERROR(VALUE(TEXT(B386,"[$-1170401]mm")),""))</f>
        <v/>
      </c>
    </row>
    <row r="387">
      <c r="B387" s="30" t="n"/>
      <c r="G387" s="9">
        <f>IF(AND(E387&lt;&gt;"",E387&lt;&gt;0,H387&lt;&gt;""),H387/E387,"")</f>
        <v/>
      </c>
      <c r="L387">
        <f>IF(B387="","",IFERROR(VALUE(TEXT(B387,"[$-1170401]yyyy")),""))</f>
        <v/>
      </c>
      <c r="M387">
        <f>IF(B387="","",IFERROR(VALUE(TEXT(B387,"[$-1170401]mm")),""))</f>
        <v/>
      </c>
    </row>
    <row r="388">
      <c r="B388" s="30" t="n"/>
      <c r="G388" s="9">
        <f>IF(AND(E388&lt;&gt;"",E388&lt;&gt;0,H388&lt;&gt;""),H388/E388,"")</f>
        <v/>
      </c>
      <c r="L388">
        <f>IF(B388="","",IFERROR(VALUE(TEXT(B388,"[$-1170401]yyyy")),""))</f>
        <v/>
      </c>
      <c r="M388">
        <f>IF(B388="","",IFERROR(VALUE(TEXT(B388,"[$-1170401]mm")),""))</f>
        <v/>
      </c>
    </row>
    <row r="389">
      <c r="B389" s="30" t="n"/>
      <c r="G389" s="9">
        <f>IF(AND(E389&lt;&gt;"",E389&lt;&gt;0,H389&lt;&gt;""),H389/E389,"")</f>
        <v/>
      </c>
      <c r="L389">
        <f>IF(B389="","",IFERROR(VALUE(TEXT(B389,"[$-1170401]yyyy")),""))</f>
        <v/>
      </c>
      <c r="M389">
        <f>IF(B389="","",IFERROR(VALUE(TEXT(B389,"[$-1170401]mm")),""))</f>
        <v/>
      </c>
    </row>
    <row r="390">
      <c r="B390" s="30" t="n"/>
      <c r="G390" s="9">
        <f>IF(AND(E390&lt;&gt;"",E390&lt;&gt;0,H390&lt;&gt;""),H390/E390,"")</f>
        <v/>
      </c>
      <c r="L390">
        <f>IF(B390="","",IFERROR(VALUE(TEXT(B390,"[$-1170401]yyyy")),""))</f>
        <v/>
      </c>
      <c r="M390">
        <f>IF(B390="","",IFERROR(VALUE(TEXT(B390,"[$-1170401]mm")),""))</f>
        <v/>
      </c>
    </row>
    <row r="391">
      <c r="B391" s="30" t="n"/>
      <c r="G391" s="9">
        <f>IF(AND(E391&lt;&gt;"",E391&lt;&gt;0,H391&lt;&gt;""),H391/E391,"")</f>
        <v/>
      </c>
      <c r="L391">
        <f>IF(B391="","",IFERROR(VALUE(TEXT(B391,"[$-1170401]yyyy")),""))</f>
        <v/>
      </c>
      <c r="M391">
        <f>IF(B391="","",IFERROR(VALUE(TEXT(B391,"[$-1170401]mm")),""))</f>
        <v/>
      </c>
    </row>
    <row r="392">
      <c r="B392" s="30" t="n"/>
      <c r="G392" s="9">
        <f>IF(AND(E392&lt;&gt;"",E392&lt;&gt;0,H392&lt;&gt;""),H392/E392,"")</f>
        <v/>
      </c>
      <c r="L392">
        <f>IF(B392="","",IFERROR(VALUE(TEXT(B392,"[$-1170401]yyyy")),""))</f>
        <v/>
      </c>
      <c r="M392">
        <f>IF(B392="","",IFERROR(VALUE(TEXT(B392,"[$-1170401]mm")),""))</f>
        <v/>
      </c>
    </row>
    <row r="393">
      <c r="B393" s="30" t="n"/>
      <c r="G393" s="9">
        <f>IF(AND(E393&lt;&gt;"",E393&lt;&gt;0,H393&lt;&gt;""),H393/E393,"")</f>
        <v/>
      </c>
      <c r="L393">
        <f>IF(B393="","",IFERROR(VALUE(TEXT(B393,"[$-1170401]yyyy")),""))</f>
        <v/>
      </c>
      <c r="M393">
        <f>IF(B393="","",IFERROR(VALUE(TEXT(B393,"[$-1170401]mm")),""))</f>
        <v/>
      </c>
    </row>
    <row r="394">
      <c r="B394" s="30" t="n"/>
      <c r="G394" s="9">
        <f>IF(AND(E394&lt;&gt;"",E394&lt;&gt;0,H394&lt;&gt;""),H394/E394,"")</f>
        <v/>
      </c>
      <c r="L394">
        <f>IF(B394="","",IFERROR(VALUE(TEXT(B394,"[$-1170401]yyyy")),""))</f>
        <v/>
      </c>
      <c r="M394">
        <f>IF(B394="","",IFERROR(VALUE(TEXT(B394,"[$-1170401]mm")),""))</f>
        <v/>
      </c>
    </row>
    <row r="395">
      <c r="B395" s="30" t="n"/>
      <c r="G395" s="9">
        <f>IF(AND(E395&lt;&gt;"",E395&lt;&gt;0,H395&lt;&gt;""),H395/E395,"")</f>
        <v/>
      </c>
      <c r="L395">
        <f>IF(B395="","",IFERROR(VALUE(TEXT(B395,"[$-1170401]yyyy")),""))</f>
        <v/>
      </c>
      <c r="M395">
        <f>IF(B395="","",IFERROR(VALUE(TEXT(B395,"[$-1170401]mm")),""))</f>
        <v/>
      </c>
    </row>
    <row r="396">
      <c r="B396" s="30" t="n"/>
      <c r="G396" s="9">
        <f>IF(AND(E396&lt;&gt;"",E396&lt;&gt;0,H396&lt;&gt;""),H396/E396,"")</f>
        <v/>
      </c>
      <c r="L396">
        <f>IF(B396="","",IFERROR(VALUE(TEXT(B396,"[$-1170401]yyyy")),""))</f>
        <v/>
      </c>
      <c r="M396">
        <f>IF(B396="","",IFERROR(VALUE(TEXT(B396,"[$-1170401]mm")),""))</f>
        <v/>
      </c>
    </row>
    <row r="397">
      <c r="B397" s="30" t="n"/>
      <c r="G397" s="9">
        <f>IF(AND(E397&lt;&gt;"",E397&lt;&gt;0,H397&lt;&gt;""),H397/E397,"")</f>
        <v/>
      </c>
      <c r="L397">
        <f>IF(B397="","",IFERROR(VALUE(TEXT(B397,"[$-1170401]yyyy")),""))</f>
        <v/>
      </c>
      <c r="M397">
        <f>IF(B397="","",IFERROR(VALUE(TEXT(B397,"[$-1170401]mm")),""))</f>
        <v/>
      </c>
    </row>
    <row r="398">
      <c r="B398" s="30" t="n"/>
      <c r="G398" s="9">
        <f>IF(AND(E398&lt;&gt;"",E398&lt;&gt;0,H398&lt;&gt;""),H398/E398,"")</f>
        <v/>
      </c>
      <c r="L398">
        <f>IF(B398="","",IFERROR(VALUE(TEXT(B398,"[$-1170401]yyyy")),""))</f>
        <v/>
      </c>
      <c r="M398">
        <f>IF(B398="","",IFERROR(VALUE(TEXT(B398,"[$-1170401]mm")),""))</f>
        <v/>
      </c>
    </row>
    <row r="399">
      <c r="B399" s="30" t="n"/>
      <c r="G399" s="9">
        <f>IF(AND(E399&lt;&gt;"",E399&lt;&gt;0,H399&lt;&gt;""),H399/E399,"")</f>
        <v/>
      </c>
      <c r="L399">
        <f>IF(B399="","",IFERROR(VALUE(TEXT(B399,"[$-1170401]yyyy")),""))</f>
        <v/>
      </c>
      <c r="M399">
        <f>IF(B399="","",IFERROR(VALUE(TEXT(B399,"[$-1170401]mm")),""))</f>
        <v/>
      </c>
    </row>
    <row r="400">
      <c r="B400" s="30" t="n"/>
      <c r="G400" s="9">
        <f>IF(AND(E400&lt;&gt;"",E400&lt;&gt;0,H400&lt;&gt;""),H400/E400,"")</f>
        <v/>
      </c>
      <c r="L400">
        <f>IF(B400="","",IFERROR(VALUE(TEXT(B400,"[$-1170401]yyyy")),""))</f>
        <v/>
      </c>
      <c r="M400">
        <f>IF(B400="","",IFERROR(VALUE(TEXT(B400,"[$-1170401]mm")),""))</f>
        <v/>
      </c>
    </row>
    <row r="401">
      <c r="B401" s="30" t="n"/>
      <c r="G401" s="9">
        <f>IF(AND(E401&lt;&gt;"",E401&lt;&gt;0,H401&lt;&gt;""),H401/E401,"")</f>
        <v/>
      </c>
      <c r="L401">
        <f>IF(B401="","",IFERROR(VALUE(TEXT(B401,"[$-1170401]yyyy")),""))</f>
        <v/>
      </c>
      <c r="M401">
        <f>IF(B401="","",IFERROR(VALUE(TEXT(B401,"[$-1170401]mm")),""))</f>
        <v/>
      </c>
    </row>
    <row r="402">
      <c r="B402" s="30" t="n"/>
      <c r="G402" s="9">
        <f>IF(AND(E402&lt;&gt;"",E402&lt;&gt;0,H402&lt;&gt;""),H402/E402,"")</f>
        <v/>
      </c>
      <c r="L402">
        <f>IF(B402="","",IFERROR(VALUE(TEXT(B402,"[$-1170401]yyyy")),""))</f>
        <v/>
      </c>
      <c r="M402">
        <f>IF(B402="","",IFERROR(VALUE(TEXT(B402,"[$-1170401]mm")),""))</f>
        <v/>
      </c>
    </row>
    <row r="403">
      <c r="B403" s="30" t="n"/>
      <c r="G403" s="9">
        <f>IF(AND(E403&lt;&gt;"",E403&lt;&gt;0,H403&lt;&gt;""),H403/E403,"")</f>
        <v/>
      </c>
      <c r="L403">
        <f>IF(B403="","",IFERROR(VALUE(TEXT(B403,"[$-1170401]yyyy")),""))</f>
        <v/>
      </c>
      <c r="M403">
        <f>IF(B403="","",IFERROR(VALUE(TEXT(B403,"[$-1170401]mm")),""))</f>
        <v/>
      </c>
    </row>
    <row r="404">
      <c r="B404" s="30" t="n"/>
      <c r="G404" s="9">
        <f>IF(AND(E404&lt;&gt;"",E404&lt;&gt;0,H404&lt;&gt;""),H404/E404,"")</f>
        <v/>
      </c>
      <c r="L404">
        <f>IF(B404="","",IFERROR(VALUE(TEXT(B404,"[$-1170401]yyyy")),""))</f>
        <v/>
      </c>
      <c r="M404">
        <f>IF(B404="","",IFERROR(VALUE(TEXT(B404,"[$-1170401]mm")),""))</f>
        <v/>
      </c>
    </row>
    <row r="405">
      <c r="B405" s="30" t="n"/>
      <c r="G405" s="9">
        <f>IF(AND(E405&lt;&gt;"",E405&lt;&gt;0,H405&lt;&gt;""),H405/E405,"")</f>
        <v/>
      </c>
      <c r="L405">
        <f>IF(B405="","",IFERROR(VALUE(TEXT(B405,"[$-1170401]yyyy")),""))</f>
        <v/>
      </c>
      <c r="M405">
        <f>IF(B405="","",IFERROR(VALUE(TEXT(B405,"[$-1170401]mm")),""))</f>
        <v/>
      </c>
    </row>
    <row r="406">
      <c r="B406" s="30" t="n"/>
      <c r="G406" s="9">
        <f>IF(AND(E406&lt;&gt;"",E406&lt;&gt;0,H406&lt;&gt;""),H406/E406,"")</f>
        <v/>
      </c>
      <c r="L406">
        <f>IF(B406="","",IFERROR(VALUE(TEXT(B406,"[$-1170401]yyyy")),""))</f>
        <v/>
      </c>
      <c r="M406">
        <f>IF(B406="","",IFERROR(VALUE(TEXT(B406,"[$-1170401]mm")),""))</f>
        <v/>
      </c>
    </row>
    <row r="407">
      <c r="B407" s="30" t="n"/>
      <c r="G407" s="9">
        <f>IF(AND(E407&lt;&gt;"",E407&lt;&gt;0,H407&lt;&gt;""),H407/E407,"")</f>
        <v/>
      </c>
      <c r="L407">
        <f>IF(B407="","",IFERROR(VALUE(TEXT(B407,"[$-1170401]yyyy")),""))</f>
        <v/>
      </c>
      <c r="M407">
        <f>IF(B407="","",IFERROR(VALUE(TEXT(B407,"[$-1170401]mm")),""))</f>
        <v/>
      </c>
    </row>
    <row r="408">
      <c r="B408" s="30" t="n"/>
      <c r="G408" s="9">
        <f>IF(AND(E408&lt;&gt;"",E408&lt;&gt;0,H408&lt;&gt;""),H408/E408,"")</f>
        <v/>
      </c>
      <c r="L408">
        <f>IF(B408="","",IFERROR(VALUE(TEXT(B408,"[$-1170401]yyyy")),""))</f>
        <v/>
      </c>
      <c r="M408">
        <f>IF(B408="","",IFERROR(VALUE(TEXT(B408,"[$-1170401]mm")),""))</f>
        <v/>
      </c>
    </row>
    <row r="409">
      <c r="B409" s="30" t="n"/>
      <c r="G409" s="9">
        <f>IF(AND(E409&lt;&gt;"",E409&lt;&gt;0,H409&lt;&gt;""),H409/E409,"")</f>
        <v/>
      </c>
      <c r="L409">
        <f>IF(B409="","",IFERROR(VALUE(TEXT(B409,"[$-1170401]yyyy")),""))</f>
        <v/>
      </c>
      <c r="M409">
        <f>IF(B409="","",IFERROR(VALUE(TEXT(B409,"[$-1170401]mm")),""))</f>
        <v/>
      </c>
    </row>
    <row r="410">
      <c r="B410" s="30" t="n"/>
      <c r="G410" s="9">
        <f>IF(AND(E410&lt;&gt;"",E410&lt;&gt;0,H410&lt;&gt;""),H410/E410,"")</f>
        <v/>
      </c>
      <c r="L410">
        <f>IF(B410="","",IFERROR(VALUE(TEXT(B410,"[$-1170401]yyyy")),""))</f>
        <v/>
      </c>
      <c r="M410">
        <f>IF(B410="","",IFERROR(VALUE(TEXT(B410,"[$-1170401]mm")),""))</f>
        <v/>
      </c>
    </row>
    <row r="411">
      <c r="B411" s="30" t="n"/>
      <c r="G411" s="9">
        <f>IF(AND(E411&lt;&gt;"",E411&lt;&gt;0,H411&lt;&gt;""),H411/E411,"")</f>
        <v/>
      </c>
      <c r="L411">
        <f>IF(B411="","",IFERROR(VALUE(TEXT(B411,"[$-1170401]yyyy")),""))</f>
        <v/>
      </c>
      <c r="M411">
        <f>IF(B411="","",IFERROR(VALUE(TEXT(B411,"[$-1170401]mm")),""))</f>
        <v/>
      </c>
    </row>
    <row r="412">
      <c r="B412" s="30" t="n"/>
      <c r="G412" s="9">
        <f>IF(AND(E412&lt;&gt;"",E412&lt;&gt;0,H412&lt;&gt;""),H412/E412,"")</f>
        <v/>
      </c>
      <c r="L412">
        <f>IF(B412="","",IFERROR(VALUE(TEXT(B412,"[$-1170401]yyyy")),""))</f>
        <v/>
      </c>
      <c r="M412">
        <f>IF(B412="","",IFERROR(VALUE(TEXT(B412,"[$-1170401]mm")),""))</f>
        <v/>
      </c>
    </row>
    <row r="413">
      <c r="B413" s="30" t="n"/>
      <c r="G413" s="9">
        <f>IF(AND(E413&lt;&gt;"",E413&lt;&gt;0,H413&lt;&gt;""),H413/E413,"")</f>
        <v/>
      </c>
      <c r="L413">
        <f>IF(B413="","",IFERROR(VALUE(TEXT(B413,"[$-1170401]yyyy")),""))</f>
        <v/>
      </c>
      <c r="M413">
        <f>IF(B413="","",IFERROR(VALUE(TEXT(B413,"[$-1170401]mm")),""))</f>
        <v/>
      </c>
    </row>
    <row r="414">
      <c r="B414" s="30" t="n"/>
      <c r="G414" s="9">
        <f>IF(AND(E414&lt;&gt;"",E414&lt;&gt;0,H414&lt;&gt;""),H414/E414,"")</f>
        <v/>
      </c>
      <c r="L414">
        <f>IF(B414="","",IFERROR(VALUE(TEXT(B414,"[$-1170401]yyyy")),""))</f>
        <v/>
      </c>
      <c r="M414">
        <f>IF(B414="","",IFERROR(VALUE(TEXT(B414,"[$-1170401]mm")),""))</f>
        <v/>
      </c>
    </row>
    <row r="415">
      <c r="B415" s="30" t="n"/>
      <c r="G415" s="9">
        <f>IF(AND(E415&lt;&gt;"",E415&lt;&gt;0,H415&lt;&gt;""),H415/E415,"")</f>
        <v/>
      </c>
      <c r="L415">
        <f>IF(B415="","",IFERROR(VALUE(TEXT(B415,"[$-1170401]yyyy")),""))</f>
        <v/>
      </c>
      <c r="M415">
        <f>IF(B415="","",IFERROR(VALUE(TEXT(B415,"[$-1170401]mm")),""))</f>
        <v/>
      </c>
    </row>
    <row r="416">
      <c r="B416" s="30" t="n"/>
      <c r="G416" s="9">
        <f>IF(AND(E416&lt;&gt;"",E416&lt;&gt;0,H416&lt;&gt;""),H416/E416,"")</f>
        <v/>
      </c>
      <c r="L416">
        <f>IF(B416="","",IFERROR(VALUE(TEXT(B416,"[$-1170401]yyyy")),""))</f>
        <v/>
      </c>
      <c r="M416">
        <f>IF(B416="","",IFERROR(VALUE(TEXT(B416,"[$-1170401]mm")),""))</f>
        <v/>
      </c>
    </row>
    <row r="417">
      <c r="B417" s="30" t="n"/>
      <c r="G417" s="9">
        <f>IF(AND(E417&lt;&gt;"",E417&lt;&gt;0,H417&lt;&gt;""),H417/E417,"")</f>
        <v/>
      </c>
      <c r="L417">
        <f>IF(B417="","",IFERROR(VALUE(TEXT(B417,"[$-1170401]yyyy")),""))</f>
        <v/>
      </c>
      <c r="M417">
        <f>IF(B417="","",IFERROR(VALUE(TEXT(B417,"[$-1170401]mm")),""))</f>
        <v/>
      </c>
    </row>
    <row r="418">
      <c r="B418" s="30" t="n"/>
      <c r="G418" s="9">
        <f>IF(AND(E418&lt;&gt;"",E418&lt;&gt;0,H418&lt;&gt;""),H418/E418,"")</f>
        <v/>
      </c>
      <c r="L418">
        <f>IF(B418="","",IFERROR(VALUE(TEXT(B418,"[$-1170401]yyyy")),""))</f>
        <v/>
      </c>
      <c r="M418">
        <f>IF(B418="","",IFERROR(VALUE(TEXT(B418,"[$-1170401]mm")),""))</f>
        <v/>
      </c>
    </row>
    <row r="419">
      <c r="B419" s="30" t="n"/>
      <c r="G419" s="9">
        <f>IF(AND(E419&lt;&gt;"",E419&lt;&gt;0,H419&lt;&gt;""),H419/E419,"")</f>
        <v/>
      </c>
      <c r="L419">
        <f>IF(B419="","",IFERROR(VALUE(TEXT(B419,"[$-1170401]yyyy")),""))</f>
        <v/>
      </c>
      <c r="M419">
        <f>IF(B419="","",IFERROR(VALUE(TEXT(B419,"[$-1170401]mm")),""))</f>
        <v/>
      </c>
    </row>
    <row r="420">
      <c r="B420" s="30" t="n"/>
      <c r="G420" s="9">
        <f>IF(AND(E420&lt;&gt;"",E420&lt;&gt;0,H420&lt;&gt;""),H420/E420,"")</f>
        <v/>
      </c>
      <c r="L420">
        <f>IF(B420="","",IFERROR(VALUE(TEXT(B420,"[$-1170401]yyyy")),""))</f>
        <v/>
      </c>
      <c r="M420">
        <f>IF(B420="","",IFERROR(VALUE(TEXT(B420,"[$-1170401]mm")),""))</f>
        <v/>
      </c>
    </row>
    <row r="421">
      <c r="B421" s="30" t="n"/>
      <c r="G421" s="9">
        <f>IF(AND(E421&lt;&gt;"",E421&lt;&gt;0,H421&lt;&gt;""),H421/E421,"")</f>
        <v/>
      </c>
      <c r="L421">
        <f>IF(B421="","",IFERROR(VALUE(TEXT(B421,"[$-1170401]yyyy")),""))</f>
        <v/>
      </c>
      <c r="M421">
        <f>IF(B421="","",IFERROR(VALUE(TEXT(B421,"[$-1170401]mm")),""))</f>
        <v/>
      </c>
    </row>
    <row r="422">
      <c r="B422" s="30" t="n"/>
      <c r="G422" s="9">
        <f>IF(AND(E422&lt;&gt;"",E422&lt;&gt;0,H422&lt;&gt;""),H422/E422,"")</f>
        <v/>
      </c>
      <c r="L422">
        <f>IF(B422="","",IFERROR(VALUE(TEXT(B422,"[$-1170401]yyyy")),""))</f>
        <v/>
      </c>
      <c r="M422">
        <f>IF(B422="","",IFERROR(VALUE(TEXT(B422,"[$-1170401]mm")),""))</f>
        <v/>
      </c>
    </row>
    <row r="423">
      <c r="B423" s="30" t="n"/>
      <c r="G423" s="9">
        <f>IF(AND(E423&lt;&gt;"",E423&lt;&gt;0,H423&lt;&gt;""),H423/E423,"")</f>
        <v/>
      </c>
      <c r="L423">
        <f>IF(B423="","",IFERROR(VALUE(TEXT(B423,"[$-1170401]yyyy")),""))</f>
        <v/>
      </c>
      <c r="M423">
        <f>IF(B423="","",IFERROR(VALUE(TEXT(B423,"[$-1170401]mm")),""))</f>
        <v/>
      </c>
    </row>
    <row r="424">
      <c r="B424" s="30" t="n"/>
      <c r="G424" s="9">
        <f>IF(AND(E424&lt;&gt;"",E424&lt;&gt;0,H424&lt;&gt;""),H424/E424,"")</f>
        <v/>
      </c>
      <c r="L424">
        <f>IF(B424="","",IFERROR(VALUE(TEXT(B424,"[$-1170401]yyyy")),""))</f>
        <v/>
      </c>
      <c r="M424">
        <f>IF(B424="","",IFERROR(VALUE(TEXT(B424,"[$-1170401]mm")),""))</f>
        <v/>
      </c>
    </row>
    <row r="425">
      <c r="B425" s="30" t="n"/>
      <c r="G425" s="9">
        <f>IF(AND(E425&lt;&gt;"",E425&lt;&gt;0,H425&lt;&gt;""),H425/E425,"")</f>
        <v/>
      </c>
      <c r="L425">
        <f>IF(B425="","",IFERROR(VALUE(TEXT(B425,"[$-1170401]yyyy")),""))</f>
        <v/>
      </c>
      <c r="M425">
        <f>IF(B425="","",IFERROR(VALUE(TEXT(B425,"[$-1170401]mm")),""))</f>
        <v/>
      </c>
    </row>
    <row r="426">
      <c r="B426" s="30" t="n"/>
      <c r="G426" s="9">
        <f>IF(AND(E426&lt;&gt;"",E426&lt;&gt;0,H426&lt;&gt;""),H426/E426,"")</f>
        <v/>
      </c>
      <c r="L426">
        <f>IF(B426="","",IFERROR(VALUE(TEXT(B426,"[$-1170401]yyyy")),""))</f>
        <v/>
      </c>
      <c r="M426">
        <f>IF(B426="","",IFERROR(VALUE(TEXT(B426,"[$-1170401]mm")),""))</f>
        <v/>
      </c>
    </row>
    <row r="427">
      <c r="B427" s="30" t="n"/>
      <c r="G427" s="9">
        <f>IF(AND(E427&lt;&gt;"",E427&lt;&gt;0,H427&lt;&gt;""),H427/E427,"")</f>
        <v/>
      </c>
      <c r="L427">
        <f>IF(B427="","",IFERROR(VALUE(TEXT(B427,"[$-1170401]yyyy")),""))</f>
        <v/>
      </c>
      <c r="M427">
        <f>IF(B427="","",IFERROR(VALUE(TEXT(B427,"[$-1170401]mm")),""))</f>
        <v/>
      </c>
    </row>
    <row r="428">
      <c r="B428" s="30" t="n"/>
      <c r="G428" s="9">
        <f>IF(AND(E428&lt;&gt;"",E428&lt;&gt;0,H428&lt;&gt;""),H428/E428,"")</f>
        <v/>
      </c>
      <c r="L428">
        <f>IF(B428="","",IFERROR(VALUE(TEXT(B428,"[$-1170401]yyyy")),""))</f>
        <v/>
      </c>
      <c r="M428">
        <f>IF(B428="","",IFERROR(VALUE(TEXT(B428,"[$-1170401]mm")),""))</f>
        <v/>
      </c>
    </row>
    <row r="429">
      <c r="B429" s="30" t="n"/>
      <c r="G429" s="9">
        <f>IF(AND(E429&lt;&gt;"",E429&lt;&gt;0,H429&lt;&gt;""),H429/E429,"")</f>
        <v/>
      </c>
      <c r="L429">
        <f>IF(B429="","",IFERROR(VALUE(TEXT(B429,"[$-1170401]yyyy")),""))</f>
        <v/>
      </c>
      <c r="M429">
        <f>IF(B429="","",IFERROR(VALUE(TEXT(B429,"[$-1170401]mm")),""))</f>
        <v/>
      </c>
    </row>
    <row r="430">
      <c r="B430" s="30" t="n"/>
      <c r="G430" s="9">
        <f>IF(AND(E430&lt;&gt;"",E430&lt;&gt;0,H430&lt;&gt;""),H430/E430,"")</f>
        <v/>
      </c>
      <c r="L430">
        <f>IF(B430="","",IFERROR(VALUE(TEXT(B430,"[$-1170401]yyyy")),""))</f>
        <v/>
      </c>
      <c r="M430">
        <f>IF(B430="","",IFERROR(VALUE(TEXT(B430,"[$-1170401]mm")),""))</f>
        <v/>
      </c>
    </row>
    <row r="431">
      <c r="B431" s="30" t="n"/>
      <c r="G431" s="9">
        <f>IF(AND(E431&lt;&gt;"",E431&lt;&gt;0,H431&lt;&gt;""),H431/E431,"")</f>
        <v/>
      </c>
      <c r="L431">
        <f>IF(B431="","",IFERROR(VALUE(TEXT(B431,"[$-1170401]yyyy")),""))</f>
        <v/>
      </c>
      <c r="M431">
        <f>IF(B431="","",IFERROR(VALUE(TEXT(B431,"[$-1170401]mm")),""))</f>
        <v/>
      </c>
    </row>
    <row r="432">
      <c r="B432" s="30" t="n"/>
      <c r="G432" s="9">
        <f>IF(AND(E432&lt;&gt;"",E432&lt;&gt;0,H432&lt;&gt;""),H432/E432,"")</f>
        <v/>
      </c>
      <c r="L432">
        <f>IF(B432="","",IFERROR(VALUE(TEXT(B432,"[$-1170401]yyyy")),""))</f>
        <v/>
      </c>
      <c r="M432">
        <f>IF(B432="","",IFERROR(VALUE(TEXT(B432,"[$-1170401]mm")),""))</f>
        <v/>
      </c>
    </row>
    <row r="433">
      <c r="B433" s="30" t="n"/>
      <c r="G433" s="9">
        <f>IF(AND(E433&lt;&gt;"",E433&lt;&gt;0,H433&lt;&gt;""),H433/E433,"")</f>
        <v/>
      </c>
      <c r="L433">
        <f>IF(B433="","",IFERROR(VALUE(TEXT(B433,"[$-1170401]yyyy")),""))</f>
        <v/>
      </c>
      <c r="M433">
        <f>IF(B433="","",IFERROR(VALUE(TEXT(B433,"[$-1170401]mm")),""))</f>
        <v/>
      </c>
    </row>
    <row r="434">
      <c r="B434" s="30" t="n"/>
      <c r="G434" s="9">
        <f>IF(AND(E434&lt;&gt;"",E434&lt;&gt;0,H434&lt;&gt;""),H434/E434,"")</f>
        <v/>
      </c>
      <c r="L434">
        <f>IF(B434="","",IFERROR(VALUE(TEXT(B434,"[$-1170401]yyyy")),""))</f>
        <v/>
      </c>
      <c r="M434">
        <f>IF(B434="","",IFERROR(VALUE(TEXT(B434,"[$-1170401]mm")),""))</f>
        <v/>
      </c>
    </row>
    <row r="435">
      <c r="B435" s="30" t="n"/>
      <c r="G435" s="9">
        <f>IF(AND(E435&lt;&gt;"",E435&lt;&gt;0,H435&lt;&gt;""),H435/E435,"")</f>
        <v/>
      </c>
      <c r="L435">
        <f>IF(B435="","",IFERROR(VALUE(TEXT(B435,"[$-1170401]yyyy")),""))</f>
        <v/>
      </c>
      <c r="M435">
        <f>IF(B435="","",IFERROR(VALUE(TEXT(B435,"[$-1170401]mm")),""))</f>
        <v/>
      </c>
    </row>
    <row r="436">
      <c r="B436" s="30" t="n"/>
      <c r="G436" s="9">
        <f>IF(AND(E436&lt;&gt;"",E436&lt;&gt;0,H436&lt;&gt;""),H436/E436,"")</f>
        <v/>
      </c>
      <c r="L436">
        <f>IF(B436="","",IFERROR(VALUE(TEXT(B436,"[$-1170401]yyyy")),""))</f>
        <v/>
      </c>
      <c r="M436">
        <f>IF(B436="","",IFERROR(VALUE(TEXT(B436,"[$-1170401]mm")),""))</f>
        <v/>
      </c>
    </row>
    <row r="437">
      <c r="B437" s="30" t="n"/>
      <c r="G437" s="9">
        <f>IF(AND(E437&lt;&gt;"",E437&lt;&gt;0,H437&lt;&gt;""),H437/E437,"")</f>
        <v/>
      </c>
      <c r="L437">
        <f>IF(B437="","",IFERROR(VALUE(TEXT(B437,"[$-1170401]yyyy")),""))</f>
        <v/>
      </c>
      <c r="M437">
        <f>IF(B437="","",IFERROR(VALUE(TEXT(B437,"[$-1170401]mm")),""))</f>
        <v/>
      </c>
    </row>
    <row r="438">
      <c r="B438" s="30" t="n"/>
      <c r="G438" s="9">
        <f>IF(AND(E438&lt;&gt;"",E438&lt;&gt;0,H438&lt;&gt;""),H438/E438,"")</f>
        <v/>
      </c>
      <c r="L438">
        <f>IF(B438="","",IFERROR(VALUE(TEXT(B438,"[$-1170401]yyyy")),""))</f>
        <v/>
      </c>
      <c r="M438">
        <f>IF(B438="","",IFERROR(VALUE(TEXT(B438,"[$-1170401]mm")),""))</f>
        <v/>
      </c>
    </row>
    <row r="439">
      <c r="B439" s="30" t="n"/>
      <c r="G439" s="9">
        <f>IF(AND(E439&lt;&gt;"",E439&lt;&gt;0,H439&lt;&gt;""),H439/E439,"")</f>
        <v/>
      </c>
      <c r="L439">
        <f>IF(B439="","",IFERROR(VALUE(TEXT(B439,"[$-1170401]yyyy")),""))</f>
        <v/>
      </c>
      <c r="M439">
        <f>IF(B439="","",IFERROR(VALUE(TEXT(B439,"[$-1170401]mm")),""))</f>
        <v/>
      </c>
    </row>
    <row r="440">
      <c r="B440" s="30" t="n"/>
      <c r="G440" s="9">
        <f>IF(AND(E440&lt;&gt;"",E440&lt;&gt;0,H440&lt;&gt;""),H440/E440,"")</f>
        <v/>
      </c>
      <c r="L440">
        <f>IF(B440="","",IFERROR(VALUE(TEXT(B440,"[$-1170401]yyyy")),""))</f>
        <v/>
      </c>
      <c r="M440">
        <f>IF(B440="","",IFERROR(VALUE(TEXT(B440,"[$-1170401]mm")),""))</f>
        <v/>
      </c>
    </row>
    <row r="441">
      <c r="B441" s="30" t="n"/>
      <c r="G441" s="9">
        <f>IF(AND(E441&lt;&gt;"",E441&lt;&gt;0,H441&lt;&gt;""),H441/E441,"")</f>
        <v/>
      </c>
      <c r="L441">
        <f>IF(B441="","",IFERROR(VALUE(TEXT(B441,"[$-1170401]yyyy")),""))</f>
        <v/>
      </c>
      <c r="M441">
        <f>IF(B441="","",IFERROR(VALUE(TEXT(B441,"[$-1170401]mm")),""))</f>
        <v/>
      </c>
    </row>
    <row r="442">
      <c r="B442" s="30" t="n"/>
      <c r="G442" s="9">
        <f>IF(AND(E442&lt;&gt;"",E442&lt;&gt;0,H442&lt;&gt;""),H442/E442,"")</f>
        <v/>
      </c>
      <c r="L442">
        <f>IF(B442="","",IFERROR(VALUE(TEXT(B442,"[$-1170401]yyyy")),""))</f>
        <v/>
      </c>
      <c r="M442">
        <f>IF(B442="","",IFERROR(VALUE(TEXT(B442,"[$-1170401]mm")),""))</f>
        <v/>
      </c>
    </row>
    <row r="443">
      <c r="B443" s="30" t="n"/>
      <c r="G443" s="9">
        <f>IF(AND(E443&lt;&gt;"",E443&lt;&gt;0,H443&lt;&gt;""),H443/E443,"")</f>
        <v/>
      </c>
      <c r="L443">
        <f>IF(B443="","",IFERROR(VALUE(TEXT(B443,"[$-1170401]yyyy")),""))</f>
        <v/>
      </c>
      <c r="M443">
        <f>IF(B443="","",IFERROR(VALUE(TEXT(B443,"[$-1170401]mm")),""))</f>
        <v/>
      </c>
    </row>
    <row r="444">
      <c r="B444" s="30" t="n"/>
      <c r="G444" s="9">
        <f>IF(AND(E444&lt;&gt;"",E444&lt;&gt;0,H444&lt;&gt;""),H444/E444,"")</f>
        <v/>
      </c>
      <c r="L444">
        <f>IF(B444="","",IFERROR(VALUE(TEXT(B444,"[$-1170401]yyyy")),""))</f>
        <v/>
      </c>
      <c r="M444">
        <f>IF(B444="","",IFERROR(VALUE(TEXT(B444,"[$-1170401]mm")),""))</f>
        <v/>
      </c>
    </row>
    <row r="445">
      <c r="B445" s="30" t="n"/>
      <c r="G445" s="9">
        <f>IF(AND(E445&lt;&gt;"",E445&lt;&gt;0,H445&lt;&gt;""),H445/E445,"")</f>
        <v/>
      </c>
      <c r="L445">
        <f>IF(B445="","",IFERROR(VALUE(TEXT(B445,"[$-1170401]yyyy")),""))</f>
        <v/>
      </c>
      <c r="M445">
        <f>IF(B445="","",IFERROR(VALUE(TEXT(B445,"[$-1170401]mm")),""))</f>
        <v/>
      </c>
    </row>
    <row r="446">
      <c r="B446" s="30" t="n"/>
      <c r="G446" s="9">
        <f>IF(AND(E446&lt;&gt;"",E446&lt;&gt;0,H446&lt;&gt;""),H446/E446,"")</f>
        <v/>
      </c>
      <c r="L446">
        <f>IF(B446="","",IFERROR(VALUE(TEXT(B446,"[$-1170401]yyyy")),""))</f>
        <v/>
      </c>
      <c r="M446">
        <f>IF(B446="","",IFERROR(VALUE(TEXT(B446,"[$-1170401]mm")),""))</f>
        <v/>
      </c>
    </row>
    <row r="447">
      <c r="B447" s="30" t="n"/>
      <c r="G447" s="9">
        <f>IF(AND(E447&lt;&gt;"",E447&lt;&gt;0,H447&lt;&gt;""),H447/E447,"")</f>
        <v/>
      </c>
      <c r="L447">
        <f>IF(B447="","",IFERROR(VALUE(TEXT(B447,"[$-1170401]yyyy")),""))</f>
        <v/>
      </c>
      <c r="M447">
        <f>IF(B447="","",IFERROR(VALUE(TEXT(B447,"[$-1170401]mm")),""))</f>
        <v/>
      </c>
    </row>
    <row r="448">
      <c r="B448" s="30" t="n"/>
      <c r="G448" s="9">
        <f>IF(AND(E448&lt;&gt;"",E448&lt;&gt;0,H448&lt;&gt;""),H448/E448,"")</f>
        <v/>
      </c>
      <c r="L448">
        <f>IF(B448="","",IFERROR(VALUE(TEXT(B448,"[$-1170401]yyyy")),""))</f>
        <v/>
      </c>
      <c r="M448">
        <f>IF(B448="","",IFERROR(VALUE(TEXT(B448,"[$-1170401]mm")),""))</f>
        <v/>
      </c>
    </row>
    <row r="449">
      <c r="B449" s="30" t="n"/>
      <c r="G449" s="9">
        <f>IF(AND(E449&lt;&gt;"",E449&lt;&gt;0,H449&lt;&gt;""),H449/E449,"")</f>
        <v/>
      </c>
      <c r="L449">
        <f>IF(B449="","",IFERROR(VALUE(TEXT(B449,"[$-1170401]yyyy")),""))</f>
        <v/>
      </c>
      <c r="M449">
        <f>IF(B449="","",IFERROR(VALUE(TEXT(B449,"[$-1170401]mm")),""))</f>
        <v/>
      </c>
    </row>
    <row r="450">
      <c r="B450" s="30" t="n"/>
      <c r="G450" s="9">
        <f>IF(AND(E450&lt;&gt;"",E450&lt;&gt;0,H450&lt;&gt;""),H450/E450,"")</f>
        <v/>
      </c>
      <c r="L450">
        <f>IF(B450="","",IFERROR(VALUE(TEXT(B450,"[$-1170401]yyyy")),""))</f>
        <v/>
      </c>
      <c r="M450">
        <f>IF(B450="","",IFERROR(VALUE(TEXT(B450,"[$-1170401]mm")),""))</f>
        <v/>
      </c>
    </row>
    <row r="451">
      <c r="B451" s="30" t="n"/>
      <c r="G451" s="9">
        <f>IF(AND(E451&lt;&gt;"",E451&lt;&gt;0,H451&lt;&gt;""),H451/E451,"")</f>
        <v/>
      </c>
      <c r="L451">
        <f>IF(B451="","",IFERROR(VALUE(TEXT(B451,"[$-1170401]yyyy")),""))</f>
        <v/>
      </c>
      <c r="M451">
        <f>IF(B451="","",IFERROR(VALUE(TEXT(B451,"[$-1170401]mm")),""))</f>
        <v/>
      </c>
    </row>
    <row r="452">
      <c r="B452" s="30" t="n"/>
      <c r="G452" s="9">
        <f>IF(AND(E452&lt;&gt;"",E452&lt;&gt;0,H452&lt;&gt;""),H452/E452,"")</f>
        <v/>
      </c>
      <c r="L452">
        <f>IF(B452="","",IFERROR(VALUE(TEXT(B452,"[$-1170401]yyyy")),""))</f>
        <v/>
      </c>
      <c r="M452">
        <f>IF(B452="","",IFERROR(VALUE(TEXT(B452,"[$-1170401]mm")),""))</f>
        <v/>
      </c>
    </row>
    <row r="453">
      <c r="B453" s="30" t="n"/>
      <c r="G453" s="9">
        <f>IF(AND(E453&lt;&gt;"",E453&lt;&gt;0,H453&lt;&gt;""),H453/E453,"")</f>
        <v/>
      </c>
      <c r="L453">
        <f>IF(B453="","",IFERROR(VALUE(TEXT(B453,"[$-1170401]yyyy")),""))</f>
        <v/>
      </c>
      <c r="M453">
        <f>IF(B453="","",IFERROR(VALUE(TEXT(B453,"[$-1170401]mm")),""))</f>
        <v/>
      </c>
    </row>
    <row r="454">
      <c r="B454" s="30" t="n"/>
      <c r="G454" s="9">
        <f>IF(AND(E454&lt;&gt;"",E454&lt;&gt;0,H454&lt;&gt;""),H454/E454,"")</f>
        <v/>
      </c>
      <c r="L454">
        <f>IF(B454="","",IFERROR(VALUE(TEXT(B454,"[$-1170401]yyyy")),""))</f>
        <v/>
      </c>
      <c r="M454">
        <f>IF(B454="","",IFERROR(VALUE(TEXT(B454,"[$-1170401]mm")),""))</f>
        <v/>
      </c>
    </row>
    <row r="455">
      <c r="B455" s="30" t="n"/>
      <c r="G455" s="9">
        <f>IF(AND(E455&lt;&gt;"",E455&lt;&gt;0,H455&lt;&gt;""),H455/E455,"")</f>
        <v/>
      </c>
      <c r="L455">
        <f>IF(B455="","",IFERROR(VALUE(TEXT(B455,"[$-1170401]yyyy")),""))</f>
        <v/>
      </c>
      <c r="M455">
        <f>IF(B455="","",IFERROR(VALUE(TEXT(B455,"[$-1170401]mm")),""))</f>
        <v/>
      </c>
    </row>
    <row r="456">
      <c r="B456" s="30" t="n"/>
      <c r="G456" s="9">
        <f>IF(AND(E456&lt;&gt;"",E456&lt;&gt;0,H456&lt;&gt;""),H456/E456,"")</f>
        <v/>
      </c>
      <c r="L456">
        <f>IF(B456="","",IFERROR(VALUE(TEXT(B456,"[$-1170401]yyyy")),""))</f>
        <v/>
      </c>
      <c r="M456">
        <f>IF(B456="","",IFERROR(VALUE(TEXT(B456,"[$-1170401]mm")),""))</f>
        <v/>
      </c>
    </row>
    <row r="457">
      <c r="B457" s="30" t="n"/>
      <c r="G457" s="9">
        <f>IF(AND(E457&lt;&gt;"",E457&lt;&gt;0,H457&lt;&gt;""),H457/E457,"")</f>
        <v/>
      </c>
      <c r="L457">
        <f>IF(B457="","",IFERROR(VALUE(TEXT(B457,"[$-1170401]yyyy")),""))</f>
        <v/>
      </c>
      <c r="M457">
        <f>IF(B457="","",IFERROR(VALUE(TEXT(B457,"[$-1170401]mm")),""))</f>
        <v/>
      </c>
    </row>
    <row r="458">
      <c r="B458" s="30" t="n"/>
      <c r="G458" s="9">
        <f>IF(AND(E458&lt;&gt;"",E458&lt;&gt;0,H458&lt;&gt;""),H458/E458,"")</f>
        <v/>
      </c>
      <c r="L458">
        <f>IF(B458="","",IFERROR(VALUE(TEXT(B458,"[$-1170401]yyyy")),""))</f>
        <v/>
      </c>
      <c r="M458">
        <f>IF(B458="","",IFERROR(VALUE(TEXT(B458,"[$-1170401]mm")),""))</f>
        <v/>
      </c>
    </row>
    <row r="459">
      <c r="B459" s="30" t="n"/>
      <c r="G459" s="9">
        <f>IF(AND(E459&lt;&gt;"",E459&lt;&gt;0,H459&lt;&gt;""),H459/E459,"")</f>
        <v/>
      </c>
      <c r="L459">
        <f>IF(B459="","",IFERROR(VALUE(TEXT(B459,"[$-1170401]yyyy")),""))</f>
        <v/>
      </c>
      <c r="M459">
        <f>IF(B459="","",IFERROR(VALUE(TEXT(B459,"[$-1170401]mm")),""))</f>
        <v/>
      </c>
    </row>
    <row r="460">
      <c r="B460" s="30" t="n"/>
      <c r="G460" s="9">
        <f>IF(AND(E460&lt;&gt;"",E460&lt;&gt;0,H460&lt;&gt;""),H460/E460,"")</f>
        <v/>
      </c>
      <c r="L460">
        <f>IF(B460="","",IFERROR(VALUE(TEXT(B460,"[$-1170401]yyyy")),""))</f>
        <v/>
      </c>
      <c r="M460">
        <f>IF(B460="","",IFERROR(VALUE(TEXT(B460,"[$-1170401]mm")),""))</f>
        <v/>
      </c>
    </row>
    <row r="461">
      <c r="B461" s="30" t="n"/>
      <c r="G461" s="9">
        <f>IF(AND(E461&lt;&gt;"",E461&lt;&gt;0,H461&lt;&gt;""),H461/E461,"")</f>
        <v/>
      </c>
      <c r="L461">
        <f>IF(B461="","",IFERROR(VALUE(TEXT(B461,"[$-1170401]yyyy")),""))</f>
        <v/>
      </c>
      <c r="M461">
        <f>IF(B461="","",IFERROR(VALUE(TEXT(B461,"[$-1170401]mm")),""))</f>
        <v/>
      </c>
    </row>
    <row r="462">
      <c r="B462" s="30" t="n"/>
      <c r="G462" s="9">
        <f>IF(AND(E462&lt;&gt;"",E462&lt;&gt;0,H462&lt;&gt;""),H462/E462,"")</f>
        <v/>
      </c>
      <c r="L462">
        <f>IF(B462="","",IFERROR(VALUE(TEXT(B462,"[$-1170401]yyyy")),""))</f>
        <v/>
      </c>
      <c r="M462">
        <f>IF(B462="","",IFERROR(VALUE(TEXT(B462,"[$-1170401]mm")),""))</f>
        <v/>
      </c>
    </row>
    <row r="463">
      <c r="B463" s="30" t="n"/>
      <c r="G463" s="9">
        <f>IF(AND(E463&lt;&gt;"",E463&lt;&gt;0,H463&lt;&gt;""),H463/E463,"")</f>
        <v/>
      </c>
      <c r="L463">
        <f>IF(B463="","",IFERROR(VALUE(TEXT(B463,"[$-1170401]yyyy")),""))</f>
        <v/>
      </c>
      <c r="M463">
        <f>IF(B463="","",IFERROR(VALUE(TEXT(B463,"[$-1170401]mm")),""))</f>
        <v/>
      </c>
    </row>
    <row r="464">
      <c r="B464" s="30" t="n"/>
      <c r="G464" s="9">
        <f>IF(AND(E464&lt;&gt;"",E464&lt;&gt;0,H464&lt;&gt;""),H464/E464,"")</f>
        <v/>
      </c>
      <c r="L464">
        <f>IF(B464="","",IFERROR(VALUE(TEXT(B464,"[$-1170401]yyyy")),""))</f>
        <v/>
      </c>
      <c r="M464">
        <f>IF(B464="","",IFERROR(VALUE(TEXT(B464,"[$-1170401]mm")),""))</f>
        <v/>
      </c>
    </row>
    <row r="465">
      <c r="B465" s="30" t="n"/>
      <c r="G465" s="9">
        <f>IF(AND(E465&lt;&gt;"",E465&lt;&gt;0,H465&lt;&gt;""),H465/E465,"")</f>
        <v/>
      </c>
      <c r="L465">
        <f>IF(B465="","",IFERROR(VALUE(TEXT(B465,"[$-1170401]yyyy")),""))</f>
        <v/>
      </c>
      <c r="M465">
        <f>IF(B465="","",IFERROR(VALUE(TEXT(B465,"[$-1170401]mm")),""))</f>
        <v/>
      </c>
    </row>
    <row r="466">
      <c r="B466" s="30" t="n"/>
      <c r="G466" s="9">
        <f>IF(AND(E466&lt;&gt;"",E466&lt;&gt;0,H466&lt;&gt;""),H466/E466,"")</f>
        <v/>
      </c>
      <c r="L466">
        <f>IF(B466="","",IFERROR(VALUE(TEXT(B466,"[$-1170401]yyyy")),""))</f>
        <v/>
      </c>
      <c r="M466">
        <f>IF(B466="","",IFERROR(VALUE(TEXT(B466,"[$-1170401]mm")),""))</f>
        <v/>
      </c>
    </row>
    <row r="467">
      <c r="B467" s="30" t="n"/>
      <c r="G467" s="9">
        <f>IF(AND(E467&lt;&gt;"",E467&lt;&gt;0,H467&lt;&gt;""),H467/E467,"")</f>
        <v/>
      </c>
      <c r="L467">
        <f>IF(B467="","",IFERROR(VALUE(TEXT(B467,"[$-1170401]yyyy")),""))</f>
        <v/>
      </c>
      <c r="M467">
        <f>IF(B467="","",IFERROR(VALUE(TEXT(B467,"[$-1170401]mm")),""))</f>
        <v/>
      </c>
    </row>
    <row r="468">
      <c r="B468" s="30" t="n"/>
      <c r="G468" s="9">
        <f>IF(AND(E468&lt;&gt;"",E468&lt;&gt;0,H468&lt;&gt;""),H468/E468,"")</f>
        <v/>
      </c>
      <c r="L468">
        <f>IF(B468="","",IFERROR(VALUE(TEXT(B468,"[$-1170401]yyyy")),""))</f>
        <v/>
      </c>
      <c r="M468">
        <f>IF(B468="","",IFERROR(VALUE(TEXT(B468,"[$-1170401]mm")),""))</f>
        <v/>
      </c>
    </row>
    <row r="469">
      <c r="B469" s="30" t="n"/>
      <c r="G469" s="9">
        <f>IF(AND(E469&lt;&gt;"",E469&lt;&gt;0,H469&lt;&gt;""),H469/E469,"")</f>
        <v/>
      </c>
      <c r="L469">
        <f>IF(B469="","",IFERROR(VALUE(TEXT(B469,"[$-1170401]yyyy")),""))</f>
        <v/>
      </c>
      <c r="M469">
        <f>IF(B469="","",IFERROR(VALUE(TEXT(B469,"[$-1170401]mm")),""))</f>
        <v/>
      </c>
    </row>
    <row r="470">
      <c r="B470" s="30" t="n"/>
      <c r="G470" s="9">
        <f>IF(AND(E470&lt;&gt;"",E470&lt;&gt;0,H470&lt;&gt;""),H470/E470,"")</f>
        <v/>
      </c>
      <c r="L470">
        <f>IF(B470="","",IFERROR(VALUE(TEXT(B470,"[$-1170401]yyyy")),""))</f>
        <v/>
      </c>
      <c r="M470">
        <f>IF(B470="","",IFERROR(VALUE(TEXT(B470,"[$-1170401]mm")),""))</f>
        <v/>
      </c>
    </row>
    <row r="471">
      <c r="B471" s="30" t="n"/>
      <c r="G471" s="9">
        <f>IF(AND(E471&lt;&gt;"",E471&lt;&gt;0,H471&lt;&gt;""),H471/E471,"")</f>
        <v/>
      </c>
      <c r="L471">
        <f>IF(B471="","",IFERROR(VALUE(TEXT(B471,"[$-1170401]yyyy")),""))</f>
        <v/>
      </c>
      <c r="M471">
        <f>IF(B471="","",IFERROR(VALUE(TEXT(B471,"[$-1170401]mm")),""))</f>
        <v/>
      </c>
    </row>
    <row r="472">
      <c r="B472" s="30" t="n"/>
      <c r="G472" s="9">
        <f>IF(AND(E472&lt;&gt;"",E472&lt;&gt;0,H472&lt;&gt;""),H472/E472,"")</f>
        <v/>
      </c>
      <c r="L472">
        <f>IF(B472="","",IFERROR(VALUE(TEXT(B472,"[$-1170401]yyyy")),""))</f>
        <v/>
      </c>
      <c r="M472">
        <f>IF(B472="","",IFERROR(VALUE(TEXT(B472,"[$-1170401]mm")),""))</f>
        <v/>
      </c>
    </row>
    <row r="473">
      <c r="B473" s="30" t="n"/>
      <c r="G473" s="9">
        <f>IF(AND(E473&lt;&gt;"",E473&lt;&gt;0,H473&lt;&gt;""),H473/E473,"")</f>
        <v/>
      </c>
      <c r="L473">
        <f>IF(B473="","",IFERROR(VALUE(TEXT(B473,"[$-1170401]yyyy")),""))</f>
        <v/>
      </c>
      <c r="M473">
        <f>IF(B473="","",IFERROR(VALUE(TEXT(B473,"[$-1170401]mm")),""))</f>
        <v/>
      </c>
    </row>
    <row r="474">
      <c r="B474" s="30" t="n"/>
      <c r="G474" s="9">
        <f>IF(AND(E474&lt;&gt;"",E474&lt;&gt;0,H474&lt;&gt;""),H474/E474,"")</f>
        <v/>
      </c>
      <c r="L474">
        <f>IF(B474="","",IFERROR(VALUE(TEXT(B474,"[$-1170401]yyyy")),""))</f>
        <v/>
      </c>
      <c r="M474">
        <f>IF(B474="","",IFERROR(VALUE(TEXT(B474,"[$-1170401]mm")),""))</f>
        <v/>
      </c>
    </row>
    <row r="475">
      <c r="B475" s="30" t="n"/>
      <c r="G475" s="9">
        <f>IF(AND(E475&lt;&gt;"",E475&lt;&gt;0,H475&lt;&gt;""),H475/E475,"")</f>
        <v/>
      </c>
      <c r="L475">
        <f>IF(B475="","",IFERROR(VALUE(TEXT(B475,"[$-1170401]yyyy")),""))</f>
        <v/>
      </c>
      <c r="M475">
        <f>IF(B475="","",IFERROR(VALUE(TEXT(B475,"[$-1170401]mm")),""))</f>
        <v/>
      </c>
    </row>
    <row r="476">
      <c r="B476" s="30" t="n"/>
      <c r="G476" s="9">
        <f>IF(AND(E476&lt;&gt;"",E476&lt;&gt;0,H476&lt;&gt;""),H476/E476,"")</f>
        <v/>
      </c>
      <c r="L476">
        <f>IF(B476="","",IFERROR(VALUE(TEXT(B476,"[$-1170401]yyyy")),""))</f>
        <v/>
      </c>
      <c r="M476">
        <f>IF(B476="","",IFERROR(VALUE(TEXT(B476,"[$-1170401]mm")),""))</f>
        <v/>
      </c>
    </row>
    <row r="477">
      <c r="B477" s="30" t="n"/>
      <c r="G477" s="9">
        <f>IF(AND(E477&lt;&gt;"",E477&lt;&gt;0,H477&lt;&gt;""),H477/E477,"")</f>
        <v/>
      </c>
      <c r="L477">
        <f>IF(B477="","",IFERROR(VALUE(TEXT(B477,"[$-1170401]yyyy")),""))</f>
        <v/>
      </c>
      <c r="M477">
        <f>IF(B477="","",IFERROR(VALUE(TEXT(B477,"[$-1170401]mm")),""))</f>
        <v/>
      </c>
    </row>
    <row r="478">
      <c r="B478" s="30" t="n"/>
      <c r="G478" s="9">
        <f>IF(AND(E478&lt;&gt;"",E478&lt;&gt;0,H478&lt;&gt;""),H478/E478,"")</f>
        <v/>
      </c>
      <c r="L478">
        <f>IF(B478="","",IFERROR(VALUE(TEXT(B478,"[$-1170401]yyyy")),""))</f>
        <v/>
      </c>
      <c r="M478">
        <f>IF(B478="","",IFERROR(VALUE(TEXT(B478,"[$-1170401]mm")),""))</f>
        <v/>
      </c>
    </row>
    <row r="479">
      <c r="B479" s="30" t="n"/>
      <c r="G479" s="9">
        <f>IF(AND(E479&lt;&gt;"",E479&lt;&gt;0,H479&lt;&gt;""),H479/E479,"")</f>
        <v/>
      </c>
      <c r="L479">
        <f>IF(B479="","",IFERROR(VALUE(TEXT(B479,"[$-1170401]yyyy")),""))</f>
        <v/>
      </c>
      <c r="M479">
        <f>IF(B479="","",IFERROR(VALUE(TEXT(B479,"[$-1170401]mm")),""))</f>
        <v/>
      </c>
    </row>
    <row r="480">
      <c r="B480" s="30" t="n"/>
      <c r="G480" s="9">
        <f>IF(AND(E480&lt;&gt;"",E480&lt;&gt;0,H480&lt;&gt;""),H480/E480,"")</f>
        <v/>
      </c>
      <c r="L480">
        <f>IF(B480="","",IFERROR(VALUE(TEXT(B480,"[$-1170401]yyyy")),""))</f>
        <v/>
      </c>
      <c r="M480">
        <f>IF(B480="","",IFERROR(VALUE(TEXT(B480,"[$-1170401]mm")),""))</f>
        <v/>
      </c>
    </row>
    <row r="481">
      <c r="B481" s="30" t="n"/>
      <c r="G481" s="9">
        <f>IF(AND(E481&lt;&gt;"",E481&lt;&gt;0,H481&lt;&gt;""),H481/E481,"")</f>
        <v/>
      </c>
      <c r="L481">
        <f>IF(B481="","",IFERROR(VALUE(TEXT(B481,"[$-1170401]yyyy")),""))</f>
        <v/>
      </c>
      <c r="M481">
        <f>IF(B481="","",IFERROR(VALUE(TEXT(B481,"[$-1170401]mm")),""))</f>
        <v/>
      </c>
    </row>
    <row r="482">
      <c r="B482" s="30" t="n"/>
      <c r="G482" s="9">
        <f>IF(AND(E482&lt;&gt;"",E482&lt;&gt;0,H482&lt;&gt;""),H482/E482,"")</f>
        <v/>
      </c>
      <c r="L482">
        <f>IF(B482="","",IFERROR(VALUE(TEXT(B482,"[$-1170401]yyyy")),""))</f>
        <v/>
      </c>
      <c r="M482">
        <f>IF(B482="","",IFERROR(VALUE(TEXT(B482,"[$-1170401]mm")),""))</f>
        <v/>
      </c>
    </row>
    <row r="483">
      <c r="B483" s="30" t="n"/>
      <c r="G483" s="9">
        <f>IF(AND(E483&lt;&gt;"",E483&lt;&gt;0,H483&lt;&gt;""),H483/E483,"")</f>
        <v/>
      </c>
      <c r="L483">
        <f>IF(B483="","",IFERROR(VALUE(TEXT(B483,"[$-1170401]yyyy")),""))</f>
        <v/>
      </c>
      <c r="M483">
        <f>IF(B483="","",IFERROR(VALUE(TEXT(B483,"[$-1170401]mm")),""))</f>
        <v/>
      </c>
    </row>
    <row r="484">
      <c r="B484" s="30" t="n"/>
      <c r="G484" s="9">
        <f>IF(AND(E484&lt;&gt;"",E484&lt;&gt;0,H484&lt;&gt;""),H484/E484,"")</f>
        <v/>
      </c>
      <c r="L484">
        <f>IF(B484="","",IFERROR(VALUE(TEXT(B484,"[$-1170401]yyyy")),""))</f>
        <v/>
      </c>
      <c r="M484">
        <f>IF(B484="","",IFERROR(VALUE(TEXT(B484,"[$-1170401]mm")),""))</f>
        <v/>
      </c>
    </row>
    <row r="485">
      <c r="B485" s="30" t="n"/>
      <c r="G485" s="9">
        <f>IF(AND(E485&lt;&gt;"",E485&lt;&gt;0,H485&lt;&gt;""),H485/E485,"")</f>
        <v/>
      </c>
      <c r="L485">
        <f>IF(B485="","",IFERROR(VALUE(TEXT(B485,"[$-1170401]yyyy")),""))</f>
        <v/>
      </c>
      <c r="M485">
        <f>IF(B485="","",IFERROR(VALUE(TEXT(B485,"[$-1170401]mm")),""))</f>
        <v/>
      </c>
    </row>
    <row r="486">
      <c r="B486" s="30" t="n"/>
      <c r="G486" s="9">
        <f>IF(AND(E486&lt;&gt;"",E486&lt;&gt;0,H486&lt;&gt;""),H486/E486,"")</f>
        <v/>
      </c>
      <c r="L486">
        <f>IF(B486="","",IFERROR(VALUE(TEXT(B486,"[$-1170401]yyyy")),""))</f>
        <v/>
      </c>
      <c r="M486">
        <f>IF(B486="","",IFERROR(VALUE(TEXT(B486,"[$-1170401]mm")),""))</f>
        <v/>
      </c>
    </row>
    <row r="487">
      <c r="B487" s="30" t="n"/>
      <c r="G487" s="9">
        <f>IF(AND(E487&lt;&gt;"",E487&lt;&gt;0,H487&lt;&gt;""),H487/E487,"")</f>
        <v/>
      </c>
      <c r="L487">
        <f>IF(B487="","",IFERROR(VALUE(TEXT(B487,"[$-1170401]yyyy")),""))</f>
        <v/>
      </c>
      <c r="M487">
        <f>IF(B487="","",IFERROR(VALUE(TEXT(B487,"[$-1170401]mm")),""))</f>
        <v/>
      </c>
    </row>
    <row r="488">
      <c r="B488" s="30" t="n"/>
      <c r="G488" s="9">
        <f>IF(AND(E488&lt;&gt;"",E488&lt;&gt;0,H488&lt;&gt;""),H488/E488,"")</f>
        <v/>
      </c>
      <c r="L488">
        <f>IF(B488="","",IFERROR(VALUE(TEXT(B488,"[$-1170401]yyyy")),""))</f>
        <v/>
      </c>
      <c r="M488">
        <f>IF(B488="","",IFERROR(VALUE(TEXT(B488,"[$-1170401]mm")),""))</f>
        <v/>
      </c>
    </row>
    <row r="489">
      <c r="B489" s="30" t="n"/>
      <c r="G489" s="9">
        <f>IF(AND(E489&lt;&gt;"",E489&lt;&gt;0,H489&lt;&gt;""),H489/E489,"")</f>
        <v/>
      </c>
      <c r="L489">
        <f>IF(B489="","",IFERROR(VALUE(TEXT(B489,"[$-1170401]yyyy")),""))</f>
        <v/>
      </c>
      <c r="M489">
        <f>IF(B489="","",IFERROR(VALUE(TEXT(B489,"[$-1170401]mm")),""))</f>
        <v/>
      </c>
    </row>
    <row r="490">
      <c r="B490" s="30" t="n"/>
      <c r="G490" s="9">
        <f>IF(AND(E490&lt;&gt;"",E490&lt;&gt;0,H490&lt;&gt;""),H490/E490,"")</f>
        <v/>
      </c>
      <c r="L490">
        <f>IF(B490="","",IFERROR(VALUE(TEXT(B490,"[$-1170401]yyyy")),""))</f>
        <v/>
      </c>
      <c r="M490">
        <f>IF(B490="","",IFERROR(VALUE(TEXT(B490,"[$-1170401]mm")),""))</f>
        <v/>
      </c>
    </row>
    <row r="491">
      <c r="B491" s="30" t="n"/>
      <c r="G491" s="9">
        <f>IF(AND(E491&lt;&gt;"",E491&lt;&gt;0,H491&lt;&gt;""),H491/E491,"")</f>
        <v/>
      </c>
      <c r="L491">
        <f>IF(B491="","",IFERROR(VALUE(TEXT(B491,"[$-1170401]yyyy")),""))</f>
        <v/>
      </c>
      <c r="M491">
        <f>IF(B491="","",IFERROR(VALUE(TEXT(B491,"[$-1170401]mm")),""))</f>
        <v/>
      </c>
    </row>
    <row r="492">
      <c r="B492" s="30" t="n"/>
      <c r="G492" s="9">
        <f>IF(AND(E492&lt;&gt;"",E492&lt;&gt;0,H492&lt;&gt;""),H492/E492,"")</f>
        <v/>
      </c>
      <c r="L492">
        <f>IF(B492="","",IFERROR(VALUE(TEXT(B492,"[$-1170401]yyyy")),""))</f>
        <v/>
      </c>
      <c r="M492">
        <f>IF(B492="","",IFERROR(VALUE(TEXT(B492,"[$-1170401]mm")),""))</f>
        <v/>
      </c>
    </row>
    <row r="493">
      <c r="B493" s="30" t="n"/>
      <c r="G493" s="9">
        <f>IF(AND(E493&lt;&gt;"",E493&lt;&gt;0,H493&lt;&gt;""),H493/E493,"")</f>
        <v/>
      </c>
      <c r="L493">
        <f>IF(B493="","",IFERROR(VALUE(TEXT(B493,"[$-1170401]yyyy")),""))</f>
        <v/>
      </c>
      <c r="M493">
        <f>IF(B493="","",IFERROR(VALUE(TEXT(B493,"[$-1170401]mm")),""))</f>
        <v/>
      </c>
    </row>
    <row r="494">
      <c r="B494" s="30" t="n"/>
      <c r="G494" s="9">
        <f>IF(AND(E494&lt;&gt;"",E494&lt;&gt;0,H494&lt;&gt;""),H494/E494,"")</f>
        <v/>
      </c>
      <c r="L494">
        <f>IF(B494="","",IFERROR(VALUE(TEXT(B494,"[$-1170401]yyyy")),""))</f>
        <v/>
      </c>
      <c r="M494">
        <f>IF(B494="","",IFERROR(VALUE(TEXT(B494,"[$-1170401]mm")),""))</f>
        <v/>
      </c>
    </row>
    <row r="495">
      <c r="B495" s="30" t="n"/>
      <c r="G495" s="9">
        <f>IF(AND(E495&lt;&gt;"",E495&lt;&gt;0,H495&lt;&gt;""),H495/E495,"")</f>
        <v/>
      </c>
      <c r="L495">
        <f>IF(B495="","",IFERROR(VALUE(TEXT(B495,"[$-1170401]yyyy")),""))</f>
        <v/>
      </c>
      <c r="M495">
        <f>IF(B495="","",IFERROR(VALUE(TEXT(B495,"[$-1170401]mm")),""))</f>
        <v/>
      </c>
    </row>
    <row r="496">
      <c r="B496" s="30" t="n"/>
      <c r="G496" s="9">
        <f>IF(AND(E496&lt;&gt;"",E496&lt;&gt;0,H496&lt;&gt;""),H496/E496,"")</f>
        <v/>
      </c>
      <c r="L496">
        <f>IF(B496="","",IFERROR(VALUE(TEXT(B496,"[$-1170401]yyyy")),""))</f>
        <v/>
      </c>
      <c r="M496">
        <f>IF(B496="","",IFERROR(VALUE(TEXT(B496,"[$-1170401]mm")),""))</f>
        <v/>
      </c>
    </row>
    <row r="497">
      <c r="B497" s="30" t="n"/>
      <c r="G497" s="9">
        <f>IF(AND(E497&lt;&gt;"",E497&lt;&gt;0,H497&lt;&gt;""),H497/E497,"")</f>
        <v/>
      </c>
      <c r="L497">
        <f>IF(B497="","",IFERROR(VALUE(TEXT(B497,"[$-1170401]yyyy")),""))</f>
        <v/>
      </c>
      <c r="M497">
        <f>IF(B497="","",IFERROR(VALUE(TEXT(B497,"[$-1170401]mm")),""))</f>
        <v/>
      </c>
    </row>
    <row r="498">
      <c r="B498" s="30" t="n"/>
      <c r="G498" s="9">
        <f>IF(AND(E498&lt;&gt;"",E498&lt;&gt;0,H498&lt;&gt;""),H498/E498,"")</f>
        <v/>
      </c>
      <c r="L498">
        <f>IF(B498="","",IFERROR(VALUE(TEXT(B498,"[$-1170401]yyyy")),""))</f>
        <v/>
      </c>
      <c r="M498">
        <f>IF(B498="","",IFERROR(VALUE(TEXT(B498,"[$-1170401]mm")),""))</f>
        <v/>
      </c>
    </row>
    <row r="499">
      <c r="B499" s="30" t="n"/>
      <c r="G499" s="9">
        <f>IF(AND(E499&lt;&gt;"",E499&lt;&gt;0,H499&lt;&gt;""),H499/E499,"")</f>
        <v/>
      </c>
      <c r="L499">
        <f>IF(B499="","",IFERROR(VALUE(TEXT(B499,"[$-1170401]yyyy")),""))</f>
        <v/>
      </c>
      <c r="M499">
        <f>IF(B499="","",IFERROR(VALUE(TEXT(B499,"[$-1170401]mm")),""))</f>
        <v/>
      </c>
    </row>
    <row r="500">
      <c r="B500" s="30" t="n"/>
      <c r="G500" s="9">
        <f>IF(AND(E500&lt;&gt;"",E500&lt;&gt;0,H500&lt;&gt;""),H500/E500,"")</f>
        <v/>
      </c>
      <c r="L500">
        <f>IF(B500="","",IFERROR(VALUE(TEXT(B500,"[$-1170401]yyyy")),""))</f>
        <v/>
      </c>
      <c r="M500">
        <f>IF(B500="","",IFERROR(VALUE(TEXT(B500,"[$-1170401]mm")),""))</f>
        <v/>
      </c>
    </row>
    <row r="501">
      <c r="B501" s="30" t="n"/>
      <c r="G501" s="9">
        <f>IF(AND(E501&lt;&gt;"",E501&lt;&gt;0,H501&lt;&gt;""),H501/E501,"")</f>
        <v/>
      </c>
      <c r="L501">
        <f>IF(B501="","",IFERROR(VALUE(TEXT(B501,"[$-1170401]yyyy")),""))</f>
        <v/>
      </c>
      <c r="M501">
        <f>IF(B501="","",IFERROR(VALUE(TEXT(B501,"[$-1170401]mm")),""))</f>
        <v/>
      </c>
    </row>
    <row r="502">
      <c r="B502" s="30" t="n"/>
      <c r="G502" s="9">
        <f>IF(AND(E502&lt;&gt;"",E502&lt;&gt;0,H502&lt;&gt;""),H502/E502,"")</f>
        <v/>
      </c>
      <c r="L502">
        <f>IF(B502="","",IFERROR(VALUE(TEXT(B502,"[$-1170401]yyyy")),""))</f>
        <v/>
      </c>
      <c r="M502">
        <f>IF(B502="","",IFERROR(VALUE(TEXT(B502,"[$-1170401]mm")),""))</f>
        <v/>
      </c>
    </row>
    <row r="503">
      <c r="B503" s="30" t="n"/>
      <c r="G503" s="9">
        <f>IF(AND(E503&lt;&gt;"",E503&lt;&gt;0,H503&lt;&gt;""),H503/E503,"")</f>
        <v/>
      </c>
      <c r="L503">
        <f>IF(B503="","",IFERROR(VALUE(TEXT(B503,"[$-1170401]yyyy")),""))</f>
        <v/>
      </c>
      <c r="M503">
        <f>IF(B503="","",IFERROR(VALUE(TEXT(B503,"[$-1170401]mm")),""))</f>
        <v/>
      </c>
    </row>
    <row r="504">
      <c r="B504" s="30" t="n"/>
      <c r="G504" s="9">
        <f>IF(AND(E504&lt;&gt;"",E504&lt;&gt;0,H504&lt;&gt;""),H504/E504,"")</f>
        <v/>
      </c>
      <c r="L504">
        <f>IF(B504="","",IFERROR(VALUE(TEXT(B504,"[$-1170401]yyyy")),""))</f>
        <v/>
      </c>
      <c r="M504">
        <f>IF(B504="","",IFERROR(VALUE(TEXT(B504,"[$-1170401]mm")),""))</f>
        <v/>
      </c>
    </row>
    <row r="505">
      <c r="B505" s="30" t="n"/>
      <c r="G505" s="9">
        <f>IF(AND(E505&lt;&gt;"",E505&lt;&gt;0,H505&lt;&gt;""),H505/E505,"")</f>
        <v/>
      </c>
      <c r="L505">
        <f>IF(B505="","",IFERROR(VALUE(TEXT(B505,"[$-1170401]yyyy")),""))</f>
        <v/>
      </c>
      <c r="M505">
        <f>IF(B505="","",IFERROR(VALUE(TEXT(B505,"[$-1170401]mm")),""))</f>
        <v/>
      </c>
    </row>
    <row r="506">
      <c r="B506" s="30" t="n"/>
      <c r="G506" s="9">
        <f>IF(AND(E506&lt;&gt;"",E506&lt;&gt;0,H506&lt;&gt;""),H506/E506,"")</f>
        <v/>
      </c>
      <c r="L506">
        <f>IF(B506="","",IFERROR(VALUE(TEXT(B506,"[$-1170401]yyyy")),""))</f>
        <v/>
      </c>
      <c r="M506">
        <f>IF(B506="","",IFERROR(VALUE(TEXT(B506,"[$-1170401]mm")),""))</f>
        <v/>
      </c>
    </row>
    <row r="507">
      <c r="B507" s="30" t="n"/>
      <c r="G507" s="9">
        <f>IF(AND(E507&lt;&gt;"",E507&lt;&gt;0,H507&lt;&gt;""),H507/E507,"")</f>
        <v/>
      </c>
      <c r="L507">
        <f>IF(B507="","",IFERROR(VALUE(TEXT(B507,"[$-1170401]yyyy")),""))</f>
        <v/>
      </c>
      <c r="M507">
        <f>IF(B507="","",IFERROR(VALUE(TEXT(B507,"[$-1170401]mm")),""))</f>
        <v/>
      </c>
    </row>
    <row r="508">
      <c r="B508" s="30" t="n"/>
      <c r="G508" s="9">
        <f>IF(AND(E508&lt;&gt;"",E508&lt;&gt;0,H508&lt;&gt;""),H508/E508,"")</f>
        <v/>
      </c>
      <c r="L508">
        <f>IF(B508="","",IFERROR(VALUE(TEXT(B508,"[$-1170401]yyyy")),""))</f>
        <v/>
      </c>
      <c r="M508">
        <f>IF(B508="","",IFERROR(VALUE(TEXT(B508,"[$-1170401]mm")),""))</f>
        <v/>
      </c>
    </row>
    <row r="509">
      <c r="B509" s="30" t="n"/>
      <c r="G509" s="9">
        <f>IF(AND(E509&lt;&gt;"",E509&lt;&gt;0,H509&lt;&gt;""),H509/E509,"")</f>
        <v/>
      </c>
      <c r="L509">
        <f>IF(B509="","",IFERROR(VALUE(TEXT(B509,"[$-1170401]yyyy")),""))</f>
        <v/>
      </c>
      <c r="M509">
        <f>IF(B509="","",IFERROR(VALUE(TEXT(B509,"[$-1170401]mm")),""))</f>
        <v/>
      </c>
    </row>
    <row r="510">
      <c r="B510" s="30" t="n"/>
      <c r="G510" s="9">
        <f>IF(AND(E510&lt;&gt;"",E510&lt;&gt;0,H510&lt;&gt;""),H510/E510,"")</f>
        <v/>
      </c>
      <c r="L510">
        <f>IF(B510="","",IFERROR(VALUE(TEXT(B510,"[$-1170401]yyyy")),""))</f>
        <v/>
      </c>
      <c r="M510">
        <f>IF(B510="","",IFERROR(VALUE(TEXT(B510,"[$-1170401]mm")),""))</f>
        <v/>
      </c>
    </row>
    <row r="511">
      <c r="B511" s="30" t="n"/>
      <c r="G511" s="9">
        <f>IF(AND(E511&lt;&gt;"",E511&lt;&gt;0,H511&lt;&gt;""),H511/E511,"")</f>
        <v/>
      </c>
      <c r="L511">
        <f>IF(B511="","",IFERROR(VALUE(TEXT(B511,"[$-1170401]yyyy")),""))</f>
        <v/>
      </c>
      <c r="M511">
        <f>IF(B511="","",IFERROR(VALUE(TEXT(B511,"[$-1170401]mm")),""))</f>
        <v/>
      </c>
    </row>
    <row r="512">
      <c r="B512" s="30" t="n"/>
      <c r="G512" s="9">
        <f>IF(AND(E512&lt;&gt;"",E512&lt;&gt;0,H512&lt;&gt;""),H512/E512,"")</f>
        <v/>
      </c>
      <c r="L512">
        <f>IF(B512="","",IFERROR(VALUE(TEXT(B512,"[$-1170401]yyyy")),""))</f>
        <v/>
      </c>
      <c r="M512">
        <f>IF(B512="","",IFERROR(VALUE(TEXT(B512,"[$-1170401]mm")),""))</f>
        <v/>
      </c>
    </row>
    <row r="513">
      <c r="B513" s="30" t="n"/>
      <c r="G513" s="9">
        <f>IF(AND(E513&lt;&gt;"",E513&lt;&gt;0,H513&lt;&gt;""),H513/E513,"")</f>
        <v/>
      </c>
      <c r="L513">
        <f>IF(B513="","",IFERROR(VALUE(TEXT(B513,"[$-1170401]yyyy")),""))</f>
        <v/>
      </c>
      <c r="M513">
        <f>IF(B513="","",IFERROR(VALUE(TEXT(B513,"[$-1170401]mm")),""))</f>
        <v/>
      </c>
    </row>
    <row r="514">
      <c r="B514" s="30" t="n"/>
      <c r="G514" s="9">
        <f>IF(AND(E514&lt;&gt;"",E514&lt;&gt;0,H514&lt;&gt;""),H514/E514,"")</f>
        <v/>
      </c>
      <c r="L514">
        <f>IF(B514="","",IFERROR(VALUE(TEXT(B514,"[$-1170401]yyyy")),""))</f>
        <v/>
      </c>
      <c r="M514">
        <f>IF(B514="","",IFERROR(VALUE(TEXT(B514,"[$-1170401]mm")),""))</f>
        <v/>
      </c>
    </row>
    <row r="515">
      <c r="B515" s="30" t="n"/>
      <c r="G515" s="9">
        <f>IF(AND(E515&lt;&gt;"",E515&lt;&gt;0,H515&lt;&gt;""),H515/E515,"")</f>
        <v/>
      </c>
      <c r="L515">
        <f>IF(B515="","",IFERROR(VALUE(TEXT(B515,"[$-1170401]yyyy")),""))</f>
        <v/>
      </c>
      <c r="M515">
        <f>IF(B515="","",IFERROR(VALUE(TEXT(B515,"[$-1170401]mm")),""))</f>
        <v/>
      </c>
    </row>
    <row r="516">
      <c r="B516" s="30" t="n"/>
      <c r="G516" s="9">
        <f>IF(AND(E516&lt;&gt;"",E516&lt;&gt;0,H516&lt;&gt;""),H516/E516,"")</f>
        <v/>
      </c>
      <c r="L516">
        <f>IF(B516="","",IFERROR(VALUE(TEXT(B516,"[$-1170401]yyyy")),""))</f>
        <v/>
      </c>
      <c r="M516">
        <f>IF(B516="","",IFERROR(VALUE(TEXT(B516,"[$-1170401]mm")),""))</f>
        <v/>
      </c>
    </row>
    <row r="517">
      <c r="B517" s="30" t="n"/>
      <c r="G517" s="9">
        <f>IF(AND(E517&lt;&gt;"",E517&lt;&gt;0,H517&lt;&gt;""),H517/E517,"")</f>
        <v/>
      </c>
      <c r="L517">
        <f>IF(B517="","",IFERROR(VALUE(TEXT(B517,"[$-1170401]yyyy")),""))</f>
        <v/>
      </c>
      <c r="M517">
        <f>IF(B517="","",IFERROR(VALUE(TEXT(B517,"[$-1170401]mm")),""))</f>
        <v/>
      </c>
    </row>
    <row r="518">
      <c r="B518" s="30" t="n"/>
      <c r="G518" s="9">
        <f>IF(AND(E518&lt;&gt;"",E518&lt;&gt;0,H518&lt;&gt;""),H518/E518,"")</f>
        <v/>
      </c>
      <c r="L518">
        <f>IF(B518="","",IFERROR(VALUE(TEXT(B518,"[$-1170401]yyyy")),""))</f>
        <v/>
      </c>
      <c r="M518">
        <f>IF(B518="","",IFERROR(VALUE(TEXT(B518,"[$-1170401]mm")),""))</f>
        <v/>
      </c>
    </row>
    <row r="519">
      <c r="B519" s="30" t="n"/>
      <c r="G519" s="9">
        <f>IF(AND(E519&lt;&gt;"",E519&lt;&gt;0,H519&lt;&gt;""),H519/E519,"")</f>
        <v/>
      </c>
      <c r="L519">
        <f>IF(B519="","",IFERROR(VALUE(TEXT(B519,"[$-1170401]yyyy")),""))</f>
        <v/>
      </c>
      <c r="M519">
        <f>IF(B519="","",IFERROR(VALUE(TEXT(B519,"[$-1170401]mm")),""))</f>
        <v/>
      </c>
    </row>
    <row r="520">
      <c r="B520" s="30" t="n"/>
      <c r="G520" s="9">
        <f>IF(AND(E520&lt;&gt;"",E520&lt;&gt;0,H520&lt;&gt;""),H520/E520,"")</f>
        <v/>
      </c>
      <c r="L520">
        <f>IF(B520="","",IFERROR(VALUE(TEXT(B520,"[$-1170401]yyyy")),""))</f>
        <v/>
      </c>
      <c r="M520">
        <f>IF(B520="","",IFERROR(VALUE(TEXT(B520,"[$-1170401]mm")),""))</f>
        <v/>
      </c>
    </row>
    <row r="521">
      <c r="B521" s="30" t="n"/>
      <c r="G521" s="9">
        <f>IF(AND(E521&lt;&gt;"",E521&lt;&gt;0,H521&lt;&gt;""),H521/E521,"")</f>
        <v/>
      </c>
      <c r="L521">
        <f>IF(B521="","",IFERROR(VALUE(TEXT(B521,"[$-1170401]yyyy")),""))</f>
        <v/>
      </c>
      <c r="M521">
        <f>IF(B521="","",IFERROR(VALUE(TEXT(B521,"[$-1170401]mm")),""))</f>
        <v/>
      </c>
    </row>
    <row r="522">
      <c r="B522" s="30" t="n"/>
      <c r="G522" s="9">
        <f>IF(AND(E522&lt;&gt;"",E522&lt;&gt;0,H522&lt;&gt;""),H522/E522,"")</f>
        <v/>
      </c>
      <c r="L522">
        <f>IF(B522="","",IFERROR(VALUE(TEXT(B522,"[$-1170401]yyyy")),""))</f>
        <v/>
      </c>
      <c r="M522">
        <f>IF(B522="","",IFERROR(VALUE(TEXT(B522,"[$-1170401]mm")),""))</f>
        <v/>
      </c>
    </row>
    <row r="523">
      <c r="B523" s="30" t="n"/>
      <c r="G523" s="9">
        <f>IF(AND(E523&lt;&gt;"",E523&lt;&gt;0,H523&lt;&gt;""),H523/E523,"")</f>
        <v/>
      </c>
      <c r="L523">
        <f>IF(B523="","",IFERROR(VALUE(TEXT(B523,"[$-1170401]yyyy")),""))</f>
        <v/>
      </c>
      <c r="M523">
        <f>IF(B523="","",IFERROR(VALUE(TEXT(B523,"[$-1170401]mm")),""))</f>
        <v/>
      </c>
    </row>
    <row r="524">
      <c r="B524" s="30" t="n"/>
      <c r="G524" s="9">
        <f>IF(AND(E524&lt;&gt;"",E524&lt;&gt;0,H524&lt;&gt;""),H524/E524,"")</f>
        <v/>
      </c>
      <c r="L524">
        <f>IF(B524="","",IFERROR(VALUE(TEXT(B524,"[$-1170401]yyyy")),""))</f>
        <v/>
      </c>
      <c r="M524">
        <f>IF(B524="","",IFERROR(VALUE(TEXT(B524,"[$-1170401]mm")),""))</f>
        <v/>
      </c>
    </row>
    <row r="525">
      <c r="B525" s="30" t="n"/>
      <c r="G525" s="9">
        <f>IF(AND(E525&lt;&gt;"",E525&lt;&gt;0,H525&lt;&gt;""),H525/E525,"")</f>
        <v/>
      </c>
      <c r="L525">
        <f>IF(B525="","",IFERROR(VALUE(TEXT(B525,"[$-1170401]yyyy")),""))</f>
        <v/>
      </c>
      <c r="M525">
        <f>IF(B525="","",IFERROR(VALUE(TEXT(B525,"[$-1170401]mm")),""))</f>
        <v/>
      </c>
    </row>
    <row r="526">
      <c r="B526" s="30" t="n"/>
      <c r="G526" s="9">
        <f>IF(AND(E526&lt;&gt;"",E526&lt;&gt;0,H526&lt;&gt;""),H526/E526,"")</f>
        <v/>
      </c>
      <c r="L526">
        <f>IF(B526="","",IFERROR(VALUE(TEXT(B526,"[$-1170401]yyyy")),""))</f>
        <v/>
      </c>
      <c r="M526">
        <f>IF(B526="","",IFERROR(VALUE(TEXT(B526,"[$-1170401]mm")),""))</f>
        <v/>
      </c>
    </row>
    <row r="527">
      <c r="B527" s="30" t="n"/>
      <c r="G527" s="9">
        <f>IF(AND(E527&lt;&gt;"",E527&lt;&gt;0,H527&lt;&gt;""),H527/E527,"")</f>
        <v/>
      </c>
      <c r="L527">
        <f>IF(B527="","",IFERROR(VALUE(TEXT(B527,"[$-1170401]yyyy")),""))</f>
        <v/>
      </c>
      <c r="M527">
        <f>IF(B527="","",IFERROR(VALUE(TEXT(B527,"[$-1170401]mm")),""))</f>
        <v/>
      </c>
    </row>
    <row r="528">
      <c r="B528" s="30" t="n"/>
      <c r="G528" s="9">
        <f>IF(AND(E528&lt;&gt;"",E528&lt;&gt;0,H528&lt;&gt;""),H528/E528,"")</f>
        <v/>
      </c>
      <c r="L528">
        <f>IF(B528="","",IFERROR(VALUE(TEXT(B528,"[$-1170401]yyyy")),""))</f>
        <v/>
      </c>
      <c r="M528">
        <f>IF(B528="","",IFERROR(VALUE(TEXT(B528,"[$-1170401]mm")),""))</f>
        <v/>
      </c>
    </row>
    <row r="529">
      <c r="B529" s="30" t="n"/>
      <c r="G529" s="9">
        <f>IF(AND(E529&lt;&gt;"",E529&lt;&gt;0,H529&lt;&gt;""),H529/E529,"")</f>
        <v/>
      </c>
      <c r="L529">
        <f>IF(B529="","",IFERROR(VALUE(TEXT(B529,"[$-1170401]yyyy")),""))</f>
        <v/>
      </c>
      <c r="M529">
        <f>IF(B529="","",IFERROR(VALUE(TEXT(B529,"[$-1170401]mm")),""))</f>
        <v/>
      </c>
    </row>
    <row r="530">
      <c r="B530" s="30" t="n"/>
      <c r="G530" s="9">
        <f>IF(AND(E530&lt;&gt;"",E530&lt;&gt;0,H530&lt;&gt;""),H530/E530,"")</f>
        <v/>
      </c>
      <c r="L530">
        <f>IF(B530="","",IFERROR(VALUE(TEXT(B530,"[$-1170401]yyyy")),""))</f>
        <v/>
      </c>
      <c r="M530">
        <f>IF(B530="","",IFERROR(VALUE(TEXT(B530,"[$-1170401]mm")),""))</f>
        <v/>
      </c>
    </row>
    <row r="531">
      <c r="B531" s="30" t="n"/>
      <c r="G531" s="9">
        <f>IF(AND(E531&lt;&gt;"",E531&lt;&gt;0,H531&lt;&gt;""),H531/E531,"")</f>
        <v/>
      </c>
      <c r="L531">
        <f>IF(B531="","",IFERROR(VALUE(TEXT(B531,"[$-1170401]yyyy")),""))</f>
        <v/>
      </c>
      <c r="M531">
        <f>IF(B531="","",IFERROR(VALUE(TEXT(B531,"[$-1170401]mm")),""))</f>
        <v/>
      </c>
    </row>
    <row r="532">
      <c r="B532" s="30" t="n"/>
      <c r="G532" s="9">
        <f>IF(AND(E532&lt;&gt;"",E532&lt;&gt;0,H532&lt;&gt;""),H532/E532,"")</f>
        <v/>
      </c>
      <c r="L532">
        <f>IF(B532="","",IFERROR(VALUE(TEXT(B532,"[$-1170401]yyyy")),""))</f>
        <v/>
      </c>
      <c r="M532">
        <f>IF(B532="","",IFERROR(VALUE(TEXT(B532,"[$-1170401]mm")),""))</f>
        <v/>
      </c>
    </row>
    <row r="533">
      <c r="B533" s="30" t="n"/>
      <c r="G533" s="9">
        <f>IF(AND(E533&lt;&gt;"",E533&lt;&gt;0,H533&lt;&gt;""),H533/E533,"")</f>
        <v/>
      </c>
      <c r="L533">
        <f>IF(B533="","",IFERROR(VALUE(TEXT(B533,"[$-1170401]yyyy")),""))</f>
        <v/>
      </c>
      <c r="M533">
        <f>IF(B533="","",IFERROR(VALUE(TEXT(B533,"[$-1170401]mm")),""))</f>
        <v/>
      </c>
    </row>
    <row r="534">
      <c r="B534" s="30" t="n"/>
      <c r="G534" s="9">
        <f>IF(AND(E534&lt;&gt;"",E534&lt;&gt;0,H534&lt;&gt;""),H534/E534,"")</f>
        <v/>
      </c>
      <c r="L534">
        <f>IF(B534="","",IFERROR(VALUE(TEXT(B534,"[$-1170401]yyyy")),""))</f>
        <v/>
      </c>
      <c r="M534">
        <f>IF(B534="","",IFERROR(VALUE(TEXT(B534,"[$-1170401]mm")),""))</f>
        <v/>
      </c>
    </row>
    <row r="535">
      <c r="B535" s="30" t="n"/>
      <c r="G535" s="9">
        <f>IF(AND(E535&lt;&gt;"",E535&lt;&gt;0,H535&lt;&gt;""),H535/E535,"")</f>
        <v/>
      </c>
      <c r="L535">
        <f>IF(B535="","",IFERROR(VALUE(TEXT(B535,"[$-1170401]yyyy")),""))</f>
        <v/>
      </c>
      <c r="M535">
        <f>IF(B535="","",IFERROR(VALUE(TEXT(B535,"[$-1170401]mm")),""))</f>
        <v/>
      </c>
    </row>
    <row r="536">
      <c r="B536" s="30" t="n"/>
      <c r="G536" s="9">
        <f>IF(AND(E536&lt;&gt;"",E536&lt;&gt;0,H536&lt;&gt;""),H536/E536,"")</f>
        <v/>
      </c>
      <c r="L536">
        <f>IF(B536="","",IFERROR(VALUE(TEXT(B536,"[$-1170401]yyyy")),""))</f>
        <v/>
      </c>
      <c r="M536">
        <f>IF(B536="","",IFERROR(VALUE(TEXT(B536,"[$-1170401]mm")),""))</f>
        <v/>
      </c>
    </row>
    <row r="537">
      <c r="B537" s="30" t="n"/>
      <c r="G537" s="9">
        <f>IF(AND(E537&lt;&gt;"",E537&lt;&gt;0,H537&lt;&gt;""),H537/E537,"")</f>
        <v/>
      </c>
      <c r="L537">
        <f>IF(B537="","",IFERROR(VALUE(TEXT(B537,"[$-1170401]yyyy")),""))</f>
        <v/>
      </c>
      <c r="M537">
        <f>IF(B537="","",IFERROR(VALUE(TEXT(B537,"[$-1170401]mm")),""))</f>
        <v/>
      </c>
    </row>
    <row r="538">
      <c r="B538" s="30" t="n"/>
      <c r="G538" s="9">
        <f>IF(AND(E538&lt;&gt;"",E538&lt;&gt;0,H538&lt;&gt;""),H538/E538,"")</f>
        <v/>
      </c>
      <c r="L538">
        <f>IF(B538="","",IFERROR(VALUE(TEXT(B538,"[$-1170401]yyyy")),""))</f>
        <v/>
      </c>
      <c r="M538">
        <f>IF(B538="","",IFERROR(VALUE(TEXT(B538,"[$-1170401]mm")),""))</f>
        <v/>
      </c>
    </row>
    <row r="539">
      <c r="B539" s="30" t="n"/>
      <c r="G539" s="9">
        <f>IF(AND(E539&lt;&gt;"",E539&lt;&gt;0,H539&lt;&gt;""),H539/E539,"")</f>
        <v/>
      </c>
      <c r="L539">
        <f>IF(B539="","",IFERROR(VALUE(TEXT(B539,"[$-1170401]yyyy")),""))</f>
        <v/>
      </c>
      <c r="M539">
        <f>IF(B539="","",IFERROR(VALUE(TEXT(B539,"[$-1170401]mm")),""))</f>
        <v/>
      </c>
    </row>
    <row r="540">
      <c r="B540" s="30" t="n"/>
      <c r="G540" s="9">
        <f>IF(AND(E540&lt;&gt;"",E540&lt;&gt;0,H540&lt;&gt;""),H540/E540,"")</f>
        <v/>
      </c>
      <c r="L540">
        <f>IF(B540="","",IFERROR(VALUE(TEXT(B540,"[$-1170401]yyyy")),""))</f>
        <v/>
      </c>
      <c r="M540">
        <f>IF(B540="","",IFERROR(VALUE(TEXT(B540,"[$-1170401]mm")),""))</f>
        <v/>
      </c>
    </row>
    <row r="541">
      <c r="B541" s="30" t="n"/>
      <c r="G541" s="9">
        <f>IF(AND(E541&lt;&gt;"",E541&lt;&gt;0,H541&lt;&gt;""),H541/E541,"")</f>
        <v/>
      </c>
      <c r="L541">
        <f>IF(B541="","",IFERROR(VALUE(TEXT(B541,"[$-1170401]yyyy")),""))</f>
        <v/>
      </c>
      <c r="M541">
        <f>IF(B541="","",IFERROR(VALUE(TEXT(B541,"[$-1170401]mm")),""))</f>
        <v/>
      </c>
    </row>
    <row r="542">
      <c r="B542" s="30" t="n"/>
      <c r="G542" s="9">
        <f>IF(AND(E542&lt;&gt;"",E542&lt;&gt;0,H542&lt;&gt;""),H542/E542,"")</f>
        <v/>
      </c>
      <c r="L542">
        <f>IF(B542="","",IFERROR(VALUE(TEXT(B542,"[$-1170401]yyyy")),""))</f>
        <v/>
      </c>
      <c r="M542">
        <f>IF(B542="","",IFERROR(VALUE(TEXT(B542,"[$-1170401]mm")),""))</f>
        <v/>
      </c>
    </row>
    <row r="543">
      <c r="B543" s="30" t="n"/>
      <c r="G543" s="9">
        <f>IF(AND(E543&lt;&gt;"",E543&lt;&gt;0,H543&lt;&gt;""),H543/E543,"")</f>
        <v/>
      </c>
      <c r="L543">
        <f>IF(B543="","",IFERROR(VALUE(TEXT(B543,"[$-1170401]yyyy")),""))</f>
        <v/>
      </c>
      <c r="M543">
        <f>IF(B543="","",IFERROR(VALUE(TEXT(B543,"[$-1170401]mm")),""))</f>
        <v/>
      </c>
    </row>
    <row r="544">
      <c r="B544" s="30" t="n"/>
      <c r="G544" s="9">
        <f>IF(AND(E544&lt;&gt;"",E544&lt;&gt;0,H544&lt;&gt;""),H544/E544,"")</f>
        <v/>
      </c>
      <c r="L544">
        <f>IF(B544="","",IFERROR(VALUE(TEXT(B544,"[$-1170401]yyyy")),""))</f>
        <v/>
      </c>
      <c r="M544">
        <f>IF(B544="","",IFERROR(VALUE(TEXT(B544,"[$-1170401]mm")),""))</f>
        <v/>
      </c>
    </row>
    <row r="545">
      <c r="B545" s="30" t="n"/>
      <c r="G545" s="9">
        <f>IF(AND(E545&lt;&gt;"",E545&lt;&gt;0,H545&lt;&gt;""),H545/E545,"")</f>
        <v/>
      </c>
      <c r="L545">
        <f>IF(B545="","",IFERROR(VALUE(TEXT(B545,"[$-1170401]yyyy")),""))</f>
        <v/>
      </c>
      <c r="M545">
        <f>IF(B545="","",IFERROR(VALUE(TEXT(B545,"[$-1170401]mm")),""))</f>
        <v/>
      </c>
    </row>
    <row r="546">
      <c r="B546" s="30" t="n"/>
      <c r="G546" s="9">
        <f>IF(AND(E546&lt;&gt;"",E546&lt;&gt;0,H546&lt;&gt;""),H546/E546,"")</f>
        <v/>
      </c>
      <c r="L546">
        <f>IF(B546="","",IFERROR(VALUE(TEXT(B546,"[$-1170401]yyyy")),""))</f>
        <v/>
      </c>
      <c r="M546">
        <f>IF(B546="","",IFERROR(VALUE(TEXT(B546,"[$-1170401]mm")),""))</f>
        <v/>
      </c>
    </row>
    <row r="547">
      <c r="B547" s="30" t="n"/>
      <c r="G547" s="9">
        <f>IF(AND(E547&lt;&gt;"",E547&lt;&gt;0,H547&lt;&gt;""),H547/E547,"")</f>
        <v/>
      </c>
      <c r="L547">
        <f>IF(B547="","",IFERROR(VALUE(TEXT(B547,"[$-1170401]yyyy")),""))</f>
        <v/>
      </c>
      <c r="M547">
        <f>IF(B547="","",IFERROR(VALUE(TEXT(B547,"[$-1170401]mm")),""))</f>
        <v/>
      </c>
    </row>
    <row r="548">
      <c r="B548" s="30" t="n"/>
      <c r="G548" s="9">
        <f>IF(AND(E548&lt;&gt;"",E548&lt;&gt;0,H548&lt;&gt;""),H548/E548,"")</f>
        <v/>
      </c>
      <c r="L548">
        <f>IF(B548="","",IFERROR(VALUE(TEXT(B548,"[$-1170401]yyyy")),""))</f>
        <v/>
      </c>
      <c r="M548">
        <f>IF(B548="","",IFERROR(VALUE(TEXT(B548,"[$-1170401]mm")),""))</f>
        <v/>
      </c>
    </row>
    <row r="549">
      <c r="B549" s="30" t="n"/>
      <c r="G549" s="9">
        <f>IF(AND(E549&lt;&gt;"",E549&lt;&gt;0,H549&lt;&gt;""),H549/E549,"")</f>
        <v/>
      </c>
      <c r="L549">
        <f>IF(B549="","",IFERROR(VALUE(TEXT(B549,"[$-1170401]yyyy")),""))</f>
        <v/>
      </c>
      <c r="M549">
        <f>IF(B549="","",IFERROR(VALUE(TEXT(B549,"[$-1170401]mm")),""))</f>
        <v/>
      </c>
    </row>
    <row r="550">
      <c r="B550" s="30" t="n"/>
      <c r="G550" s="9">
        <f>IF(AND(E550&lt;&gt;"",E550&lt;&gt;0,H550&lt;&gt;""),H550/E550,"")</f>
        <v/>
      </c>
      <c r="L550">
        <f>IF(B550="","",IFERROR(VALUE(TEXT(B550,"[$-1170401]yyyy")),""))</f>
        <v/>
      </c>
      <c r="M550">
        <f>IF(B550="","",IFERROR(VALUE(TEXT(B550,"[$-1170401]mm")),""))</f>
        <v/>
      </c>
    </row>
    <row r="551">
      <c r="B551" s="30" t="n"/>
      <c r="G551" s="9">
        <f>IF(AND(E551&lt;&gt;"",E551&lt;&gt;0,H551&lt;&gt;""),H551/E551,"")</f>
        <v/>
      </c>
      <c r="L551">
        <f>IF(B551="","",IFERROR(VALUE(TEXT(B551,"[$-1170401]yyyy")),""))</f>
        <v/>
      </c>
      <c r="M551">
        <f>IF(B551="","",IFERROR(VALUE(TEXT(B551,"[$-1170401]mm")),""))</f>
        <v/>
      </c>
    </row>
    <row r="552">
      <c r="B552" s="30" t="n"/>
      <c r="G552" s="9">
        <f>IF(AND(E552&lt;&gt;"",E552&lt;&gt;0,H552&lt;&gt;""),H552/E552,"")</f>
        <v/>
      </c>
      <c r="L552">
        <f>IF(B552="","",IFERROR(VALUE(TEXT(B552,"[$-1170401]yyyy")),""))</f>
        <v/>
      </c>
      <c r="M552">
        <f>IF(B552="","",IFERROR(VALUE(TEXT(B552,"[$-1170401]mm")),""))</f>
        <v/>
      </c>
    </row>
    <row r="553">
      <c r="B553" s="30" t="n"/>
      <c r="G553" s="9">
        <f>IF(AND(E553&lt;&gt;"",E553&lt;&gt;0,H553&lt;&gt;""),H553/E553,"")</f>
        <v/>
      </c>
      <c r="L553">
        <f>IF(B553="","",IFERROR(VALUE(TEXT(B553,"[$-1170401]yyyy")),""))</f>
        <v/>
      </c>
      <c r="M553">
        <f>IF(B553="","",IFERROR(VALUE(TEXT(B553,"[$-1170401]mm")),""))</f>
        <v/>
      </c>
    </row>
    <row r="554">
      <c r="B554" s="30" t="n"/>
      <c r="G554" s="9">
        <f>IF(AND(E554&lt;&gt;"",E554&lt;&gt;0,H554&lt;&gt;""),H554/E554,"")</f>
        <v/>
      </c>
      <c r="L554">
        <f>IF(B554="","",IFERROR(VALUE(TEXT(B554,"[$-1170401]yyyy")),""))</f>
        <v/>
      </c>
      <c r="M554">
        <f>IF(B554="","",IFERROR(VALUE(TEXT(B554,"[$-1170401]mm")),""))</f>
        <v/>
      </c>
    </row>
    <row r="555">
      <c r="B555" s="30" t="n"/>
      <c r="G555" s="9">
        <f>IF(AND(E555&lt;&gt;"",E555&lt;&gt;0,H555&lt;&gt;""),H555/E555,"")</f>
        <v/>
      </c>
      <c r="L555">
        <f>IF(B555="","",IFERROR(VALUE(TEXT(B555,"[$-1170401]yyyy")),""))</f>
        <v/>
      </c>
      <c r="M555">
        <f>IF(B555="","",IFERROR(VALUE(TEXT(B555,"[$-1170401]mm")),""))</f>
        <v/>
      </c>
    </row>
    <row r="556">
      <c r="B556" s="30" t="n"/>
      <c r="G556" s="9">
        <f>IF(AND(E556&lt;&gt;"",E556&lt;&gt;0,H556&lt;&gt;""),H556/E556,"")</f>
        <v/>
      </c>
      <c r="L556">
        <f>IF(B556="","",IFERROR(VALUE(TEXT(B556,"[$-1170401]yyyy")),""))</f>
        <v/>
      </c>
      <c r="M556">
        <f>IF(B556="","",IFERROR(VALUE(TEXT(B556,"[$-1170401]mm")),""))</f>
        <v/>
      </c>
    </row>
    <row r="557">
      <c r="B557" s="30" t="n"/>
      <c r="G557" s="9">
        <f>IF(AND(E557&lt;&gt;"",E557&lt;&gt;0,H557&lt;&gt;""),H557/E557,"")</f>
        <v/>
      </c>
      <c r="L557">
        <f>IF(B557="","",IFERROR(VALUE(TEXT(B557,"[$-1170401]yyyy")),""))</f>
        <v/>
      </c>
      <c r="M557">
        <f>IF(B557="","",IFERROR(VALUE(TEXT(B557,"[$-1170401]mm")),""))</f>
        <v/>
      </c>
    </row>
    <row r="558">
      <c r="B558" s="30" t="n"/>
      <c r="G558" s="9">
        <f>IF(AND(E558&lt;&gt;"",E558&lt;&gt;0,H558&lt;&gt;""),H558/E558,"")</f>
        <v/>
      </c>
      <c r="L558">
        <f>IF(B558="","",IFERROR(VALUE(TEXT(B558,"[$-1170401]yyyy")),""))</f>
        <v/>
      </c>
      <c r="M558">
        <f>IF(B558="","",IFERROR(VALUE(TEXT(B558,"[$-1170401]mm")),""))</f>
        <v/>
      </c>
    </row>
    <row r="559">
      <c r="B559" s="30" t="n"/>
      <c r="G559" s="9">
        <f>IF(AND(E559&lt;&gt;"",E559&lt;&gt;0,H559&lt;&gt;""),H559/E559,"")</f>
        <v/>
      </c>
      <c r="L559">
        <f>IF(B559="","",IFERROR(VALUE(TEXT(B559,"[$-1170401]yyyy")),""))</f>
        <v/>
      </c>
      <c r="M559">
        <f>IF(B559="","",IFERROR(VALUE(TEXT(B559,"[$-1170401]mm")),""))</f>
        <v/>
      </c>
    </row>
    <row r="560">
      <c r="B560" s="30" t="n"/>
      <c r="G560" s="9">
        <f>IF(AND(E560&lt;&gt;"",E560&lt;&gt;0,H560&lt;&gt;""),H560/E560,"")</f>
        <v/>
      </c>
      <c r="L560">
        <f>IF(B560="","",IFERROR(VALUE(TEXT(B560,"[$-1170401]yyyy")),""))</f>
        <v/>
      </c>
      <c r="M560">
        <f>IF(B560="","",IFERROR(VALUE(TEXT(B560,"[$-1170401]mm")),""))</f>
        <v/>
      </c>
    </row>
    <row r="561">
      <c r="B561" s="30" t="n"/>
      <c r="G561" s="9">
        <f>IF(AND(E561&lt;&gt;"",E561&lt;&gt;0,H561&lt;&gt;""),H561/E561,"")</f>
        <v/>
      </c>
      <c r="L561">
        <f>IF(B561="","",IFERROR(VALUE(TEXT(B561,"[$-1170401]yyyy")),""))</f>
        <v/>
      </c>
      <c r="M561">
        <f>IF(B561="","",IFERROR(VALUE(TEXT(B561,"[$-1170401]mm")),""))</f>
        <v/>
      </c>
    </row>
    <row r="562">
      <c r="B562" s="30" t="n"/>
      <c r="G562" s="9">
        <f>IF(AND(E562&lt;&gt;"",E562&lt;&gt;0,H562&lt;&gt;""),H562/E562,"")</f>
        <v/>
      </c>
      <c r="L562">
        <f>IF(B562="","",IFERROR(VALUE(TEXT(B562,"[$-1170401]yyyy")),""))</f>
        <v/>
      </c>
      <c r="M562">
        <f>IF(B562="","",IFERROR(VALUE(TEXT(B562,"[$-1170401]mm")),""))</f>
        <v/>
      </c>
    </row>
    <row r="563">
      <c r="B563" s="30" t="n"/>
      <c r="G563" s="9">
        <f>IF(AND(E563&lt;&gt;"",E563&lt;&gt;0,H563&lt;&gt;""),H563/E563,"")</f>
        <v/>
      </c>
      <c r="L563">
        <f>IF(B563="","",IFERROR(VALUE(TEXT(B563,"[$-1170401]yyyy")),""))</f>
        <v/>
      </c>
      <c r="M563">
        <f>IF(B563="","",IFERROR(VALUE(TEXT(B563,"[$-1170401]mm")),""))</f>
        <v/>
      </c>
    </row>
    <row r="564">
      <c r="B564" s="30" t="n"/>
      <c r="G564" s="9">
        <f>IF(AND(E564&lt;&gt;"",E564&lt;&gt;0,H564&lt;&gt;""),H564/E564,"")</f>
        <v/>
      </c>
      <c r="L564">
        <f>IF(B564="","",IFERROR(VALUE(TEXT(B564,"[$-1170401]yyyy")),""))</f>
        <v/>
      </c>
      <c r="M564">
        <f>IF(B564="","",IFERROR(VALUE(TEXT(B564,"[$-1170401]mm")),""))</f>
        <v/>
      </c>
    </row>
    <row r="565">
      <c r="B565" s="30" t="n"/>
      <c r="G565" s="9">
        <f>IF(AND(E565&lt;&gt;"",E565&lt;&gt;0,H565&lt;&gt;""),H565/E565,"")</f>
        <v/>
      </c>
      <c r="L565">
        <f>IF(B565="","",IFERROR(VALUE(TEXT(B565,"[$-1170401]yyyy")),""))</f>
        <v/>
      </c>
      <c r="M565">
        <f>IF(B565="","",IFERROR(VALUE(TEXT(B565,"[$-1170401]mm")),""))</f>
        <v/>
      </c>
    </row>
    <row r="566">
      <c r="B566" s="30" t="n"/>
      <c r="G566" s="9">
        <f>IF(AND(E566&lt;&gt;"",E566&lt;&gt;0,H566&lt;&gt;""),H566/E566,"")</f>
        <v/>
      </c>
      <c r="L566">
        <f>IF(B566="","",IFERROR(VALUE(TEXT(B566,"[$-1170401]yyyy")),""))</f>
        <v/>
      </c>
      <c r="M566">
        <f>IF(B566="","",IFERROR(VALUE(TEXT(B566,"[$-1170401]mm")),""))</f>
        <v/>
      </c>
    </row>
    <row r="567">
      <c r="B567" s="30" t="n"/>
      <c r="G567" s="9">
        <f>IF(AND(E567&lt;&gt;"",E567&lt;&gt;0,H567&lt;&gt;""),H567/E567,"")</f>
        <v/>
      </c>
      <c r="L567">
        <f>IF(B567="","",IFERROR(VALUE(TEXT(B567,"[$-1170401]yyyy")),""))</f>
        <v/>
      </c>
      <c r="M567">
        <f>IF(B567="","",IFERROR(VALUE(TEXT(B567,"[$-1170401]mm")),""))</f>
        <v/>
      </c>
    </row>
    <row r="568">
      <c r="B568" s="30" t="n"/>
      <c r="G568" s="9">
        <f>IF(AND(E568&lt;&gt;"",E568&lt;&gt;0,H568&lt;&gt;""),H568/E568,"")</f>
        <v/>
      </c>
      <c r="L568">
        <f>IF(B568="","",IFERROR(VALUE(TEXT(B568,"[$-1170401]yyyy")),""))</f>
        <v/>
      </c>
      <c r="M568">
        <f>IF(B568="","",IFERROR(VALUE(TEXT(B568,"[$-1170401]mm")),""))</f>
        <v/>
      </c>
    </row>
    <row r="569">
      <c r="B569" s="30" t="n"/>
      <c r="G569" s="9">
        <f>IF(AND(E569&lt;&gt;"",E569&lt;&gt;0,H569&lt;&gt;""),H569/E569,"")</f>
        <v/>
      </c>
      <c r="L569">
        <f>IF(B569="","",IFERROR(VALUE(TEXT(B569,"[$-1170401]yyyy")),""))</f>
        <v/>
      </c>
      <c r="M569">
        <f>IF(B569="","",IFERROR(VALUE(TEXT(B569,"[$-1170401]mm")),""))</f>
        <v/>
      </c>
    </row>
    <row r="570">
      <c r="B570" s="30" t="n"/>
      <c r="G570" s="9">
        <f>IF(AND(E570&lt;&gt;"",E570&lt;&gt;0,H570&lt;&gt;""),H570/E570,"")</f>
        <v/>
      </c>
      <c r="L570">
        <f>IF(B570="","",IFERROR(VALUE(TEXT(B570,"[$-1170401]yyyy")),""))</f>
        <v/>
      </c>
      <c r="M570">
        <f>IF(B570="","",IFERROR(VALUE(TEXT(B570,"[$-1170401]mm")),""))</f>
        <v/>
      </c>
    </row>
    <row r="571">
      <c r="B571" s="30" t="n"/>
      <c r="G571" s="9">
        <f>IF(AND(E571&lt;&gt;"",E571&lt;&gt;0,H571&lt;&gt;""),H571/E571,"")</f>
        <v/>
      </c>
      <c r="L571">
        <f>IF(B571="","",IFERROR(VALUE(TEXT(B571,"[$-1170401]yyyy")),""))</f>
        <v/>
      </c>
      <c r="M571">
        <f>IF(B571="","",IFERROR(VALUE(TEXT(B571,"[$-1170401]mm")),""))</f>
        <v/>
      </c>
    </row>
    <row r="572">
      <c r="B572" s="30" t="n"/>
      <c r="G572" s="9">
        <f>IF(AND(E572&lt;&gt;"",E572&lt;&gt;0,H572&lt;&gt;""),H572/E572,"")</f>
        <v/>
      </c>
      <c r="L572">
        <f>IF(B572="","",IFERROR(VALUE(TEXT(B572,"[$-1170401]yyyy")),""))</f>
        <v/>
      </c>
      <c r="M572">
        <f>IF(B572="","",IFERROR(VALUE(TEXT(B572,"[$-1170401]mm")),""))</f>
        <v/>
      </c>
    </row>
    <row r="573">
      <c r="B573" s="30" t="n"/>
      <c r="G573" s="9">
        <f>IF(AND(E573&lt;&gt;"",E573&lt;&gt;0,H573&lt;&gt;""),H573/E573,"")</f>
        <v/>
      </c>
      <c r="L573">
        <f>IF(B573="","",IFERROR(VALUE(TEXT(B573,"[$-1170401]yyyy")),""))</f>
        <v/>
      </c>
      <c r="M573">
        <f>IF(B573="","",IFERROR(VALUE(TEXT(B573,"[$-1170401]mm")),""))</f>
        <v/>
      </c>
    </row>
    <row r="574">
      <c r="B574" s="30" t="n"/>
      <c r="G574" s="9">
        <f>IF(AND(E574&lt;&gt;"",E574&lt;&gt;0,H574&lt;&gt;""),H574/E574,"")</f>
        <v/>
      </c>
      <c r="L574">
        <f>IF(B574="","",IFERROR(VALUE(TEXT(B574,"[$-1170401]yyyy")),""))</f>
        <v/>
      </c>
      <c r="M574">
        <f>IF(B574="","",IFERROR(VALUE(TEXT(B574,"[$-1170401]mm")),""))</f>
        <v/>
      </c>
    </row>
    <row r="575">
      <c r="B575" s="30" t="n"/>
      <c r="G575" s="9">
        <f>IF(AND(E575&lt;&gt;"",E575&lt;&gt;0,H575&lt;&gt;""),H575/E575,"")</f>
        <v/>
      </c>
      <c r="L575">
        <f>IF(B575="","",IFERROR(VALUE(TEXT(B575,"[$-1170401]yyyy")),""))</f>
        <v/>
      </c>
      <c r="M575">
        <f>IF(B575="","",IFERROR(VALUE(TEXT(B575,"[$-1170401]mm")),""))</f>
        <v/>
      </c>
    </row>
    <row r="576">
      <c r="B576" s="30" t="n"/>
      <c r="G576" s="9">
        <f>IF(AND(E576&lt;&gt;"",E576&lt;&gt;0,H576&lt;&gt;""),H576/E576,"")</f>
        <v/>
      </c>
      <c r="L576">
        <f>IF(B576="","",IFERROR(VALUE(TEXT(B576,"[$-1170401]yyyy")),""))</f>
        <v/>
      </c>
      <c r="M576">
        <f>IF(B576="","",IFERROR(VALUE(TEXT(B576,"[$-1170401]mm")),""))</f>
        <v/>
      </c>
    </row>
    <row r="577">
      <c r="B577" s="30" t="n"/>
      <c r="G577" s="9">
        <f>IF(AND(E577&lt;&gt;"",E577&lt;&gt;0,H577&lt;&gt;""),H577/E577,"")</f>
        <v/>
      </c>
      <c r="L577">
        <f>IF(B577="","",IFERROR(VALUE(TEXT(B577,"[$-1170401]yyyy")),""))</f>
        <v/>
      </c>
      <c r="M577">
        <f>IF(B577="","",IFERROR(VALUE(TEXT(B577,"[$-1170401]mm")),""))</f>
        <v/>
      </c>
    </row>
    <row r="578">
      <c r="B578" s="30" t="n"/>
      <c r="G578" s="9">
        <f>IF(AND(E578&lt;&gt;"",E578&lt;&gt;0,H578&lt;&gt;""),H578/E578,"")</f>
        <v/>
      </c>
      <c r="L578">
        <f>IF(B578="","",IFERROR(VALUE(TEXT(B578,"[$-1170401]yyyy")),""))</f>
        <v/>
      </c>
      <c r="M578">
        <f>IF(B578="","",IFERROR(VALUE(TEXT(B578,"[$-1170401]mm")),""))</f>
        <v/>
      </c>
    </row>
    <row r="579">
      <c r="B579" s="30" t="n"/>
      <c r="G579" s="9">
        <f>IF(AND(E579&lt;&gt;"",E579&lt;&gt;0,H579&lt;&gt;""),H579/E579,"")</f>
        <v/>
      </c>
      <c r="L579">
        <f>IF(B579="","",IFERROR(VALUE(TEXT(B579,"[$-1170401]yyyy")),""))</f>
        <v/>
      </c>
      <c r="M579">
        <f>IF(B579="","",IFERROR(VALUE(TEXT(B579,"[$-1170401]mm")),""))</f>
        <v/>
      </c>
    </row>
    <row r="580">
      <c r="B580" s="30" t="n"/>
      <c r="G580" s="9">
        <f>IF(AND(E580&lt;&gt;"",E580&lt;&gt;0,H580&lt;&gt;""),H580/E580,"")</f>
        <v/>
      </c>
      <c r="L580">
        <f>IF(B580="","",IFERROR(VALUE(TEXT(B580,"[$-1170401]yyyy")),""))</f>
        <v/>
      </c>
      <c r="M580">
        <f>IF(B580="","",IFERROR(VALUE(TEXT(B580,"[$-1170401]mm")),""))</f>
        <v/>
      </c>
    </row>
    <row r="581">
      <c r="B581" s="30" t="n"/>
      <c r="G581" s="9">
        <f>IF(AND(E581&lt;&gt;"",E581&lt;&gt;0,H581&lt;&gt;""),H581/E581,"")</f>
        <v/>
      </c>
      <c r="L581">
        <f>IF(B581="","",IFERROR(VALUE(TEXT(B581,"[$-1170401]yyyy")),""))</f>
        <v/>
      </c>
      <c r="M581">
        <f>IF(B581="","",IFERROR(VALUE(TEXT(B581,"[$-1170401]mm")),""))</f>
        <v/>
      </c>
    </row>
    <row r="582">
      <c r="B582" s="30" t="n"/>
      <c r="G582" s="9">
        <f>IF(AND(E582&lt;&gt;"",E582&lt;&gt;0,H582&lt;&gt;""),H582/E582,"")</f>
        <v/>
      </c>
      <c r="L582">
        <f>IF(B582="","",IFERROR(VALUE(TEXT(B582,"[$-1170401]yyyy")),""))</f>
        <v/>
      </c>
      <c r="M582">
        <f>IF(B582="","",IFERROR(VALUE(TEXT(B582,"[$-1170401]mm")),""))</f>
        <v/>
      </c>
    </row>
    <row r="583">
      <c r="B583" s="30" t="n"/>
      <c r="G583" s="9">
        <f>IF(AND(E583&lt;&gt;"",E583&lt;&gt;0,H583&lt;&gt;""),H583/E583,"")</f>
        <v/>
      </c>
      <c r="L583">
        <f>IF(B583="","",IFERROR(VALUE(TEXT(B583,"[$-1170401]yyyy")),""))</f>
        <v/>
      </c>
      <c r="M583">
        <f>IF(B583="","",IFERROR(VALUE(TEXT(B583,"[$-1170401]mm")),""))</f>
        <v/>
      </c>
    </row>
    <row r="584">
      <c r="B584" s="30" t="n"/>
      <c r="G584" s="9">
        <f>IF(AND(E584&lt;&gt;"",E584&lt;&gt;0,H584&lt;&gt;""),H584/E584,"")</f>
        <v/>
      </c>
      <c r="L584">
        <f>IF(B584="","",IFERROR(VALUE(TEXT(B584,"[$-1170401]yyyy")),""))</f>
        <v/>
      </c>
      <c r="M584">
        <f>IF(B584="","",IFERROR(VALUE(TEXT(B584,"[$-1170401]mm")),""))</f>
        <v/>
      </c>
    </row>
    <row r="585">
      <c r="B585" s="30" t="n"/>
      <c r="G585" s="9">
        <f>IF(AND(E585&lt;&gt;"",E585&lt;&gt;0,H585&lt;&gt;""),H585/E585,"")</f>
        <v/>
      </c>
      <c r="L585">
        <f>IF(B585="","",IFERROR(VALUE(TEXT(B585,"[$-1170401]yyyy")),""))</f>
        <v/>
      </c>
      <c r="M585">
        <f>IF(B585="","",IFERROR(VALUE(TEXT(B585,"[$-1170401]mm")),""))</f>
        <v/>
      </c>
    </row>
    <row r="586">
      <c r="B586" s="30" t="n"/>
      <c r="G586" s="9">
        <f>IF(AND(E586&lt;&gt;"",E586&lt;&gt;0,H586&lt;&gt;""),H586/E586,"")</f>
        <v/>
      </c>
      <c r="L586">
        <f>IF(B586="","",IFERROR(VALUE(TEXT(B586,"[$-1170401]yyyy")),""))</f>
        <v/>
      </c>
      <c r="M586">
        <f>IF(B586="","",IFERROR(VALUE(TEXT(B586,"[$-1170401]mm")),""))</f>
        <v/>
      </c>
    </row>
    <row r="587">
      <c r="B587" s="30" t="n"/>
      <c r="G587" s="9">
        <f>IF(AND(E587&lt;&gt;"",E587&lt;&gt;0,H587&lt;&gt;""),H587/E587,"")</f>
        <v/>
      </c>
      <c r="L587">
        <f>IF(B587="","",IFERROR(VALUE(TEXT(B587,"[$-1170401]yyyy")),""))</f>
        <v/>
      </c>
      <c r="M587">
        <f>IF(B587="","",IFERROR(VALUE(TEXT(B587,"[$-1170401]mm")),""))</f>
        <v/>
      </c>
    </row>
    <row r="588">
      <c r="B588" s="30" t="n"/>
      <c r="G588" s="9">
        <f>IF(AND(E588&lt;&gt;"",E588&lt;&gt;0,H588&lt;&gt;""),H588/E588,"")</f>
        <v/>
      </c>
      <c r="L588">
        <f>IF(B588="","",IFERROR(VALUE(TEXT(B588,"[$-1170401]yyyy")),""))</f>
        <v/>
      </c>
      <c r="M588">
        <f>IF(B588="","",IFERROR(VALUE(TEXT(B588,"[$-1170401]mm")),""))</f>
        <v/>
      </c>
    </row>
    <row r="589">
      <c r="B589" s="30" t="n"/>
      <c r="G589" s="9">
        <f>IF(AND(E589&lt;&gt;"",E589&lt;&gt;0,H589&lt;&gt;""),H589/E589,"")</f>
        <v/>
      </c>
      <c r="L589">
        <f>IF(B589="","",IFERROR(VALUE(TEXT(B589,"[$-1170401]yyyy")),""))</f>
        <v/>
      </c>
      <c r="M589">
        <f>IF(B589="","",IFERROR(VALUE(TEXT(B589,"[$-1170401]mm")),""))</f>
        <v/>
      </c>
    </row>
    <row r="590">
      <c r="B590" s="30" t="n"/>
      <c r="G590" s="9">
        <f>IF(AND(E590&lt;&gt;"",E590&lt;&gt;0,H590&lt;&gt;""),H590/E590,"")</f>
        <v/>
      </c>
      <c r="L590">
        <f>IF(B590="","",IFERROR(VALUE(TEXT(B590,"[$-1170401]yyyy")),""))</f>
        <v/>
      </c>
      <c r="M590">
        <f>IF(B590="","",IFERROR(VALUE(TEXT(B590,"[$-1170401]mm")),""))</f>
        <v/>
      </c>
    </row>
    <row r="591">
      <c r="B591" s="30" t="n"/>
      <c r="G591" s="9">
        <f>IF(AND(E591&lt;&gt;"",E591&lt;&gt;0,H591&lt;&gt;""),H591/E591,"")</f>
        <v/>
      </c>
      <c r="L591">
        <f>IF(B591="","",IFERROR(VALUE(TEXT(B591,"[$-1170401]yyyy")),""))</f>
        <v/>
      </c>
      <c r="M591">
        <f>IF(B591="","",IFERROR(VALUE(TEXT(B591,"[$-1170401]mm")),""))</f>
        <v/>
      </c>
    </row>
    <row r="592">
      <c r="B592" s="30" t="n"/>
      <c r="G592" s="9">
        <f>IF(AND(E592&lt;&gt;"",E592&lt;&gt;0,H592&lt;&gt;""),H592/E592,"")</f>
        <v/>
      </c>
      <c r="L592">
        <f>IF(B592="","",IFERROR(VALUE(TEXT(B592,"[$-1170401]yyyy")),""))</f>
        <v/>
      </c>
      <c r="M592">
        <f>IF(B592="","",IFERROR(VALUE(TEXT(B592,"[$-1170401]mm")),""))</f>
        <v/>
      </c>
    </row>
    <row r="593">
      <c r="B593" s="30" t="n"/>
      <c r="G593" s="9">
        <f>IF(AND(E593&lt;&gt;"",E593&lt;&gt;0,H593&lt;&gt;""),H593/E593,"")</f>
        <v/>
      </c>
      <c r="L593">
        <f>IF(B593="","",IFERROR(VALUE(TEXT(B593,"[$-1170401]yyyy")),""))</f>
        <v/>
      </c>
      <c r="M593">
        <f>IF(B593="","",IFERROR(VALUE(TEXT(B593,"[$-1170401]mm")),""))</f>
        <v/>
      </c>
    </row>
    <row r="594">
      <c r="B594" s="30" t="n"/>
      <c r="G594" s="9">
        <f>IF(AND(E594&lt;&gt;"",E594&lt;&gt;0,H594&lt;&gt;""),H594/E594,"")</f>
        <v/>
      </c>
      <c r="L594">
        <f>IF(B594="","",IFERROR(VALUE(TEXT(B594,"[$-1170401]yyyy")),""))</f>
        <v/>
      </c>
      <c r="M594">
        <f>IF(B594="","",IFERROR(VALUE(TEXT(B594,"[$-1170401]mm")),""))</f>
        <v/>
      </c>
    </row>
    <row r="595">
      <c r="B595" s="30" t="n"/>
      <c r="G595" s="9">
        <f>IF(AND(E595&lt;&gt;"",E595&lt;&gt;0,H595&lt;&gt;""),H595/E595,"")</f>
        <v/>
      </c>
      <c r="L595">
        <f>IF(B595="","",IFERROR(VALUE(TEXT(B595,"[$-1170401]yyyy")),""))</f>
        <v/>
      </c>
      <c r="M595">
        <f>IF(B595="","",IFERROR(VALUE(TEXT(B595,"[$-1170401]mm")),""))</f>
        <v/>
      </c>
    </row>
    <row r="596">
      <c r="B596" s="30" t="n"/>
      <c r="G596" s="9">
        <f>IF(AND(E596&lt;&gt;"",E596&lt;&gt;0,H596&lt;&gt;""),H596/E596,"")</f>
        <v/>
      </c>
      <c r="L596">
        <f>IF(B596="","",IFERROR(VALUE(TEXT(B596,"[$-1170401]yyyy")),""))</f>
        <v/>
      </c>
      <c r="M596">
        <f>IF(B596="","",IFERROR(VALUE(TEXT(B596,"[$-1170401]mm")),""))</f>
        <v/>
      </c>
    </row>
    <row r="597">
      <c r="B597" s="30" t="n"/>
      <c r="G597" s="9">
        <f>IF(AND(E597&lt;&gt;"",E597&lt;&gt;0,H597&lt;&gt;""),H597/E597,"")</f>
        <v/>
      </c>
      <c r="L597">
        <f>IF(B597="","",IFERROR(VALUE(TEXT(B597,"[$-1170401]yyyy")),""))</f>
        <v/>
      </c>
      <c r="M597">
        <f>IF(B597="","",IFERROR(VALUE(TEXT(B597,"[$-1170401]mm")),""))</f>
        <v/>
      </c>
    </row>
    <row r="598">
      <c r="B598" s="30" t="n"/>
      <c r="G598" s="9">
        <f>IF(AND(E598&lt;&gt;"",E598&lt;&gt;0,H598&lt;&gt;""),H598/E598,"")</f>
        <v/>
      </c>
      <c r="L598">
        <f>IF(B598="","",IFERROR(VALUE(TEXT(B598,"[$-1170401]yyyy")),""))</f>
        <v/>
      </c>
      <c r="M598">
        <f>IF(B598="","",IFERROR(VALUE(TEXT(B598,"[$-1170401]mm")),""))</f>
        <v/>
      </c>
    </row>
    <row r="599">
      <c r="B599" s="30" t="n"/>
      <c r="G599" s="9">
        <f>IF(AND(E599&lt;&gt;"",E599&lt;&gt;0,H599&lt;&gt;""),H599/E599,"")</f>
        <v/>
      </c>
      <c r="L599">
        <f>IF(B599="","",IFERROR(VALUE(TEXT(B599,"[$-1170401]yyyy")),""))</f>
        <v/>
      </c>
      <c r="M599">
        <f>IF(B599="","",IFERROR(VALUE(TEXT(B599,"[$-1170401]mm")),""))</f>
        <v/>
      </c>
    </row>
    <row r="600">
      <c r="B600" s="30" t="n"/>
      <c r="G600" s="9">
        <f>IF(AND(E600&lt;&gt;"",E600&lt;&gt;0,H600&lt;&gt;""),H600/E600,"")</f>
        <v/>
      </c>
      <c r="L600">
        <f>IF(B600="","",IFERROR(VALUE(TEXT(B600,"[$-1170401]yyyy")),""))</f>
        <v/>
      </c>
      <c r="M600">
        <f>IF(B600="","",IFERROR(VALUE(TEXT(B600,"[$-1170401]mm")),""))</f>
        <v/>
      </c>
    </row>
    <row r="601">
      <c r="B601" s="30" t="n"/>
      <c r="G601" s="9">
        <f>IF(AND(E601&lt;&gt;"",E601&lt;&gt;0,H601&lt;&gt;""),H601/E601,"")</f>
        <v/>
      </c>
      <c r="L601">
        <f>IF(B601="","",IFERROR(VALUE(TEXT(B601,"[$-1170401]yyyy")),""))</f>
        <v/>
      </c>
      <c r="M601">
        <f>IF(B601="","",IFERROR(VALUE(TEXT(B601,"[$-1170401]mm")),""))</f>
        <v/>
      </c>
    </row>
    <row r="602">
      <c r="B602" s="30" t="n"/>
      <c r="G602" s="9">
        <f>IF(AND(E602&lt;&gt;"",E602&lt;&gt;0,H602&lt;&gt;""),H602/E602,"")</f>
        <v/>
      </c>
      <c r="L602">
        <f>IF(B602="","",IFERROR(VALUE(TEXT(B602,"[$-1170401]yyyy")),""))</f>
        <v/>
      </c>
      <c r="M602">
        <f>IF(B602="","",IFERROR(VALUE(TEXT(B602,"[$-1170401]mm")),""))</f>
        <v/>
      </c>
    </row>
    <row r="603">
      <c r="B603" s="30" t="n"/>
      <c r="G603" s="9">
        <f>IF(AND(E603&lt;&gt;"",E603&lt;&gt;0,H603&lt;&gt;""),H603/E603,"")</f>
        <v/>
      </c>
      <c r="L603">
        <f>IF(B603="","",IFERROR(VALUE(TEXT(B603,"[$-1170401]yyyy")),""))</f>
        <v/>
      </c>
      <c r="M603">
        <f>IF(B603="","",IFERROR(VALUE(TEXT(B603,"[$-1170401]mm")),""))</f>
        <v/>
      </c>
    </row>
    <row r="604">
      <c r="B604" s="30" t="n"/>
      <c r="G604" s="9">
        <f>IF(AND(E604&lt;&gt;"",E604&lt;&gt;0,H604&lt;&gt;""),H604/E604,"")</f>
        <v/>
      </c>
      <c r="L604">
        <f>IF(B604="","",IFERROR(VALUE(TEXT(B604,"[$-1170401]yyyy")),""))</f>
        <v/>
      </c>
      <c r="M604">
        <f>IF(B604="","",IFERROR(VALUE(TEXT(B604,"[$-1170401]mm")),""))</f>
        <v/>
      </c>
    </row>
    <row r="605">
      <c r="B605" s="30" t="n"/>
      <c r="G605" s="9">
        <f>IF(AND(E605&lt;&gt;"",E605&lt;&gt;0,H605&lt;&gt;""),H605/E605,"")</f>
        <v/>
      </c>
      <c r="L605">
        <f>IF(B605="","",IFERROR(VALUE(TEXT(B605,"[$-1170401]yyyy")),""))</f>
        <v/>
      </c>
      <c r="M605">
        <f>IF(B605="","",IFERROR(VALUE(TEXT(B605,"[$-1170401]mm")),""))</f>
        <v/>
      </c>
    </row>
    <row r="606">
      <c r="B606" s="30" t="n"/>
      <c r="G606" s="9">
        <f>IF(AND(E606&lt;&gt;"",E606&lt;&gt;0,H606&lt;&gt;""),H606/E606,"")</f>
        <v/>
      </c>
      <c r="L606">
        <f>IF(B606="","",IFERROR(VALUE(TEXT(B606,"[$-1170401]yyyy")),""))</f>
        <v/>
      </c>
      <c r="M606">
        <f>IF(B606="","",IFERROR(VALUE(TEXT(B606,"[$-1170401]mm")),""))</f>
        <v/>
      </c>
    </row>
    <row r="607">
      <c r="B607" s="30" t="n"/>
      <c r="G607" s="9">
        <f>IF(AND(E607&lt;&gt;"",E607&lt;&gt;0,H607&lt;&gt;""),H607/E607,"")</f>
        <v/>
      </c>
      <c r="L607">
        <f>IF(B607="","",IFERROR(VALUE(TEXT(B607,"[$-1170401]yyyy")),""))</f>
        <v/>
      </c>
      <c r="M607">
        <f>IF(B607="","",IFERROR(VALUE(TEXT(B607,"[$-1170401]mm")),""))</f>
        <v/>
      </c>
    </row>
    <row r="608">
      <c r="B608" s="30" t="n"/>
      <c r="G608" s="9">
        <f>IF(AND(E608&lt;&gt;"",E608&lt;&gt;0,H608&lt;&gt;""),H608/E608,"")</f>
        <v/>
      </c>
      <c r="L608">
        <f>IF(B608="","",IFERROR(VALUE(TEXT(B608,"[$-1170401]yyyy")),""))</f>
        <v/>
      </c>
      <c r="M608">
        <f>IF(B608="","",IFERROR(VALUE(TEXT(B608,"[$-1170401]mm")),""))</f>
        <v/>
      </c>
    </row>
    <row r="609">
      <c r="B609" s="30" t="n"/>
      <c r="G609" s="9">
        <f>IF(AND(E609&lt;&gt;"",E609&lt;&gt;0,H609&lt;&gt;""),H609/E609,"")</f>
        <v/>
      </c>
      <c r="L609">
        <f>IF(B609="","",IFERROR(VALUE(TEXT(B609,"[$-1170401]yyyy")),""))</f>
        <v/>
      </c>
      <c r="M609">
        <f>IF(B609="","",IFERROR(VALUE(TEXT(B609,"[$-1170401]mm")),""))</f>
        <v/>
      </c>
    </row>
    <row r="610">
      <c r="B610" s="30" t="n"/>
      <c r="G610" s="9">
        <f>IF(AND(E610&lt;&gt;"",E610&lt;&gt;0,H610&lt;&gt;""),H610/E610,"")</f>
        <v/>
      </c>
      <c r="L610">
        <f>IF(B610="","",IFERROR(VALUE(TEXT(B610,"[$-1170401]yyyy")),""))</f>
        <v/>
      </c>
      <c r="M610">
        <f>IF(B610="","",IFERROR(VALUE(TEXT(B610,"[$-1170401]mm")),""))</f>
        <v/>
      </c>
    </row>
    <row r="611">
      <c r="B611" s="30" t="n"/>
      <c r="G611" s="9">
        <f>IF(AND(E611&lt;&gt;"",E611&lt;&gt;0,H611&lt;&gt;""),H611/E611,"")</f>
        <v/>
      </c>
      <c r="L611">
        <f>IF(B611="","",IFERROR(VALUE(TEXT(B611,"[$-1170401]yyyy")),""))</f>
        <v/>
      </c>
      <c r="M611">
        <f>IF(B611="","",IFERROR(VALUE(TEXT(B611,"[$-1170401]mm")),""))</f>
        <v/>
      </c>
    </row>
    <row r="612">
      <c r="B612" s="30" t="n"/>
      <c r="G612" s="9">
        <f>IF(AND(E612&lt;&gt;"",E612&lt;&gt;0,H612&lt;&gt;""),H612/E612,"")</f>
        <v/>
      </c>
      <c r="L612">
        <f>IF(B612="","",IFERROR(VALUE(TEXT(B612,"[$-1170401]yyyy")),""))</f>
        <v/>
      </c>
      <c r="M612">
        <f>IF(B612="","",IFERROR(VALUE(TEXT(B612,"[$-1170401]mm")),""))</f>
        <v/>
      </c>
    </row>
    <row r="613">
      <c r="B613" s="30" t="n"/>
      <c r="G613" s="9">
        <f>IF(AND(E613&lt;&gt;"",E613&lt;&gt;0,H613&lt;&gt;""),H613/E613,"")</f>
        <v/>
      </c>
      <c r="L613">
        <f>IF(B613="","",IFERROR(VALUE(TEXT(B613,"[$-1170401]yyyy")),""))</f>
        <v/>
      </c>
      <c r="M613">
        <f>IF(B613="","",IFERROR(VALUE(TEXT(B613,"[$-1170401]mm")),""))</f>
        <v/>
      </c>
    </row>
    <row r="614">
      <c r="B614" s="30" t="n"/>
      <c r="G614" s="9">
        <f>IF(AND(E614&lt;&gt;"",E614&lt;&gt;0,H614&lt;&gt;""),H614/E614,"")</f>
        <v/>
      </c>
      <c r="L614">
        <f>IF(B614="","",IFERROR(VALUE(TEXT(B614,"[$-1170401]yyyy")),""))</f>
        <v/>
      </c>
      <c r="M614">
        <f>IF(B614="","",IFERROR(VALUE(TEXT(B614,"[$-1170401]mm")),""))</f>
        <v/>
      </c>
    </row>
    <row r="615">
      <c r="B615" s="30" t="n"/>
      <c r="G615" s="9">
        <f>IF(AND(E615&lt;&gt;"",E615&lt;&gt;0,H615&lt;&gt;""),H615/E615,"")</f>
        <v/>
      </c>
      <c r="L615">
        <f>IF(B615="","",IFERROR(VALUE(TEXT(B615,"[$-1170401]yyyy")),""))</f>
        <v/>
      </c>
      <c r="M615">
        <f>IF(B615="","",IFERROR(VALUE(TEXT(B615,"[$-1170401]mm")),""))</f>
        <v/>
      </c>
    </row>
    <row r="616">
      <c r="B616" s="30" t="n"/>
      <c r="G616" s="9">
        <f>IF(AND(E616&lt;&gt;"",E616&lt;&gt;0,H616&lt;&gt;""),H616/E616,"")</f>
        <v/>
      </c>
      <c r="L616">
        <f>IF(B616="","",IFERROR(VALUE(TEXT(B616,"[$-1170401]yyyy")),""))</f>
        <v/>
      </c>
      <c r="M616">
        <f>IF(B616="","",IFERROR(VALUE(TEXT(B616,"[$-1170401]mm")),""))</f>
        <v/>
      </c>
    </row>
    <row r="617">
      <c r="B617" s="30" t="n"/>
      <c r="G617" s="9">
        <f>IF(AND(E617&lt;&gt;"",E617&lt;&gt;0,H617&lt;&gt;""),H617/E617,"")</f>
        <v/>
      </c>
      <c r="L617">
        <f>IF(B617="","",IFERROR(VALUE(TEXT(B617,"[$-1170401]yyyy")),""))</f>
        <v/>
      </c>
      <c r="M617">
        <f>IF(B617="","",IFERROR(VALUE(TEXT(B617,"[$-1170401]mm")),""))</f>
        <v/>
      </c>
    </row>
    <row r="618">
      <c r="B618" s="30" t="n"/>
      <c r="G618" s="9">
        <f>IF(AND(E618&lt;&gt;"",E618&lt;&gt;0,H618&lt;&gt;""),H618/E618,"")</f>
        <v/>
      </c>
      <c r="L618">
        <f>IF(B618="","",IFERROR(VALUE(TEXT(B618,"[$-1170401]yyyy")),""))</f>
        <v/>
      </c>
      <c r="M618">
        <f>IF(B618="","",IFERROR(VALUE(TEXT(B618,"[$-1170401]mm")),""))</f>
        <v/>
      </c>
    </row>
    <row r="619">
      <c r="B619" s="30" t="n"/>
      <c r="G619" s="9">
        <f>IF(AND(E619&lt;&gt;"",E619&lt;&gt;0,H619&lt;&gt;""),H619/E619,"")</f>
        <v/>
      </c>
      <c r="L619">
        <f>IF(B619="","",IFERROR(VALUE(TEXT(B619,"[$-1170401]yyyy")),""))</f>
        <v/>
      </c>
      <c r="M619">
        <f>IF(B619="","",IFERROR(VALUE(TEXT(B619,"[$-1170401]mm")),""))</f>
        <v/>
      </c>
    </row>
    <row r="620">
      <c r="B620" s="30" t="n"/>
      <c r="G620" s="9">
        <f>IF(AND(E620&lt;&gt;"",E620&lt;&gt;0,H620&lt;&gt;""),H620/E620,"")</f>
        <v/>
      </c>
      <c r="L620">
        <f>IF(B620="","",IFERROR(VALUE(TEXT(B620,"[$-1170401]yyyy")),""))</f>
        <v/>
      </c>
      <c r="M620">
        <f>IF(B620="","",IFERROR(VALUE(TEXT(B620,"[$-1170401]mm")),""))</f>
        <v/>
      </c>
    </row>
    <row r="621">
      <c r="B621" s="30" t="n"/>
      <c r="G621" s="9">
        <f>IF(AND(E621&lt;&gt;"",E621&lt;&gt;0,H621&lt;&gt;""),H621/E621,"")</f>
        <v/>
      </c>
      <c r="L621">
        <f>IF(B621="","",IFERROR(VALUE(TEXT(B621,"[$-1170401]yyyy")),""))</f>
        <v/>
      </c>
      <c r="M621">
        <f>IF(B621="","",IFERROR(VALUE(TEXT(B621,"[$-1170401]mm")),""))</f>
        <v/>
      </c>
    </row>
    <row r="622">
      <c r="B622" s="30" t="n"/>
      <c r="G622" s="9">
        <f>IF(AND(E622&lt;&gt;"",E622&lt;&gt;0,H622&lt;&gt;""),H622/E622,"")</f>
        <v/>
      </c>
      <c r="L622">
        <f>IF(B622="","",IFERROR(VALUE(TEXT(B622,"[$-1170401]yyyy")),""))</f>
        <v/>
      </c>
      <c r="M622">
        <f>IF(B622="","",IFERROR(VALUE(TEXT(B622,"[$-1170401]mm")),""))</f>
        <v/>
      </c>
    </row>
    <row r="623">
      <c r="B623" s="30" t="n"/>
      <c r="G623" s="9">
        <f>IF(AND(E623&lt;&gt;"",E623&lt;&gt;0,H623&lt;&gt;""),H623/E623,"")</f>
        <v/>
      </c>
      <c r="L623">
        <f>IF(B623="","",IFERROR(VALUE(TEXT(B623,"[$-1170401]yyyy")),""))</f>
        <v/>
      </c>
      <c r="M623">
        <f>IF(B623="","",IFERROR(VALUE(TEXT(B623,"[$-1170401]mm")),""))</f>
        <v/>
      </c>
    </row>
    <row r="624">
      <c r="B624" s="30" t="n"/>
      <c r="G624" s="9">
        <f>IF(AND(E624&lt;&gt;"",E624&lt;&gt;0,H624&lt;&gt;""),H624/E624,"")</f>
        <v/>
      </c>
      <c r="L624">
        <f>IF(B624="","",IFERROR(VALUE(TEXT(B624,"[$-1170401]yyyy")),""))</f>
        <v/>
      </c>
      <c r="M624">
        <f>IF(B624="","",IFERROR(VALUE(TEXT(B624,"[$-1170401]mm")),""))</f>
        <v/>
      </c>
    </row>
    <row r="625">
      <c r="B625" s="30" t="n"/>
      <c r="G625" s="9">
        <f>IF(AND(E625&lt;&gt;"",E625&lt;&gt;0,H625&lt;&gt;""),H625/E625,"")</f>
        <v/>
      </c>
      <c r="L625">
        <f>IF(B625="","",IFERROR(VALUE(TEXT(B625,"[$-1170401]yyyy")),""))</f>
        <v/>
      </c>
      <c r="M625">
        <f>IF(B625="","",IFERROR(VALUE(TEXT(B625,"[$-1170401]mm")),""))</f>
        <v/>
      </c>
    </row>
    <row r="626">
      <c r="B626" s="30" t="n"/>
      <c r="G626" s="9">
        <f>IF(AND(E626&lt;&gt;"",E626&lt;&gt;0,H626&lt;&gt;""),H626/E626,"")</f>
        <v/>
      </c>
      <c r="L626">
        <f>IF(B626="","",IFERROR(VALUE(TEXT(B626,"[$-1170401]yyyy")),""))</f>
        <v/>
      </c>
      <c r="M626">
        <f>IF(B626="","",IFERROR(VALUE(TEXT(B626,"[$-1170401]mm")),""))</f>
        <v/>
      </c>
    </row>
    <row r="627">
      <c r="B627" s="30" t="n"/>
      <c r="G627" s="9">
        <f>IF(AND(E627&lt;&gt;"",E627&lt;&gt;0,H627&lt;&gt;""),H627/E627,"")</f>
        <v/>
      </c>
      <c r="L627">
        <f>IF(B627="","",IFERROR(VALUE(TEXT(B627,"[$-1170401]yyyy")),""))</f>
        <v/>
      </c>
      <c r="M627">
        <f>IF(B627="","",IFERROR(VALUE(TEXT(B627,"[$-1170401]mm")),""))</f>
        <v/>
      </c>
    </row>
    <row r="628">
      <c r="B628" s="30" t="n"/>
      <c r="G628" s="9">
        <f>IF(AND(E628&lt;&gt;"",E628&lt;&gt;0,H628&lt;&gt;""),H628/E628,"")</f>
        <v/>
      </c>
      <c r="L628">
        <f>IF(B628="","",IFERROR(VALUE(TEXT(B628,"[$-1170401]yyyy")),""))</f>
        <v/>
      </c>
      <c r="M628">
        <f>IF(B628="","",IFERROR(VALUE(TEXT(B628,"[$-1170401]mm")),""))</f>
        <v/>
      </c>
    </row>
    <row r="629">
      <c r="B629" s="30" t="n"/>
      <c r="G629" s="9">
        <f>IF(AND(E629&lt;&gt;"",E629&lt;&gt;0,H629&lt;&gt;""),H629/E629,"")</f>
        <v/>
      </c>
      <c r="L629">
        <f>IF(B629="","",IFERROR(VALUE(TEXT(B629,"[$-1170401]yyyy")),""))</f>
        <v/>
      </c>
      <c r="M629">
        <f>IF(B629="","",IFERROR(VALUE(TEXT(B629,"[$-1170401]mm")),""))</f>
        <v/>
      </c>
    </row>
    <row r="630">
      <c r="B630" s="30" t="n"/>
      <c r="G630" s="9">
        <f>IF(AND(E630&lt;&gt;"",E630&lt;&gt;0,H630&lt;&gt;""),H630/E630,"")</f>
        <v/>
      </c>
      <c r="L630">
        <f>IF(B630="","",IFERROR(VALUE(TEXT(B630,"[$-1170401]yyyy")),""))</f>
        <v/>
      </c>
      <c r="M630">
        <f>IF(B630="","",IFERROR(VALUE(TEXT(B630,"[$-1170401]mm")),""))</f>
        <v/>
      </c>
    </row>
    <row r="631">
      <c r="B631" s="30" t="n"/>
      <c r="G631" s="9">
        <f>IF(AND(E631&lt;&gt;"",E631&lt;&gt;0,H631&lt;&gt;""),H631/E631,"")</f>
        <v/>
      </c>
      <c r="L631">
        <f>IF(B631="","",IFERROR(VALUE(TEXT(B631,"[$-1170401]yyyy")),""))</f>
        <v/>
      </c>
      <c r="M631">
        <f>IF(B631="","",IFERROR(VALUE(TEXT(B631,"[$-1170401]mm")),""))</f>
        <v/>
      </c>
    </row>
    <row r="632">
      <c r="B632" s="30" t="n"/>
      <c r="G632" s="9">
        <f>IF(AND(E632&lt;&gt;"",E632&lt;&gt;0,H632&lt;&gt;""),H632/E632,"")</f>
        <v/>
      </c>
      <c r="L632">
        <f>IF(B632="","",IFERROR(VALUE(TEXT(B632,"[$-1170401]yyyy")),""))</f>
        <v/>
      </c>
      <c r="M632">
        <f>IF(B632="","",IFERROR(VALUE(TEXT(B632,"[$-1170401]mm")),""))</f>
        <v/>
      </c>
    </row>
    <row r="633">
      <c r="B633" s="30" t="n"/>
      <c r="G633" s="9">
        <f>IF(AND(E633&lt;&gt;"",E633&lt;&gt;0,H633&lt;&gt;""),H633/E633,"")</f>
        <v/>
      </c>
      <c r="L633">
        <f>IF(B633="","",IFERROR(VALUE(TEXT(B633,"[$-1170401]yyyy")),""))</f>
        <v/>
      </c>
      <c r="M633">
        <f>IF(B633="","",IFERROR(VALUE(TEXT(B633,"[$-1170401]mm")),""))</f>
        <v/>
      </c>
    </row>
    <row r="634">
      <c r="B634" s="30" t="n"/>
      <c r="G634" s="9">
        <f>IF(AND(E634&lt;&gt;"",E634&lt;&gt;0,H634&lt;&gt;""),H634/E634,"")</f>
        <v/>
      </c>
      <c r="L634">
        <f>IF(B634="","",IFERROR(VALUE(TEXT(B634,"[$-1170401]yyyy")),""))</f>
        <v/>
      </c>
      <c r="M634">
        <f>IF(B634="","",IFERROR(VALUE(TEXT(B634,"[$-1170401]mm")),""))</f>
        <v/>
      </c>
    </row>
    <row r="635">
      <c r="B635" s="30" t="n"/>
      <c r="G635" s="9">
        <f>IF(AND(E635&lt;&gt;"",E635&lt;&gt;0,H635&lt;&gt;""),H635/E635,"")</f>
        <v/>
      </c>
      <c r="L635">
        <f>IF(B635="","",IFERROR(VALUE(TEXT(B635,"[$-1170401]yyyy")),""))</f>
        <v/>
      </c>
      <c r="M635">
        <f>IF(B635="","",IFERROR(VALUE(TEXT(B635,"[$-1170401]mm")),""))</f>
        <v/>
      </c>
    </row>
    <row r="636">
      <c r="B636" s="30" t="n"/>
      <c r="G636" s="9">
        <f>IF(AND(E636&lt;&gt;"",E636&lt;&gt;0,H636&lt;&gt;""),H636/E636,"")</f>
        <v/>
      </c>
      <c r="L636">
        <f>IF(B636="","",IFERROR(VALUE(TEXT(B636,"[$-1170401]yyyy")),""))</f>
        <v/>
      </c>
      <c r="M636">
        <f>IF(B636="","",IFERROR(VALUE(TEXT(B636,"[$-1170401]mm")),""))</f>
        <v/>
      </c>
    </row>
    <row r="637">
      <c r="B637" s="30" t="n"/>
      <c r="G637" s="9">
        <f>IF(AND(E637&lt;&gt;"",E637&lt;&gt;0,H637&lt;&gt;""),H637/E637,"")</f>
        <v/>
      </c>
      <c r="L637">
        <f>IF(B637="","",IFERROR(VALUE(TEXT(B637,"[$-1170401]yyyy")),""))</f>
        <v/>
      </c>
      <c r="M637">
        <f>IF(B637="","",IFERROR(VALUE(TEXT(B637,"[$-1170401]mm")),""))</f>
        <v/>
      </c>
    </row>
    <row r="638">
      <c r="B638" s="30" t="n"/>
      <c r="G638" s="9">
        <f>IF(AND(E638&lt;&gt;"",E638&lt;&gt;0,H638&lt;&gt;""),H638/E638,"")</f>
        <v/>
      </c>
      <c r="L638">
        <f>IF(B638="","",IFERROR(VALUE(TEXT(B638,"[$-1170401]yyyy")),""))</f>
        <v/>
      </c>
      <c r="M638">
        <f>IF(B638="","",IFERROR(VALUE(TEXT(B638,"[$-1170401]mm")),""))</f>
        <v/>
      </c>
    </row>
    <row r="639">
      <c r="B639" s="30" t="n"/>
      <c r="G639" s="9">
        <f>IF(AND(E639&lt;&gt;"",E639&lt;&gt;0,H639&lt;&gt;""),H639/E639,"")</f>
        <v/>
      </c>
      <c r="L639">
        <f>IF(B639="","",IFERROR(VALUE(TEXT(B639,"[$-1170401]yyyy")),""))</f>
        <v/>
      </c>
      <c r="M639">
        <f>IF(B639="","",IFERROR(VALUE(TEXT(B639,"[$-1170401]mm")),""))</f>
        <v/>
      </c>
    </row>
    <row r="640">
      <c r="B640" s="30" t="n"/>
      <c r="G640" s="9">
        <f>IF(AND(E640&lt;&gt;"",E640&lt;&gt;0,H640&lt;&gt;""),H640/E640,"")</f>
        <v/>
      </c>
      <c r="L640">
        <f>IF(B640="","",IFERROR(VALUE(TEXT(B640,"[$-1170401]yyyy")),""))</f>
        <v/>
      </c>
      <c r="M640">
        <f>IF(B640="","",IFERROR(VALUE(TEXT(B640,"[$-1170401]mm")),""))</f>
        <v/>
      </c>
    </row>
    <row r="641">
      <c r="B641" s="30" t="n"/>
      <c r="G641" s="9">
        <f>IF(AND(E641&lt;&gt;"",E641&lt;&gt;0,H641&lt;&gt;""),H641/E641,"")</f>
        <v/>
      </c>
      <c r="L641">
        <f>IF(B641="","",IFERROR(VALUE(TEXT(B641,"[$-1170401]yyyy")),""))</f>
        <v/>
      </c>
      <c r="M641">
        <f>IF(B641="","",IFERROR(VALUE(TEXT(B641,"[$-1170401]mm")),""))</f>
        <v/>
      </c>
    </row>
    <row r="642">
      <c r="B642" s="30" t="n"/>
      <c r="G642" s="9">
        <f>IF(AND(E642&lt;&gt;"",E642&lt;&gt;0,H642&lt;&gt;""),H642/E642,"")</f>
        <v/>
      </c>
      <c r="L642">
        <f>IF(B642="","",IFERROR(VALUE(TEXT(B642,"[$-1170401]yyyy")),""))</f>
        <v/>
      </c>
      <c r="M642">
        <f>IF(B642="","",IFERROR(VALUE(TEXT(B642,"[$-1170401]mm")),""))</f>
        <v/>
      </c>
    </row>
    <row r="643">
      <c r="B643" s="30" t="n"/>
      <c r="G643" s="9">
        <f>IF(AND(E643&lt;&gt;"",E643&lt;&gt;0,H643&lt;&gt;""),H643/E643,"")</f>
        <v/>
      </c>
      <c r="L643">
        <f>IF(B643="","",IFERROR(VALUE(TEXT(B643,"[$-1170401]yyyy")),""))</f>
        <v/>
      </c>
      <c r="M643">
        <f>IF(B643="","",IFERROR(VALUE(TEXT(B643,"[$-1170401]mm")),""))</f>
        <v/>
      </c>
    </row>
    <row r="644">
      <c r="B644" s="30" t="n"/>
      <c r="G644" s="9">
        <f>IF(AND(E644&lt;&gt;"",E644&lt;&gt;0,H644&lt;&gt;""),H644/E644,"")</f>
        <v/>
      </c>
      <c r="L644">
        <f>IF(B644="","",IFERROR(VALUE(TEXT(B644,"[$-1170401]yyyy")),""))</f>
        <v/>
      </c>
      <c r="M644">
        <f>IF(B644="","",IFERROR(VALUE(TEXT(B644,"[$-1170401]mm")),""))</f>
        <v/>
      </c>
    </row>
    <row r="645">
      <c r="B645" s="30" t="n"/>
      <c r="G645" s="9">
        <f>IF(AND(E645&lt;&gt;"",E645&lt;&gt;0,H645&lt;&gt;""),H645/E645,"")</f>
        <v/>
      </c>
      <c r="L645">
        <f>IF(B645="","",IFERROR(VALUE(TEXT(B645,"[$-1170401]yyyy")),""))</f>
        <v/>
      </c>
      <c r="M645">
        <f>IF(B645="","",IFERROR(VALUE(TEXT(B645,"[$-1170401]mm")),""))</f>
        <v/>
      </c>
    </row>
    <row r="646">
      <c r="B646" s="30" t="n"/>
      <c r="G646" s="9">
        <f>IF(AND(E646&lt;&gt;"",E646&lt;&gt;0,H646&lt;&gt;""),H646/E646,"")</f>
        <v/>
      </c>
      <c r="L646">
        <f>IF(B646="","",IFERROR(VALUE(TEXT(B646,"[$-1170401]yyyy")),""))</f>
        <v/>
      </c>
      <c r="M646">
        <f>IF(B646="","",IFERROR(VALUE(TEXT(B646,"[$-1170401]mm")),""))</f>
        <v/>
      </c>
    </row>
    <row r="647">
      <c r="B647" s="30" t="n"/>
      <c r="G647" s="9">
        <f>IF(AND(E647&lt;&gt;"",E647&lt;&gt;0,H647&lt;&gt;""),H647/E647,"")</f>
        <v/>
      </c>
      <c r="L647">
        <f>IF(B647="","",IFERROR(VALUE(TEXT(B647,"[$-1170401]yyyy")),""))</f>
        <v/>
      </c>
      <c r="M647">
        <f>IF(B647="","",IFERROR(VALUE(TEXT(B647,"[$-1170401]mm")),""))</f>
        <v/>
      </c>
    </row>
    <row r="648">
      <c r="B648" s="30" t="n"/>
      <c r="G648" s="9">
        <f>IF(AND(E648&lt;&gt;"",E648&lt;&gt;0,H648&lt;&gt;""),H648/E648,"")</f>
        <v/>
      </c>
      <c r="L648">
        <f>IF(B648="","",IFERROR(VALUE(TEXT(B648,"[$-1170401]yyyy")),""))</f>
        <v/>
      </c>
      <c r="M648">
        <f>IF(B648="","",IFERROR(VALUE(TEXT(B648,"[$-1170401]mm")),""))</f>
        <v/>
      </c>
    </row>
    <row r="649">
      <c r="B649" s="30" t="n"/>
      <c r="G649" s="9">
        <f>IF(AND(E649&lt;&gt;"",E649&lt;&gt;0,H649&lt;&gt;""),H649/E649,"")</f>
        <v/>
      </c>
      <c r="L649">
        <f>IF(B649="","",IFERROR(VALUE(TEXT(B649,"[$-1170401]yyyy")),""))</f>
        <v/>
      </c>
      <c r="M649">
        <f>IF(B649="","",IFERROR(VALUE(TEXT(B649,"[$-1170401]mm")),""))</f>
        <v/>
      </c>
    </row>
    <row r="650">
      <c r="B650" s="30" t="n"/>
      <c r="G650" s="9">
        <f>IF(AND(E650&lt;&gt;"",E650&lt;&gt;0,H650&lt;&gt;""),H650/E650,"")</f>
        <v/>
      </c>
      <c r="L650">
        <f>IF(B650="","",IFERROR(VALUE(TEXT(B650,"[$-1170401]yyyy")),""))</f>
        <v/>
      </c>
      <c r="M650">
        <f>IF(B650="","",IFERROR(VALUE(TEXT(B650,"[$-1170401]mm")),""))</f>
        <v/>
      </c>
    </row>
    <row r="651">
      <c r="B651" s="30" t="n"/>
      <c r="G651" s="9">
        <f>IF(AND(E651&lt;&gt;"",E651&lt;&gt;0,H651&lt;&gt;""),H651/E651,"")</f>
        <v/>
      </c>
      <c r="L651">
        <f>IF(B651="","",IFERROR(VALUE(TEXT(B651,"[$-1170401]yyyy")),""))</f>
        <v/>
      </c>
      <c r="M651">
        <f>IF(B651="","",IFERROR(VALUE(TEXT(B651,"[$-1170401]mm")),""))</f>
        <v/>
      </c>
    </row>
    <row r="652">
      <c r="B652" s="30" t="n"/>
      <c r="G652" s="9">
        <f>IF(AND(E652&lt;&gt;"",E652&lt;&gt;0,H652&lt;&gt;""),H652/E652,"")</f>
        <v/>
      </c>
      <c r="L652">
        <f>IF(B652="","",IFERROR(VALUE(TEXT(B652,"[$-1170401]yyyy")),""))</f>
        <v/>
      </c>
      <c r="M652">
        <f>IF(B652="","",IFERROR(VALUE(TEXT(B652,"[$-1170401]mm")),""))</f>
        <v/>
      </c>
    </row>
    <row r="653">
      <c r="B653" s="30" t="n"/>
      <c r="G653" s="9">
        <f>IF(AND(E653&lt;&gt;"",E653&lt;&gt;0,H653&lt;&gt;""),H653/E653,"")</f>
        <v/>
      </c>
      <c r="L653">
        <f>IF(B653="","",IFERROR(VALUE(TEXT(B653,"[$-1170401]yyyy")),""))</f>
        <v/>
      </c>
      <c r="M653">
        <f>IF(B653="","",IFERROR(VALUE(TEXT(B653,"[$-1170401]mm")),""))</f>
        <v/>
      </c>
    </row>
    <row r="654">
      <c r="B654" s="30" t="n"/>
      <c r="G654" s="9">
        <f>IF(AND(E654&lt;&gt;"",E654&lt;&gt;0,H654&lt;&gt;""),H654/E654,"")</f>
        <v/>
      </c>
      <c r="L654">
        <f>IF(B654="","",IFERROR(VALUE(TEXT(B654,"[$-1170401]yyyy")),""))</f>
        <v/>
      </c>
      <c r="M654">
        <f>IF(B654="","",IFERROR(VALUE(TEXT(B654,"[$-1170401]mm")),""))</f>
        <v/>
      </c>
    </row>
    <row r="655">
      <c r="B655" s="30" t="n"/>
      <c r="G655" s="9">
        <f>IF(AND(E655&lt;&gt;"",E655&lt;&gt;0,H655&lt;&gt;""),H655/E655,"")</f>
        <v/>
      </c>
      <c r="L655">
        <f>IF(B655="","",IFERROR(VALUE(TEXT(B655,"[$-1170401]yyyy")),""))</f>
        <v/>
      </c>
      <c r="M655">
        <f>IF(B655="","",IFERROR(VALUE(TEXT(B655,"[$-1170401]mm")),""))</f>
        <v/>
      </c>
    </row>
    <row r="656">
      <c r="B656" s="30" t="n"/>
      <c r="G656" s="9">
        <f>IF(AND(E656&lt;&gt;"",E656&lt;&gt;0,H656&lt;&gt;""),H656/E656,"")</f>
        <v/>
      </c>
      <c r="L656">
        <f>IF(B656="","",IFERROR(VALUE(TEXT(B656,"[$-1170401]yyyy")),""))</f>
        <v/>
      </c>
      <c r="M656">
        <f>IF(B656="","",IFERROR(VALUE(TEXT(B656,"[$-1170401]mm")),""))</f>
        <v/>
      </c>
    </row>
    <row r="657">
      <c r="B657" s="30" t="n"/>
      <c r="G657" s="9">
        <f>IF(AND(E657&lt;&gt;"",E657&lt;&gt;0,H657&lt;&gt;""),H657/E657,"")</f>
        <v/>
      </c>
      <c r="L657">
        <f>IF(B657="","",IFERROR(VALUE(TEXT(B657,"[$-1170401]yyyy")),""))</f>
        <v/>
      </c>
      <c r="M657">
        <f>IF(B657="","",IFERROR(VALUE(TEXT(B657,"[$-1170401]mm")),""))</f>
        <v/>
      </c>
    </row>
    <row r="658">
      <c r="B658" s="30" t="n"/>
      <c r="G658" s="9">
        <f>IF(AND(E658&lt;&gt;"",E658&lt;&gt;0,H658&lt;&gt;""),H658/E658,"")</f>
        <v/>
      </c>
      <c r="L658">
        <f>IF(B658="","",IFERROR(VALUE(TEXT(B658,"[$-1170401]yyyy")),""))</f>
        <v/>
      </c>
      <c r="M658">
        <f>IF(B658="","",IFERROR(VALUE(TEXT(B658,"[$-1170401]mm")),""))</f>
        <v/>
      </c>
    </row>
    <row r="659">
      <c r="B659" s="30" t="n"/>
      <c r="G659" s="9">
        <f>IF(AND(E659&lt;&gt;"",E659&lt;&gt;0,H659&lt;&gt;""),H659/E659,"")</f>
        <v/>
      </c>
      <c r="L659">
        <f>IF(B659="","",IFERROR(VALUE(TEXT(B659,"[$-1170401]yyyy")),""))</f>
        <v/>
      </c>
      <c r="M659">
        <f>IF(B659="","",IFERROR(VALUE(TEXT(B659,"[$-1170401]mm")),""))</f>
        <v/>
      </c>
    </row>
    <row r="660">
      <c r="B660" s="30" t="n"/>
      <c r="G660" s="9">
        <f>IF(AND(E660&lt;&gt;"",E660&lt;&gt;0,H660&lt;&gt;""),H660/E660,"")</f>
        <v/>
      </c>
      <c r="L660">
        <f>IF(B660="","",IFERROR(VALUE(TEXT(B660,"[$-1170401]yyyy")),""))</f>
        <v/>
      </c>
      <c r="M660">
        <f>IF(B660="","",IFERROR(VALUE(TEXT(B660,"[$-1170401]mm")),""))</f>
        <v/>
      </c>
    </row>
    <row r="661">
      <c r="B661" s="30" t="n"/>
      <c r="G661" s="9">
        <f>IF(AND(E661&lt;&gt;"",E661&lt;&gt;0,H661&lt;&gt;""),H661/E661,"")</f>
        <v/>
      </c>
      <c r="L661">
        <f>IF(B661="","",IFERROR(VALUE(TEXT(B661,"[$-1170401]yyyy")),""))</f>
        <v/>
      </c>
      <c r="M661">
        <f>IF(B661="","",IFERROR(VALUE(TEXT(B661,"[$-1170401]mm")),""))</f>
        <v/>
      </c>
    </row>
    <row r="662">
      <c r="B662" s="30" t="n"/>
      <c r="G662" s="9">
        <f>IF(AND(E662&lt;&gt;"",E662&lt;&gt;0,H662&lt;&gt;""),H662/E662,"")</f>
        <v/>
      </c>
      <c r="L662">
        <f>IF(B662="","",IFERROR(VALUE(TEXT(B662,"[$-1170401]yyyy")),""))</f>
        <v/>
      </c>
      <c r="M662">
        <f>IF(B662="","",IFERROR(VALUE(TEXT(B662,"[$-1170401]mm")),""))</f>
        <v/>
      </c>
    </row>
    <row r="663">
      <c r="B663" s="30" t="n"/>
      <c r="G663" s="9">
        <f>IF(AND(E663&lt;&gt;"",E663&lt;&gt;0,H663&lt;&gt;""),H663/E663,"")</f>
        <v/>
      </c>
      <c r="L663">
        <f>IF(B663="","",IFERROR(VALUE(TEXT(B663,"[$-1170401]yyyy")),""))</f>
        <v/>
      </c>
      <c r="M663">
        <f>IF(B663="","",IFERROR(VALUE(TEXT(B663,"[$-1170401]mm")),""))</f>
        <v/>
      </c>
    </row>
    <row r="664">
      <c r="B664" s="30" t="n"/>
      <c r="G664" s="9">
        <f>IF(AND(E664&lt;&gt;"",E664&lt;&gt;0,H664&lt;&gt;""),H664/E664,"")</f>
        <v/>
      </c>
      <c r="L664">
        <f>IF(B664="","",IFERROR(VALUE(TEXT(B664,"[$-1170401]yyyy")),""))</f>
        <v/>
      </c>
      <c r="M664">
        <f>IF(B664="","",IFERROR(VALUE(TEXT(B664,"[$-1170401]mm")),""))</f>
        <v/>
      </c>
    </row>
    <row r="665">
      <c r="B665" s="30" t="n"/>
      <c r="G665" s="9">
        <f>IF(AND(E665&lt;&gt;"",E665&lt;&gt;0,H665&lt;&gt;""),H665/E665,"")</f>
        <v/>
      </c>
      <c r="L665">
        <f>IF(B665="","",IFERROR(VALUE(TEXT(B665,"[$-1170401]yyyy")),""))</f>
        <v/>
      </c>
      <c r="M665">
        <f>IF(B665="","",IFERROR(VALUE(TEXT(B665,"[$-1170401]mm")),""))</f>
        <v/>
      </c>
    </row>
    <row r="666">
      <c r="B666" s="30" t="n"/>
      <c r="G666" s="9">
        <f>IF(AND(E666&lt;&gt;"",E666&lt;&gt;0,H666&lt;&gt;""),H666/E666,"")</f>
        <v/>
      </c>
      <c r="L666">
        <f>IF(B666="","",IFERROR(VALUE(TEXT(B666,"[$-1170401]yyyy")),""))</f>
        <v/>
      </c>
      <c r="M666">
        <f>IF(B666="","",IFERROR(VALUE(TEXT(B666,"[$-1170401]mm")),""))</f>
        <v/>
      </c>
    </row>
    <row r="667">
      <c r="B667" s="30" t="n"/>
      <c r="G667" s="9">
        <f>IF(AND(E667&lt;&gt;"",E667&lt;&gt;0,H667&lt;&gt;""),H667/E667,"")</f>
        <v/>
      </c>
      <c r="L667">
        <f>IF(B667="","",IFERROR(VALUE(TEXT(B667,"[$-1170401]yyyy")),""))</f>
        <v/>
      </c>
      <c r="M667">
        <f>IF(B667="","",IFERROR(VALUE(TEXT(B667,"[$-1170401]mm")),""))</f>
        <v/>
      </c>
    </row>
    <row r="668">
      <c r="B668" s="30" t="n"/>
      <c r="G668" s="9">
        <f>IF(AND(E668&lt;&gt;"",E668&lt;&gt;0,H668&lt;&gt;""),H668/E668,"")</f>
        <v/>
      </c>
      <c r="L668">
        <f>IF(B668="","",IFERROR(VALUE(TEXT(B668,"[$-1170401]yyyy")),""))</f>
        <v/>
      </c>
      <c r="M668">
        <f>IF(B668="","",IFERROR(VALUE(TEXT(B668,"[$-1170401]mm")),""))</f>
        <v/>
      </c>
    </row>
    <row r="669">
      <c r="B669" s="30" t="n"/>
      <c r="G669" s="9">
        <f>IF(AND(E669&lt;&gt;"",E669&lt;&gt;0,H669&lt;&gt;""),H669/E669,"")</f>
        <v/>
      </c>
      <c r="L669">
        <f>IF(B669="","",IFERROR(VALUE(TEXT(B669,"[$-1170401]yyyy")),""))</f>
        <v/>
      </c>
      <c r="M669">
        <f>IF(B669="","",IFERROR(VALUE(TEXT(B669,"[$-1170401]mm")),""))</f>
        <v/>
      </c>
    </row>
    <row r="670">
      <c r="B670" s="30" t="n"/>
      <c r="G670" s="9">
        <f>IF(AND(E670&lt;&gt;"",E670&lt;&gt;0,H670&lt;&gt;""),H670/E670,"")</f>
        <v/>
      </c>
      <c r="L670">
        <f>IF(B670="","",IFERROR(VALUE(TEXT(B670,"[$-1170401]yyyy")),""))</f>
        <v/>
      </c>
      <c r="M670">
        <f>IF(B670="","",IFERROR(VALUE(TEXT(B670,"[$-1170401]mm")),""))</f>
        <v/>
      </c>
    </row>
    <row r="671">
      <c r="B671" s="30" t="n"/>
      <c r="G671" s="9">
        <f>IF(AND(E671&lt;&gt;"",E671&lt;&gt;0,H671&lt;&gt;""),H671/E671,"")</f>
        <v/>
      </c>
      <c r="L671">
        <f>IF(B671="","",IFERROR(VALUE(TEXT(B671,"[$-1170401]yyyy")),""))</f>
        <v/>
      </c>
      <c r="M671">
        <f>IF(B671="","",IFERROR(VALUE(TEXT(B671,"[$-1170401]mm")),""))</f>
        <v/>
      </c>
    </row>
    <row r="672">
      <c r="B672" s="30" t="n"/>
      <c r="G672" s="9">
        <f>IF(AND(E672&lt;&gt;"",E672&lt;&gt;0,H672&lt;&gt;""),H672/E672,"")</f>
        <v/>
      </c>
      <c r="L672">
        <f>IF(B672="","",IFERROR(VALUE(TEXT(B672,"[$-1170401]yyyy")),""))</f>
        <v/>
      </c>
      <c r="M672">
        <f>IF(B672="","",IFERROR(VALUE(TEXT(B672,"[$-1170401]mm")),""))</f>
        <v/>
      </c>
    </row>
    <row r="673">
      <c r="B673" s="30" t="n"/>
      <c r="G673" s="9">
        <f>IF(AND(E673&lt;&gt;"",E673&lt;&gt;0,H673&lt;&gt;""),H673/E673,"")</f>
        <v/>
      </c>
      <c r="L673">
        <f>IF(B673="","",IFERROR(VALUE(TEXT(B673,"[$-1170401]yyyy")),""))</f>
        <v/>
      </c>
      <c r="M673">
        <f>IF(B673="","",IFERROR(VALUE(TEXT(B673,"[$-1170401]mm")),""))</f>
        <v/>
      </c>
    </row>
    <row r="674">
      <c r="B674" s="30" t="n"/>
      <c r="G674" s="9">
        <f>IF(AND(E674&lt;&gt;"",E674&lt;&gt;0,H674&lt;&gt;""),H674/E674,"")</f>
        <v/>
      </c>
      <c r="L674">
        <f>IF(B674="","",IFERROR(VALUE(TEXT(B674,"[$-1170401]yyyy")),""))</f>
        <v/>
      </c>
      <c r="M674">
        <f>IF(B674="","",IFERROR(VALUE(TEXT(B674,"[$-1170401]mm")),""))</f>
        <v/>
      </c>
    </row>
    <row r="675">
      <c r="B675" s="30" t="n"/>
      <c r="G675" s="9">
        <f>IF(AND(E675&lt;&gt;"",E675&lt;&gt;0,H675&lt;&gt;""),H675/E675,"")</f>
        <v/>
      </c>
      <c r="L675">
        <f>IF(B675="","",IFERROR(VALUE(TEXT(B675,"[$-1170401]yyyy")),""))</f>
        <v/>
      </c>
      <c r="M675">
        <f>IF(B675="","",IFERROR(VALUE(TEXT(B675,"[$-1170401]mm")),""))</f>
        <v/>
      </c>
    </row>
    <row r="676">
      <c r="B676" s="30" t="n"/>
      <c r="G676" s="9">
        <f>IF(AND(E676&lt;&gt;"",E676&lt;&gt;0,H676&lt;&gt;""),H676/E676,"")</f>
        <v/>
      </c>
      <c r="L676">
        <f>IF(B676="","",IFERROR(VALUE(TEXT(B676,"[$-1170401]yyyy")),""))</f>
        <v/>
      </c>
      <c r="M676">
        <f>IF(B676="","",IFERROR(VALUE(TEXT(B676,"[$-1170401]mm")),""))</f>
        <v/>
      </c>
    </row>
    <row r="677">
      <c r="B677" s="30" t="n"/>
      <c r="G677" s="9">
        <f>IF(AND(E677&lt;&gt;"",E677&lt;&gt;0,H677&lt;&gt;""),H677/E677,"")</f>
        <v/>
      </c>
      <c r="L677">
        <f>IF(B677="","",IFERROR(VALUE(TEXT(B677,"[$-1170401]yyyy")),""))</f>
        <v/>
      </c>
      <c r="M677">
        <f>IF(B677="","",IFERROR(VALUE(TEXT(B677,"[$-1170401]mm")),""))</f>
        <v/>
      </c>
    </row>
    <row r="678">
      <c r="B678" s="30" t="n"/>
      <c r="G678" s="9">
        <f>IF(AND(E678&lt;&gt;"",E678&lt;&gt;0,H678&lt;&gt;""),H678/E678,"")</f>
        <v/>
      </c>
      <c r="L678">
        <f>IF(B678="","",IFERROR(VALUE(TEXT(B678,"[$-1170401]yyyy")),""))</f>
        <v/>
      </c>
      <c r="M678">
        <f>IF(B678="","",IFERROR(VALUE(TEXT(B678,"[$-1170401]mm")),""))</f>
        <v/>
      </c>
    </row>
    <row r="679">
      <c r="B679" s="30" t="n"/>
      <c r="G679" s="9">
        <f>IF(AND(E679&lt;&gt;"",E679&lt;&gt;0,H679&lt;&gt;""),H679/E679,"")</f>
        <v/>
      </c>
      <c r="L679">
        <f>IF(B679="","",IFERROR(VALUE(TEXT(B679,"[$-1170401]yyyy")),""))</f>
        <v/>
      </c>
      <c r="M679">
        <f>IF(B679="","",IFERROR(VALUE(TEXT(B679,"[$-1170401]mm")),""))</f>
        <v/>
      </c>
    </row>
    <row r="680">
      <c r="B680" s="30" t="n"/>
      <c r="G680" s="9">
        <f>IF(AND(E680&lt;&gt;"",E680&lt;&gt;0,H680&lt;&gt;""),H680/E680,"")</f>
        <v/>
      </c>
      <c r="L680">
        <f>IF(B680="","",IFERROR(VALUE(TEXT(B680,"[$-1170401]yyyy")),""))</f>
        <v/>
      </c>
      <c r="M680">
        <f>IF(B680="","",IFERROR(VALUE(TEXT(B680,"[$-1170401]mm")),""))</f>
        <v/>
      </c>
    </row>
    <row r="681">
      <c r="B681" s="30" t="n"/>
      <c r="G681" s="9">
        <f>IF(AND(E681&lt;&gt;"",E681&lt;&gt;0,H681&lt;&gt;""),H681/E681,"")</f>
        <v/>
      </c>
      <c r="L681">
        <f>IF(B681="","",IFERROR(VALUE(TEXT(B681,"[$-1170401]yyyy")),""))</f>
        <v/>
      </c>
      <c r="M681">
        <f>IF(B681="","",IFERROR(VALUE(TEXT(B681,"[$-1170401]mm")),""))</f>
        <v/>
      </c>
    </row>
    <row r="682">
      <c r="B682" s="30" t="n"/>
      <c r="G682" s="9">
        <f>IF(AND(E682&lt;&gt;"",E682&lt;&gt;0,H682&lt;&gt;""),H682/E682,"")</f>
        <v/>
      </c>
      <c r="L682">
        <f>IF(B682="","",IFERROR(VALUE(TEXT(B682,"[$-1170401]yyyy")),""))</f>
        <v/>
      </c>
      <c r="M682">
        <f>IF(B682="","",IFERROR(VALUE(TEXT(B682,"[$-1170401]mm")),""))</f>
        <v/>
      </c>
    </row>
    <row r="683">
      <c r="B683" s="30" t="n"/>
      <c r="G683" s="9">
        <f>IF(AND(E683&lt;&gt;"",E683&lt;&gt;0,H683&lt;&gt;""),H683/E683,"")</f>
        <v/>
      </c>
      <c r="L683">
        <f>IF(B683="","",IFERROR(VALUE(TEXT(B683,"[$-1170401]yyyy")),""))</f>
        <v/>
      </c>
      <c r="M683">
        <f>IF(B683="","",IFERROR(VALUE(TEXT(B683,"[$-1170401]mm")),""))</f>
        <v/>
      </c>
    </row>
    <row r="684">
      <c r="B684" s="30" t="n"/>
      <c r="G684" s="9">
        <f>IF(AND(E684&lt;&gt;"",E684&lt;&gt;0,H684&lt;&gt;""),H684/E684,"")</f>
        <v/>
      </c>
      <c r="L684">
        <f>IF(B684="","",IFERROR(VALUE(TEXT(B684,"[$-1170401]yyyy")),""))</f>
        <v/>
      </c>
      <c r="M684">
        <f>IF(B684="","",IFERROR(VALUE(TEXT(B684,"[$-1170401]mm")),""))</f>
        <v/>
      </c>
    </row>
    <row r="685">
      <c r="B685" s="30" t="n"/>
      <c r="G685" s="9">
        <f>IF(AND(E685&lt;&gt;"",E685&lt;&gt;0,H685&lt;&gt;""),H685/E685,"")</f>
        <v/>
      </c>
      <c r="L685">
        <f>IF(B685="","",IFERROR(VALUE(TEXT(B685,"[$-1170401]yyyy")),""))</f>
        <v/>
      </c>
      <c r="M685">
        <f>IF(B685="","",IFERROR(VALUE(TEXT(B685,"[$-1170401]mm")),""))</f>
        <v/>
      </c>
    </row>
    <row r="686">
      <c r="B686" s="30" t="n"/>
      <c r="G686" s="9">
        <f>IF(AND(E686&lt;&gt;"",E686&lt;&gt;0,H686&lt;&gt;""),H686/E686,"")</f>
        <v/>
      </c>
      <c r="L686">
        <f>IF(B686="","",IFERROR(VALUE(TEXT(B686,"[$-1170401]yyyy")),""))</f>
        <v/>
      </c>
      <c r="M686">
        <f>IF(B686="","",IFERROR(VALUE(TEXT(B686,"[$-1170401]mm")),""))</f>
        <v/>
      </c>
    </row>
    <row r="687">
      <c r="B687" s="30" t="n"/>
      <c r="G687" s="9">
        <f>IF(AND(E687&lt;&gt;"",E687&lt;&gt;0,H687&lt;&gt;""),H687/E687,"")</f>
        <v/>
      </c>
      <c r="L687">
        <f>IF(B687="","",IFERROR(VALUE(TEXT(B687,"[$-1170401]yyyy")),""))</f>
        <v/>
      </c>
      <c r="M687">
        <f>IF(B687="","",IFERROR(VALUE(TEXT(B687,"[$-1170401]mm")),""))</f>
        <v/>
      </c>
    </row>
    <row r="688">
      <c r="B688" s="30" t="n"/>
      <c r="G688" s="9">
        <f>IF(AND(E688&lt;&gt;"",E688&lt;&gt;0,H688&lt;&gt;""),H688/E688,"")</f>
        <v/>
      </c>
      <c r="L688">
        <f>IF(B688="","",IFERROR(VALUE(TEXT(B688,"[$-1170401]yyyy")),""))</f>
        <v/>
      </c>
      <c r="M688">
        <f>IF(B688="","",IFERROR(VALUE(TEXT(B688,"[$-1170401]mm")),""))</f>
        <v/>
      </c>
    </row>
    <row r="689">
      <c r="B689" s="30" t="n"/>
      <c r="G689" s="9">
        <f>IF(AND(E689&lt;&gt;"",E689&lt;&gt;0,H689&lt;&gt;""),H689/E689,"")</f>
        <v/>
      </c>
      <c r="L689">
        <f>IF(B689="","",IFERROR(VALUE(TEXT(B689,"[$-1170401]yyyy")),""))</f>
        <v/>
      </c>
      <c r="M689">
        <f>IF(B689="","",IFERROR(VALUE(TEXT(B689,"[$-1170401]mm")),""))</f>
        <v/>
      </c>
    </row>
    <row r="690">
      <c r="B690" s="30" t="n"/>
      <c r="G690" s="9">
        <f>IF(AND(E690&lt;&gt;"",E690&lt;&gt;0,H690&lt;&gt;""),H690/E690,"")</f>
        <v/>
      </c>
      <c r="L690">
        <f>IF(B690="","",IFERROR(VALUE(TEXT(B690,"[$-1170401]yyyy")),""))</f>
        <v/>
      </c>
      <c r="M690">
        <f>IF(B690="","",IFERROR(VALUE(TEXT(B690,"[$-1170401]mm")),""))</f>
        <v/>
      </c>
    </row>
    <row r="691">
      <c r="B691" s="30" t="n"/>
      <c r="G691" s="9">
        <f>IF(AND(E691&lt;&gt;"",E691&lt;&gt;0,H691&lt;&gt;""),H691/E691,"")</f>
        <v/>
      </c>
      <c r="L691">
        <f>IF(B691="","",IFERROR(VALUE(TEXT(B691,"[$-1170401]yyyy")),""))</f>
        <v/>
      </c>
      <c r="M691">
        <f>IF(B691="","",IFERROR(VALUE(TEXT(B691,"[$-1170401]mm")),""))</f>
        <v/>
      </c>
    </row>
    <row r="692">
      <c r="B692" s="30" t="n"/>
      <c r="G692" s="9">
        <f>IF(AND(E692&lt;&gt;"",E692&lt;&gt;0,H692&lt;&gt;""),H692/E692,"")</f>
        <v/>
      </c>
      <c r="L692">
        <f>IF(B692="","",IFERROR(VALUE(TEXT(B692,"[$-1170401]yyyy")),""))</f>
        <v/>
      </c>
      <c r="M692">
        <f>IF(B692="","",IFERROR(VALUE(TEXT(B692,"[$-1170401]mm")),""))</f>
        <v/>
      </c>
    </row>
    <row r="693">
      <c r="B693" s="30" t="n"/>
      <c r="G693" s="9">
        <f>IF(AND(E693&lt;&gt;"",E693&lt;&gt;0,H693&lt;&gt;""),H693/E693,"")</f>
        <v/>
      </c>
      <c r="L693">
        <f>IF(B693="","",IFERROR(VALUE(TEXT(B693,"[$-1170401]yyyy")),""))</f>
        <v/>
      </c>
      <c r="M693">
        <f>IF(B693="","",IFERROR(VALUE(TEXT(B693,"[$-1170401]mm")),""))</f>
        <v/>
      </c>
    </row>
    <row r="694">
      <c r="B694" s="30" t="n"/>
      <c r="G694" s="9">
        <f>IF(AND(E694&lt;&gt;"",E694&lt;&gt;0,H694&lt;&gt;""),H694/E694,"")</f>
        <v/>
      </c>
      <c r="L694">
        <f>IF(B694="","",IFERROR(VALUE(TEXT(B694,"[$-1170401]yyyy")),""))</f>
        <v/>
      </c>
      <c r="M694">
        <f>IF(B694="","",IFERROR(VALUE(TEXT(B694,"[$-1170401]mm")),""))</f>
        <v/>
      </c>
    </row>
    <row r="695">
      <c r="B695" s="30" t="n"/>
      <c r="G695" s="9">
        <f>IF(AND(E695&lt;&gt;"",E695&lt;&gt;0,H695&lt;&gt;""),H695/E695,"")</f>
        <v/>
      </c>
      <c r="L695">
        <f>IF(B695="","",IFERROR(VALUE(TEXT(B695,"[$-1170401]yyyy")),""))</f>
        <v/>
      </c>
      <c r="M695">
        <f>IF(B695="","",IFERROR(VALUE(TEXT(B695,"[$-1170401]mm")),""))</f>
        <v/>
      </c>
    </row>
    <row r="696">
      <c r="B696" s="30" t="n"/>
      <c r="G696" s="9">
        <f>IF(AND(E696&lt;&gt;"",E696&lt;&gt;0,H696&lt;&gt;""),H696/E696,"")</f>
        <v/>
      </c>
      <c r="L696">
        <f>IF(B696="","",IFERROR(VALUE(TEXT(B696,"[$-1170401]yyyy")),""))</f>
        <v/>
      </c>
      <c r="M696">
        <f>IF(B696="","",IFERROR(VALUE(TEXT(B696,"[$-1170401]mm")),""))</f>
        <v/>
      </c>
    </row>
    <row r="697">
      <c r="B697" s="30" t="n"/>
      <c r="G697" s="9">
        <f>IF(AND(E697&lt;&gt;"",E697&lt;&gt;0,H697&lt;&gt;""),H697/E697,"")</f>
        <v/>
      </c>
      <c r="L697">
        <f>IF(B697="","",IFERROR(VALUE(TEXT(B697,"[$-1170401]yyyy")),""))</f>
        <v/>
      </c>
      <c r="M697">
        <f>IF(B697="","",IFERROR(VALUE(TEXT(B697,"[$-1170401]mm")),""))</f>
        <v/>
      </c>
    </row>
    <row r="698">
      <c r="B698" s="30" t="n"/>
      <c r="G698" s="9">
        <f>IF(AND(E698&lt;&gt;"",E698&lt;&gt;0,H698&lt;&gt;""),H698/E698,"")</f>
        <v/>
      </c>
      <c r="L698">
        <f>IF(B698="","",IFERROR(VALUE(TEXT(B698,"[$-1170401]yyyy")),""))</f>
        <v/>
      </c>
      <c r="M698">
        <f>IF(B698="","",IFERROR(VALUE(TEXT(B698,"[$-1170401]mm")),""))</f>
        <v/>
      </c>
    </row>
    <row r="699">
      <c r="B699" s="30" t="n"/>
      <c r="G699" s="9">
        <f>IF(AND(E699&lt;&gt;"",E699&lt;&gt;0,H699&lt;&gt;""),H699/E699,"")</f>
        <v/>
      </c>
      <c r="L699">
        <f>IF(B699="","",IFERROR(VALUE(TEXT(B699,"[$-1170401]yyyy")),""))</f>
        <v/>
      </c>
      <c r="M699">
        <f>IF(B699="","",IFERROR(VALUE(TEXT(B699,"[$-1170401]mm")),""))</f>
        <v/>
      </c>
    </row>
    <row r="700">
      <c r="B700" s="30" t="n"/>
      <c r="G700" s="9">
        <f>IF(AND(E700&lt;&gt;"",E700&lt;&gt;0,H700&lt;&gt;""),H700/E700,"")</f>
        <v/>
      </c>
      <c r="L700">
        <f>IF(B700="","",IFERROR(VALUE(TEXT(B700,"[$-1170401]yyyy")),""))</f>
        <v/>
      </c>
      <c r="M700">
        <f>IF(B700="","",IFERROR(VALUE(TEXT(B700,"[$-1170401]mm")),""))</f>
        <v/>
      </c>
    </row>
    <row r="701">
      <c r="B701" s="30" t="n"/>
      <c r="G701" s="9">
        <f>IF(AND(E701&lt;&gt;"",E701&lt;&gt;0,H701&lt;&gt;""),H701/E701,"")</f>
        <v/>
      </c>
      <c r="L701">
        <f>IF(B701="","",IFERROR(VALUE(TEXT(B701,"[$-1170401]yyyy")),""))</f>
        <v/>
      </c>
      <c r="M701">
        <f>IF(B701="","",IFERROR(VALUE(TEXT(B701,"[$-1170401]mm")),""))</f>
        <v/>
      </c>
    </row>
    <row r="702">
      <c r="B702" s="30" t="n"/>
      <c r="G702" s="9">
        <f>IF(AND(E702&lt;&gt;"",E702&lt;&gt;0,H702&lt;&gt;""),H702/E702,"")</f>
        <v/>
      </c>
      <c r="L702">
        <f>IF(B702="","",IFERROR(VALUE(TEXT(B702,"[$-1170401]yyyy")),""))</f>
        <v/>
      </c>
      <c r="M702">
        <f>IF(B702="","",IFERROR(VALUE(TEXT(B702,"[$-1170401]mm")),""))</f>
        <v/>
      </c>
    </row>
    <row r="703">
      <c r="B703" s="30" t="n"/>
      <c r="G703" s="9">
        <f>IF(AND(E703&lt;&gt;"",E703&lt;&gt;0,H703&lt;&gt;""),H703/E703,"")</f>
        <v/>
      </c>
      <c r="L703">
        <f>IF(B703="","",IFERROR(VALUE(TEXT(B703,"[$-1170401]yyyy")),""))</f>
        <v/>
      </c>
      <c r="M703">
        <f>IF(B703="","",IFERROR(VALUE(TEXT(B703,"[$-1170401]mm")),""))</f>
        <v/>
      </c>
    </row>
    <row r="704">
      <c r="B704" s="30" t="n"/>
      <c r="G704" s="9">
        <f>IF(AND(E704&lt;&gt;"",E704&lt;&gt;0,H704&lt;&gt;""),H704/E704,"")</f>
        <v/>
      </c>
      <c r="L704">
        <f>IF(B704="","",IFERROR(VALUE(TEXT(B704,"[$-1170401]yyyy")),""))</f>
        <v/>
      </c>
      <c r="M704">
        <f>IF(B704="","",IFERROR(VALUE(TEXT(B704,"[$-1170401]mm")),""))</f>
        <v/>
      </c>
    </row>
    <row r="705">
      <c r="B705" s="30" t="n"/>
      <c r="G705" s="9">
        <f>IF(AND(E705&lt;&gt;"",E705&lt;&gt;0,H705&lt;&gt;""),H705/E705,"")</f>
        <v/>
      </c>
      <c r="L705">
        <f>IF(B705="","",IFERROR(VALUE(TEXT(B705,"[$-1170401]yyyy")),""))</f>
        <v/>
      </c>
      <c r="M705">
        <f>IF(B705="","",IFERROR(VALUE(TEXT(B705,"[$-1170401]mm")),""))</f>
        <v/>
      </c>
    </row>
    <row r="706">
      <c r="B706" s="30" t="n"/>
      <c r="G706" s="9">
        <f>IF(AND(E706&lt;&gt;"",E706&lt;&gt;0,H706&lt;&gt;""),H706/E706,"")</f>
        <v/>
      </c>
      <c r="L706">
        <f>IF(B706="","",IFERROR(VALUE(TEXT(B706,"[$-1170401]yyyy")),""))</f>
        <v/>
      </c>
      <c r="M706">
        <f>IF(B706="","",IFERROR(VALUE(TEXT(B706,"[$-1170401]mm")),""))</f>
        <v/>
      </c>
    </row>
    <row r="707">
      <c r="B707" s="30" t="n"/>
      <c r="G707" s="9">
        <f>IF(AND(E707&lt;&gt;"",E707&lt;&gt;0,H707&lt;&gt;""),H707/E707,"")</f>
        <v/>
      </c>
      <c r="L707">
        <f>IF(B707="","",IFERROR(VALUE(TEXT(B707,"[$-1170401]yyyy")),""))</f>
        <v/>
      </c>
      <c r="M707">
        <f>IF(B707="","",IFERROR(VALUE(TEXT(B707,"[$-1170401]mm")),""))</f>
        <v/>
      </c>
    </row>
    <row r="708">
      <c r="B708" s="30" t="n"/>
      <c r="G708" s="9">
        <f>IF(AND(E708&lt;&gt;"",E708&lt;&gt;0,H708&lt;&gt;""),H708/E708,"")</f>
        <v/>
      </c>
      <c r="L708">
        <f>IF(B708="","",IFERROR(VALUE(TEXT(B708,"[$-1170401]yyyy")),""))</f>
        <v/>
      </c>
      <c r="M708">
        <f>IF(B708="","",IFERROR(VALUE(TEXT(B708,"[$-1170401]mm")),""))</f>
        <v/>
      </c>
    </row>
    <row r="709">
      <c r="B709" s="30" t="n"/>
      <c r="G709" s="9">
        <f>IF(AND(E709&lt;&gt;"",E709&lt;&gt;0,H709&lt;&gt;""),H709/E709,"")</f>
        <v/>
      </c>
      <c r="L709">
        <f>IF(B709="","",IFERROR(VALUE(TEXT(B709,"[$-1170401]yyyy")),""))</f>
        <v/>
      </c>
      <c r="M709">
        <f>IF(B709="","",IFERROR(VALUE(TEXT(B709,"[$-1170401]mm")),""))</f>
        <v/>
      </c>
    </row>
    <row r="710">
      <c r="B710" s="30" t="n"/>
      <c r="G710" s="9">
        <f>IF(AND(E710&lt;&gt;"",E710&lt;&gt;0,H710&lt;&gt;""),H710/E710,"")</f>
        <v/>
      </c>
      <c r="L710">
        <f>IF(B710="","",IFERROR(VALUE(TEXT(B710,"[$-1170401]yyyy")),""))</f>
        <v/>
      </c>
      <c r="M710">
        <f>IF(B710="","",IFERROR(VALUE(TEXT(B710,"[$-1170401]mm")),""))</f>
        <v/>
      </c>
    </row>
    <row r="711">
      <c r="B711" s="30" t="n"/>
      <c r="G711" s="9">
        <f>IF(AND(E711&lt;&gt;"",E711&lt;&gt;0,H711&lt;&gt;""),H711/E711,"")</f>
        <v/>
      </c>
      <c r="L711">
        <f>IF(B711="","",IFERROR(VALUE(TEXT(B711,"[$-1170401]yyyy")),""))</f>
        <v/>
      </c>
      <c r="M711">
        <f>IF(B711="","",IFERROR(VALUE(TEXT(B711,"[$-1170401]mm")),""))</f>
        <v/>
      </c>
    </row>
    <row r="712">
      <c r="B712" s="30" t="n"/>
      <c r="G712" s="9">
        <f>IF(AND(E712&lt;&gt;"",E712&lt;&gt;0,H712&lt;&gt;""),H712/E712,"")</f>
        <v/>
      </c>
      <c r="L712">
        <f>IF(B712="","",IFERROR(VALUE(TEXT(B712,"[$-1170401]yyyy")),""))</f>
        <v/>
      </c>
      <c r="M712">
        <f>IF(B712="","",IFERROR(VALUE(TEXT(B712,"[$-1170401]mm")),""))</f>
        <v/>
      </c>
    </row>
    <row r="713">
      <c r="B713" s="30" t="n"/>
      <c r="G713" s="9">
        <f>IF(AND(E713&lt;&gt;"",E713&lt;&gt;0,H713&lt;&gt;""),H713/E713,"")</f>
        <v/>
      </c>
      <c r="L713">
        <f>IF(B713="","",IFERROR(VALUE(TEXT(B713,"[$-1170401]yyyy")),""))</f>
        <v/>
      </c>
      <c r="M713">
        <f>IF(B713="","",IFERROR(VALUE(TEXT(B713,"[$-1170401]mm")),""))</f>
        <v/>
      </c>
    </row>
    <row r="714">
      <c r="B714" s="30" t="n"/>
      <c r="G714" s="9">
        <f>IF(AND(E714&lt;&gt;"",E714&lt;&gt;0,H714&lt;&gt;""),H714/E714,"")</f>
        <v/>
      </c>
      <c r="L714">
        <f>IF(B714="","",IFERROR(VALUE(TEXT(B714,"[$-1170401]yyyy")),""))</f>
        <v/>
      </c>
      <c r="M714">
        <f>IF(B714="","",IFERROR(VALUE(TEXT(B714,"[$-1170401]mm")),""))</f>
        <v/>
      </c>
    </row>
    <row r="715">
      <c r="B715" s="30" t="n"/>
      <c r="G715" s="9">
        <f>IF(AND(E715&lt;&gt;"",E715&lt;&gt;0,H715&lt;&gt;""),H715/E715,"")</f>
        <v/>
      </c>
      <c r="L715">
        <f>IF(B715="","",IFERROR(VALUE(TEXT(B715,"[$-1170401]yyyy")),""))</f>
        <v/>
      </c>
      <c r="M715">
        <f>IF(B715="","",IFERROR(VALUE(TEXT(B715,"[$-1170401]mm")),""))</f>
        <v/>
      </c>
    </row>
    <row r="716">
      <c r="B716" s="30" t="n"/>
      <c r="G716" s="9">
        <f>IF(AND(E716&lt;&gt;"",E716&lt;&gt;0,H716&lt;&gt;""),H716/E716,"")</f>
        <v/>
      </c>
      <c r="L716">
        <f>IF(B716="","",IFERROR(VALUE(TEXT(B716,"[$-1170401]yyyy")),""))</f>
        <v/>
      </c>
      <c r="M716">
        <f>IF(B716="","",IFERROR(VALUE(TEXT(B716,"[$-1170401]mm")),""))</f>
        <v/>
      </c>
    </row>
    <row r="717">
      <c r="B717" s="30" t="n"/>
      <c r="G717" s="9">
        <f>IF(AND(E717&lt;&gt;"",E717&lt;&gt;0,H717&lt;&gt;""),H717/E717,"")</f>
        <v/>
      </c>
      <c r="L717">
        <f>IF(B717="","",IFERROR(VALUE(TEXT(B717,"[$-1170401]yyyy")),""))</f>
        <v/>
      </c>
      <c r="M717">
        <f>IF(B717="","",IFERROR(VALUE(TEXT(B717,"[$-1170401]mm")),""))</f>
        <v/>
      </c>
    </row>
    <row r="718">
      <c r="B718" s="30" t="n"/>
      <c r="G718" s="9">
        <f>IF(AND(E718&lt;&gt;"",E718&lt;&gt;0,H718&lt;&gt;""),H718/E718,"")</f>
        <v/>
      </c>
      <c r="L718">
        <f>IF(B718="","",IFERROR(VALUE(TEXT(B718,"[$-1170401]yyyy")),""))</f>
        <v/>
      </c>
      <c r="M718">
        <f>IF(B718="","",IFERROR(VALUE(TEXT(B718,"[$-1170401]mm")),""))</f>
        <v/>
      </c>
    </row>
    <row r="719">
      <c r="B719" s="30" t="n"/>
      <c r="G719" s="9">
        <f>IF(AND(E719&lt;&gt;"",E719&lt;&gt;0,H719&lt;&gt;""),H719/E719,"")</f>
        <v/>
      </c>
      <c r="L719">
        <f>IF(B719="","",IFERROR(VALUE(TEXT(B719,"[$-1170401]yyyy")),""))</f>
        <v/>
      </c>
      <c r="M719">
        <f>IF(B719="","",IFERROR(VALUE(TEXT(B719,"[$-1170401]mm")),""))</f>
        <v/>
      </c>
    </row>
    <row r="720">
      <c r="B720" s="30" t="n"/>
      <c r="G720" s="9">
        <f>IF(AND(E720&lt;&gt;"",E720&lt;&gt;0,H720&lt;&gt;""),H720/E720,"")</f>
        <v/>
      </c>
      <c r="L720">
        <f>IF(B720="","",IFERROR(VALUE(TEXT(B720,"[$-1170401]yyyy")),""))</f>
        <v/>
      </c>
      <c r="M720">
        <f>IF(B720="","",IFERROR(VALUE(TEXT(B720,"[$-1170401]mm")),""))</f>
        <v/>
      </c>
    </row>
    <row r="721">
      <c r="B721" s="30" t="n"/>
      <c r="G721" s="9">
        <f>IF(AND(E721&lt;&gt;"",E721&lt;&gt;0,H721&lt;&gt;""),H721/E721,"")</f>
        <v/>
      </c>
      <c r="L721">
        <f>IF(B721="","",IFERROR(VALUE(TEXT(B721,"[$-1170401]yyyy")),""))</f>
        <v/>
      </c>
      <c r="M721">
        <f>IF(B721="","",IFERROR(VALUE(TEXT(B721,"[$-1170401]mm")),""))</f>
        <v/>
      </c>
    </row>
    <row r="722">
      <c r="B722" s="30" t="n"/>
      <c r="G722" s="9">
        <f>IF(AND(E722&lt;&gt;"",E722&lt;&gt;0,H722&lt;&gt;""),H722/E722,"")</f>
        <v/>
      </c>
      <c r="L722">
        <f>IF(B722="","",IFERROR(VALUE(TEXT(B722,"[$-1170401]yyyy")),""))</f>
        <v/>
      </c>
      <c r="M722">
        <f>IF(B722="","",IFERROR(VALUE(TEXT(B722,"[$-1170401]mm")),""))</f>
        <v/>
      </c>
    </row>
    <row r="723">
      <c r="B723" s="30" t="n"/>
      <c r="G723" s="9">
        <f>IF(AND(E723&lt;&gt;"",E723&lt;&gt;0,H723&lt;&gt;""),H723/E723,"")</f>
        <v/>
      </c>
      <c r="L723">
        <f>IF(B723="","",IFERROR(VALUE(TEXT(B723,"[$-1170401]yyyy")),""))</f>
        <v/>
      </c>
      <c r="M723">
        <f>IF(B723="","",IFERROR(VALUE(TEXT(B723,"[$-1170401]mm")),""))</f>
        <v/>
      </c>
    </row>
    <row r="724">
      <c r="B724" s="30" t="n"/>
      <c r="G724" s="9">
        <f>IF(AND(E724&lt;&gt;"",E724&lt;&gt;0,H724&lt;&gt;""),H724/E724,"")</f>
        <v/>
      </c>
      <c r="L724">
        <f>IF(B724="","",IFERROR(VALUE(TEXT(B724,"[$-1170401]yyyy")),""))</f>
        <v/>
      </c>
      <c r="M724">
        <f>IF(B724="","",IFERROR(VALUE(TEXT(B724,"[$-1170401]mm")),""))</f>
        <v/>
      </c>
    </row>
    <row r="725">
      <c r="B725" s="30" t="n"/>
      <c r="G725" s="9">
        <f>IF(AND(E725&lt;&gt;"",E725&lt;&gt;0,H725&lt;&gt;""),H725/E725,"")</f>
        <v/>
      </c>
      <c r="L725">
        <f>IF(B725="","",IFERROR(VALUE(TEXT(B725,"[$-1170401]yyyy")),""))</f>
        <v/>
      </c>
      <c r="M725">
        <f>IF(B725="","",IFERROR(VALUE(TEXT(B725,"[$-1170401]mm")),""))</f>
        <v/>
      </c>
    </row>
    <row r="726">
      <c r="B726" s="30" t="n"/>
      <c r="G726" s="9">
        <f>IF(AND(E726&lt;&gt;"",E726&lt;&gt;0,H726&lt;&gt;""),H726/E726,"")</f>
        <v/>
      </c>
      <c r="L726">
        <f>IF(B726="","",IFERROR(VALUE(TEXT(B726,"[$-1170401]yyyy")),""))</f>
        <v/>
      </c>
      <c r="M726">
        <f>IF(B726="","",IFERROR(VALUE(TEXT(B726,"[$-1170401]mm")),""))</f>
        <v/>
      </c>
    </row>
    <row r="727">
      <c r="B727" s="30" t="n"/>
      <c r="G727" s="9">
        <f>IF(AND(E727&lt;&gt;"",E727&lt;&gt;0,H727&lt;&gt;""),H727/E727,"")</f>
        <v/>
      </c>
      <c r="L727">
        <f>IF(B727="","",IFERROR(VALUE(TEXT(B727,"[$-1170401]yyyy")),""))</f>
        <v/>
      </c>
      <c r="M727">
        <f>IF(B727="","",IFERROR(VALUE(TEXT(B727,"[$-1170401]mm")),""))</f>
        <v/>
      </c>
    </row>
    <row r="728">
      <c r="B728" s="30" t="n"/>
      <c r="G728" s="9">
        <f>IF(AND(E728&lt;&gt;"",E728&lt;&gt;0,H728&lt;&gt;""),H728/E728,"")</f>
        <v/>
      </c>
      <c r="L728">
        <f>IF(B728="","",IFERROR(VALUE(TEXT(B728,"[$-1170401]yyyy")),""))</f>
        <v/>
      </c>
      <c r="M728">
        <f>IF(B728="","",IFERROR(VALUE(TEXT(B728,"[$-1170401]mm")),""))</f>
        <v/>
      </c>
    </row>
    <row r="729">
      <c r="B729" s="30" t="n"/>
      <c r="G729" s="9">
        <f>IF(AND(E729&lt;&gt;"",E729&lt;&gt;0,H729&lt;&gt;""),H729/E729,"")</f>
        <v/>
      </c>
      <c r="L729">
        <f>IF(B729="","",IFERROR(VALUE(TEXT(B729,"[$-1170401]yyyy")),""))</f>
        <v/>
      </c>
      <c r="M729">
        <f>IF(B729="","",IFERROR(VALUE(TEXT(B729,"[$-1170401]mm")),""))</f>
        <v/>
      </c>
    </row>
    <row r="730">
      <c r="B730" s="30" t="n"/>
      <c r="G730" s="9">
        <f>IF(AND(E730&lt;&gt;"",E730&lt;&gt;0,H730&lt;&gt;""),H730/E730,"")</f>
        <v/>
      </c>
      <c r="L730">
        <f>IF(B730="","",IFERROR(VALUE(TEXT(B730,"[$-1170401]yyyy")),""))</f>
        <v/>
      </c>
      <c r="M730">
        <f>IF(B730="","",IFERROR(VALUE(TEXT(B730,"[$-1170401]mm")),""))</f>
        <v/>
      </c>
    </row>
    <row r="731">
      <c r="B731" s="30" t="n"/>
      <c r="G731" s="9">
        <f>IF(AND(E731&lt;&gt;"",E731&lt;&gt;0,H731&lt;&gt;""),H731/E731,"")</f>
        <v/>
      </c>
      <c r="L731">
        <f>IF(B731="","",IFERROR(VALUE(TEXT(B731,"[$-1170401]yyyy")),""))</f>
        <v/>
      </c>
      <c r="M731">
        <f>IF(B731="","",IFERROR(VALUE(TEXT(B731,"[$-1170401]mm")),""))</f>
        <v/>
      </c>
    </row>
    <row r="732">
      <c r="B732" s="30" t="n"/>
      <c r="G732" s="9">
        <f>IF(AND(E732&lt;&gt;"",E732&lt;&gt;0,H732&lt;&gt;""),H732/E732,"")</f>
        <v/>
      </c>
      <c r="L732">
        <f>IF(B732="","",IFERROR(VALUE(TEXT(B732,"[$-1170401]yyyy")),""))</f>
        <v/>
      </c>
      <c r="M732">
        <f>IF(B732="","",IFERROR(VALUE(TEXT(B732,"[$-1170401]mm")),""))</f>
        <v/>
      </c>
    </row>
    <row r="733">
      <c r="B733" s="30" t="n"/>
      <c r="G733" s="9">
        <f>IF(AND(E733&lt;&gt;"",E733&lt;&gt;0,H733&lt;&gt;""),H733/E733,"")</f>
        <v/>
      </c>
      <c r="L733">
        <f>IF(B733="","",IFERROR(VALUE(TEXT(B733,"[$-1170401]yyyy")),""))</f>
        <v/>
      </c>
      <c r="M733">
        <f>IF(B733="","",IFERROR(VALUE(TEXT(B733,"[$-1170401]mm")),""))</f>
        <v/>
      </c>
    </row>
    <row r="734">
      <c r="B734" s="30" t="n"/>
      <c r="G734" s="9">
        <f>IF(AND(E734&lt;&gt;"",E734&lt;&gt;0,H734&lt;&gt;""),H734/E734,"")</f>
        <v/>
      </c>
      <c r="L734">
        <f>IF(B734="","",IFERROR(VALUE(TEXT(B734,"[$-1170401]yyyy")),""))</f>
        <v/>
      </c>
      <c r="M734">
        <f>IF(B734="","",IFERROR(VALUE(TEXT(B734,"[$-1170401]mm")),""))</f>
        <v/>
      </c>
    </row>
    <row r="735">
      <c r="B735" s="30" t="n"/>
      <c r="G735" s="9">
        <f>IF(AND(E735&lt;&gt;"",E735&lt;&gt;0,H735&lt;&gt;""),H735/E735,"")</f>
        <v/>
      </c>
      <c r="L735">
        <f>IF(B735="","",IFERROR(VALUE(TEXT(B735,"[$-1170401]yyyy")),""))</f>
        <v/>
      </c>
      <c r="M735">
        <f>IF(B735="","",IFERROR(VALUE(TEXT(B735,"[$-1170401]mm")),""))</f>
        <v/>
      </c>
    </row>
    <row r="736">
      <c r="B736" s="30" t="n"/>
      <c r="G736" s="9">
        <f>IF(AND(E736&lt;&gt;"",E736&lt;&gt;0,H736&lt;&gt;""),H736/E736,"")</f>
        <v/>
      </c>
      <c r="L736">
        <f>IF(B736="","",IFERROR(VALUE(TEXT(B736,"[$-1170401]yyyy")),""))</f>
        <v/>
      </c>
      <c r="M736">
        <f>IF(B736="","",IFERROR(VALUE(TEXT(B736,"[$-1170401]mm")),""))</f>
        <v/>
      </c>
    </row>
    <row r="737">
      <c r="B737" s="30" t="n"/>
      <c r="G737" s="9">
        <f>IF(AND(E737&lt;&gt;"",E737&lt;&gt;0,H737&lt;&gt;""),H737/E737,"")</f>
        <v/>
      </c>
      <c r="L737">
        <f>IF(B737="","",IFERROR(VALUE(TEXT(B737,"[$-1170401]yyyy")),""))</f>
        <v/>
      </c>
      <c r="M737">
        <f>IF(B737="","",IFERROR(VALUE(TEXT(B737,"[$-1170401]mm")),""))</f>
        <v/>
      </c>
    </row>
    <row r="738">
      <c r="B738" s="30" t="n"/>
      <c r="G738" s="9">
        <f>IF(AND(E738&lt;&gt;"",E738&lt;&gt;0,H738&lt;&gt;""),H738/E738,"")</f>
        <v/>
      </c>
      <c r="L738">
        <f>IF(B738="","",IFERROR(VALUE(TEXT(B738,"[$-1170401]yyyy")),""))</f>
        <v/>
      </c>
      <c r="M738">
        <f>IF(B738="","",IFERROR(VALUE(TEXT(B738,"[$-1170401]mm")),""))</f>
        <v/>
      </c>
    </row>
    <row r="739">
      <c r="B739" s="30" t="n"/>
      <c r="G739" s="9">
        <f>IF(AND(E739&lt;&gt;"",E739&lt;&gt;0,H739&lt;&gt;""),H739/E739,"")</f>
        <v/>
      </c>
      <c r="L739">
        <f>IF(B739="","",IFERROR(VALUE(TEXT(B739,"[$-1170401]yyyy")),""))</f>
        <v/>
      </c>
      <c r="M739">
        <f>IF(B739="","",IFERROR(VALUE(TEXT(B739,"[$-1170401]mm")),""))</f>
        <v/>
      </c>
    </row>
    <row r="740">
      <c r="B740" s="30" t="n"/>
      <c r="G740" s="9">
        <f>IF(AND(E740&lt;&gt;"",E740&lt;&gt;0,H740&lt;&gt;""),H740/E740,"")</f>
        <v/>
      </c>
      <c r="L740">
        <f>IF(B740="","",IFERROR(VALUE(TEXT(B740,"[$-1170401]yyyy")),""))</f>
        <v/>
      </c>
      <c r="M740">
        <f>IF(B740="","",IFERROR(VALUE(TEXT(B740,"[$-1170401]mm")),""))</f>
        <v/>
      </c>
    </row>
    <row r="741">
      <c r="B741" s="30" t="n"/>
      <c r="G741" s="9">
        <f>IF(AND(E741&lt;&gt;"",E741&lt;&gt;0,H741&lt;&gt;""),H741/E741,"")</f>
        <v/>
      </c>
      <c r="L741">
        <f>IF(B741="","",IFERROR(VALUE(TEXT(B741,"[$-1170401]yyyy")),""))</f>
        <v/>
      </c>
      <c r="M741">
        <f>IF(B741="","",IFERROR(VALUE(TEXT(B741,"[$-1170401]mm")),""))</f>
        <v/>
      </c>
    </row>
    <row r="742">
      <c r="B742" s="30" t="n"/>
      <c r="G742" s="9">
        <f>IF(AND(E742&lt;&gt;"",E742&lt;&gt;0,H742&lt;&gt;""),H742/E742,"")</f>
        <v/>
      </c>
      <c r="L742">
        <f>IF(B742="","",IFERROR(VALUE(TEXT(B742,"[$-1170401]yyyy")),""))</f>
        <v/>
      </c>
      <c r="M742">
        <f>IF(B742="","",IFERROR(VALUE(TEXT(B742,"[$-1170401]mm")),""))</f>
        <v/>
      </c>
    </row>
    <row r="743">
      <c r="B743" s="30" t="n"/>
      <c r="G743" s="9">
        <f>IF(AND(E743&lt;&gt;"",E743&lt;&gt;0,H743&lt;&gt;""),H743/E743,"")</f>
        <v/>
      </c>
      <c r="L743">
        <f>IF(B743="","",IFERROR(VALUE(TEXT(B743,"[$-1170401]yyyy")),""))</f>
        <v/>
      </c>
      <c r="M743">
        <f>IF(B743="","",IFERROR(VALUE(TEXT(B743,"[$-1170401]mm")),""))</f>
        <v/>
      </c>
    </row>
    <row r="744">
      <c r="B744" s="30" t="n"/>
      <c r="G744" s="9">
        <f>IF(AND(E744&lt;&gt;"",E744&lt;&gt;0,H744&lt;&gt;""),H744/E744,"")</f>
        <v/>
      </c>
      <c r="L744">
        <f>IF(B744="","",IFERROR(VALUE(TEXT(B744,"[$-1170401]yyyy")),""))</f>
        <v/>
      </c>
      <c r="M744">
        <f>IF(B744="","",IFERROR(VALUE(TEXT(B744,"[$-1170401]mm")),""))</f>
        <v/>
      </c>
    </row>
    <row r="745">
      <c r="B745" s="30" t="n"/>
      <c r="G745" s="9">
        <f>IF(AND(E745&lt;&gt;"",E745&lt;&gt;0,H745&lt;&gt;""),H745/E745,"")</f>
        <v/>
      </c>
      <c r="L745">
        <f>IF(B745="","",IFERROR(VALUE(TEXT(B745,"[$-1170401]yyyy")),""))</f>
        <v/>
      </c>
      <c r="M745">
        <f>IF(B745="","",IFERROR(VALUE(TEXT(B745,"[$-1170401]mm")),""))</f>
        <v/>
      </c>
    </row>
    <row r="746">
      <c r="B746" s="30" t="n"/>
      <c r="G746" s="9">
        <f>IF(AND(E746&lt;&gt;"",E746&lt;&gt;0,H746&lt;&gt;""),H746/E746,"")</f>
        <v/>
      </c>
      <c r="L746">
        <f>IF(B746="","",IFERROR(VALUE(TEXT(B746,"[$-1170401]yyyy")),""))</f>
        <v/>
      </c>
      <c r="M746">
        <f>IF(B746="","",IFERROR(VALUE(TEXT(B746,"[$-1170401]mm")),""))</f>
        <v/>
      </c>
    </row>
    <row r="747">
      <c r="B747" s="30" t="n"/>
      <c r="G747" s="9">
        <f>IF(AND(E747&lt;&gt;"",E747&lt;&gt;0,H747&lt;&gt;""),H747/E747,"")</f>
        <v/>
      </c>
      <c r="L747">
        <f>IF(B747="","",IFERROR(VALUE(TEXT(B747,"[$-1170401]yyyy")),""))</f>
        <v/>
      </c>
      <c r="M747">
        <f>IF(B747="","",IFERROR(VALUE(TEXT(B747,"[$-1170401]mm")),""))</f>
        <v/>
      </c>
    </row>
    <row r="748">
      <c r="B748" s="30" t="n"/>
      <c r="G748" s="9">
        <f>IF(AND(E748&lt;&gt;"",E748&lt;&gt;0,H748&lt;&gt;""),H748/E748,"")</f>
        <v/>
      </c>
      <c r="L748">
        <f>IF(B748="","",IFERROR(VALUE(TEXT(B748,"[$-1170401]yyyy")),""))</f>
        <v/>
      </c>
      <c r="M748">
        <f>IF(B748="","",IFERROR(VALUE(TEXT(B748,"[$-1170401]mm")),""))</f>
        <v/>
      </c>
    </row>
    <row r="749">
      <c r="B749" s="30" t="n"/>
      <c r="G749" s="9">
        <f>IF(AND(E749&lt;&gt;"",E749&lt;&gt;0,H749&lt;&gt;""),H749/E749,"")</f>
        <v/>
      </c>
      <c r="L749">
        <f>IF(B749="","",IFERROR(VALUE(TEXT(B749,"[$-1170401]yyyy")),""))</f>
        <v/>
      </c>
      <c r="M749">
        <f>IF(B749="","",IFERROR(VALUE(TEXT(B749,"[$-1170401]mm")),""))</f>
        <v/>
      </c>
    </row>
    <row r="750">
      <c r="B750" s="30" t="n"/>
      <c r="G750" s="9">
        <f>IF(AND(E750&lt;&gt;"",E750&lt;&gt;0,H750&lt;&gt;""),H750/E750,"")</f>
        <v/>
      </c>
      <c r="L750">
        <f>IF(B750="","",IFERROR(VALUE(TEXT(B750,"[$-1170401]yyyy")),""))</f>
        <v/>
      </c>
      <c r="M750">
        <f>IF(B750="","",IFERROR(VALUE(TEXT(B750,"[$-1170401]mm")),""))</f>
        <v/>
      </c>
    </row>
    <row r="751">
      <c r="B751" s="30" t="n"/>
      <c r="G751" s="9">
        <f>IF(AND(E751&lt;&gt;"",E751&lt;&gt;0,H751&lt;&gt;""),H751/E751,"")</f>
        <v/>
      </c>
      <c r="L751">
        <f>IF(B751="","",IFERROR(VALUE(TEXT(B751,"[$-1170401]yyyy")),""))</f>
        <v/>
      </c>
      <c r="M751">
        <f>IF(B751="","",IFERROR(VALUE(TEXT(B751,"[$-1170401]mm")),""))</f>
        <v/>
      </c>
    </row>
    <row r="752">
      <c r="B752" s="30" t="n"/>
      <c r="G752" s="9">
        <f>IF(AND(E752&lt;&gt;"",E752&lt;&gt;0,H752&lt;&gt;""),H752/E752,"")</f>
        <v/>
      </c>
      <c r="L752">
        <f>IF(B752="","",IFERROR(VALUE(TEXT(B752,"[$-1170401]yyyy")),""))</f>
        <v/>
      </c>
      <c r="M752">
        <f>IF(B752="","",IFERROR(VALUE(TEXT(B752,"[$-1170401]mm")),""))</f>
        <v/>
      </c>
    </row>
    <row r="753">
      <c r="B753" s="30" t="n"/>
      <c r="G753" s="9">
        <f>IF(AND(E753&lt;&gt;"",E753&lt;&gt;0,H753&lt;&gt;""),H753/E753,"")</f>
        <v/>
      </c>
      <c r="L753">
        <f>IF(B753="","",IFERROR(VALUE(TEXT(B753,"[$-1170401]yyyy")),""))</f>
        <v/>
      </c>
      <c r="M753">
        <f>IF(B753="","",IFERROR(VALUE(TEXT(B753,"[$-1170401]mm")),""))</f>
        <v/>
      </c>
    </row>
    <row r="754">
      <c r="B754" s="30" t="n"/>
      <c r="G754" s="9">
        <f>IF(AND(E754&lt;&gt;"",E754&lt;&gt;0,H754&lt;&gt;""),H754/E754,"")</f>
        <v/>
      </c>
      <c r="L754">
        <f>IF(B754="","",IFERROR(VALUE(TEXT(B754,"[$-1170401]yyyy")),""))</f>
        <v/>
      </c>
      <c r="M754">
        <f>IF(B754="","",IFERROR(VALUE(TEXT(B754,"[$-1170401]mm")),""))</f>
        <v/>
      </c>
    </row>
    <row r="755">
      <c r="B755" s="30" t="n"/>
      <c r="G755" s="9">
        <f>IF(AND(E755&lt;&gt;"",E755&lt;&gt;0,H755&lt;&gt;""),H755/E755,"")</f>
        <v/>
      </c>
      <c r="L755">
        <f>IF(B755="","",IFERROR(VALUE(TEXT(B755,"[$-1170401]yyyy")),""))</f>
        <v/>
      </c>
      <c r="M755">
        <f>IF(B755="","",IFERROR(VALUE(TEXT(B755,"[$-1170401]mm")),""))</f>
        <v/>
      </c>
    </row>
    <row r="756">
      <c r="B756" s="30" t="n"/>
      <c r="G756" s="9">
        <f>IF(AND(E756&lt;&gt;"",E756&lt;&gt;0,H756&lt;&gt;""),H756/E756,"")</f>
        <v/>
      </c>
      <c r="L756">
        <f>IF(B756="","",IFERROR(VALUE(TEXT(B756,"[$-1170401]yyyy")),""))</f>
        <v/>
      </c>
      <c r="M756">
        <f>IF(B756="","",IFERROR(VALUE(TEXT(B756,"[$-1170401]mm")),""))</f>
        <v/>
      </c>
    </row>
    <row r="757">
      <c r="B757" s="30" t="n"/>
      <c r="G757" s="9">
        <f>IF(AND(E757&lt;&gt;"",E757&lt;&gt;0,H757&lt;&gt;""),H757/E757,"")</f>
        <v/>
      </c>
      <c r="L757">
        <f>IF(B757="","",IFERROR(VALUE(TEXT(B757,"[$-1170401]yyyy")),""))</f>
        <v/>
      </c>
      <c r="M757">
        <f>IF(B757="","",IFERROR(VALUE(TEXT(B757,"[$-1170401]mm")),""))</f>
        <v/>
      </c>
    </row>
    <row r="758">
      <c r="B758" s="30" t="n"/>
      <c r="G758" s="9">
        <f>IF(AND(E758&lt;&gt;"",E758&lt;&gt;0,H758&lt;&gt;""),H758/E758,"")</f>
        <v/>
      </c>
      <c r="L758">
        <f>IF(B758="","",IFERROR(VALUE(TEXT(B758,"[$-1170401]yyyy")),""))</f>
        <v/>
      </c>
      <c r="M758">
        <f>IF(B758="","",IFERROR(VALUE(TEXT(B758,"[$-1170401]mm")),""))</f>
        <v/>
      </c>
    </row>
    <row r="759">
      <c r="B759" s="30" t="n"/>
      <c r="G759" s="9">
        <f>IF(AND(E759&lt;&gt;"",E759&lt;&gt;0,H759&lt;&gt;""),H759/E759,"")</f>
        <v/>
      </c>
      <c r="L759">
        <f>IF(B759="","",IFERROR(VALUE(TEXT(B759,"[$-1170401]yyyy")),""))</f>
        <v/>
      </c>
      <c r="M759">
        <f>IF(B759="","",IFERROR(VALUE(TEXT(B759,"[$-1170401]mm")),""))</f>
        <v/>
      </c>
    </row>
    <row r="760">
      <c r="B760" s="30" t="n"/>
      <c r="G760" s="9">
        <f>IF(AND(E760&lt;&gt;"",E760&lt;&gt;0,H760&lt;&gt;""),H760/E760,"")</f>
        <v/>
      </c>
      <c r="L760">
        <f>IF(B760="","",IFERROR(VALUE(TEXT(B760,"[$-1170401]yyyy")),""))</f>
        <v/>
      </c>
      <c r="M760">
        <f>IF(B760="","",IFERROR(VALUE(TEXT(B760,"[$-1170401]mm")),""))</f>
        <v/>
      </c>
    </row>
    <row r="761">
      <c r="B761" s="30" t="n"/>
      <c r="G761" s="9">
        <f>IF(AND(E761&lt;&gt;"",E761&lt;&gt;0,H761&lt;&gt;""),H761/E761,"")</f>
        <v/>
      </c>
      <c r="L761">
        <f>IF(B761="","",IFERROR(VALUE(TEXT(B761,"[$-1170401]yyyy")),""))</f>
        <v/>
      </c>
      <c r="M761">
        <f>IF(B761="","",IFERROR(VALUE(TEXT(B761,"[$-1170401]mm")),""))</f>
        <v/>
      </c>
    </row>
    <row r="762">
      <c r="B762" s="30" t="n"/>
      <c r="G762" s="9">
        <f>IF(AND(E762&lt;&gt;"",E762&lt;&gt;0,H762&lt;&gt;""),H762/E762,"")</f>
        <v/>
      </c>
      <c r="L762">
        <f>IF(B762="","",IFERROR(VALUE(TEXT(B762,"[$-1170401]yyyy")),""))</f>
        <v/>
      </c>
      <c r="M762">
        <f>IF(B762="","",IFERROR(VALUE(TEXT(B762,"[$-1170401]mm")),""))</f>
        <v/>
      </c>
    </row>
    <row r="763">
      <c r="B763" s="30" t="n"/>
      <c r="G763" s="9">
        <f>IF(AND(E763&lt;&gt;"",E763&lt;&gt;0,H763&lt;&gt;""),H763/E763,"")</f>
        <v/>
      </c>
      <c r="L763">
        <f>IF(B763="","",IFERROR(VALUE(TEXT(B763,"[$-1170401]yyyy")),""))</f>
        <v/>
      </c>
      <c r="M763">
        <f>IF(B763="","",IFERROR(VALUE(TEXT(B763,"[$-1170401]mm")),""))</f>
        <v/>
      </c>
    </row>
    <row r="764">
      <c r="B764" s="30" t="n"/>
      <c r="G764" s="9">
        <f>IF(AND(E764&lt;&gt;"",E764&lt;&gt;0,H764&lt;&gt;""),H764/E764,"")</f>
        <v/>
      </c>
      <c r="L764">
        <f>IF(B764="","",IFERROR(VALUE(TEXT(B764,"[$-1170401]yyyy")),""))</f>
        <v/>
      </c>
      <c r="M764">
        <f>IF(B764="","",IFERROR(VALUE(TEXT(B764,"[$-1170401]mm")),""))</f>
        <v/>
      </c>
    </row>
    <row r="765">
      <c r="B765" s="30" t="n"/>
      <c r="G765" s="9">
        <f>IF(AND(E765&lt;&gt;"",E765&lt;&gt;0,H765&lt;&gt;""),H765/E765,"")</f>
        <v/>
      </c>
      <c r="L765">
        <f>IF(B765="","",IFERROR(VALUE(TEXT(B765,"[$-1170401]yyyy")),""))</f>
        <v/>
      </c>
      <c r="M765">
        <f>IF(B765="","",IFERROR(VALUE(TEXT(B765,"[$-1170401]mm")),""))</f>
        <v/>
      </c>
    </row>
    <row r="766">
      <c r="B766" s="30" t="n"/>
      <c r="G766" s="9">
        <f>IF(AND(E766&lt;&gt;"",E766&lt;&gt;0,H766&lt;&gt;""),H766/E766,"")</f>
        <v/>
      </c>
      <c r="L766">
        <f>IF(B766="","",IFERROR(VALUE(TEXT(B766,"[$-1170401]yyyy")),""))</f>
        <v/>
      </c>
      <c r="M766">
        <f>IF(B766="","",IFERROR(VALUE(TEXT(B766,"[$-1170401]mm")),""))</f>
        <v/>
      </c>
    </row>
    <row r="767">
      <c r="B767" s="30" t="n"/>
      <c r="G767" s="9">
        <f>IF(AND(E767&lt;&gt;"",E767&lt;&gt;0,H767&lt;&gt;""),H767/E767,"")</f>
        <v/>
      </c>
      <c r="L767">
        <f>IF(B767="","",IFERROR(VALUE(TEXT(B767,"[$-1170401]yyyy")),""))</f>
        <v/>
      </c>
      <c r="M767">
        <f>IF(B767="","",IFERROR(VALUE(TEXT(B767,"[$-1170401]mm")),""))</f>
        <v/>
      </c>
    </row>
    <row r="768">
      <c r="B768" s="30" t="n"/>
      <c r="G768" s="9">
        <f>IF(AND(E768&lt;&gt;"",E768&lt;&gt;0,H768&lt;&gt;""),H768/E768,"")</f>
        <v/>
      </c>
      <c r="L768">
        <f>IF(B768="","",IFERROR(VALUE(TEXT(B768,"[$-1170401]yyyy")),""))</f>
        <v/>
      </c>
      <c r="M768">
        <f>IF(B768="","",IFERROR(VALUE(TEXT(B768,"[$-1170401]mm")),""))</f>
        <v/>
      </c>
    </row>
    <row r="769">
      <c r="B769" s="30" t="n"/>
      <c r="G769" s="9">
        <f>IF(AND(E769&lt;&gt;"",E769&lt;&gt;0,H769&lt;&gt;""),H769/E769,"")</f>
        <v/>
      </c>
      <c r="L769">
        <f>IF(B769="","",IFERROR(VALUE(TEXT(B769,"[$-1170401]yyyy")),""))</f>
        <v/>
      </c>
      <c r="M769">
        <f>IF(B769="","",IFERROR(VALUE(TEXT(B769,"[$-1170401]mm")),""))</f>
        <v/>
      </c>
    </row>
    <row r="770">
      <c r="B770" s="30" t="n"/>
      <c r="G770" s="9">
        <f>IF(AND(E770&lt;&gt;"",E770&lt;&gt;0,H770&lt;&gt;""),H770/E770,"")</f>
        <v/>
      </c>
      <c r="L770">
        <f>IF(B770="","",IFERROR(VALUE(TEXT(B770,"[$-1170401]yyyy")),""))</f>
        <v/>
      </c>
      <c r="M770">
        <f>IF(B770="","",IFERROR(VALUE(TEXT(B770,"[$-1170401]mm")),""))</f>
        <v/>
      </c>
    </row>
    <row r="771">
      <c r="B771" s="30" t="n"/>
      <c r="G771" s="9">
        <f>IF(AND(E771&lt;&gt;"",E771&lt;&gt;0,H771&lt;&gt;""),H771/E771,"")</f>
        <v/>
      </c>
      <c r="L771">
        <f>IF(B771="","",IFERROR(VALUE(TEXT(B771,"[$-1170401]yyyy")),""))</f>
        <v/>
      </c>
      <c r="M771">
        <f>IF(B771="","",IFERROR(VALUE(TEXT(B771,"[$-1170401]mm")),""))</f>
        <v/>
      </c>
    </row>
    <row r="772">
      <c r="B772" s="30" t="n"/>
      <c r="G772" s="9">
        <f>IF(AND(E772&lt;&gt;"",E772&lt;&gt;0,H772&lt;&gt;""),H772/E772,"")</f>
        <v/>
      </c>
      <c r="L772">
        <f>IF(B772="","",IFERROR(VALUE(TEXT(B772,"[$-1170401]yyyy")),""))</f>
        <v/>
      </c>
      <c r="M772">
        <f>IF(B772="","",IFERROR(VALUE(TEXT(B772,"[$-1170401]mm")),""))</f>
        <v/>
      </c>
    </row>
    <row r="773">
      <c r="B773" s="30" t="n"/>
      <c r="G773" s="9">
        <f>IF(AND(E773&lt;&gt;"",E773&lt;&gt;0,H773&lt;&gt;""),H773/E773,"")</f>
        <v/>
      </c>
      <c r="L773">
        <f>IF(B773="","",IFERROR(VALUE(TEXT(B773,"[$-1170401]yyyy")),""))</f>
        <v/>
      </c>
      <c r="M773">
        <f>IF(B773="","",IFERROR(VALUE(TEXT(B773,"[$-1170401]mm")),""))</f>
        <v/>
      </c>
    </row>
    <row r="774">
      <c r="B774" s="30" t="n"/>
      <c r="G774" s="9">
        <f>IF(AND(E774&lt;&gt;"",E774&lt;&gt;0,H774&lt;&gt;""),H774/E774,"")</f>
        <v/>
      </c>
      <c r="L774">
        <f>IF(B774="","",IFERROR(VALUE(TEXT(B774,"[$-1170401]yyyy")),""))</f>
        <v/>
      </c>
      <c r="M774">
        <f>IF(B774="","",IFERROR(VALUE(TEXT(B774,"[$-1170401]mm")),""))</f>
        <v/>
      </c>
    </row>
    <row r="775">
      <c r="B775" s="30" t="n"/>
      <c r="G775" s="9">
        <f>IF(AND(E775&lt;&gt;"",E775&lt;&gt;0,H775&lt;&gt;""),H775/E775,"")</f>
        <v/>
      </c>
      <c r="L775">
        <f>IF(B775="","",IFERROR(VALUE(TEXT(B775,"[$-1170401]yyyy")),""))</f>
        <v/>
      </c>
      <c r="M775">
        <f>IF(B775="","",IFERROR(VALUE(TEXT(B775,"[$-1170401]mm")),""))</f>
        <v/>
      </c>
    </row>
    <row r="776">
      <c r="B776" s="30" t="n"/>
      <c r="G776" s="9">
        <f>IF(AND(E776&lt;&gt;"",E776&lt;&gt;0,H776&lt;&gt;""),H776/E776,"")</f>
        <v/>
      </c>
      <c r="L776">
        <f>IF(B776="","",IFERROR(VALUE(TEXT(B776,"[$-1170401]yyyy")),""))</f>
        <v/>
      </c>
      <c r="M776">
        <f>IF(B776="","",IFERROR(VALUE(TEXT(B776,"[$-1170401]mm")),""))</f>
        <v/>
      </c>
    </row>
    <row r="777">
      <c r="B777" s="30" t="n"/>
      <c r="G777" s="9">
        <f>IF(AND(E777&lt;&gt;"",E777&lt;&gt;0,H777&lt;&gt;""),H777/E777,"")</f>
        <v/>
      </c>
      <c r="L777">
        <f>IF(B777="","",IFERROR(VALUE(TEXT(B777,"[$-1170401]yyyy")),""))</f>
        <v/>
      </c>
      <c r="M777">
        <f>IF(B777="","",IFERROR(VALUE(TEXT(B777,"[$-1170401]mm")),""))</f>
        <v/>
      </c>
    </row>
    <row r="778">
      <c r="B778" s="30" t="n"/>
      <c r="G778" s="9">
        <f>IF(AND(E778&lt;&gt;"",E778&lt;&gt;0,H778&lt;&gt;""),H778/E778,"")</f>
        <v/>
      </c>
      <c r="L778">
        <f>IF(B778="","",IFERROR(VALUE(TEXT(B778,"[$-1170401]yyyy")),""))</f>
        <v/>
      </c>
      <c r="M778">
        <f>IF(B778="","",IFERROR(VALUE(TEXT(B778,"[$-1170401]mm")),""))</f>
        <v/>
      </c>
    </row>
    <row r="779">
      <c r="B779" s="30" t="n"/>
      <c r="G779" s="9">
        <f>IF(AND(E779&lt;&gt;"",E779&lt;&gt;0,H779&lt;&gt;""),H779/E779,"")</f>
        <v/>
      </c>
      <c r="L779">
        <f>IF(B779="","",IFERROR(VALUE(TEXT(B779,"[$-1170401]yyyy")),""))</f>
        <v/>
      </c>
      <c r="M779">
        <f>IF(B779="","",IFERROR(VALUE(TEXT(B779,"[$-1170401]mm")),""))</f>
        <v/>
      </c>
    </row>
    <row r="780">
      <c r="B780" s="30" t="n"/>
      <c r="G780" s="9">
        <f>IF(AND(E780&lt;&gt;"",E780&lt;&gt;0,H780&lt;&gt;""),H780/E780,"")</f>
        <v/>
      </c>
      <c r="L780">
        <f>IF(B780="","",IFERROR(VALUE(TEXT(B780,"[$-1170401]yyyy")),""))</f>
        <v/>
      </c>
      <c r="M780">
        <f>IF(B780="","",IFERROR(VALUE(TEXT(B780,"[$-1170401]mm")),""))</f>
        <v/>
      </c>
    </row>
    <row r="781">
      <c r="B781" s="30" t="n"/>
      <c r="G781" s="9">
        <f>IF(AND(E781&lt;&gt;"",E781&lt;&gt;0,H781&lt;&gt;""),H781/E781,"")</f>
        <v/>
      </c>
      <c r="L781">
        <f>IF(B781="","",IFERROR(VALUE(TEXT(B781,"[$-1170401]yyyy")),""))</f>
        <v/>
      </c>
      <c r="M781">
        <f>IF(B781="","",IFERROR(VALUE(TEXT(B781,"[$-1170401]mm")),""))</f>
        <v/>
      </c>
    </row>
    <row r="782">
      <c r="B782" s="30" t="n"/>
      <c r="G782" s="9">
        <f>IF(AND(E782&lt;&gt;"",E782&lt;&gt;0,H782&lt;&gt;""),H782/E782,"")</f>
        <v/>
      </c>
      <c r="L782">
        <f>IF(B782="","",IFERROR(VALUE(TEXT(B782,"[$-1170401]yyyy")),""))</f>
        <v/>
      </c>
      <c r="M782">
        <f>IF(B782="","",IFERROR(VALUE(TEXT(B782,"[$-1170401]mm")),""))</f>
        <v/>
      </c>
    </row>
    <row r="783">
      <c r="B783" s="30" t="n"/>
      <c r="G783" s="9">
        <f>IF(AND(E783&lt;&gt;"",E783&lt;&gt;0,H783&lt;&gt;""),H783/E783,"")</f>
        <v/>
      </c>
      <c r="L783">
        <f>IF(B783="","",IFERROR(VALUE(TEXT(B783,"[$-1170401]yyyy")),""))</f>
        <v/>
      </c>
      <c r="M783">
        <f>IF(B783="","",IFERROR(VALUE(TEXT(B783,"[$-1170401]mm")),""))</f>
        <v/>
      </c>
    </row>
    <row r="784">
      <c r="B784" s="30" t="n"/>
      <c r="G784" s="9">
        <f>IF(AND(E784&lt;&gt;"",E784&lt;&gt;0,H784&lt;&gt;""),H784/E784,"")</f>
        <v/>
      </c>
      <c r="L784">
        <f>IF(B784="","",IFERROR(VALUE(TEXT(B784,"[$-1170401]yyyy")),""))</f>
        <v/>
      </c>
      <c r="M784">
        <f>IF(B784="","",IFERROR(VALUE(TEXT(B784,"[$-1170401]mm")),""))</f>
        <v/>
      </c>
    </row>
    <row r="785">
      <c r="B785" s="30" t="n"/>
      <c r="G785" s="9">
        <f>IF(AND(E785&lt;&gt;"",E785&lt;&gt;0,H785&lt;&gt;""),H785/E785,"")</f>
        <v/>
      </c>
      <c r="L785">
        <f>IF(B785="","",IFERROR(VALUE(TEXT(B785,"[$-1170401]yyyy")),""))</f>
        <v/>
      </c>
      <c r="M785">
        <f>IF(B785="","",IFERROR(VALUE(TEXT(B785,"[$-1170401]mm")),""))</f>
        <v/>
      </c>
    </row>
    <row r="786">
      <c r="B786" s="30" t="n"/>
      <c r="G786" s="9">
        <f>IF(AND(E786&lt;&gt;"",E786&lt;&gt;0,H786&lt;&gt;""),H786/E786,"")</f>
        <v/>
      </c>
      <c r="L786">
        <f>IF(B786="","",IFERROR(VALUE(TEXT(B786,"[$-1170401]yyyy")),""))</f>
        <v/>
      </c>
      <c r="M786">
        <f>IF(B786="","",IFERROR(VALUE(TEXT(B786,"[$-1170401]mm")),""))</f>
        <v/>
      </c>
    </row>
    <row r="787">
      <c r="B787" s="30" t="n"/>
      <c r="G787" s="9">
        <f>IF(AND(E787&lt;&gt;"",E787&lt;&gt;0,H787&lt;&gt;""),H787/E787,"")</f>
        <v/>
      </c>
      <c r="L787">
        <f>IF(B787="","",IFERROR(VALUE(TEXT(B787,"[$-1170401]yyyy")),""))</f>
        <v/>
      </c>
      <c r="M787">
        <f>IF(B787="","",IFERROR(VALUE(TEXT(B787,"[$-1170401]mm")),""))</f>
        <v/>
      </c>
    </row>
    <row r="788">
      <c r="B788" s="30" t="n"/>
      <c r="G788" s="9">
        <f>IF(AND(E788&lt;&gt;"",E788&lt;&gt;0,H788&lt;&gt;""),H788/E788,"")</f>
        <v/>
      </c>
      <c r="L788">
        <f>IF(B788="","",IFERROR(VALUE(TEXT(B788,"[$-1170401]yyyy")),""))</f>
        <v/>
      </c>
      <c r="M788">
        <f>IF(B788="","",IFERROR(VALUE(TEXT(B788,"[$-1170401]mm")),""))</f>
        <v/>
      </c>
    </row>
    <row r="789">
      <c r="B789" s="30" t="n"/>
      <c r="G789" s="9">
        <f>IF(AND(E789&lt;&gt;"",E789&lt;&gt;0,H789&lt;&gt;""),H789/E789,"")</f>
        <v/>
      </c>
      <c r="L789">
        <f>IF(B789="","",IFERROR(VALUE(TEXT(B789,"[$-1170401]yyyy")),""))</f>
        <v/>
      </c>
      <c r="M789">
        <f>IF(B789="","",IFERROR(VALUE(TEXT(B789,"[$-1170401]mm")),""))</f>
        <v/>
      </c>
    </row>
    <row r="790">
      <c r="B790" s="30" t="n"/>
      <c r="G790" s="9">
        <f>IF(AND(E790&lt;&gt;"",E790&lt;&gt;0,H790&lt;&gt;""),H790/E790,"")</f>
        <v/>
      </c>
      <c r="L790">
        <f>IF(B790="","",IFERROR(VALUE(TEXT(B790,"[$-1170401]yyyy")),""))</f>
        <v/>
      </c>
      <c r="M790">
        <f>IF(B790="","",IFERROR(VALUE(TEXT(B790,"[$-1170401]mm")),""))</f>
        <v/>
      </c>
    </row>
    <row r="791">
      <c r="B791" s="30" t="n"/>
      <c r="G791" s="9">
        <f>IF(AND(E791&lt;&gt;"",E791&lt;&gt;0,H791&lt;&gt;""),H791/E791,"")</f>
        <v/>
      </c>
      <c r="L791">
        <f>IF(B791="","",IFERROR(VALUE(TEXT(B791,"[$-1170401]yyyy")),""))</f>
        <v/>
      </c>
      <c r="M791">
        <f>IF(B791="","",IFERROR(VALUE(TEXT(B791,"[$-1170401]mm")),""))</f>
        <v/>
      </c>
    </row>
    <row r="792">
      <c r="B792" s="30" t="n"/>
      <c r="G792" s="9">
        <f>IF(AND(E792&lt;&gt;"",E792&lt;&gt;0,H792&lt;&gt;""),H792/E792,"")</f>
        <v/>
      </c>
      <c r="L792">
        <f>IF(B792="","",IFERROR(VALUE(TEXT(B792,"[$-1170401]yyyy")),""))</f>
        <v/>
      </c>
      <c r="M792">
        <f>IF(B792="","",IFERROR(VALUE(TEXT(B792,"[$-1170401]mm")),""))</f>
        <v/>
      </c>
    </row>
    <row r="793">
      <c r="B793" s="30" t="n"/>
      <c r="G793" s="9">
        <f>IF(AND(E793&lt;&gt;"",E793&lt;&gt;0,H793&lt;&gt;""),H793/E793,"")</f>
        <v/>
      </c>
      <c r="L793">
        <f>IF(B793="","",IFERROR(VALUE(TEXT(B793,"[$-1170401]yyyy")),""))</f>
        <v/>
      </c>
      <c r="M793">
        <f>IF(B793="","",IFERROR(VALUE(TEXT(B793,"[$-1170401]mm")),""))</f>
        <v/>
      </c>
    </row>
    <row r="794">
      <c r="B794" s="30" t="n"/>
      <c r="G794" s="9">
        <f>IF(AND(E794&lt;&gt;"",E794&lt;&gt;0,H794&lt;&gt;""),H794/E794,"")</f>
        <v/>
      </c>
      <c r="L794">
        <f>IF(B794="","",IFERROR(VALUE(TEXT(B794,"[$-1170401]yyyy")),""))</f>
        <v/>
      </c>
      <c r="M794">
        <f>IF(B794="","",IFERROR(VALUE(TEXT(B794,"[$-1170401]mm")),""))</f>
        <v/>
      </c>
    </row>
    <row r="795">
      <c r="B795" s="30" t="n"/>
      <c r="G795" s="9">
        <f>IF(AND(E795&lt;&gt;"",E795&lt;&gt;0,H795&lt;&gt;""),H795/E795,"")</f>
        <v/>
      </c>
      <c r="L795">
        <f>IF(B795="","",IFERROR(VALUE(TEXT(B795,"[$-1170401]yyyy")),""))</f>
        <v/>
      </c>
      <c r="M795">
        <f>IF(B795="","",IFERROR(VALUE(TEXT(B795,"[$-1170401]mm")),""))</f>
        <v/>
      </c>
    </row>
    <row r="796">
      <c r="B796" s="30" t="n"/>
      <c r="G796" s="9">
        <f>IF(AND(E796&lt;&gt;"",E796&lt;&gt;0,H796&lt;&gt;""),H796/E796,"")</f>
        <v/>
      </c>
      <c r="L796">
        <f>IF(B796="","",IFERROR(VALUE(TEXT(B796,"[$-1170401]yyyy")),""))</f>
        <v/>
      </c>
      <c r="M796">
        <f>IF(B796="","",IFERROR(VALUE(TEXT(B796,"[$-1170401]mm")),""))</f>
        <v/>
      </c>
    </row>
    <row r="797">
      <c r="B797" s="30" t="n"/>
      <c r="G797" s="9">
        <f>IF(AND(E797&lt;&gt;"",E797&lt;&gt;0,H797&lt;&gt;""),H797/E797,"")</f>
        <v/>
      </c>
      <c r="L797">
        <f>IF(B797="","",IFERROR(VALUE(TEXT(B797,"[$-1170401]yyyy")),""))</f>
        <v/>
      </c>
      <c r="M797">
        <f>IF(B797="","",IFERROR(VALUE(TEXT(B797,"[$-1170401]mm")),""))</f>
        <v/>
      </c>
    </row>
    <row r="798">
      <c r="B798" s="30" t="n"/>
      <c r="G798" s="9">
        <f>IF(AND(E798&lt;&gt;"",E798&lt;&gt;0,H798&lt;&gt;""),H798/E798,"")</f>
        <v/>
      </c>
      <c r="L798">
        <f>IF(B798="","",IFERROR(VALUE(TEXT(B798,"[$-1170401]yyyy")),""))</f>
        <v/>
      </c>
      <c r="M798">
        <f>IF(B798="","",IFERROR(VALUE(TEXT(B798,"[$-1170401]mm")),""))</f>
        <v/>
      </c>
    </row>
    <row r="799">
      <c r="B799" s="30" t="n"/>
      <c r="G799" s="9">
        <f>IF(AND(E799&lt;&gt;"",E799&lt;&gt;0,H799&lt;&gt;""),H799/E799,"")</f>
        <v/>
      </c>
      <c r="L799">
        <f>IF(B799="","",IFERROR(VALUE(TEXT(B799,"[$-1170401]yyyy")),""))</f>
        <v/>
      </c>
      <c r="M799">
        <f>IF(B799="","",IFERROR(VALUE(TEXT(B799,"[$-1170401]mm")),""))</f>
        <v/>
      </c>
    </row>
    <row r="800">
      <c r="B800" s="30" t="n"/>
      <c r="G800" s="9">
        <f>IF(AND(E800&lt;&gt;"",E800&lt;&gt;0,H800&lt;&gt;""),H800/E800,"")</f>
        <v/>
      </c>
      <c r="L800">
        <f>IF(B800="","",IFERROR(VALUE(TEXT(B800,"[$-1170401]yyyy")),""))</f>
        <v/>
      </c>
      <c r="M800">
        <f>IF(B800="","",IFERROR(VALUE(TEXT(B800,"[$-1170401]mm")),""))</f>
        <v/>
      </c>
    </row>
    <row r="801">
      <c r="B801" s="30" t="n"/>
      <c r="G801" s="9">
        <f>IF(AND(E801&lt;&gt;"",E801&lt;&gt;0,H801&lt;&gt;""),H801/E801,"")</f>
        <v/>
      </c>
      <c r="L801">
        <f>IF(B801="","",IFERROR(VALUE(TEXT(B801,"[$-1170401]yyyy")),""))</f>
        <v/>
      </c>
      <c r="M801">
        <f>IF(B801="","",IFERROR(VALUE(TEXT(B801,"[$-1170401]mm")),""))</f>
        <v/>
      </c>
    </row>
    <row r="802">
      <c r="B802" s="30" t="n"/>
      <c r="G802" s="9">
        <f>IF(AND(E802&lt;&gt;"",E802&lt;&gt;0,H802&lt;&gt;""),H802/E802,"")</f>
        <v/>
      </c>
      <c r="L802">
        <f>IF(B802="","",IFERROR(VALUE(TEXT(B802,"[$-1170401]yyyy")),""))</f>
        <v/>
      </c>
      <c r="M802">
        <f>IF(B802="","",IFERROR(VALUE(TEXT(B802,"[$-1170401]mm")),""))</f>
        <v/>
      </c>
    </row>
    <row r="803">
      <c r="B803" s="30" t="n"/>
      <c r="G803" s="9">
        <f>IF(AND(E803&lt;&gt;"",E803&lt;&gt;0,H803&lt;&gt;""),H803/E803,"")</f>
        <v/>
      </c>
      <c r="L803">
        <f>IF(B803="","",IFERROR(VALUE(TEXT(B803,"[$-1170401]yyyy")),""))</f>
        <v/>
      </c>
      <c r="M803">
        <f>IF(B803="","",IFERROR(VALUE(TEXT(B803,"[$-1170401]mm")),""))</f>
        <v/>
      </c>
    </row>
    <row r="804">
      <c r="B804" s="30" t="n"/>
      <c r="G804" s="9">
        <f>IF(AND(E804&lt;&gt;"",E804&lt;&gt;0,H804&lt;&gt;""),H804/E804,"")</f>
        <v/>
      </c>
      <c r="L804">
        <f>IF(B804="","",IFERROR(VALUE(TEXT(B804,"[$-1170401]yyyy")),""))</f>
        <v/>
      </c>
      <c r="M804">
        <f>IF(B804="","",IFERROR(VALUE(TEXT(B804,"[$-1170401]mm")),""))</f>
        <v/>
      </c>
    </row>
    <row r="805">
      <c r="B805" s="30" t="n"/>
      <c r="G805" s="9">
        <f>IF(AND(E805&lt;&gt;"",E805&lt;&gt;0,H805&lt;&gt;""),H805/E805,"")</f>
        <v/>
      </c>
      <c r="L805">
        <f>IF(B805="","",IFERROR(VALUE(TEXT(B805,"[$-1170401]yyyy")),""))</f>
        <v/>
      </c>
      <c r="M805">
        <f>IF(B805="","",IFERROR(VALUE(TEXT(B805,"[$-1170401]mm")),""))</f>
        <v/>
      </c>
    </row>
    <row r="806">
      <c r="B806" s="30" t="n"/>
      <c r="G806" s="9">
        <f>IF(AND(E806&lt;&gt;"",E806&lt;&gt;0,H806&lt;&gt;""),H806/E806,"")</f>
        <v/>
      </c>
      <c r="L806">
        <f>IF(B806="","",IFERROR(VALUE(TEXT(B806,"[$-1170401]yyyy")),""))</f>
        <v/>
      </c>
      <c r="M806">
        <f>IF(B806="","",IFERROR(VALUE(TEXT(B806,"[$-1170401]mm")),""))</f>
        <v/>
      </c>
    </row>
    <row r="807">
      <c r="B807" s="30" t="n"/>
      <c r="G807" s="9">
        <f>IF(AND(E807&lt;&gt;"",E807&lt;&gt;0,H807&lt;&gt;""),H807/E807,"")</f>
        <v/>
      </c>
      <c r="L807">
        <f>IF(B807="","",IFERROR(VALUE(TEXT(B807,"[$-1170401]yyyy")),""))</f>
        <v/>
      </c>
      <c r="M807">
        <f>IF(B807="","",IFERROR(VALUE(TEXT(B807,"[$-1170401]mm")),""))</f>
        <v/>
      </c>
    </row>
    <row r="808">
      <c r="B808" s="30" t="n"/>
      <c r="G808" s="9">
        <f>IF(AND(E808&lt;&gt;"",E808&lt;&gt;0,H808&lt;&gt;""),H808/E808,"")</f>
        <v/>
      </c>
      <c r="L808">
        <f>IF(B808="","",IFERROR(VALUE(TEXT(B808,"[$-1170401]yyyy")),""))</f>
        <v/>
      </c>
      <c r="M808">
        <f>IF(B808="","",IFERROR(VALUE(TEXT(B808,"[$-1170401]mm")),""))</f>
        <v/>
      </c>
    </row>
    <row r="809">
      <c r="B809" s="30" t="n"/>
      <c r="G809" s="9">
        <f>IF(AND(E809&lt;&gt;"",E809&lt;&gt;0,H809&lt;&gt;""),H809/E809,"")</f>
        <v/>
      </c>
      <c r="L809">
        <f>IF(B809="","",IFERROR(VALUE(TEXT(B809,"[$-1170401]yyyy")),""))</f>
        <v/>
      </c>
      <c r="M809">
        <f>IF(B809="","",IFERROR(VALUE(TEXT(B809,"[$-1170401]mm")),""))</f>
        <v/>
      </c>
    </row>
    <row r="810">
      <c r="B810" s="30" t="n"/>
      <c r="G810" s="9">
        <f>IF(AND(E810&lt;&gt;"",E810&lt;&gt;0,H810&lt;&gt;""),H810/E810,"")</f>
        <v/>
      </c>
      <c r="L810">
        <f>IF(B810="","",IFERROR(VALUE(TEXT(B810,"[$-1170401]yyyy")),""))</f>
        <v/>
      </c>
      <c r="M810">
        <f>IF(B810="","",IFERROR(VALUE(TEXT(B810,"[$-1170401]mm")),""))</f>
        <v/>
      </c>
    </row>
    <row r="811">
      <c r="B811" s="30" t="n"/>
      <c r="G811" s="9">
        <f>IF(AND(E811&lt;&gt;"",E811&lt;&gt;0,H811&lt;&gt;""),H811/E811,"")</f>
        <v/>
      </c>
      <c r="L811">
        <f>IF(B811="","",IFERROR(VALUE(TEXT(B811,"[$-1170401]yyyy")),""))</f>
        <v/>
      </c>
      <c r="M811">
        <f>IF(B811="","",IFERROR(VALUE(TEXT(B811,"[$-1170401]mm")),""))</f>
        <v/>
      </c>
    </row>
    <row r="812">
      <c r="B812" s="30" t="n"/>
      <c r="G812" s="9">
        <f>IF(AND(E812&lt;&gt;"",E812&lt;&gt;0,H812&lt;&gt;""),H812/E812,"")</f>
        <v/>
      </c>
      <c r="L812">
        <f>IF(B812="","",IFERROR(VALUE(TEXT(B812,"[$-1170401]yyyy")),""))</f>
        <v/>
      </c>
      <c r="M812">
        <f>IF(B812="","",IFERROR(VALUE(TEXT(B812,"[$-1170401]mm")),""))</f>
        <v/>
      </c>
    </row>
    <row r="813">
      <c r="B813" s="30" t="n"/>
      <c r="G813" s="9">
        <f>IF(AND(E813&lt;&gt;"",E813&lt;&gt;0,H813&lt;&gt;""),H813/E813,"")</f>
        <v/>
      </c>
      <c r="L813">
        <f>IF(B813="","",IFERROR(VALUE(TEXT(B813,"[$-1170401]yyyy")),""))</f>
        <v/>
      </c>
      <c r="M813">
        <f>IF(B813="","",IFERROR(VALUE(TEXT(B813,"[$-1170401]mm")),""))</f>
        <v/>
      </c>
    </row>
    <row r="814">
      <c r="B814" s="30" t="n"/>
      <c r="G814" s="9">
        <f>IF(AND(E814&lt;&gt;"",E814&lt;&gt;0,H814&lt;&gt;""),H814/E814,"")</f>
        <v/>
      </c>
      <c r="L814">
        <f>IF(B814="","",IFERROR(VALUE(TEXT(B814,"[$-1170401]yyyy")),""))</f>
        <v/>
      </c>
      <c r="M814">
        <f>IF(B814="","",IFERROR(VALUE(TEXT(B814,"[$-1170401]mm")),""))</f>
        <v/>
      </c>
    </row>
    <row r="815">
      <c r="B815" s="30" t="n"/>
      <c r="G815" s="9">
        <f>IF(AND(E815&lt;&gt;"",E815&lt;&gt;0,H815&lt;&gt;""),H815/E815,"")</f>
        <v/>
      </c>
      <c r="L815">
        <f>IF(B815="","",IFERROR(VALUE(TEXT(B815,"[$-1170401]yyyy")),""))</f>
        <v/>
      </c>
      <c r="M815">
        <f>IF(B815="","",IFERROR(VALUE(TEXT(B815,"[$-1170401]mm")),""))</f>
        <v/>
      </c>
    </row>
    <row r="816">
      <c r="B816" s="30" t="n"/>
      <c r="G816" s="9">
        <f>IF(AND(E816&lt;&gt;"",E816&lt;&gt;0,H816&lt;&gt;""),H816/E816,"")</f>
        <v/>
      </c>
      <c r="L816">
        <f>IF(B816="","",IFERROR(VALUE(TEXT(B816,"[$-1170401]yyyy")),""))</f>
        <v/>
      </c>
      <c r="M816">
        <f>IF(B816="","",IFERROR(VALUE(TEXT(B816,"[$-1170401]mm")),""))</f>
        <v/>
      </c>
    </row>
    <row r="817">
      <c r="B817" s="30" t="n"/>
      <c r="G817" s="9">
        <f>IF(AND(E817&lt;&gt;"",E817&lt;&gt;0,H817&lt;&gt;""),H817/E817,"")</f>
        <v/>
      </c>
      <c r="L817">
        <f>IF(B817="","",IFERROR(VALUE(TEXT(B817,"[$-1170401]yyyy")),""))</f>
        <v/>
      </c>
      <c r="M817">
        <f>IF(B817="","",IFERROR(VALUE(TEXT(B817,"[$-1170401]mm")),""))</f>
        <v/>
      </c>
    </row>
    <row r="818">
      <c r="B818" s="30" t="n"/>
      <c r="G818" s="9">
        <f>IF(AND(E818&lt;&gt;"",E818&lt;&gt;0,H818&lt;&gt;""),H818/E818,"")</f>
        <v/>
      </c>
      <c r="L818">
        <f>IF(B818="","",IFERROR(VALUE(TEXT(B818,"[$-1170401]yyyy")),""))</f>
        <v/>
      </c>
      <c r="M818">
        <f>IF(B818="","",IFERROR(VALUE(TEXT(B818,"[$-1170401]mm")),""))</f>
        <v/>
      </c>
    </row>
    <row r="819">
      <c r="B819" s="30" t="n"/>
      <c r="G819" s="9">
        <f>IF(AND(E819&lt;&gt;"",E819&lt;&gt;0,H819&lt;&gt;""),H819/E819,"")</f>
        <v/>
      </c>
      <c r="L819">
        <f>IF(B819="","",IFERROR(VALUE(TEXT(B819,"[$-1170401]yyyy")),""))</f>
        <v/>
      </c>
      <c r="M819">
        <f>IF(B819="","",IFERROR(VALUE(TEXT(B819,"[$-1170401]mm")),""))</f>
        <v/>
      </c>
    </row>
    <row r="820">
      <c r="B820" s="30" t="n"/>
      <c r="G820" s="9">
        <f>IF(AND(E820&lt;&gt;"",E820&lt;&gt;0,H820&lt;&gt;""),H820/E820,"")</f>
        <v/>
      </c>
      <c r="L820">
        <f>IF(B820="","",IFERROR(VALUE(TEXT(B820,"[$-1170401]yyyy")),""))</f>
        <v/>
      </c>
      <c r="M820">
        <f>IF(B820="","",IFERROR(VALUE(TEXT(B820,"[$-1170401]mm")),""))</f>
        <v/>
      </c>
    </row>
    <row r="821">
      <c r="B821" s="30" t="n"/>
      <c r="G821" s="9">
        <f>IF(AND(E821&lt;&gt;"",E821&lt;&gt;0,H821&lt;&gt;""),H821/E821,"")</f>
        <v/>
      </c>
      <c r="L821">
        <f>IF(B821="","",IFERROR(VALUE(TEXT(B821,"[$-1170401]yyyy")),""))</f>
        <v/>
      </c>
      <c r="M821">
        <f>IF(B821="","",IFERROR(VALUE(TEXT(B821,"[$-1170401]mm")),""))</f>
        <v/>
      </c>
    </row>
    <row r="822">
      <c r="B822" s="30" t="n"/>
      <c r="G822" s="9">
        <f>IF(AND(E822&lt;&gt;"",E822&lt;&gt;0,H822&lt;&gt;""),H822/E822,"")</f>
        <v/>
      </c>
      <c r="L822">
        <f>IF(B822="","",IFERROR(VALUE(TEXT(B822,"[$-1170401]yyyy")),""))</f>
        <v/>
      </c>
      <c r="M822">
        <f>IF(B822="","",IFERROR(VALUE(TEXT(B822,"[$-1170401]mm")),""))</f>
        <v/>
      </c>
    </row>
    <row r="823">
      <c r="B823" s="30" t="n"/>
      <c r="G823" s="9">
        <f>IF(AND(E823&lt;&gt;"",E823&lt;&gt;0,H823&lt;&gt;""),H823/E823,"")</f>
        <v/>
      </c>
      <c r="L823">
        <f>IF(B823="","",IFERROR(VALUE(TEXT(B823,"[$-1170401]yyyy")),""))</f>
        <v/>
      </c>
      <c r="M823">
        <f>IF(B823="","",IFERROR(VALUE(TEXT(B823,"[$-1170401]mm")),""))</f>
        <v/>
      </c>
    </row>
    <row r="824">
      <c r="B824" s="30" t="n"/>
      <c r="G824" s="9">
        <f>IF(AND(E824&lt;&gt;"",E824&lt;&gt;0,H824&lt;&gt;""),H824/E824,"")</f>
        <v/>
      </c>
      <c r="L824">
        <f>IF(B824="","",IFERROR(VALUE(TEXT(B824,"[$-1170401]yyyy")),""))</f>
        <v/>
      </c>
      <c r="M824">
        <f>IF(B824="","",IFERROR(VALUE(TEXT(B824,"[$-1170401]mm")),""))</f>
        <v/>
      </c>
    </row>
    <row r="825">
      <c r="B825" s="30" t="n"/>
      <c r="G825" s="9">
        <f>IF(AND(E825&lt;&gt;"",E825&lt;&gt;0,H825&lt;&gt;""),H825/E825,"")</f>
        <v/>
      </c>
      <c r="L825">
        <f>IF(B825="","",IFERROR(VALUE(TEXT(B825,"[$-1170401]yyyy")),""))</f>
        <v/>
      </c>
      <c r="M825">
        <f>IF(B825="","",IFERROR(VALUE(TEXT(B825,"[$-1170401]mm")),""))</f>
        <v/>
      </c>
    </row>
    <row r="826">
      <c r="B826" s="30" t="n"/>
      <c r="G826" s="9">
        <f>IF(AND(E826&lt;&gt;"",E826&lt;&gt;0,H826&lt;&gt;""),H826/E826,"")</f>
        <v/>
      </c>
      <c r="L826">
        <f>IF(B826="","",IFERROR(VALUE(TEXT(B826,"[$-1170401]yyyy")),""))</f>
        <v/>
      </c>
      <c r="M826">
        <f>IF(B826="","",IFERROR(VALUE(TEXT(B826,"[$-1170401]mm")),""))</f>
        <v/>
      </c>
    </row>
    <row r="827">
      <c r="B827" s="30" t="n"/>
      <c r="G827" s="9">
        <f>IF(AND(E827&lt;&gt;"",E827&lt;&gt;0,H827&lt;&gt;""),H827/E827,"")</f>
        <v/>
      </c>
      <c r="L827">
        <f>IF(B827="","",IFERROR(VALUE(TEXT(B827,"[$-1170401]yyyy")),""))</f>
        <v/>
      </c>
      <c r="M827">
        <f>IF(B827="","",IFERROR(VALUE(TEXT(B827,"[$-1170401]mm")),""))</f>
        <v/>
      </c>
    </row>
    <row r="828">
      <c r="B828" s="30" t="n"/>
      <c r="G828" s="9">
        <f>IF(AND(E828&lt;&gt;"",E828&lt;&gt;0,H828&lt;&gt;""),H828/E828,"")</f>
        <v/>
      </c>
      <c r="L828">
        <f>IF(B828="","",IFERROR(VALUE(TEXT(B828,"[$-1170401]yyyy")),""))</f>
        <v/>
      </c>
      <c r="M828">
        <f>IF(B828="","",IFERROR(VALUE(TEXT(B828,"[$-1170401]mm")),""))</f>
        <v/>
      </c>
    </row>
    <row r="829">
      <c r="B829" s="30" t="n"/>
      <c r="G829" s="9">
        <f>IF(AND(E829&lt;&gt;"",E829&lt;&gt;0,H829&lt;&gt;""),H829/E829,"")</f>
        <v/>
      </c>
      <c r="L829">
        <f>IF(B829="","",IFERROR(VALUE(TEXT(B829,"[$-1170401]yyyy")),""))</f>
        <v/>
      </c>
      <c r="M829">
        <f>IF(B829="","",IFERROR(VALUE(TEXT(B829,"[$-1170401]mm")),""))</f>
        <v/>
      </c>
    </row>
    <row r="830">
      <c r="B830" s="30" t="n"/>
      <c r="G830" s="9">
        <f>IF(AND(E830&lt;&gt;"",E830&lt;&gt;0,H830&lt;&gt;""),H830/E830,"")</f>
        <v/>
      </c>
      <c r="L830">
        <f>IF(B830="","",IFERROR(VALUE(TEXT(B830,"[$-1170401]yyyy")),""))</f>
        <v/>
      </c>
      <c r="M830">
        <f>IF(B830="","",IFERROR(VALUE(TEXT(B830,"[$-1170401]mm")),""))</f>
        <v/>
      </c>
    </row>
    <row r="831">
      <c r="B831" s="30" t="n"/>
      <c r="G831" s="9">
        <f>IF(AND(E831&lt;&gt;"",E831&lt;&gt;0,H831&lt;&gt;""),H831/E831,"")</f>
        <v/>
      </c>
      <c r="L831">
        <f>IF(B831="","",IFERROR(VALUE(TEXT(B831,"[$-1170401]yyyy")),""))</f>
        <v/>
      </c>
      <c r="M831">
        <f>IF(B831="","",IFERROR(VALUE(TEXT(B831,"[$-1170401]mm")),""))</f>
        <v/>
      </c>
    </row>
    <row r="832">
      <c r="B832" s="30" t="n"/>
      <c r="G832" s="9">
        <f>IF(AND(E832&lt;&gt;"",E832&lt;&gt;0,H832&lt;&gt;""),H832/E832,"")</f>
        <v/>
      </c>
      <c r="L832">
        <f>IF(B832="","",IFERROR(VALUE(TEXT(B832,"[$-1170401]yyyy")),""))</f>
        <v/>
      </c>
      <c r="M832">
        <f>IF(B832="","",IFERROR(VALUE(TEXT(B832,"[$-1170401]mm")),""))</f>
        <v/>
      </c>
    </row>
    <row r="833">
      <c r="B833" s="30" t="n"/>
      <c r="G833" s="9">
        <f>IF(AND(E833&lt;&gt;"",E833&lt;&gt;0,H833&lt;&gt;""),H833/E833,"")</f>
        <v/>
      </c>
      <c r="L833">
        <f>IF(B833="","",IFERROR(VALUE(TEXT(B833,"[$-1170401]yyyy")),""))</f>
        <v/>
      </c>
      <c r="M833">
        <f>IF(B833="","",IFERROR(VALUE(TEXT(B833,"[$-1170401]mm")),""))</f>
        <v/>
      </c>
    </row>
    <row r="834">
      <c r="B834" s="30" t="n"/>
      <c r="G834" s="9">
        <f>IF(AND(E834&lt;&gt;"",E834&lt;&gt;0,H834&lt;&gt;""),H834/E834,"")</f>
        <v/>
      </c>
      <c r="L834">
        <f>IF(B834="","",IFERROR(VALUE(TEXT(B834,"[$-1170401]yyyy")),""))</f>
        <v/>
      </c>
      <c r="M834">
        <f>IF(B834="","",IFERROR(VALUE(TEXT(B834,"[$-1170401]mm")),""))</f>
        <v/>
      </c>
    </row>
    <row r="835">
      <c r="B835" s="30" t="n"/>
      <c r="G835" s="9">
        <f>IF(AND(E835&lt;&gt;"",E835&lt;&gt;0,H835&lt;&gt;""),H835/E835,"")</f>
        <v/>
      </c>
      <c r="L835">
        <f>IF(B835="","",IFERROR(VALUE(TEXT(B835,"[$-1170401]yyyy")),""))</f>
        <v/>
      </c>
      <c r="M835">
        <f>IF(B835="","",IFERROR(VALUE(TEXT(B835,"[$-1170401]mm")),""))</f>
        <v/>
      </c>
    </row>
    <row r="836">
      <c r="B836" s="30" t="n"/>
      <c r="G836" s="9">
        <f>IF(AND(E836&lt;&gt;"",E836&lt;&gt;0,H836&lt;&gt;""),H836/E836,"")</f>
        <v/>
      </c>
      <c r="L836">
        <f>IF(B836="","",IFERROR(VALUE(TEXT(B836,"[$-1170401]yyyy")),""))</f>
        <v/>
      </c>
      <c r="M836">
        <f>IF(B836="","",IFERROR(VALUE(TEXT(B836,"[$-1170401]mm")),""))</f>
        <v/>
      </c>
    </row>
    <row r="837">
      <c r="B837" s="30" t="n"/>
      <c r="G837" s="9">
        <f>IF(AND(E837&lt;&gt;"",E837&lt;&gt;0,H837&lt;&gt;""),H837/E837,"")</f>
        <v/>
      </c>
      <c r="L837">
        <f>IF(B837="","",IFERROR(VALUE(TEXT(B837,"[$-1170401]yyyy")),""))</f>
        <v/>
      </c>
      <c r="M837">
        <f>IF(B837="","",IFERROR(VALUE(TEXT(B837,"[$-1170401]mm")),""))</f>
        <v/>
      </c>
    </row>
    <row r="838">
      <c r="B838" s="30" t="n"/>
      <c r="G838" s="9">
        <f>IF(AND(E838&lt;&gt;"",E838&lt;&gt;0,H838&lt;&gt;""),H838/E838,"")</f>
        <v/>
      </c>
      <c r="L838">
        <f>IF(B838="","",IFERROR(VALUE(TEXT(B838,"[$-1170401]yyyy")),""))</f>
        <v/>
      </c>
      <c r="M838">
        <f>IF(B838="","",IFERROR(VALUE(TEXT(B838,"[$-1170401]mm")),""))</f>
        <v/>
      </c>
    </row>
    <row r="839">
      <c r="B839" s="30" t="n"/>
      <c r="G839" s="9">
        <f>IF(AND(E839&lt;&gt;"",E839&lt;&gt;0,H839&lt;&gt;""),H839/E839,"")</f>
        <v/>
      </c>
      <c r="L839">
        <f>IF(B839="","",IFERROR(VALUE(TEXT(B839,"[$-1170401]yyyy")),""))</f>
        <v/>
      </c>
      <c r="M839">
        <f>IF(B839="","",IFERROR(VALUE(TEXT(B839,"[$-1170401]mm")),""))</f>
        <v/>
      </c>
    </row>
    <row r="840">
      <c r="B840" s="30" t="n"/>
      <c r="G840" s="9">
        <f>IF(AND(E840&lt;&gt;"",E840&lt;&gt;0,H840&lt;&gt;""),H840/E840,"")</f>
        <v/>
      </c>
      <c r="L840">
        <f>IF(B840="","",IFERROR(VALUE(TEXT(B840,"[$-1170401]yyyy")),""))</f>
        <v/>
      </c>
      <c r="M840">
        <f>IF(B840="","",IFERROR(VALUE(TEXT(B840,"[$-1170401]mm")),""))</f>
        <v/>
      </c>
    </row>
    <row r="841">
      <c r="B841" s="30" t="n"/>
      <c r="G841" s="9">
        <f>IF(AND(E841&lt;&gt;"",E841&lt;&gt;0,H841&lt;&gt;""),H841/E841,"")</f>
        <v/>
      </c>
      <c r="L841">
        <f>IF(B841="","",IFERROR(VALUE(TEXT(B841,"[$-1170401]yyyy")),""))</f>
        <v/>
      </c>
      <c r="M841">
        <f>IF(B841="","",IFERROR(VALUE(TEXT(B841,"[$-1170401]mm")),""))</f>
        <v/>
      </c>
    </row>
    <row r="842">
      <c r="B842" s="30" t="n"/>
      <c r="G842" s="9">
        <f>IF(AND(E842&lt;&gt;"",E842&lt;&gt;0,H842&lt;&gt;""),H842/E842,"")</f>
        <v/>
      </c>
      <c r="L842">
        <f>IF(B842="","",IFERROR(VALUE(TEXT(B842,"[$-1170401]yyyy")),""))</f>
        <v/>
      </c>
      <c r="M842">
        <f>IF(B842="","",IFERROR(VALUE(TEXT(B842,"[$-1170401]mm")),""))</f>
        <v/>
      </c>
    </row>
    <row r="843">
      <c r="B843" s="30" t="n"/>
      <c r="G843" s="9">
        <f>IF(AND(E843&lt;&gt;"",E843&lt;&gt;0,H843&lt;&gt;""),H843/E843,"")</f>
        <v/>
      </c>
      <c r="L843">
        <f>IF(B843="","",IFERROR(VALUE(TEXT(B843,"[$-1170401]yyyy")),""))</f>
        <v/>
      </c>
      <c r="M843">
        <f>IF(B843="","",IFERROR(VALUE(TEXT(B843,"[$-1170401]mm")),""))</f>
        <v/>
      </c>
    </row>
    <row r="844">
      <c r="B844" s="30" t="n"/>
      <c r="G844" s="9">
        <f>IF(AND(E844&lt;&gt;"",E844&lt;&gt;0,H844&lt;&gt;""),H844/E844,"")</f>
        <v/>
      </c>
      <c r="L844">
        <f>IF(B844="","",IFERROR(VALUE(TEXT(B844,"[$-1170401]yyyy")),""))</f>
        <v/>
      </c>
      <c r="M844">
        <f>IF(B844="","",IFERROR(VALUE(TEXT(B844,"[$-1170401]mm")),""))</f>
        <v/>
      </c>
    </row>
    <row r="845">
      <c r="B845" s="30" t="n"/>
      <c r="G845" s="9">
        <f>IF(AND(E845&lt;&gt;"",E845&lt;&gt;0,H845&lt;&gt;""),H845/E845,"")</f>
        <v/>
      </c>
      <c r="L845">
        <f>IF(B845="","",IFERROR(VALUE(TEXT(B845,"[$-1170401]yyyy")),""))</f>
        <v/>
      </c>
      <c r="M845">
        <f>IF(B845="","",IFERROR(VALUE(TEXT(B845,"[$-1170401]mm")),""))</f>
        <v/>
      </c>
    </row>
    <row r="846">
      <c r="B846" s="30" t="n"/>
      <c r="G846" s="9">
        <f>IF(AND(E846&lt;&gt;"",E846&lt;&gt;0,H846&lt;&gt;""),H846/E846,"")</f>
        <v/>
      </c>
      <c r="L846">
        <f>IF(B846="","",IFERROR(VALUE(TEXT(B846,"[$-1170401]yyyy")),""))</f>
        <v/>
      </c>
      <c r="M846">
        <f>IF(B846="","",IFERROR(VALUE(TEXT(B846,"[$-1170401]mm")),""))</f>
        <v/>
      </c>
    </row>
    <row r="847">
      <c r="B847" s="30" t="n"/>
      <c r="G847" s="9">
        <f>IF(AND(E847&lt;&gt;"",E847&lt;&gt;0,H847&lt;&gt;""),H847/E847,"")</f>
        <v/>
      </c>
      <c r="L847">
        <f>IF(B847="","",IFERROR(VALUE(TEXT(B847,"[$-1170401]yyyy")),""))</f>
        <v/>
      </c>
      <c r="M847">
        <f>IF(B847="","",IFERROR(VALUE(TEXT(B847,"[$-1170401]mm")),""))</f>
        <v/>
      </c>
    </row>
    <row r="848">
      <c r="B848" s="30" t="n"/>
      <c r="G848" s="9">
        <f>IF(AND(E848&lt;&gt;"",E848&lt;&gt;0,H848&lt;&gt;""),H848/E848,"")</f>
        <v/>
      </c>
      <c r="L848">
        <f>IF(B848="","",IFERROR(VALUE(TEXT(B848,"[$-1170401]yyyy")),""))</f>
        <v/>
      </c>
      <c r="M848">
        <f>IF(B848="","",IFERROR(VALUE(TEXT(B848,"[$-1170401]mm")),""))</f>
        <v/>
      </c>
    </row>
    <row r="849">
      <c r="B849" s="30" t="n"/>
      <c r="G849" s="9">
        <f>IF(AND(E849&lt;&gt;"",E849&lt;&gt;0,H849&lt;&gt;""),H849/E849,"")</f>
        <v/>
      </c>
      <c r="L849">
        <f>IF(B849="","",IFERROR(VALUE(TEXT(B849,"[$-1170401]yyyy")),""))</f>
        <v/>
      </c>
      <c r="M849">
        <f>IF(B849="","",IFERROR(VALUE(TEXT(B849,"[$-1170401]mm")),""))</f>
        <v/>
      </c>
    </row>
    <row r="850">
      <c r="B850" s="30" t="n"/>
      <c r="G850" s="9">
        <f>IF(AND(E850&lt;&gt;"",E850&lt;&gt;0,H850&lt;&gt;""),H850/E850,"")</f>
        <v/>
      </c>
      <c r="L850">
        <f>IF(B850="","",IFERROR(VALUE(TEXT(B850,"[$-1170401]yyyy")),""))</f>
        <v/>
      </c>
      <c r="M850">
        <f>IF(B850="","",IFERROR(VALUE(TEXT(B850,"[$-1170401]mm")),""))</f>
        <v/>
      </c>
    </row>
    <row r="851">
      <c r="B851" s="30" t="n"/>
      <c r="G851" s="9">
        <f>IF(AND(E851&lt;&gt;"",E851&lt;&gt;0,H851&lt;&gt;""),H851/E851,"")</f>
        <v/>
      </c>
      <c r="L851">
        <f>IF(B851="","",IFERROR(VALUE(TEXT(B851,"[$-1170401]yyyy")),""))</f>
        <v/>
      </c>
      <c r="M851">
        <f>IF(B851="","",IFERROR(VALUE(TEXT(B851,"[$-1170401]mm")),""))</f>
        <v/>
      </c>
    </row>
    <row r="852">
      <c r="B852" s="30" t="n"/>
      <c r="G852" s="9">
        <f>IF(AND(E852&lt;&gt;"",E852&lt;&gt;0,H852&lt;&gt;""),H852/E852,"")</f>
        <v/>
      </c>
      <c r="L852">
        <f>IF(B852="","",IFERROR(VALUE(TEXT(B852,"[$-1170401]yyyy")),""))</f>
        <v/>
      </c>
      <c r="M852">
        <f>IF(B852="","",IFERROR(VALUE(TEXT(B852,"[$-1170401]mm")),""))</f>
        <v/>
      </c>
    </row>
    <row r="853">
      <c r="B853" s="30" t="n"/>
      <c r="G853" s="9">
        <f>IF(AND(E853&lt;&gt;"",E853&lt;&gt;0,H853&lt;&gt;""),H853/E853,"")</f>
        <v/>
      </c>
      <c r="L853">
        <f>IF(B853="","",IFERROR(VALUE(TEXT(B853,"[$-1170401]yyyy")),""))</f>
        <v/>
      </c>
      <c r="M853">
        <f>IF(B853="","",IFERROR(VALUE(TEXT(B853,"[$-1170401]mm")),""))</f>
        <v/>
      </c>
    </row>
    <row r="854">
      <c r="B854" s="30" t="n"/>
      <c r="G854" s="9">
        <f>IF(AND(E854&lt;&gt;"",E854&lt;&gt;0,H854&lt;&gt;""),H854/E854,"")</f>
        <v/>
      </c>
      <c r="L854">
        <f>IF(B854="","",IFERROR(VALUE(TEXT(B854,"[$-1170401]yyyy")),""))</f>
        <v/>
      </c>
      <c r="M854">
        <f>IF(B854="","",IFERROR(VALUE(TEXT(B854,"[$-1170401]mm")),""))</f>
        <v/>
      </c>
    </row>
    <row r="855">
      <c r="B855" s="30" t="n"/>
      <c r="G855" s="9">
        <f>IF(AND(E855&lt;&gt;"",E855&lt;&gt;0,H855&lt;&gt;""),H855/E855,"")</f>
        <v/>
      </c>
      <c r="L855">
        <f>IF(B855="","",IFERROR(VALUE(TEXT(B855,"[$-1170401]yyyy")),""))</f>
        <v/>
      </c>
      <c r="M855">
        <f>IF(B855="","",IFERROR(VALUE(TEXT(B855,"[$-1170401]mm")),""))</f>
        <v/>
      </c>
    </row>
    <row r="856">
      <c r="B856" s="30" t="n"/>
      <c r="G856" s="9">
        <f>IF(AND(E856&lt;&gt;"",E856&lt;&gt;0,H856&lt;&gt;""),H856/E856,"")</f>
        <v/>
      </c>
      <c r="L856">
        <f>IF(B856="","",IFERROR(VALUE(TEXT(B856,"[$-1170401]yyyy")),""))</f>
        <v/>
      </c>
      <c r="M856">
        <f>IF(B856="","",IFERROR(VALUE(TEXT(B856,"[$-1170401]mm")),""))</f>
        <v/>
      </c>
    </row>
    <row r="857">
      <c r="B857" s="30" t="n"/>
      <c r="G857" s="9">
        <f>IF(AND(E857&lt;&gt;"",E857&lt;&gt;0,H857&lt;&gt;""),H857/E857,"")</f>
        <v/>
      </c>
      <c r="L857">
        <f>IF(B857="","",IFERROR(VALUE(TEXT(B857,"[$-1170401]yyyy")),""))</f>
        <v/>
      </c>
      <c r="M857">
        <f>IF(B857="","",IFERROR(VALUE(TEXT(B857,"[$-1170401]mm")),""))</f>
        <v/>
      </c>
    </row>
    <row r="858">
      <c r="B858" s="30" t="n"/>
      <c r="G858" s="9">
        <f>IF(AND(E858&lt;&gt;"",E858&lt;&gt;0,H858&lt;&gt;""),H858/E858,"")</f>
        <v/>
      </c>
      <c r="L858">
        <f>IF(B858="","",IFERROR(VALUE(TEXT(B858,"[$-1170401]yyyy")),""))</f>
        <v/>
      </c>
      <c r="M858">
        <f>IF(B858="","",IFERROR(VALUE(TEXT(B858,"[$-1170401]mm")),""))</f>
        <v/>
      </c>
    </row>
    <row r="859">
      <c r="B859" s="30" t="n"/>
      <c r="G859" s="9">
        <f>IF(AND(E859&lt;&gt;"",E859&lt;&gt;0,H859&lt;&gt;""),H859/E859,"")</f>
        <v/>
      </c>
      <c r="L859">
        <f>IF(B859="","",IFERROR(VALUE(TEXT(B859,"[$-1170401]yyyy")),""))</f>
        <v/>
      </c>
      <c r="M859">
        <f>IF(B859="","",IFERROR(VALUE(TEXT(B859,"[$-1170401]mm")),""))</f>
        <v/>
      </c>
    </row>
    <row r="860">
      <c r="B860" s="30" t="n"/>
      <c r="G860" s="9">
        <f>IF(AND(E860&lt;&gt;"",E860&lt;&gt;0,H860&lt;&gt;""),H860/E860,"")</f>
        <v/>
      </c>
      <c r="L860">
        <f>IF(B860="","",IFERROR(VALUE(TEXT(B860,"[$-1170401]yyyy")),""))</f>
        <v/>
      </c>
      <c r="M860">
        <f>IF(B860="","",IFERROR(VALUE(TEXT(B860,"[$-1170401]mm")),""))</f>
        <v/>
      </c>
    </row>
    <row r="861">
      <c r="B861" s="30" t="n"/>
      <c r="G861" s="9">
        <f>IF(AND(E861&lt;&gt;"",E861&lt;&gt;0,H861&lt;&gt;""),H861/E861,"")</f>
        <v/>
      </c>
      <c r="L861">
        <f>IF(B861="","",IFERROR(VALUE(TEXT(B861,"[$-1170401]yyyy")),""))</f>
        <v/>
      </c>
      <c r="M861">
        <f>IF(B861="","",IFERROR(VALUE(TEXT(B861,"[$-1170401]mm")),""))</f>
        <v/>
      </c>
    </row>
    <row r="862">
      <c r="B862" s="30" t="n"/>
      <c r="G862" s="9">
        <f>IF(AND(E862&lt;&gt;"",E862&lt;&gt;0,H862&lt;&gt;""),H862/E862,"")</f>
        <v/>
      </c>
      <c r="L862">
        <f>IF(B862="","",IFERROR(VALUE(TEXT(B862,"[$-1170401]yyyy")),""))</f>
        <v/>
      </c>
      <c r="M862">
        <f>IF(B862="","",IFERROR(VALUE(TEXT(B862,"[$-1170401]mm")),""))</f>
        <v/>
      </c>
    </row>
    <row r="863">
      <c r="B863" s="30" t="n"/>
      <c r="G863" s="9">
        <f>IF(AND(E863&lt;&gt;"",E863&lt;&gt;0,H863&lt;&gt;""),H863/E863,"")</f>
        <v/>
      </c>
      <c r="L863">
        <f>IF(B863="","",IFERROR(VALUE(TEXT(B863,"[$-1170401]yyyy")),""))</f>
        <v/>
      </c>
      <c r="M863">
        <f>IF(B863="","",IFERROR(VALUE(TEXT(B863,"[$-1170401]mm")),""))</f>
        <v/>
      </c>
    </row>
    <row r="864">
      <c r="B864" s="30" t="n"/>
      <c r="G864" s="9">
        <f>IF(AND(E864&lt;&gt;"",E864&lt;&gt;0,H864&lt;&gt;""),H864/E864,"")</f>
        <v/>
      </c>
      <c r="L864">
        <f>IF(B864="","",IFERROR(VALUE(TEXT(B864,"[$-1170401]yyyy")),""))</f>
        <v/>
      </c>
      <c r="M864">
        <f>IF(B864="","",IFERROR(VALUE(TEXT(B864,"[$-1170401]mm")),""))</f>
        <v/>
      </c>
    </row>
    <row r="865">
      <c r="B865" s="30" t="n"/>
      <c r="G865" s="9">
        <f>IF(AND(E865&lt;&gt;"",E865&lt;&gt;0,H865&lt;&gt;""),H865/E865,"")</f>
        <v/>
      </c>
      <c r="L865">
        <f>IF(B865="","",IFERROR(VALUE(TEXT(B865,"[$-1170401]yyyy")),""))</f>
        <v/>
      </c>
      <c r="M865">
        <f>IF(B865="","",IFERROR(VALUE(TEXT(B865,"[$-1170401]mm")),""))</f>
        <v/>
      </c>
    </row>
    <row r="866">
      <c r="B866" s="30" t="n"/>
      <c r="G866" s="9">
        <f>IF(AND(E866&lt;&gt;"",E866&lt;&gt;0,H866&lt;&gt;""),H866/E866,"")</f>
        <v/>
      </c>
      <c r="L866">
        <f>IF(B866="","",IFERROR(VALUE(TEXT(B866,"[$-1170401]yyyy")),""))</f>
        <v/>
      </c>
      <c r="M866">
        <f>IF(B866="","",IFERROR(VALUE(TEXT(B866,"[$-1170401]mm")),""))</f>
        <v/>
      </c>
    </row>
    <row r="867">
      <c r="B867" s="30" t="n"/>
      <c r="G867" s="9">
        <f>IF(AND(E867&lt;&gt;"",E867&lt;&gt;0,H867&lt;&gt;""),H867/E867,"")</f>
        <v/>
      </c>
      <c r="L867">
        <f>IF(B867="","",IFERROR(VALUE(TEXT(B867,"[$-1170401]yyyy")),""))</f>
        <v/>
      </c>
      <c r="M867">
        <f>IF(B867="","",IFERROR(VALUE(TEXT(B867,"[$-1170401]mm")),""))</f>
        <v/>
      </c>
    </row>
    <row r="868">
      <c r="B868" s="30" t="n"/>
      <c r="G868" s="9">
        <f>IF(AND(E868&lt;&gt;"",E868&lt;&gt;0,H868&lt;&gt;""),H868/E868,"")</f>
        <v/>
      </c>
      <c r="L868">
        <f>IF(B868="","",IFERROR(VALUE(TEXT(B868,"[$-1170401]yyyy")),""))</f>
        <v/>
      </c>
      <c r="M868">
        <f>IF(B868="","",IFERROR(VALUE(TEXT(B868,"[$-1170401]mm")),""))</f>
        <v/>
      </c>
    </row>
    <row r="869">
      <c r="B869" s="30" t="n"/>
      <c r="G869" s="9">
        <f>IF(AND(E869&lt;&gt;"",E869&lt;&gt;0,H869&lt;&gt;""),H869/E869,"")</f>
        <v/>
      </c>
      <c r="L869">
        <f>IF(B869="","",IFERROR(VALUE(TEXT(B869,"[$-1170401]yyyy")),""))</f>
        <v/>
      </c>
      <c r="M869">
        <f>IF(B869="","",IFERROR(VALUE(TEXT(B869,"[$-1170401]mm")),""))</f>
        <v/>
      </c>
    </row>
    <row r="870">
      <c r="B870" s="30" t="n"/>
      <c r="G870" s="9">
        <f>IF(AND(E870&lt;&gt;"",E870&lt;&gt;0,H870&lt;&gt;""),H870/E870,"")</f>
        <v/>
      </c>
      <c r="L870">
        <f>IF(B870="","",IFERROR(VALUE(TEXT(B870,"[$-1170401]yyyy")),""))</f>
        <v/>
      </c>
      <c r="M870">
        <f>IF(B870="","",IFERROR(VALUE(TEXT(B870,"[$-1170401]mm")),""))</f>
        <v/>
      </c>
    </row>
    <row r="871">
      <c r="B871" s="30" t="n"/>
      <c r="G871" s="9">
        <f>IF(AND(E871&lt;&gt;"",E871&lt;&gt;0,H871&lt;&gt;""),H871/E871,"")</f>
        <v/>
      </c>
      <c r="L871">
        <f>IF(B871="","",IFERROR(VALUE(TEXT(B871,"[$-1170401]yyyy")),""))</f>
        <v/>
      </c>
      <c r="M871">
        <f>IF(B871="","",IFERROR(VALUE(TEXT(B871,"[$-1170401]mm")),""))</f>
        <v/>
      </c>
    </row>
    <row r="872">
      <c r="B872" s="30" t="n"/>
      <c r="G872" s="9">
        <f>IF(AND(E872&lt;&gt;"",E872&lt;&gt;0,H872&lt;&gt;""),H872/E872,"")</f>
        <v/>
      </c>
      <c r="L872">
        <f>IF(B872="","",IFERROR(VALUE(TEXT(B872,"[$-1170401]yyyy")),""))</f>
        <v/>
      </c>
      <c r="M872">
        <f>IF(B872="","",IFERROR(VALUE(TEXT(B872,"[$-1170401]mm")),""))</f>
        <v/>
      </c>
    </row>
    <row r="873">
      <c r="B873" s="30" t="n"/>
      <c r="G873" s="9">
        <f>IF(AND(E873&lt;&gt;"",E873&lt;&gt;0,H873&lt;&gt;""),H873/E873,"")</f>
        <v/>
      </c>
      <c r="L873">
        <f>IF(B873="","",IFERROR(VALUE(TEXT(B873,"[$-1170401]yyyy")),""))</f>
        <v/>
      </c>
      <c r="M873">
        <f>IF(B873="","",IFERROR(VALUE(TEXT(B873,"[$-1170401]mm")),""))</f>
        <v/>
      </c>
    </row>
    <row r="874">
      <c r="B874" s="30" t="n"/>
      <c r="G874" s="9">
        <f>IF(AND(E874&lt;&gt;"",E874&lt;&gt;0,H874&lt;&gt;""),H874/E874,"")</f>
        <v/>
      </c>
      <c r="L874">
        <f>IF(B874="","",IFERROR(VALUE(TEXT(B874,"[$-1170401]yyyy")),""))</f>
        <v/>
      </c>
      <c r="M874">
        <f>IF(B874="","",IFERROR(VALUE(TEXT(B874,"[$-1170401]mm")),""))</f>
        <v/>
      </c>
    </row>
    <row r="875">
      <c r="B875" s="30" t="n"/>
      <c r="G875" s="9">
        <f>IF(AND(E875&lt;&gt;"",E875&lt;&gt;0,H875&lt;&gt;""),H875/E875,"")</f>
        <v/>
      </c>
      <c r="L875">
        <f>IF(B875="","",IFERROR(VALUE(TEXT(B875,"[$-1170401]yyyy")),""))</f>
        <v/>
      </c>
      <c r="M875">
        <f>IF(B875="","",IFERROR(VALUE(TEXT(B875,"[$-1170401]mm")),""))</f>
        <v/>
      </c>
    </row>
    <row r="876">
      <c r="B876" s="30" t="n"/>
      <c r="G876" s="9">
        <f>IF(AND(E876&lt;&gt;"",E876&lt;&gt;0,H876&lt;&gt;""),H876/E876,"")</f>
        <v/>
      </c>
      <c r="L876">
        <f>IF(B876="","",IFERROR(VALUE(TEXT(B876,"[$-1170401]yyyy")),""))</f>
        <v/>
      </c>
      <c r="M876">
        <f>IF(B876="","",IFERROR(VALUE(TEXT(B876,"[$-1170401]mm")),""))</f>
        <v/>
      </c>
    </row>
    <row r="877">
      <c r="B877" s="30" t="n"/>
      <c r="G877" s="9">
        <f>IF(AND(E877&lt;&gt;"",E877&lt;&gt;0,H877&lt;&gt;""),H877/E877,"")</f>
        <v/>
      </c>
      <c r="L877">
        <f>IF(B877="","",IFERROR(VALUE(TEXT(B877,"[$-1170401]yyyy")),""))</f>
        <v/>
      </c>
      <c r="M877">
        <f>IF(B877="","",IFERROR(VALUE(TEXT(B877,"[$-1170401]mm")),""))</f>
        <v/>
      </c>
    </row>
    <row r="878">
      <c r="B878" s="30" t="n"/>
      <c r="G878" s="9">
        <f>IF(AND(E878&lt;&gt;"",E878&lt;&gt;0,H878&lt;&gt;""),H878/E878,"")</f>
        <v/>
      </c>
      <c r="L878">
        <f>IF(B878="","",IFERROR(VALUE(TEXT(B878,"[$-1170401]yyyy")),""))</f>
        <v/>
      </c>
      <c r="M878">
        <f>IF(B878="","",IFERROR(VALUE(TEXT(B878,"[$-1170401]mm")),""))</f>
        <v/>
      </c>
    </row>
    <row r="879">
      <c r="B879" s="30" t="n"/>
      <c r="G879" s="9">
        <f>IF(AND(E879&lt;&gt;"",E879&lt;&gt;0,H879&lt;&gt;""),H879/E879,"")</f>
        <v/>
      </c>
      <c r="L879">
        <f>IF(B879="","",IFERROR(VALUE(TEXT(B879,"[$-1170401]yyyy")),""))</f>
        <v/>
      </c>
      <c r="M879">
        <f>IF(B879="","",IFERROR(VALUE(TEXT(B879,"[$-1170401]mm")),""))</f>
        <v/>
      </c>
    </row>
    <row r="880">
      <c r="B880" s="30" t="n"/>
      <c r="G880" s="9">
        <f>IF(AND(E880&lt;&gt;"",E880&lt;&gt;0,H880&lt;&gt;""),H880/E880,"")</f>
        <v/>
      </c>
      <c r="L880">
        <f>IF(B880="","",IFERROR(VALUE(TEXT(B880,"[$-1170401]yyyy")),""))</f>
        <v/>
      </c>
      <c r="M880">
        <f>IF(B880="","",IFERROR(VALUE(TEXT(B880,"[$-1170401]mm")),""))</f>
        <v/>
      </c>
    </row>
    <row r="881">
      <c r="B881" s="30" t="n"/>
      <c r="G881" s="9">
        <f>IF(AND(E881&lt;&gt;"",E881&lt;&gt;0,H881&lt;&gt;""),H881/E881,"")</f>
        <v/>
      </c>
      <c r="L881">
        <f>IF(B881="","",IFERROR(VALUE(TEXT(B881,"[$-1170401]yyyy")),""))</f>
        <v/>
      </c>
      <c r="M881">
        <f>IF(B881="","",IFERROR(VALUE(TEXT(B881,"[$-1170401]mm")),""))</f>
        <v/>
      </c>
    </row>
    <row r="882">
      <c r="B882" s="30" t="n"/>
      <c r="G882" s="9">
        <f>IF(AND(E882&lt;&gt;"",E882&lt;&gt;0,H882&lt;&gt;""),H882/E882,"")</f>
        <v/>
      </c>
      <c r="L882">
        <f>IF(B882="","",IFERROR(VALUE(TEXT(B882,"[$-1170401]yyyy")),""))</f>
        <v/>
      </c>
      <c r="M882">
        <f>IF(B882="","",IFERROR(VALUE(TEXT(B882,"[$-1170401]mm")),""))</f>
        <v/>
      </c>
    </row>
    <row r="883">
      <c r="B883" s="30" t="n"/>
      <c r="G883" s="9">
        <f>IF(AND(E883&lt;&gt;"",E883&lt;&gt;0,H883&lt;&gt;""),H883/E883,"")</f>
        <v/>
      </c>
      <c r="L883">
        <f>IF(B883="","",IFERROR(VALUE(TEXT(B883,"[$-1170401]yyyy")),""))</f>
        <v/>
      </c>
      <c r="M883">
        <f>IF(B883="","",IFERROR(VALUE(TEXT(B883,"[$-1170401]mm")),""))</f>
        <v/>
      </c>
    </row>
    <row r="884">
      <c r="B884" s="30" t="n"/>
      <c r="G884" s="9">
        <f>IF(AND(E884&lt;&gt;"",E884&lt;&gt;0,H884&lt;&gt;""),H884/E884,"")</f>
        <v/>
      </c>
      <c r="L884">
        <f>IF(B884="","",IFERROR(VALUE(TEXT(B884,"[$-1170401]yyyy")),""))</f>
        <v/>
      </c>
      <c r="M884">
        <f>IF(B884="","",IFERROR(VALUE(TEXT(B884,"[$-1170401]mm")),""))</f>
        <v/>
      </c>
    </row>
    <row r="885">
      <c r="B885" s="30" t="n"/>
      <c r="G885" s="9">
        <f>IF(AND(E885&lt;&gt;"",E885&lt;&gt;0,H885&lt;&gt;""),H885/E885,"")</f>
        <v/>
      </c>
      <c r="L885">
        <f>IF(B885="","",IFERROR(VALUE(TEXT(B885,"[$-1170401]yyyy")),""))</f>
        <v/>
      </c>
      <c r="M885">
        <f>IF(B885="","",IFERROR(VALUE(TEXT(B885,"[$-1170401]mm")),""))</f>
        <v/>
      </c>
    </row>
    <row r="886">
      <c r="B886" s="30" t="n"/>
      <c r="G886" s="9">
        <f>IF(AND(E886&lt;&gt;"",E886&lt;&gt;0,H886&lt;&gt;""),H886/E886,"")</f>
        <v/>
      </c>
      <c r="L886">
        <f>IF(B886="","",IFERROR(VALUE(TEXT(B886,"[$-1170401]yyyy")),""))</f>
        <v/>
      </c>
      <c r="M886">
        <f>IF(B886="","",IFERROR(VALUE(TEXT(B886,"[$-1170401]mm")),""))</f>
        <v/>
      </c>
    </row>
    <row r="887">
      <c r="B887" s="30" t="n"/>
      <c r="G887" s="9">
        <f>IF(AND(E887&lt;&gt;"",E887&lt;&gt;0,H887&lt;&gt;""),H887/E887,"")</f>
        <v/>
      </c>
      <c r="L887">
        <f>IF(B887="","",IFERROR(VALUE(TEXT(B887,"[$-1170401]yyyy")),""))</f>
        <v/>
      </c>
      <c r="M887">
        <f>IF(B887="","",IFERROR(VALUE(TEXT(B887,"[$-1170401]mm")),""))</f>
        <v/>
      </c>
    </row>
    <row r="888">
      <c r="B888" s="30" t="n"/>
      <c r="G888" s="9">
        <f>IF(AND(E888&lt;&gt;"",E888&lt;&gt;0,H888&lt;&gt;""),H888/E888,"")</f>
        <v/>
      </c>
      <c r="L888">
        <f>IF(B888="","",IFERROR(VALUE(TEXT(B888,"[$-1170401]yyyy")),""))</f>
        <v/>
      </c>
      <c r="M888">
        <f>IF(B888="","",IFERROR(VALUE(TEXT(B888,"[$-1170401]mm")),""))</f>
        <v/>
      </c>
    </row>
    <row r="889">
      <c r="B889" s="30" t="n"/>
      <c r="G889" s="9">
        <f>IF(AND(E889&lt;&gt;"",E889&lt;&gt;0,H889&lt;&gt;""),H889/E889,"")</f>
        <v/>
      </c>
      <c r="L889">
        <f>IF(B889="","",IFERROR(VALUE(TEXT(B889,"[$-1170401]yyyy")),""))</f>
        <v/>
      </c>
      <c r="M889">
        <f>IF(B889="","",IFERROR(VALUE(TEXT(B889,"[$-1170401]mm")),""))</f>
        <v/>
      </c>
    </row>
    <row r="890">
      <c r="B890" s="30" t="n"/>
      <c r="G890" s="9">
        <f>IF(AND(E890&lt;&gt;"",E890&lt;&gt;0,H890&lt;&gt;""),H890/E890,"")</f>
        <v/>
      </c>
      <c r="L890">
        <f>IF(B890="","",IFERROR(VALUE(TEXT(B890,"[$-1170401]yyyy")),""))</f>
        <v/>
      </c>
      <c r="M890">
        <f>IF(B890="","",IFERROR(VALUE(TEXT(B890,"[$-1170401]mm")),""))</f>
        <v/>
      </c>
    </row>
    <row r="891">
      <c r="B891" s="30" t="n"/>
      <c r="G891" s="9">
        <f>IF(AND(E891&lt;&gt;"",E891&lt;&gt;0,H891&lt;&gt;""),H891/E891,"")</f>
        <v/>
      </c>
      <c r="L891">
        <f>IF(B891="","",IFERROR(VALUE(TEXT(B891,"[$-1170401]yyyy")),""))</f>
        <v/>
      </c>
      <c r="M891">
        <f>IF(B891="","",IFERROR(VALUE(TEXT(B891,"[$-1170401]mm")),""))</f>
        <v/>
      </c>
    </row>
    <row r="892">
      <c r="B892" s="30" t="n"/>
      <c r="G892" s="9">
        <f>IF(AND(E892&lt;&gt;"",E892&lt;&gt;0,H892&lt;&gt;""),H892/E892,"")</f>
        <v/>
      </c>
      <c r="L892">
        <f>IF(B892="","",IFERROR(VALUE(TEXT(B892,"[$-1170401]yyyy")),""))</f>
        <v/>
      </c>
      <c r="M892">
        <f>IF(B892="","",IFERROR(VALUE(TEXT(B892,"[$-1170401]mm")),""))</f>
        <v/>
      </c>
    </row>
    <row r="893">
      <c r="B893" s="30" t="n"/>
      <c r="G893" s="9">
        <f>IF(AND(E893&lt;&gt;"",E893&lt;&gt;0,H893&lt;&gt;""),H893/E893,"")</f>
        <v/>
      </c>
      <c r="L893">
        <f>IF(B893="","",IFERROR(VALUE(TEXT(B893,"[$-1170401]yyyy")),""))</f>
        <v/>
      </c>
      <c r="M893">
        <f>IF(B893="","",IFERROR(VALUE(TEXT(B893,"[$-1170401]mm")),""))</f>
        <v/>
      </c>
    </row>
    <row r="894">
      <c r="B894" s="30" t="n"/>
      <c r="G894" s="9">
        <f>IF(AND(E894&lt;&gt;"",E894&lt;&gt;0,H894&lt;&gt;""),H894/E894,"")</f>
        <v/>
      </c>
      <c r="L894">
        <f>IF(B894="","",IFERROR(VALUE(TEXT(B894,"[$-1170401]yyyy")),""))</f>
        <v/>
      </c>
      <c r="M894">
        <f>IF(B894="","",IFERROR(VALUE(TEXT(B894,"[$-1170401]mm")),""))</f>
        <v/>
      </c>
    </row>
    <row r="895">
      <c r="B895" s="30" t="n"/>
      <c r="G895" s="9">
        <f>IF(AND(E895&lt;&gt;"",E895&lt;&gt;0,H895&lt;&gt;""),H895/E895,"")</f>
        <v/>
      </c>
      <c r="L895">
        <f>IF(B895="","",IFERROR(VALUE(TEXT(B895,"[$-1170401]yyyy")),""))</f>
        <v/>
      </c>
      <c r="M895">
        <f>IF(B895="","",IFERROR(VALUE(TEXT(B895,"[$-1170401]mm")),""))</f>
        <v/>
      </c>
    </row>
    <row r="896">
      <c r="B896" s="30" t="n"/>
      <c r="G896" s="9">
        <f>IF(AND(E896&lt;&gt;"",E896&lt;&gt;0,H896&lt;&gt;""),H896/E896,"")</f>
        <v/>
      </c>
      <c r="L896">
        <f>IF(B896="","",IFERROR(VALUE(TEXT(B896,"[$-1170401]yyyy")),""))</f>
        <v/>
      </c>
      <c r="M896">
        <f>IF(B896="","",IFERROR(VALUE(TEXT(B896,"[$-1170401]mm")),""))</f>
        <v/>
      </c>
    </row>
    <row r="897">
      <c r="B897" s="30" t="n"/>
      <c r="G897" s="9">
        <f>IF(AND(E897&lt;&gt;"",E897&lt;&gt;0,H897&lt;&gt;""),H897/E897,"")</f>
        <v/>
      </c>
      <c r="L897">
        <f>IF(B897="","",IFERROR(VALUE(TEXT(B897,"[$-1170401]yyyy")),""))</f>
        <v/>
      </c>
      <c r="M897">
        <f>IF(B897="","",IFERROR(VALUE(TEXT(B897,"[$-1170401]mm")),""))</f>
        <v/>
      </c>
    </row>
    <row r="898">
      <c r="B898" s="30" t="n"/>
      <c r="G898" s="9">
        <f>IF(AND(E898&lt;&gt;"",E898&lt;&gt;0,H898&lt;&gt;""),H898/E898,"")</f>
        <v/>
      </c>
      <c r="L898">
        <f>IF(B898="","",IFERROR(VALUE(TEXT(B898,"[$-1170401]yyyy")),""))</f>
        <v/>
      </c>
      <c r="M898">
        <f>IF(B898="","",IFERROR(VALUE(TEXT(B898,"[$-1170401]mm")),""))</f>
        <v/>
      </c>
    </row>
    <row r="899">
      <c r="B899" s="30" t="n"/>
      <c r="G899" s="9">
        <f>IF(AND(E899&lt;&gt;"",E899&lt;&gt;0,H899&lt;&gt;""),H899/E899,"")</f>
        <v/>
      </c>
      <c r="L899">
        <f>IF(B899="","",IFERROR(VALUE(TEXT(B899,"[$-1170401]yyyy")),""))</f>
        <v/>
      </c>
      <c r="M899">
        <f>IF(B899="","",IFERROR(VALUE(TEXT(B899,"[$-1170401]mm")),""))</f>
        <v/>
      </c>
    </row>
    <row r="900">
      <c r="B900" s="30" t="n"/>
      <c r="G900" s="9">
        <f>IF(AND(E900&lt;&gt;"",E900&lt;&gt;0,H900&lt;&gt;""),H900/E900,"")</f>
        <v/>
      </c>
      <c r="L900">
        <f>IF(B900="","",IFERROR(VALUE(TEXT(B900,"[$-1170401]yyyy")),""))</f>
        <v/>
      </c>
      <c r="M900">
        <f>IF(B900="","",IFERROR(VALUE(TEXT(B900,"[$-1170401]mm")),""))</f>
        <v/>
      </c>
    </row>
    <row r="901">
      <c r="B901" s="30" t="n"/>
      <c r="G901" s="9">
        <f>IF(AND(E901&lt;&gt;"",E901&lt;&gt;0,H901&lt;&gt;""),H901/E901,"")</f>
        <v/>
      </c>
      <c r="L901">
        <f>IF(B901="","",IFERROR(VALUE(TEXT(B901,"[$-1170401]yyyy")),""))</f>
        <v/>
      </c>
      <c r="M901">
        <f>IF(B901="","",IFERROR(VALUE(TEXT(B901,"[$-1170401]mm")),""))</f>
        <v/>
      </c>
    </row>
    <row r="902">
      <c r="B902" s="30" t="n"/>
      <c r="G902" s="9">
        <f>IF(AND(E902&lt;&gt;"",E902&lt;&gt;0,H902&lt;&gt;""),H902/E902,"")</f>
        <v/>
      </c>
      <c r="L902">
        <f>IF(B902="","",IFERROR(VALUE(TEXT(B902,"[$-1170401]yyyy")),""))</f>
        <v/>
      </c>
      <c r="M902">
        <f>IF(B902="","",IFERROR(VALUE(TEXT(B902,"[$-1170401]mm")),""))</f>
        <v/>
      </c>
    </row>
    <row r="903">
      <c r="B903" s="30" t="n"/>
      <c r="G903" s="9">
        <f>IF(AND(E903&lt;&gt;"",E903&lt;&gt;0,H903&lt;&gt;""),H903/E903,"")</f>
        <v/>
      </c>
      <c r="L903">
        <f>IF(B903="","",IFERROR(VALUE(TEXT(B903,"[$-1170401]yyyy")),""))</f>
        <v/>
      </c>
      <c r="M903">
        <f>IF(B903="","",IFERROR(VALUE(TEXT(B903,"[$-1170401]mm")),""))</f>
        <v/>
      </c>
    </row>
    <row r="904">
      <c r="B904" s="30" t="n"/>
      <c r="G904" s="9">
        <f>IF(AND(E904&lt;&gt;"",E904&lt;&gt;0,H904&lt;&gt;""),H904/E904,"")</f>
        <v/>
      </c>
      <c r="L904">
        <f>IF(B904="","",IFERROR(VALUE(TEXT(B904,"[$-1170401]yyyy")),""))</f>
        <v/>
      </c>
      <c r="M904">
        <f>IF(B904="","",IFERROR(VALUE(TEXT(B904,"[$-1170401]mm")),""))</f>
        <v/>
      </c>
    </row>
    <row r="905">
      <c r="B905" s="30" t="n"/>
      <c r="G905" s="9">
        <f>IF(AND(E905&lt;&gt;"",E905&lt;&gt;0,H905&lt;&gt;""),H905/E905,"")</f>
        <v/>
      </c>
      <c r="L905">
        <f>IF(B905="","",IFERROR(VALUE(TEXT(B905,"[$-1170401]yyyy")),""))</f>
        <v/>
      </c>
      <c r="M905">
        <f>IF(B905="","",IFERROR(VALUE(TEXT(B905,"[$-1170401]mm")),""))</f>
        <v/>
      </c>
    </row>
    <row r="906">
      <c r="B906" s="30" t="n"/>
      <c r="G906" s="9">
        <f>IF(AND(E906&lt;&gt;"",E906&lt;&gt;0,H906&lt;&gt;""),H906/E906,"")</f>
        <v/>
      </c>
      <c r="L906">
        <f>IF(B906="","",IFERROR(VALUE(TEXT(B906,"[$-1170401]yyyy")),""))</f>
        <v/>
      </c>
      <c r="M906">
        <f>IF(B906="","",IFERROR(VALUE(TEXT(B906,"[$-1170401]mm")),""))</f>
        <v/>
      </c>
    </row>
    <row r="907">
      <c r="B907" s="30" t="n"/>
      <c r="G907" s="9">
        <f>IF(AND(E907&lt;&gt;"",E907&lt;&gt;0,H907&lt;&gt;""),H907/E907,"")</f>
        <v/>
      </c>
      <c r="L907">
        <f>IF(B907="","",IFERROR(VALUE(TEXT(B907,"[$-1170401]yyyy")),""))</f>
        <v/>
      </c>
      <c r="M907">
        <f>IF(B907="","",IFERROR(VALUE(TEXT(B907,"[$-1170401]mm")),""))</f>
        <v/>
      </c>
    </row>
    <row r="908">
      <c r="B908" s="30" t="n"/>
      <c r="G908" s="9">
        <f>IF(AND(E908&lt;&gt;"",E908&lt;&gt;0,H908&lt;&gt;""),H908/E908,"")</f>
        <v/>
      </c>
      <c r="L908">
        <f>IF(B908="","",IFERROR(VALUE(TEXT(B908,"[$-1170401]yyyy")),""))</f>
        <v/>
      </c>
      <c r="M908">
        <f>IF(B908="","",IFERROR(VALUE(TEXT(B908,"[$-1170401]mm")),""))</f>
        <v/>
      </c>
    </row>
    <row r="909">
      <c r="B909" s="30" t="n"/>
      <c r="G909" s="9">
        <f>IF(AND(E909&lt;&gt;"",E909&lt;&gt;0,H909&lt;&gt;""),H909/E909,"")</f>
        <v/>
      </c>
      <c r="L909">
        <f>IF(B909="","",IFERROR(VALUE(TEXT(B909,"[$-1170401]yyyy")),""))</f>
        <v/>
      </c>
      <c r="M909">
        <f>IF(B909="","",IFERROR(VALUE(TEXT(B909,"[$-1170401]mm")),""))</f>
        <v/>
      </c>
    </row>
    <row r="910">
      <c r="B910" s="30" t="n"/>
      <c r="G910" s="9">
        <f>IF(AND(E910&lt;&gt;"",E910&lt;&gt;0,H910&lt;&gt;""),H910/E910,"")</f>
        <v/>
      </c>
      <c r="L910">
        <f>IF(B910="","",IFERROR(VALUE(TEXT(B910,"[$-1170401]yyyy")),""))</f>
        <v/>
      </c>
      <c r="M910">
        <f>IF(B910="","",IFERROR(VALUE(TEXT(B910,"[$-1170401]mm")),""))</f>
        <v/>
      </c>
    </row>
    <row r="911">
      <c r="B911" s="30" t="n"/>
      <c r="G911" s="9">
        <f>IF(AND(E911&lt;&gt;"",E911&lt;&gt;0,H911&lt;&gt;""),H911/E911,"")</f>
        <v/>
      </c>
      <c r="L911">
        <f>IF(B911="","",IFERROR(VALUE(TEXT(B911,"[$-1170401]yyyy")),""))</f>
        <v/>
      </c>
      <c r="M911">
        <f>IF(B911="","",IFERROR(VALUE(TEXT(B911,"[$-1170401]mm")),""))</f>
        <v/>
      </c>
    </row>
    <row r="912">
      <c r="B912" s="30" t="n"/>
      <c r="G912" s="9">
        <f>IF(AND(E912&lt;&gt;"",E912&lt;&gt;0,H912&lt;&gt;""),H912/E912,"")</f>
        <v/>
      </c>
      <c r="L912">
        <f>IF(B912="","",IFERROR(VALUE(TEXT(B912,"[$-1170401]yyyy")),""))</f>
        <v/>
      </c>
      <c r="M912">
        <f>IF(B912="","",IFERROR(VALUE(TEXT(B912,"[$-1170401]mm")),""))</f>
        <v/>
      </c>
    </row>
    <row r="913">
      <c r="B913" s="30" t="n"/>
      <c r="G913" s="9">
        <f>IF(AND(E913&lt;&gt;"",E913&lt;&gt;0,H913&lt;&gt;""),H913/E913,"")</f>
        <v/>
      </c>
      <c r="L913">
        <f>IF(B913="","",IFERROR(VALUE(TEXT(B913,"[$-1170401]yyyy")),""))</f>
        <v/>
      </c>
      <c r="M913">
        <f>IF(B913="","",IFERROR(VALUE(TEXT(B913,"[$-1170401]mm")),""))</f>
        <v/>
      </c>
    </row>
    <row r="914">
      <c r="B914" s="30" t="n"/>
      <c r="G914" s="9">
        <f>IF(AND(E914&lt;&gt;"",E914&lt;&gt;0,H914&lt;&gt;""),H914/E914,"")</f>
        <v/>
      </c>
      <c r="L914">
        <f>IF(B914="","",IFERROR(VALUE(TEXT(B914,"[$-1170401]yyyy")),""))</f>
        <v/>
      </c>
      <c r="M914">
        <f>IF(B914="","",IFERROR(VALUE(TEXT(B914,"[$-1170401]mm")),""))</f>
        <v/>
      </c>
    </row>
    <row r="915">
      <c r="B915" s="30" t="n"/>
      <c r="G915" s="9">
        <f>IF(AND(E915&lt;&gt;"",E915&lt;&gt;0,H915&lt;&gt;""),H915/E915,"")</f>
        <v/>
      </c>
      <c r="L915">
        <f>IF(B915="","",IFERROR(VALUE(TEXT(B915,"[$-1170401]yyyy")),""))</f>
        <v/>
      </c>
      <c r="M915">
        <f>IF(B915="","",IFERROR(VALUE(TEXT(B915,"[$-1170401]mm")),""))</f>
        <v/>
      </c>
    </row>
    <row r="916">
      <c r="B916" s="30" t="n"/>
      <c r="G916" s="9">
        <f>IF(AND(E916&lt;&gt;"",E916&lt;&gt;0,H916&lt;&gt;""),H916/E916,"")</f>
        <v/>
      </c>
      <c r="L916">
        <f>IF(B916="","",IFERROR(VALUE(TEXT(B916,"[$-1170401]yyyy")),""))</f>
        <v/>
      </c>
      <c r="M916">
        <f>IF(B916="","",IFERROR(VALUE(TEXT(B916,"[$-1170401]mm")),""))</f>
        <v/>
      </c>
    </row>
    <row r="917">
      <c r="B917" s="30" t="n"/>
      <c r="G917" s="9">
        <f>IF(AND(E917&lt;&gt;"",E917&lt;&gt;0,H917&lt;&gt;""),H917/E917,"")</f>
        <v/>
      </c>
      <c r="L917">
        <f>IF(B917="","",IFERROR(VALUE(TEXT(B917,"[$-1170401]yyyy")),""))</f>
        <v/>
      </c>
      <c r="M917">
        <f>IF(B917="","",IFERROR(VALUE(TEXT(B917,"[$-1170401]mm")),""))</f>
        <v/>
      </c>
    </row>
    <row r="918">
      <c r="B918" s="30" t="n"/>
      <c r="G918" s="9">
        <f>IF(AND(E918&lt;&gt;"",E918&lt;&gt;0,H918&lt;&gt;""),H918/E918,"")</f>
        <v/>
      </c>
      <c r="L918">
        <f>IF(B918="","",IFERROR(VALUE(TEXT(B918,"[$-1170401]yyyy")),""))</f>
        <v/>
      </c>
      <c r="M918">
        <f>IF(B918="","",IFERROR(VALUE(TEXT(B918,"[$-1170401]mm")),""))</f>
        <v/>
      </c>
    </row>
    <row r="919">
      <c r="B919" s="30" t="n"/>
      <c r="G919" s="9">
        <f>IF(AND(E919&lt;&gt;"",E919&lt;&gt;0,H919&lt;&gt;""),H919/E919,"")</f>
        <v/>
      </c>
      <c r="L919">
        <f>IF(B919="","",IFERROR(VALUE(TEXT(B919,"[$-1170401]yyyy")),""))</f>
        <v/>
      </c>
      <c r="M919">
        <f>IF(B919="","",IFERROR(VALUE(TEXT(B919,"[$-1170401]mm")),""))</f>
        <v/>
      </c>
    </row>
    <row r="920">
      <c r="B920" s="30" t="n"/>
      <c r="G920" s="9">
        <f>IF(AND(E920&lt;&gt;"",E920&lt;&gt;0,H920&lt;&gt;""),H920/E920,"")</f>
        <v/>
      </c>
      <c r="L920">
        <f>IF(B920="","",IFERROR(VALUE(TEXT(B920,"[$-1170401]yyyy")),""))</f>
        <v/>
      </c>
      <c r="M920">
        <f>IF(B920="","",IFERROR(VALUE(TEXT(B920,"[$-1170401]mm")),""))</f>
        <v/>
      </c>
    </row>
    <row r="921">
      <c r="B921" s="30" t="n"/>
      <c r="G921" s="9">
        <f>IF(AND(E921&lt;&gt;"",E921&lt;&gt;0,H921&lt;&gt;""),H921/E921,"")</f>
        <v/>
      </c>
      <c r="L921">
        <f>IF(B921="","",IFERROR(VALUE(TEXT(B921,"[$-1170401]yyyy")),""))</f>
        <v/>
      </c>
      <c r="M921">
        <f>IF(B921="","",IFERROR(VALUE(TEXT(B921,"[$-1170401]mm")),""))</f>
        <v/>
      </c>
    </row>
    <row r="922">
      <c r="B922" s="30" t="n"/>
      <c r="G922" s="9">
        <f>IF(AND(E922&lt;&gt;"",E922&lt;&gt;0,H922&lt;&gt;""),H922/E922,"")</f>
        <v/>
      </c>
      <c r="L922">
        <f>IF(B922="","",IFERROR(VALUE(TEXT(B922,"[$-1170401]yyyy")),""))</f>
        <v/>
      </c>
      <c r="M922">
        <f>IF(B922="","",IFERROR(VALUE(TEXT(B922,"[$-1170401]mm")),""))</f>
        <v/>
      </c>
    </row>
    <row r="923">
      <c r="B923" s="30" t="n"/>
      <c r="G923" s="9">
        <f>IF(AND(E923&lt;&gt;"",E923&lt;&gt;0,H923&lt;&gt;""),H923/E923,"")</f>
        <v/>
      </c>
      <c r="L923">
        <f>IF(B923="","",IFERROR(VALUE(TEXT(B923,"[$-1170401]yyyy")),""))</f>
        <v/>
      </c>
      <c r="M923">
        <f>IF(B923="","",IFERROR(VALUE(TEXT(B923,"[$-1170401]mm")),""))</f>
        <v/>
      </c>
    </row>
    <row r="924">
      <c r="B924" s="30" t="n"/>
      <c r="G924" s="9">
        <f>IF(AND(E924&lt;&gt;"",E924&lt;&gt;0,H924&lt;&gt;""),H924/E924,"")</f>
        <v/>
      </c>
      <c r="L924">
        <f>IF(B924="","",IFERROR(VALUE(TEXT(B924,"[$-1170401]yyyy")),""))</f>
        <v/>
      </c>
      <c r="M924">
        <f>IF(B924="","",IFERROR(VALUE(TEXT(B924,"[$-1170401]mm")),""))</f>
        <v/>
      </c>
    </row>
    <row r="925">
      <c r="B925" s="30" t="n"/>
      <c r="G925" s="9">
        <f>IF(AND(E925&lt;&gt;"",E925&lt;&gt;0,H925&lt;&gt;""),H925/E925,"")</f>
        <v/>
      </c>
      <c r="L925">
        <f>IF(B925="","",IFERROR(VALUE(TEXT(B925,"[$-1170401]yyyy")),""))</f>
        <v/>
      </c>
      <c r="M925">
        <f>IF(B925="","",IFERROR(VALUE(TEXT(B925,"[$-1170401]mm")),""))</f>
        <v/>
      </c>
    </row>
    <row r="926">
      <c r="B926" s="30" t="n"/>
      <c r="G926" s="9">
        <f>IF(AND(E926&lt;&gt;"",E926&lt;&gt;0,H926&lt;&gt;""),H926/E926,"")</f>
        <v/>
      </c>
      <c r="L926">
        <f>IF(B926="","",IFERROR(VALUE(TEXT(B926,"[$-1170401]yyyy")),""))</f>
        <v/>
      </c>
      <c r="M926">
        <f>IF(B926="","",IFERROR(VALUE(TEXT(B926,"[$-1170401]mm")),""))</f>
        <v/>
      </c>
    </row>
    <row r="927">
      <c r="B927" s="30" t="n"/>
      <c r="G927" s="9">
        <f>IF(AND(E927&lt;&gt;"",E927&lt;&gt;0,H927&lt;&gt;""),H927/E927,"")</f>
        <v/>
      </c>
      <c r="L927">
        <f>IF(B927="","",IFERROR(VALUE(TEXT(B927,"[$-1170401]yyyy")),""))</f>
        <v/>
      </c>
      <c r="M927">
        <f>IF(B927="","",IFERROR(VALUE(TEXT(B927,"[$-1170401]mm")),""))</f>
        <v/>
      </c>
    </row>
    <row r="928">
      <c r="B928" s="30" t="n"/>
      <c r="G928" s="9">
        <f>IF(AND(E928&lt;&gt;"",E928&lt;&gt;0,H928&lt;&gt;""),H928/E928,"")</f>
        <v/>
      </c>
      <c r="L928">
        <f>IF(B928="","",IFERROR(VALUE(TEXT(B928,"[$-1170401]yyyy")),""))</f>
        <v/>
      </c>
      <c r="M928">
        <f>IF(B928="","",IFERROR(VALUE(TEXT(B928,"[$-1170401]mm")),""))</f>
        <v/>
      </c>
    </row>
    <row r="929">
      <c r="B929" s="30" t="n"/>
      <c r="G929" s="9">
        <f>IF(AND(E929&lt;&gt;"",E929&lt;&gt;0,H929&lt;&gt;""),H929/E929,"")</f>
        <v/>
      </c>
      <c r="L929">
        <f>IF(B929="","",IFERROR(VALUE(TEXT(B929,"[$-1170401]yyyy")),""))</f>
        <v/>
      </c>
      <c r="M929">
        <f>IF(B929="","",IFERROR(VALUE(TEXT(B929,"[$-1170401]mm")),""))</f>
        <v/>
      </c>
    </row>
    <row r="930">
      <c r="B930" s="30" t="n"/>
      <c r="G930" s="9">
        <f>IF(AND(E930&lt;&gt;"",E930&lt;&gt;0,H930&lt;&gt;""),H930/E930,"")</f>
        <v/>
      </c>
      <c r="L930">
        <f>IF(B930="","",IFERROR(VALUE(TEXT(B930,"[$-1170401]yyyy")),""))</f>
        <v/>
      </c>
      <c r="M930">
        <f>IF(B930="","",IFERROR(VALUE(TEXT(B930,"[$-1170401]mm")),""))</f>
        <v/>
      </c>
    </row>
    <row r="931">
      <c r="B931" s="30" t="n"/>
      <c r="G931" s="9">
        <f>IF(AND(E931&lt;&gt;"",E931&lt;&gt;0,H931&lt;&gt;""),H931/E931,"")</f>
        <v/>
      </c>
      <c r="L931">
        <f>IF(B931="","",IFERROR(VALUE(TEXT(B931,"[$-1170401]yyyy")),""))</f>
        <v/>
      </c>
      <c r="M931">
        <f>IF(B931="","",IFERROR(VALUE(TEXT(B931,"[$-1170401]mm")),""))</f>
        <v/>
      </c>
    </row>
    <row r="932">
      <c r="B932" s="30" t="n"/>
      <c r="G932" s="9">
        <f>IF(AND(E932&lt;&gt;"",E932&lt;&gt;0,H932&lt;&gt;""),H932/E932,"")</f>
        <v/>
      </c>
      <c r="L932">
        <f>IF(B932="","",IFERROR(VALUE(TEXT(B932,"[$-1170401]yyyy")),""))</f>
        <v/>
      </c>
      <c r="M932">
        <f>IF(B932="","",IFERROR(VALUE(TEXT(B932,"[$-1170401]mm")),""))</f>
        <v/>
      </c>
    </row>
    <row r="933">
      <c r="B933" s="30" t="n"/>
      <c r="G933" s="9">
        <f>IF(AND(E933&lt;&gt;"",E933&lt;&gt;0,H933&lt;&gt;""),H933/E933,"")</f>
        <v/>
      </c>
      <c r="L933">
        <f>IF(B933="","",IFERROR(VALUE(TEXT(B933,"[$-1170401]yyyy")),""))</f>
        <v/>
      </c>
      <c r="M933">
        <f>IF(B933="","",IFERROR(VALUE(TEXT(B933,"[$-1170401]mm")),""))</f>
        <v/>
      </c>
    </row>
    <row r="934">
      <c r="B934" s="30" t="n"/>
      <c r="G934" s="9">
        <f>IF(AND(E934&lt;&gt;"",E934&lt;&gt;0,H934&lt;&gt;""),H934/E934,"")</f>
        <v/>
      </c>
      <c r="L934">
        <f>IF(B934="","",IFERROR(VALUE(TEXT(B934,"[$-1170401]yyyy")),""))</f>
        <v/>
      </c>
      <c r="M934">
        <f>IF(B934="","",IFERROR(VALUE(TEXT(B934,"[$-1170401]mm")),""))</f>
        <v/>
      </c>
    </row>
    <row r="935">
      <c r="B935" s="30" t="n"/>
      <c r="G935" s="9">
        <f>IF(AND(E935&lt;&gt;"",E935&lt;&gt;0,H935&lt;&gt;""),H935/E935,"")</f>
        <v/>
      </c>
      <c r="L935">
        <f>IF(B935="","",IFERROR(VALUE(TEXT(B935,"[$-1170401]yyyy")),""))</f>
        <v/>
      </c>
      <c r="M935">
        <f>IF(B935="","",IFERROR(VALUE(TEXT(B935,"[$-1170401]mm")),""))</f>
        <v/>
      </c>
    </row>
    <row r="936">
      <c r="B936" s="30" t="n"/>
      <c r="G936" s="9">
        <f>IF(AND(E936&lt;&gt;"",E936&lt;&gt;0,H936&lt;&gt;""),H936/E936,"")</f>
        <v/>
      </c>
      <c r="L936">
        <f>IF(B936="","",IFERROR(VALUE(TEXT(B936,"[$-1170401]yyyy")),""))</f>
        <v/>
      </c>
      <c r="M936">
        <f>IF(B936="","",IFERROR(VALUE(TEXT(B936,"[$-1170401]mm")),""))</f>
        <v/>
      </c>
    </row>
    <row r="937">
      <c r="B937" s="30" t="n"/>
      <c r="G937" s="9">
        <f>IF(AND(E937&lt;&gt;"",E937&lt;&gt;0,H937&lt;&gt;""),H937/E937,"")</f>
        <v/>
      </c>
      <c r="L937">
        <f>IF(B937="","",IFERROR(VALUE(TEXT(B937,"[$-1170401]yyyy")),""))</f>
        <v/>
      </c>
      <c r="M937">
        <f>IF(B937="","",IFERROR(VALUE(TEXT(B937,"[$-1170401]mm")),""))</f>
        <v/>
      </c>
    </row>
    <row r="938">
      <c r="B938" s="30" t="n"/>
      <c r="G938" s="9">
        <f>IF(AND(E938&lt;&gt;"",E938&lt;&gt;0,H938&lt;&gt;""),H938/E938,"")</f>
        <v/>
      </c>
      <c r="L938">
        <f>IF(B938="","",IFERROR(VALUE(TEXT(B938,"[$-1170401]yyyy")),""))</f>
        <v/>
      </c>
      <c r="M938">
        <f>IF(B938="","",IFERROR(VALUE(TEXT(B938,"[$-1170401]mm")),""))</f>
        <v/>
      </c>
    </row>
    <row r="939">
      <c r="B939" s="30" t="n"/>
      <c r="G939" s="9">
        <f>IF(AND(E939&lt;&gt;"",E939&lt;&gt;0,H939&lt;&gt;""),H939/E939,"")</f>
        <v/>
      </c>
      <c r="L939">
        <f>IF(B939="","",IFERROR(VALUE(TEXT(B939,"[$-1170401]yyyy")),""))</f>
        <v/>
      </c>
      <c r="M939">
        <f>IF(B939="","",IFERROR(VALUE(TEXT(B939,"[$-1170401]mm")),""))</f>
        <v/>
      </c>
    </row>
    <row r="940">
      <c r="B940" s="30" t="n"/>
      <c r="G940" s="9">
        <f>IF(AND(E940&lt;&gt;"",E940&lt;&gt;0,H940&lt;&gt;""),H940/E940,"")</f>
        <v/>
      </c>
      <c r="L940">
        <f>IF(B940="","",IFERROR(VALUE(TEXT(B940,"[$-1170401]yyyy")),""))</f>
        <v/>
      </c>
      <c r="M940">
        <f>IF(B940="","",IFERROR(VALUE(TEXT(B940,"[$-1170401]mm")),""))</f>
        <v/>
      </c>
    </row>
    <row r="941">
      <c r="B941" s="30" t="n"/>
      <c r="G941" s="9">
        <f>IF(AND(E941&lt;&gt;"",E941&lt;&gt;0,H941&lt;&gt;""),H941/E941,"")</f>
        <v/>
      </c>
      <c r="L941">
        <f>IF(B941="","",IFERROR(VALUE(TEXT(B941,"[$-1170401]yyyy")),""))</f>
        <v/>
      </c>
      <c r="M941">
        <f>IF(B941="","",IFERROR(VALUE(TEXT(B941,"[$-1170401]mm")),""))</f>
        <v/>
      </c>
    </row>
    <row r="942">
      <c r="B942" s="30" t="n"/>
      <c r="G942" s="9">
        <f>IF(AND(E942&lt;&gt;"",E942&lt;&gt;0,H942&lt;&gt;""),H942/E942,"")</f>
        <v/>
      </c>
      <c r="L942">
        <f>IF(B942="","",IFERROR(VALUE(TEXT(B942,"[$-1170401]yyyy")),""))</f>
        <v/>
      </c>
      <c r="M942">
        <f>IF(B942="","",IFERROR(VALUE(TEXT(B942,"[$-1170401]mm")),""))</f>
        <v/>
      </c>
    </row>
    <row r="943">
      <c r="B943" s="30" t="n"/>
      <c r="G943" s="9">
        <f>IF(AND(E943&lt;&gt;"",E943&lt;&gt;0,H943&lt;&gt;""),H943/E943,"")</f>
        <v/>
      </c>
      <c r="L943">
        <f>IF(B943="","",IFERROR(VALUE(TEXT(B943,"[$-1170401]yyyy")),""))</f>
        <v/>
      </c>
      <c r="M943">
        <f>IF(B943="","",IFERROR(VALUE(TEXT(B943,"[$-1170401]mm")),""))</f>
        <v/>
      </c>
    </row>
    <row r="944">
      <c r="B944" s="30" t="n"/>
      <c r="G944" s="9">
        <f>IF(AND(E944&lt;&gt;"",E944&lt;&gt;0,H944&lt;&gt;""),H944/E944,"")</f>
        <v/>
      </c>
      <c r="L944">
        <f>IF(B944="","",IFERROR(VALUE(TEXT(B944,"[$-1170401]yyyy")),""))</f>
        <v/>
      </c>
      <c r="M944">
        <f>IF(B944="","",IFERROR(VALUE(TEXT(B944,"[$-1170401]mm")),""))</f>
        <v/>
      </c>
    </row>
    <row r="945">
      <c r="B945" s="30" t="n"/>
      <c r="G945" s="9">
        <f>IF(AND(E945&lt;&gt;"",E945&lt;&gt;0,H945&lt;&gt;""),H945/E945,"")</f>
        <v/>
      </c>
      <c r="L945">
        <f>IF(B945="","",IFERROR(VALUE(TEXT(B945,"[$-1170401]yyyy")),""))</f>
        <v/>
      </c>
      <c r="M945">
        <f>IF(B945="","",IFERROR(VALUE(TEXT(B945,"[$-1170401]mm")),""))</f>
        <v/>
      </c>
    </row>
    <row r="946">
      <c r="B946" s="30" t="n"/>
      <c r="G946" s="9">
        <f>IF(AND(E946&lt;&gt;"",E946&lt;&gt;0,H946&lt;&gt;""),H946/E946,"")</f>
        <v/>
      </c>
      <c r="L946">
        <f>IF(B946="","",IFERROR(VALUE(TEXT(B946,"[$-1170401]yyyy")),""))</f>
        <v/>
      </c>
      <c r="M946">
        <f>IF(B946="","",IFERROR(VALUE(TEXT(B946,"[$-1170401]mm")),""))</f>
        <v/>
      </c>
    </row>
    <row r="947">
      <c r="B947" s="30" t="n"/>
      <c r="G947" s="9">
        <f>IF(AND(E947&lt;&gt;"",E947&lt;&gt;0,H947&lt;&gt;""),H947/E947,"")</f>
        <v/>
      </c>
      <c r="L947">
        <f>IF(B947="","",IFERROR(VALUE(TEXT(B947,"[$-1170401]yyyy")),""))</f>
        <v/>
      </c>
      <c r="M947">
        <f>IF(B947="","",IFERROR(VALUE(TEXT(B947,"[$-1170401]mm")),""))</f>
        <v/>
      </c>
    </row>
    <row r="948">
      <c r="B948" s="30" t="n"/>
      <c r="G948" s="9">
        <f>IF(AND(E948&lt;&gt;"",E948&lt;&gt;0,H948&lt;&gt;""),H948/E948,"")</f>
        <v/>
      </c>
      <c r="L948">
        <f>IF(B948="","",IFERROR(VALUE(TEXT(B948,"[$-1170401]yyyy")),""))</f>
        <v/>
      </c>
      <c r="M948">
        <f>IF(B948="","",IFERROR(VALUE(TEXT(B948,"[$-1170401]mm")),""))</f>
        <v/>
      </c>
    </row>
    <row r="949">
      <c r="B949" s="30" t="n"/>
      <c r="G949" s="9">
        <f>IF(AND(E949&lt;&gt;"",E949&lt;&gt;0,H949&lt;&gt;""),H949/E949,"")</f>
        <v/>
      </c>
      <c r="L949">
        <f>IF(B949="","",IFERROR(VALUE(TEXT(B949,"[$-1170401]yyyy")),""))</f>
        <v/>
      </c>
      <c r="M949">
        <f>IF(B949="","",IFERROR(VALUE(TEXT(B949,"[$-1170401]mm")),""))</f>
        <v/>
      </c>
    </row>
    <row r="950">
      <c r="B950" s="30" t="n"/>
      <c r="G950" s="9">
        <f>IF(AND(E950&lt;&gt;"",E950&lt;&gt;0,H950&lt;&gt;""),H950/E950,"")</f>
        <v/>
      </c>
      <c r="L950">
        <f>IF(B950="","",IFERROR(VALUE(TEXT(B950,"[$-1170401]yyyy")),""))</f>
        <v/>
      </c>
      <c r="M950">
        <f>IF(B950="","",IFERROR(VALUE(TEXT(B950,"[$-1170401]mm")),""))</f>
        <v/>
      </c>
    </row>
    <row r="951">
      <c r="B951" s="30" t="n"/>
      <c r="G951" s="9">
        <f>IF(AND(E951&lt;&gt;"",E951&lt;&gt;0,H951&lt;&gt;""),H951/E951,"")</f>
        <v/>
      </c>
      <c r="L951">
        <f>IF(B951="","",IFERROR(VALUE(TEXT(B951,"[$-1170401]yyyy")),""))</f>
        <v/>
      </c>
      <c r="M951">
        <f>IF(B951="","",IFERROR(VALUE(TEXT(B951,"[$-1170401]mm")),""))</f>
        <v/>
      </c>
    </row>
    <row r="952">
      <c r="B952" s="30" t="n"/>
      <c r="G952" s="9">
        <f>IF(AND(E952&lt;&gt;"",E952&lt;&gt;0,H952&lt;&gt;""),H952/E952,"")</f>
        <v/>
      </c>
      <c r="L952">
        <f>IF(B952="","",IFERROR(VALUE(TEXT(B952,"[$-1170401]yyyy")),""))</f>
        <v/>
      </c>
      <c r="M952">
        <f>IF(B952="","",IFERROR(VALUE(TEXT(B952,"[$-1170401]mm")),""))</f>
        <v/>
      </c>
    </row>
    <row r="953">
      <c r="B953" s="30" t="n"/>
      <c r="G953" s="9">
        <f>IF(AND(E953&lt;&gt;"",E953&lt;&gt;0,H953&lt;&gt;""),H953/E953,"")</f>
        <v/>
      </c>
      <c r="L953">
        <f>IF(B953="","",IFERROR(VALUE(TEXT(B953,"[$-1170401]yyyy")),""))</f>
        <v/>
      </c>
      <c r="M953">
        <f>IF(B953="","",IFERROR(VALUE(TEXT(B953,"[$-1170401]mm")),""))</f>
        <v/>
      </c>
    </row>
    <row r="954">
      <c r="B954" s="30" t="n"/>
      <c r="G954" s="9">
        <f>IF(AND(E954&lt;&gt;"",E954&lt;&gt;0,H954&lt;&gt;""),H954/E954,"")</f>
        <v/>
      </c>
      <c r="L954">
        <f>IF(B954="","",IFERROR(VALUE(TEXT(B954,"[$-1170401]yyyy")),""))</f>
        <v/>
      </c>
      <c r="M954">
        <f>IF(B954="","",IFERROR(VALUE(TEXT(B954,"[$-1170401]mm")),""))</f>
        <v/>
      </c>
    </row>
    <row r="955">
      <c r="B955" s="30" t="n"/>
      <c r="G955" s="9">
        <f>IF(AND(E955&lt;&gt;"",E955&lt;&gt;0,H955&lt;&gt;""),H955/E955,"")</f>
        <v/>
      </c>
      <c r="L955">
        <f>IF(B955="","",IFERROR(VALUE(TEXT(B955,"[$-1170401]yyyy")),""))</f>
        <v/>
      </c>
      <c r="M955">
        <f>IF(B955="","",IFERROR(VALUE(TEXT(B955,"[$-1170401]mm")),""))</f>
        <v/>
      </c>
    </row>
    <row r="956">
      <c r="B956" s="30" t="n"/>
      <c r="G956" s="9">
        <f>IF(AND(E956&lt;&gt;"",E956&lt;&gt;0,H956&lt;&gt;""),H956/E956,"")</f>
        <v/>
      </c>
      <c r="L956">
        <f>IF(B956="","",IFERROR(VALUE(TEXT(B956,"[$-1170401]yyyy")),""))</f>
        <v/>
      </c>
      <c r="M956">
        <f>IF(B956="","",IFERROR(VALUE(TEXT(B956,"[$-1170401]mm")),""))</f>
        <v/>
      </c>
    </row>
    <row r="957">
      <c r="B957" s="30" t="n"/>
      <c r="G957" s="9">
        <f>IF(AND(E957&lt;&gt;"",E957&lt;&gt;0,H957&lt;&gt;""),H957/E957,"")</f>
        <v/>
      </c>
      <c r="L957">
        <f>IF(B957="","",IFERROR(VALUE(TEXT(B957,"[$-1170401]yyyy")),""))</f>
        <v/>
      </c>
      <c r="M957">
        <f>IF(B957="","",IFERROR(VALUE(TEXT(B957,"[$-1170401]mm")),""))</f>
        <v/>
      </c>
    </row>
    <row r="958">
      <c r="B958" s="30" t="n"/>
      <c r="G958" s="9">
        <f>IF(AND(E958&lt;&gt;"",E958&lt;&gt;0,H958&lt;&gt;""),H958/E958,"")</f>
        <v/>
      </c>
      <c r="L958">
        <f>IF(B958="","",IFERROR(VALUE(TEXT(B958,"[$-1170401]yyyy")),""))</f>
        <v/>
      </c>
      <c r="M958">
        <f>IF(B958="","",IFERROR(VALUE(TEXT(B958,"[$-1170401]mm")),""))</f>
        <v/>
      </c>
    </row>
    <row r="959">
      <c r="B959" s="30" t="n"/>
      <c r="G959" s="9">
        <f>IF(AND(E959&lt;&gt;"",E959&lt;&gt;0,H959&lt;&gt;""),H959/E959,"")</f>
        <v/>
      </c>
      <c r="L959">
        <f>IF(B959="","",IFERROR(VALUE(TEXT(B959,"[$-1170401]yyyy")),""))</f>
        <v/>
      </c>
      <c r="M959">
        <f>IF(B959="","",IFERROR(VALUE(TEXT(B959,"[$-1170401]mm")),""))</f>
        <v/>
      </c>
    </row>
    <row r="960">
      <c r="B960" s="30" t="n"/>
      <c r="G960" s="9">
        <f>IF(AND(E960&lt;&gt;"",E960&lt;&gt;0,H960&lt;&gt;""),H960/E960,"")</f>
        <v/>
      </c>
      <c r="L960">
        <f>IF(B960="","",IFERROR(VALUE(TEXT(B960,"[$-1170401]yyyy")),""))</f>
        <v/>
      </c>
      <c r="M960">
        <f>IF(B960="","",IFERROR(VALUE(TEXT(B960,"[$-1170401]mm")),""))</f>
        <v/>
      </c>
    </row>
    <row r="961">
      <c r="B961" s="30" t="n"/>
      <c r="G961" s="9">
        <f>IF(AND(E961&lt;&gt;"",E961&lt;&gt;0,H961&lt;&gt;""),H961/E961,"")</f>
        <v/>
      </c>
      <c r="L961">
        <f>IF(B961="","",IFERROR(VALUE(TEXT(B961,"[$-1170401]yyyy")),""))</f>
        <v/>
      </c>
      <c r="M961">
        <f>IF(B961="","",IFERROR(VALUE(TEXT(B961,"[$-1170401]mm")),""))</f>
        <v/>
      </c>
    </row>
    <row r="962">
      <c r="B962" s="30" t="n"/>
      <c r="G962" s="9">
        <f>IF(AND(E962&lt;&gt;"",E962&lt;&gt;0,H962&lt;&gt;""),H962/E962,"")</f>
        <v/>
      </c>
      <c r="L962">
        <f>IF(B962="","",IFERROR(VALUE(TEXT(B962,"[$-1170401]yyyy")),""))</f>
        <v/>
      </c>
      <c r="M962">
        <f>IF(B962="","",IFERROR(VALUE(TEXT(B962,"[$-1170401]mm")),""))</f>
        <v/>
      </c>
    </row>
    <row r="963">
      <c r="B963" s="30" t="n"/>
      <c r="G963" s="9">
        <f>IF(AND(E963&lt;&gt;"",E963&lt;&gt;0,H963&lt;&gt;""),H963/E963,"")</f>
        <v/>
      </c>
      <c r="L963">
        <f>IF(B963="","",IFERROR(VALUE(TEXT(B963,"[$-1170401]yyyy")),""))</f>
        <v/>
      </c>
      <c r="M963">
        <f>IF(B963="","",IFERROR(VALUE(TEXT(B963,"[$-1170401]mm")),""))</f>
        <v/>
      </c>
    </row>
    <row r="964">
      <c r="B964" s="30" t="n"/>
      <c r="G964" s="9">
        <f>IF(AND(E964&lt;&gt;"",E964&lt;&gt;0,H964&lt;&gt;""),H964/E964,"")</f>
        <v/>
      </c>
      <c r="L964">
        <f>IF(B964="","",IFERROR(VALUE(TEXT(B964,"[$-1170401]yyyy")),""))</f>
        <v/>
      </c>
      <c r="M964">
        <f>IF(B964="","",IFERROR(VALUE(TEXT(B964,"[$-1170401]mm")),""))</f>
        <v/>
      </c>
    </row>
    <row r="965">
      <c r="B965" s="30" t="n"/>
      <c r="G965" s="9">
        <f>IF(AND(E965&lt;&gt;"",E965&lt;&gt;0,H965&lt;&gt;""),H965/E965,"")</f>
        <v/>
      </c>
      <c r="L965">
        <f>IF(B965="","",IFERROR(VALUE(TEXT(B965,"[$-1170401]yyyy")),""))</f>
        <v/>
      </c>
      <c r="M965">
        <f>IF(B965="","",IFERROR(VALUE(TEXT(B965,"[$-1170401]mm")),""))</f>
        <v/>
      </c>
    </row>
    <row r="966">
      <c r="B966" s="30" t="n"/>
      <c r="G966" s="9">
        <f>IF(AND(E966&lt;&gt;"",E966&lt;&gt;0,H966&lt;&gt;""),H966/E966,"")</f>
        <v/>
      </c>
      <c r="L966">
        <f>IF(B966="","",IFERROR(VALUE(TEXT(B966,"[$-1170401]yyyy")),""))</f>
        <v/>
      </c>
      <c r="M966">
        <f>IF(B966="","",IFERROR(VALUE(TEXT(B966,"[$-1170401]mm")),""))</f>
        <v/>
      </c>
    </row>
    <row r="967">
      <c r="B967" s="30" t="n"/>
      <c r="G967" s="9">
        <f>IF(AND(E967&lt;&gt;"",E967&lt;&gt;0,H967&lt;&gt;""),H967/E967,"")</f>
        <v/>
      </c>
      <c r="L967">
        <f>IF(B967="","",IFERROR(VALUE(TEXT(B967,"[$-1170401]yyyy")),""))</f>
        <v/>
      </c>
      <c r="M967">
        <f>IF(B967="","",IFERROR(VALUE(TEXT(B967,"[$-1170401]mm")),""))</f>
        <v/>
      </c>
    </row>
    <row r="968">
      <c r="B968" s="30" t="n"/>
      <c r="G968" s="9">
        <f>IF(AND(E968&lt;&gt;"",E968&lt;&gt;0,H968&lt;&gt;""),H968/E968,"")</f>
        <v/>
      </c>
      <c r="L968">
        <f>IF(B968="","",IFERROR(VALUE(TEXT(B968,"[$-1170401]yyyy")),""))</f>
        <v/>
      </c>
      <c r="M968">
        <f>IF(B968="","",IFERROR(VALUE(TEXT(B968,"[$-1170401]mm")),""))</f>
        <v/>
      </c>
    </row>
    <row r="969">
      <c r="B969" s="30" t="n"/>
      <c r="G969" s="9">
        <f>IF(AND(E969&lt;&gt;"",E969&lt;&gt;0,H969&lt;&gt;""),H969/E969,"")</f>
        <v/>
      </c>
      <c r="L969">
        <f>IF(B969="","",IFERROR(VALUE(TEXT(B969,"[$-1170401]yyyy")),""))</f>
        <v/>
      </c>
      <c r="M969">
        <f>IF(B969="","",IFERROR(VALUE(TEXT(B969,"[$-1170401]mm")),""))</f>
        <v/>
      </c>
    </row>
    <row r="970">
      <c r="B970" s="30" t="n"/>
      <c r="G970" s="9">
        <f>IF(AND(E970&lt;&gt;"",E970&lt;&gt;0,H970&lt;&gt;""),H970/E970,"")</f>
        <v/>
      </c>
      <c r="L970">
        <f>IF(B970="","",IFERROR(VALUE(TEXT(B970,"[$-1170401]yyyy")),""))</f>
        <v/>
      </c>
      <c r="M970">
        <f>IF(B970="","",IFERROR(VALUE(TEXT(B970,"[$-1170401]mm")),""))</f>
        <v/>
      </c>
    </row>
    <row r="971">
      <c r="B971" s="30" t="n"/>
      <c r="G971" s="9">
        <f>IF(AND(E971&lt;&gt;"",E971&lt;&gt;0,H971&lt;&gt;""),H971/E971,"")</f>
        <v/>
      </c>
      <c r="L971">
        <f>IF(B971="","",IFERROR(VALUE(TEXT(B971,"[$-1170401]yyyy")),""))</f>
        <v/>
      </c>
      <c r="M971">
        <f>IF(B971="","",IFERROR(VALUE(TEXT(B971,"[$-1170401]mm")),""))</f>
        <v/>
      </c>
    </row>
    <row r="972">
      <c r="B972" s="30" t="n"/>
      <c r="G972" s="9">
        <f>IF(AND(E972&lt;&gt;"",E972&lt;&gt;0,H972&lt;&gt;""),H972/E972,"")</f>
        <v/>
      </c>
      <c r="L972">
        <f>IF(B972="","",IFERROR(VALUE(TEXT(B972,"[$-1170401]yyyy")),""))</f>
        <v/>
      </c>
      <c r="M972">
        <f>IF(B972="","",IFERROR(VALUE(TEXT(B972,"[$-1170401]mm")),""))</f>
        <v/>
      </c>
    </row>
    <row r="973">
      <c r="B973" s="30" t="n"/>
      <c r="G973" s="9">
        <f>IF(AND(E973&lt;&gt;"",E973&lt;&gt;0,H973&lt;&gt;""),H973/E973,"")</f>
        <v/>
      </c>
      <c r="L973">
        <f>IF(B973="","",IFERROR(VALUE(TEXT(B973,"[$-1170401]yyyy")),""))</f>
        <v/>
      </c>
      <c r="M973">
        <f>IF(B973="","",IFERROR(VALUE(TEXT(B973,"[$-1170401]mm")),""))</f>
        <v/>
      </c>
    </row>
    <row r="974">
      <c r="B974" s="30" t="n"/>
      <c r="G974" s="9">
        <f>IF(AND(E974&lt;&gt;"",E974&lt;&gt;0,H974&lt;&gt;""),H974/E974,"")</f>
        <v/>
      </c>
      <c r="L974">
        <f>IF(B974="","",IFERROR(VALUE(TEXT(B974,"[$-1170401]yyyy")),""))</f>
        <v/>
      </c>
      <c r="M974">
        <f>IF(B974="","",IFERROR(VALUE(TEXT(B974,"[$-1170401]mm")),""))</f>
        <v/>
      </c>
    </row>
    <row r="975">
      <c r="B975" s="30" t="n"/>
      <c r="G975" s="9">
        <f>IF(AND(E975&lt;&gt;"",E975&lt;&gt;0,H975&lt;&gt;""),H975/E975,"")</f>
        <v/>
      </c>
      <c r="L975">
        <f>IF(B975="","",IFERROR(VALUE(TEXT(B975,"[$-1170401]yyyy")),""))</f>
        <v/>
      </c>
      <c r="M975">
        <f>IF(B975="","",IFERROR(VALUE(TEXT(B975,"[$-1170401]mm")),""))</f>
        <v/>
      </c>
    </row>
    <row r="976">
      <c r="B976" s="30" t="n"/>
      <c r="G976" s="9">
        <f>IF(AND(E976&lt;&gt;"",E976&lt;&gt;0,H976&lt;&gt;""),H976/E976,"")</f>
        <v/>
      </c>
      <c r="L976">
        <f>IF(B976="","",IFERROR(VALUE(TEXT(B976,"[$-1170401]yyyy")),""))</f>
        <v/>
      </c>
      <c r="M976">
        <f>IF(B976="","",IFERROR(VALUE(TEXT(B976,"[$-1170401]mm")),""))</f>
        <v/>
      </c>
    </row>
    <row r="977">
      <c r="B977" s="30" t="n"/>
      <c r="G977" s="9">
        <f>IF(AND(E977&lt;&gt;"",E977&lt;&gt;0,H977&lt;&gt;""),H977/E977,"")</f>
        <v/>
      </c>
      <c r="L977">
        <f>IF(B977="","",IFERROR(VALUE(TEXT(B977,"[$-1170401]yyyy")),""))</f>
        <v/>
      </c>
      <c r="M977">
        <f>IF(B977="","",IFERROR(VALUE(TEXT(B977,"[$-1170401]mm")),""))</f>
        <v/>
      </c>
    </row>
    <row r="978">
      <c r="B978" s="30" t="n"/>
      <c r="G978" s="9">
        <f>IF(AND(E978&lt;&gt;"",E978&lt;&gt;0,H978&lt;&gt;""),H978/E978,"")</f>
        <v/>
      </c>
      <c r="L978">
        <f>IF(B978="","",IFERROR(VALUE(TEXT(B978,"[$-1170401]yyyy")),""))</f>
        <v/>
      </c>
      <c r="M978">
        <f>IF(B978="","",IFERROR(VALUE(TEXT(B978,"[$-1170401]mm")),""))</f>
        <v/>
      </c>
    </row>
    <row r="979">
      <c r="B979" s="30" t="n"/>
      <c r="G979" s="9">
        <f>IF(AND(E979&lt;&gt;"",E979&lt;&gt;0,H979&lt;&gt;""),H979/E979,"")</f>
        <v/>
      </c>
      <c r="L979">
        <f>IF(B979="","",IFERROR(VALUE(TEXT(B979,"[$-1170401]yyyy")),""))</f>
        <v/>
      </c>
      <c r="M979">
        <f>IF(B979="","",IFERROR(VALUE(TEXT(B979,"[$-1170401]mm")),""))</f>
        <v/>
      </c>
    </row>
    <row r="980">
      <c r="B980" s="30" t="n"/>
      <c r="G980" s="9">
        <f>IF(AND(E980&lt;&gt;"",E980&lt;&gt;0,H980&lt;&gt;""),H980/E980,"")</f>
        <v/>
      </c>
      <c r="L980">
        <f>IF(B980="","",IFERROR(VALUE(TEXT(B980,"[$-1170401]yyyy")),""))</f>
        <v/>
      </c>
      <c r="M980">
        <f>IF(B980="","",IFERROR(VALUE(TEXT(B980,"[$-1170401]mm")),""))</f>
        <v/>
      </c>
    </row>
    <row r="981">
      <c r="B981" s="30" t="n"/>
      <c r="G981" s="9">
        <f>IF(AND(E981&lt;&gt;"",E981&lt;&gt;0,H981&lt;&gt;""),H981/E981,"")</f>
        <v/>
      </c>
      <c r="L981">
        <f>IF(B981="","",IFERROR(VALUE(TEXT(B981,"[$-1170401]yyyy")),""))</f>
        <v/>
      </c>
      <c r="M981">
        <f>IF(B981="","",IFERROR(VALUE(TEXT(B981,"[$-1170401]mm")),""))</f>
        <v/>
      </c>
    </row>
    <row r="982">
      <c r="B982" s="30" t="n"/>
      <c r="G982" s="9">
        <f>IF(AND(E982&lt;&gt;"",E982&lt;&gt;0,H982&lt;&gt;""),H982/E982,"")</f>
        <v/>
      </c>
      <c r="L982">
        <f>IF(B982="","",IFERROR(VALUE(TEXT(B982,"[$-1170401]yyyy")),""))</f>
        <v/>
      </c>
      <c r="M982">
        <f>IF(B982="","",IFERROR(VALUE(TEXT(B982,"[$-1170401]mm")),""))</f>
        <v/>
      </c>
    </row>
    <row r="983">
      <c r="B983" s="30" t="n"/>
      <c r="G983" s="9">
        <f>IF(AND(E983&lt;&gt;"",E983&lt;&gt;0,H983&lt;&gt;""),H983/E983,"")</f>
        <v/>
      </c>
      <c r="L983">
        <f>IF(B983="","",IFERROR(VALUE(TEXT(B983,"[$-1170401]yyyy")),""))</f>
        <v/>
      </c>
      <c r="M983">
        <f>IF(B983="","",IFERROR(VALUE(TEXT(B983,"[$-1170401]mm")),""))</f>
        <v/>
      </c>
    </row>
    <row r="984">
      <c r="B984" s="30" t="n"/>
      <c r="G984" s="9">
        <f>IF(AND(E984&lt;&gt;"",E984&lt;&gt;0,H984&lt;&gt;""),H984/E984,"")</f>
        <v/>
      </c>
      <c r="L984">
        <f>IF(B984="","",IFERROR(VALUE(TEXT(B984,"[$-1170401]yyyy")),""))</f>
        <v/>
      </c>
      <c r="M984">
        <f>IF(B984="","",IFERROR(VALUE(TEXT(B984,"[$-1170401]mm")),""))</f>
        <v/>
      </c>
    </row>
    <row r="985">
      <c r="B985" s="30" t="n"/>
      <c r="G985" s="9">
        <f>IF(AND(E985&lt;&gt;"",E985&lt;&gt;0,H985&lt;&gt;""),H985/E985,"")</f>
        <v/>
      </c>
      <c r="L985">
        <f>IF(B985="","",IFERROR(VALUE(TEXT(B985,"[$-1170401]yyyy")),""))</f>
        <v/>
      </c>
      <c r="M985">
        <f>IF(B985="","",IFERROR(VALUE(TEXT(B985,"[$-1170401]mm")),""))</f>
        <v/>
      </c>
    </row>
    <row r="986">
      <c r="B986" s="30" t="n"/>
      <c r="G986" s="9">
        <f>IF(AND(E986&lt;&gt;"",E986&lt;&gt;0,H986&lt;&gt;""),H986/E986,"")</f>
        <v/>
      </c>
      <c r="L986">
        <f>IF(B986="","",IFERROR(VALUE(TEXT(B986,"[$-1170401]yyyy")),""))</f>
        <v/>
      </c>
      <c r="M986">
        <f>IF(B986="","",IFERROR(VALUE(TEXT(B986,"[$-1170401]mm")),""))</f>
        <v/>
      </c>
    </row>
    <row r="987">
      <c r="B987" s="30" t="n"/>
      <c r="G987" s="9">
        <f>IF(AND(E987&lt;&gt;"",E987&lt;&gt;0,H987&lt;&gt;""),H987/E987,"")</f>
        <v/>
      </c>
      <c r="L987">
        <f>IF(B987="","",IFERROR(VALUE(TEXT(B987,"[$-1170401]yyyy")),""))</f>
        <v/>
      </c>
      <c r="M987">
        <f>IF(B987="","",IFERROR(VALUE(TEXT(B987,"[$-1170401]mm")),""))</f>
        <v/>
      </c>
    </row>
    <row r="988">
      <c r="B988" s="30" t="n"/>
      <c r="G988" s="9">
        <f>IF(AND(E988&lt;&gt;"",E988&lt;&gt;0,H988&lt;&gt;""),H988/E988,"")</f>
        <v/>
      </c>
      <c r="L988">
        <f>IF(B988="","",IFERROR(VALUE(TEXT(B988,"[$-1170401]yyyy")),""))</f>
        <v/>
      </c>
      <c r="M988">
        <f>IF(B988="","",IFERROR(VALUE(TEXT(B988,"[$-1170401]mm")),""))</f>
        <v/>
      </c>
    </row>
    <row r="989">
      <c r="B989" s="30" t="n"/>
      <c r="G989" s="9">
        <f>IF(AND(E989&lt;&gt;"",E989&lt;&gt;0,H989&lt;&gt;""),H989/E989,"")</f>
        <v/>
      </c>
      <c r="L989">
        <f>IF(B989="","",IFERROR(VALUE(TEXT(B989,"[$-1170401]yyyy")),""))</f>
        <v/>
      </c>
      <c r="M989">
        <f>IF(B989="","",IFERROR(VALUE(TEXT(B989,"[$-1170401]mm")),""))</f>
        <v/>
      </c>
    </row>
    <row r="990">
      <c r="B990" s="30" t="n"/>
      <c r="G990" s="9">
        <f>IF(AND(E990&lt;&gt;"",E990&lt;&gt;0,H990&lt;&gt;""),H990/E990,"")</f>
        <v/>
      </c>
      <c r="L990">
        <f>IF(B990="","",IFERROR(VALUE(TEXT(B990,"[$-1170401]yyyy")),""))</f>
        <v/>
      </c>
      <c r="M990">
        <f>IF(B990="","",IFERROR(VALUE(TEXT(B990,"[$-1170401]mm")),""))</f>
        <v/>
      </c>
    </row>
    <row r="991">
      <c r="B991" s="30" t="n"/>
      <c r="G991" s="9">
        <f>IF(AND(E991&lt;&gt;"",E991&lt;&gt;0,H991&lt;&gt;""),H991/E991,"")</f>
        <v/>
      </c>
      <c r="L991">
        <f>IF(B991="","",IFERROR(VALUE(TEXT(B991,"[$-1170401]yyyy")),""))</f>
        <v/>
      </c>
      <c r="M991">
        <f>IF(B991="","",IFERROR(VALUE(TEXT(B991,"[$-1170401]mm")),""))</f>
        <v/>
      </c>
    </row>
    <row r="992">
      <c r="B992" s="30" t="n"/>
      <c r="G992" s="9">
        <f>IF(AND(E992&lt;&gt;"",E992&lt;&gt;0,H992&lt;&gt;""),H992/E992,"")</f>
        <v/>
      </c>
      <c r="L992">
        <f>IF(B992="","",IFERROR(VALUE(TEXT(B992,"[$-1170401]yyyy")),""))</f>
        <v/>
      </c>
      <c r="M992">
        <f>IF(B992="","",IFERROR(VALUE(TEXT(B992,"[$-1170401]mm")),""))</f>
        <v/>
      </c>
    </row>
    <row r="993">
      <c r="B993" s="30" t="n"/>
      <c r="G993" s="9">
        <f>IF(AND(E993&lt;&gt;"",E993&lt;&gt;0,H993&lt;&gt;""),H993/E993,"")</f>
        <v/>
      </c>
      <c r="L993">
        <f>IF(B993="","",IFERROR(VALUE(TEXT(B993,"[$-1170401]yyyy")),""))</f>
        <v/>
      </c>
      <c r="M993">
        <f>IF(B993="","",IFERROR(VALUE(TEXT(B993,"[$-1170401]mm")),""))</f>
        <v/>
      </c>
    </row>
    <row r="994">
      <c r="B994" s="30" t="n"/>
      <c r="G994" s="9">
        <f>IF(AND(E994&lt;&gt;"",E994&lt;&gt;0,H994&lt;&gt;""),H994/E994,"")</f>
        <v/>
      </c>
      <c r="L994">
        <f>IF(B994="","",IFERROR(VALUE(TEXT(B994,"[$-1170401]yyyy")),""))</f>
        <v/>
      </c>
      <c r="M994">
        <f>IF(B994="","",IFERROR(VALUE(TEXT(B994,"[$-1170401]mm")),""))</f>
        <v/>
      </c>
    </row>
    <row r="995">
      <c r="B995" s="30" t="n"/>
      <c r="G995" s="9">
        <f>IF(AND(E995&lt;&gt;"",E995&lt;&gt;0,H995&lt;&gt;""),H995/E995,"")</f>
        <v/>
      </c>
      <c r="L995">
        <f>IF(B995="","",IFERROR(VALUE(TEXT(B995,"[$-1170401]yyyy")),""))</f>
        <v/>
      </c>
      <c r="M995">
        <f>IF(B995="","",IFERROR(VALUE(TEXT(B995,"[$-1170401]mm")),""))</f>
        <v/>
      </c>
    </row>
    <row r="996">
      <c r="B996" s="30" t="n"/>
      <c r="G996" s="9">
        <f>IF(AND(E996&lt;&gt;"",E996&lt;&gt;0,H996&lt;&gt;""),H996/E996,"")</f>
        <v/>
      </c>
      <c r="L996">
        <f>IF(B996="","",IFERROR(VALUE(TEXT(B996,"[$-1170401]yyyy")),""))</f>
        <v/>
      </c>
      <c r="M996">
        <f>IF(B996="","",IFERROR(VALUE(TEXT(B996,"[$-1170401]mm")),""))</f>
        <v/>
      </c>
    </row>
    <row r="997">
      <c r="B997" s="30" t="n"/>
      <c r="G997" s="9">
        <f>IF(AND(E997&lt;&gt;"",E997&lt;&gt;0,H997&lt;&gt;""),H997/E997,"")</f>
        <v/>
      </c>
      <c r="L997">
        <f>IF(B997="","",IFERROR(VALUE(TEXT(B997,"[$-1170401]yyyy")),""))</f>
        <v/>
      </c>
      <c r="M997">
        <f>IF(B997="","",IFERROR(VALUE(TEXT(B997,"[$-1170401]mm")),""))</f>
        <v/>
      </c>
    </row>
    <row r="998">
      <c r="B998" s="30" t="n"/>
      <c r="G998" s="9">
        <f>IF(AND(E998&lt;&gt;"",E998&lt;&gt;0,H998&lt;&gt;""),H998/E998,"")</f>
        <v/>
      </c>
      <c r="L998">
        <f>IF(B998="","",IFERROR(VALUE(TEXT(B998,"[$-1170401]yyyy")),""))</f>
        <v/>
      </c>
      <c r="M998">
        <f>IF(B998="","",IFERROR(VALUE(TEXT(B998,"[$-1170401]mm")),""))</f>
        <v/>
      </c>
    </row>
    <row r="999">
      <c r="B999" s="30" t="n"/>
      <c r="G999" s="9">
        <f>IF(AND(E999&lt;&gt;"",E999&lt;&gt;0,H999&lt;&gt;""),H999/E999,"")</f>
        <v/>
      </c>
      <c r="L999">
        <f>IF(B999="","",IFERROR(VALUE(TEXT(B999,"[$-1170401]yyyy")),""))</f>
        <v/>
      </c>
      <c r="M999">
        <f>IF(B999="","",IFERROR(VALUE(TEXT(B999,"[$-1170401]mm")),""))</f>
        <v/>
      </c>
    </row>
    <row r="1000">
      <c r="B1000" s="30" t="n"/>
      <c r="G1000" s="9">
        <f>IF(AND(E1000&lt;&gt;"",E1000&lt;&gt;0,H1000&lt;&gt;""),H1000/E1000,"")</f>
        <v/>
      </c>
      <c r="L1000">
        <f>IF(B1000="","",IFERROR(VALUE(TEXT(B1000,"[$-1170401]yyyy")),""))</f>
        <v/>
      </c>
      <c r="M1000">
        <f>IF(B1000="","",IFERROR(VALUE(TEXT(B1000,"[$-1170401]mm")),""))</f>
        <v/>
      </c>
    </row>
    <row r="1001">
      <c r="B1001" s="30" t="n"/>
      <c r="G1001" s="9">
        <f>IF(AND(E1001&lt;&gt;"",E1001&lt;&gt;0,H1001&lt;&gt;""),H1001/E1001,"")</f>
        <v/>
      </c>
      <c r="L1001">
        <f>IF(B1001="","",IFERROR(VALUE(TEXT(B1001,"[$-1170401]yyyy")),""))</f>
        <v/>
      </c>
      <c r="M1001">
        <f>IF(B1001="","",IFERROR(VALUE(TEXT(B1001,"[$-1170401]mm")),""))</f>
        <v/>
      </c>
    </row>
    <row r="1002">
      <c r="B1002" s="30" t="n"/>
      <c r="G1002" s="9">
        <f>IF(AND(E1002&lt;&gt;"",E1002&lt;&gt;0,H1002&lt;&gt;""),H1002/E1002,"")</f>
        <v/>
      </c>
      <c r="L1002">
        <f>IF(B1002="","",IFERROR(VALUE(TEXT(B1002,"[$-1170401]yyyy")),""))</f>
        <v/>
      </c>
      <c r="M1002">
        <f>IF(B1002="","",IFERROR(VALUE(TEXT(B1002,"[$-1170401]mm")),""))</f>
        <v/>
      </c>
    </row>
    <row r="1003">
      <c r="B1003" s="30" t="n"/>
      <c r="G1003" s="9">
        <f>IF(AND(E1003&lt;&gt;"",E1003&lt;&gt;0,H1003&lt;&gt;""),H1003/E1003,"")</f>
        <v/>
      </c>
      <c r="L1003">
        <f>IF(B1003="","",IFERROR(VALUE(TEXT(B1003,"[$-1170401]yyyy")),""))</f>
        <v/>
      </c>
      <c r="M1003">
        <f>IF(B1003="","",IFERROR(VALUE(TEXT(B1003,"[$-1170401]mm")),""))</f>
        <v/>
      </c>
    </row>
    <row r="1004">
      <c r="B1004" s="30" t="n"/>
      <c r="G1004" s="9">
        <f>IF(AND(E1004&lt;&gt;"",E1004&lt;&gt;0,H1004&lt;&gt;""),H1004/E1004,"")</f>
        <v/>
      </c>
      <c r="L1004">
        <f>IF(B1004="","",IFERROR(VALUE(TEXT(B1004,"[$-1170401]yyyy")),""))</f>
        <v/>
      </c>
      <c r="M1004">
        <f>IF(B1004="","",IFERROR(VALUE(TEXT(B1004,"[$-1170401]mm")),""))</f>
        <v/>
      </c>
    </row>
    <row r="1005">
      <c r="B1005" s="30" t="n"/>
      <c r="G1005" s="9">
        <f>IF(AND(E1005&lt;&gt;"",E1005&lt;&gt;0,H1005&lt;&gt;""),H1005/E1005,"")</f>
        <v/>
      </c>
      <c r="L1005">
        <f>IF(B1005="","",IFERROR(VALUE(TEXT(B1005,"[$-1170401]yyyy")),""))</f>
        <v/>
      </c>
      <c r="M1005">
        <f>IF(B1005="","",IFERROR(VALUE(TEXT(B1005,"[$-1170401]mm")),""))</f>
        <v/>
      </c>
    </row>
    <row r="1006">
      <c r="B1006" s="30" t="n"/>
      <c r="G1006" s="9">
        <f>IF(AND(E1006&lt;&gt;"",E1006&lt;&gt;0,H1006&lt;&gt;""),H1006/E1006,"")</f>
        <v/>
      </c>
      <c r="L1006">
        <f>IF(B1006="","",IFERROR(VALUE(TEXT(B1006,"[$-1170401]yyyy")),""))</f>
        <v/>
      </c>
      <c r="M1006">
        <f>IF(B1006="","",IFERROR(VALUE(TEXT(B1006,"[$-1170401]mm")),""))</f>
        <v/>
      </c>
    </row>
    <row r="1007">
      <c r="B1007" s="30" t="n"/>
      <c r="G1007" s="9">
        <f>IF(AND(E1007&lt;&gt;"",E1007&lt;&gt;0,H1007&lt;&gt;""),H1007/E1007,"")</f>
        <v/>
      </c>
      <c r="L1007">
        <f>IF(B1007="","",IFERROR(VALUE(TEXT(B1007,"[$-1170401]yyyy")),""))</f>
        <v/>
      </c>
      <c r="M1007">
        <f>IF(B1007="","",IFERROR(VALUE(TEXT(B1007,"[$-1170401]mm")),""))</f>
        <v/>
      </c>
    </row>
    <row r="1008">
      <c r="B1008" s="30" t="n"/>
      <c r="G1008" s="9">
        <f>IF(AND(E1008&lt;&gt;"",E1008&lt;&gt;0,H1008&lt;&gt;""),H1008/E1008,"")</f>
        <v/>
      </c>
      <c r="L1008">
        <f>IF(B1008="","",IFERROR(VALUE(TEXT(B1008,"[$-1170401]yyyy")),""))</f>
        <v/>
      </c>
      <c r="M1008">
        <f>IF(B1008="","",IFERROR(VALUE(TEXT(B1008,"[$-1170401]mm")),""))</f>
        <v/>
      </c>
    </row>
    <row r="1009">
      <c r="B1009" s="30" t="n"/>
      <c r="G1009" s="9">
        <f>IF(AND(E1009&lt;&gt;"",E1009&lt;&gt;0,H1009&lt;&gt;""),H1009/E1009,"")</f>
        <v/>
      </c>
      <c r="L1009">
        <f>IF(B1009="","",IFERROR(VALUE(TEXT(B1009,"[$-1170401]yyyy")),""))</f>
        <v/>
      </c>
      <c r="M1009">
        <f>IF(B1009="","",IFERROR(VALUE(TEXT(B1009,"[$-1170401]mm")),""))</f>
        <v/>
      </c>
    </row>
    <row r="1010">
      <c r="B1010" s="30" t="n"/>
      <c r="G1010" s="9">
        <f>IF(AND(E1010&lt;&gt;"",E1010&lt;&gt;0,H1010&lt;&gt;""),H1010/E1010,"")</f>
        <v/>
      </c>
      <c r="L1010">
        <f>IF(B1010="","",IFERROR(VALUE(TEXT(B1010,"[$-1170401]yyyy")),""))</f>
        <v/>
      </c>
      <c r="M1010">
        <f>IF(B1010="","",IFERROR(VALUE(TEXT(B1010,"[$-1170401]mm")),""))</f>
        <v/>
      </c>
    </row>
    <row r="1011">
      <c r="B1011" s="30" t="n"/>
      <c r="G1011" s="9">
        <f>IF(AND(E1011&lt;&gt;"",E1011&lt;&gt;0,H1011&lt;&gt;""),H1011/E1011,"")</f>
        <v/>
      </c>
      <c r="L1011">
        <f>IF(B1011="","",IFERROR(VALUE(TEXT(B1011,"[$-1170401]yyyy")),""))</f>
        <v/>
      </c>
      <c r="M1011">
        <f>IF(B1011="","",IFERROR(VALUE(TEXT(B1011,"[$-1170401]mm")),""))</f>
        <v/>
      </c>
    </row>
    <row r="1012">
      <c r="B1012" s="30" t="n"/>
      <c r="G1012" s="9">
        <f>IF(AND(E1012&lt;&gt;"",E1012&lt;&gt;0,H1012&lt;&gt;""),H1012/E1012,"")</f>
        <v/>
      </c>
      <c r="L1012">
        <f>IF(B1012="","",IFERROR(VALUE(TEXT(B1012,"[$-1170401]yyyy")),""))</f>
        <v/>
      </c>
      <c r="M1012">
        <f>IF(B1012="","",IFERROR(VALUE(TEXT(B1012,"[$-1170401]mm")),""))</f>
        <v/>
      </c>
    </row>
    <row r="1013">
      <c r="B1013" s="30" t="n"/>
      <c r="G1013" s="9">
        <f>IF(AND(E1013&lt;&gt;"",E1013&lt;&gt;0,H1013&lt;&gt;""),H1013/E1013,"")</f>
        <v/>
      </c>
      <c r="L1013">
        <f>IF(B1013="","",IFERROR(VALUE(TEXT(B1013,"[$-1170401]yyyy")),""))</f>
        <v/>
      </c>
      <c r="M1013">
        <f>IF(B1013="","",IFERROR(VALUE(TEXT(B1013,"[$-1170401]mm")),""))</f>
        <v/>
      </c>
    </row>
    <row r="1014">
      <c r="B1014" s="30" t="n"/>
      <c r="G1014" s="9">
        <f>IF(AND(E1014&lt;&gt;"",E1014&lt;&gt;0,H1014&lt;&gt;""),H1014/E1014,"")</f>
        <v/>
      </c>
      <c r="L1014">
        <f>IF(B1014="","",IFERROR(VALUE(TEXT(B1014,"[$-1170401]yyyy")),""))</f>
        <v/>
      </c>
      <c r="M1014">
        <f>IF(B1014="","",IFERROR(VALUE(TEXT(B1014,"[$-1170401]mm")),""))</f>
        <v/>
      </c>
    </row>
    <row r="1015">
      <c r="B1015" s="30" t="n"/>
      <c r="G1015" s="9">
        <f>IF(AND(E1015&lt;&gt;"",E1015&lt;&gt;0,H1015&lt;&gt;""),H1015/E1015,"")</f>
        <v/>
      </c>
      <c r="L1015">
        <f>IF(B1015="","",IFERROR(VALUE(TEXT(B1015,"[$-1170401]yyyy")),""))</f>
        <v/>
      </c>
      <c r="M1015">
        <f>IF(B1015="","",IFERROR(VALUE(TEXT(B1015,"[$-1170401]mm")),""))</f>
        <v/>
      </c>
    </row>
    <row r="1016">
      <c r="B1016" s="30" t="n"/>
      <c r="G1016" s="9">
        <f>IF(AND(E1016&lt;&gt;"",E1016&lt;&gt;0,H1016&lt;&gt;""),H1016/E1016,"")</f>
        <v/>
      </c>
      <c r="L1016">
        <f>IF(B1016="","",IFERROR(VALUE(TEXT(B1016,"[$-1170401]yyyy")),""))</f>
        <v/>
      </c>
      <c r="M1016">
        <f>IF(B1016="","",IFERROR(VALUE(TEXT(B1016,"[$-1170401]mm")),""))</f>
        <v/>
      </c>
    </row>
    <row r="1017">
      <c r="B1017" s="30" t="n"/>
      <c r="G1017" s="9">
        <f>IF(AND(E1017&lt;&gt;"",E1017&lt;&gt;0,H1017&lt;&gt;""),H1017/E1017,"")</f>
        <v/>
      </c>
      <c r="L1017">
        <f>IF(B1017="","",IFERROR(VALUE(TEXT(B1017,"[$-1170401]yyyy")),""))</f>
        <v/>
      </c>
      <c r="M1017">
        <f>IF(B1017="","",IFERROR(VALUE(TEXT(B1017,"[$-1170401]mm")),""))</f>
        <v/>
      </c>
    </row>
    <row r="1018">
      <c r="B1018" s="30" t="n"/>
      <c r="G1018" s="9">
        <f>IF(AND(E1018&lt;&gt;"",E1018&lt;&gt;0,H1018&lt;&gt;""),H1018/E1018,"")</f>
        <v/>
      </c>
      <c r="L1018">
        <f>IF(B1018="","",IFERROR(VALUE(TEXT(B1018,"[$-1170401]yyyy")),""))</f>
        <v/>
      </c>
      <c r="M1018">
        <f>IF(B1018="","",IFERROR(VALUE(TEXT(B1018,"[$-1170401]mm")),""))</f>
        <v/>
      </c>
    </row>
    <row r="1019">
      <c r="B1019" s="30" t="n"/>
      <c r="G1019" s="9">
        <f>IF(AND(E1019&lt;&gt;"",E1019&lt;&gt;0,H1019&lt;&gt;""),H1019/E1019,"")</f>
        <v/>
      </c>
      <c r="L1019">
        <f>IF(B1019="","",IFERROR(VALUE(TEXT(B1019,"[$-1170401]yyyy")),""))</f>
        <v/>
      </c>
      <c r="M1019">
        <f>IF(B1019="","",IFERROR(VALUE(TEXT(B1019,"[$-1170401]mm")),""))</f>
        <v/>
      </c>
    </row>
    <row r="1020">
      <c r="B1020" s="30" t="n"/>
      <c r="G1020" s="9">
        <f>IF(AND(E1020&lt;&gt;"",E1020&lt;&gt;0,H1020&lt;&gt;""),H1020/E1020,"")</f>
        <v/>
      </c>
      <c r="L1020">
        <f>IF(B1020="","",IFERROR(VALUE(TEXT(B1020,"[$-1170401]yyyy")),""))</f>
        <v/>
      </c>
      <c r="M1020">
        <f>IF(B1020="","",IFERROR(VALUE(TEXT(B1020,"[$-1170401]mm")),""))</f>
        <v/>
      </c>
    </row>
    <row r="1021">
      <c r="B1021" s="30" t="n"/>
      <c r="G1021" s="9">
        <f>IF(AND(E1021&lt;&gt;"",E1021&lt;&gt;0,H1021&lt;&gt;""),H1021/E1021,"")</f>
        <v/>
      </c>
      <c r="L1021">
        <f>IF(B1021="","",IFERROR(VALUE(TEXT(B1021,"[$-1170401]yyyy")),""))</f>
        <v/>
      </c>
      <c r="M1021">
        <f>IF(B1021="","",IFERROR(VALUE(TEXT(B1021,"[$-1170401]mm")),""))</f>
        <v/>
      </c>
    </row>
    <row r="1022">
      <c r="B1022" s="30" t="n"/>
      <c r="G1022" s="9">
        <f>IF(AND(E1022&lt;&gt;"",E1022&lt;&gt;0,H1022&lt;&gt;""),H1022/E1022,"")</f>
        <v/>
      </c>
      <c r="L1022">
        <f>IF(B1022="","",IFERROR(VALUE(TEXT(B1022,"[$-1170401]yyyy")),""))</f>
        <v/>
      </c>
      <c r="M1022">
        <f>IF(B1022="","",IFERROR(VALUE(TEXT(B1022,"[$-1170401]mm")),""))</f>
        <v/>
      </c>
    </row>
    <row r="1023">
      <c r="B1023" s="30" t="n"/>
      <c r="G1023" s="9">
        <f>IF(AND(E1023&lt;&gt;"",E1023&lt;&gt;0,H1023&lt;&gt;""),H1023/E1023,"")</f>
        <v/>
      </c>
      <c r="L1023">
        <f>IF(B1023="","",IFERROR(VALUE(TEXT(B1023,"[$-1170401]yyyy")),""))</f>
        <v/>
      </c>
      <c r="M1023">
        <f>IF(B1023="","",IFERROR(VALUE(TEXT(B1023,"[$-1170401]mm")),""))</f>
        <v/>
      </c>
    </row>
    <row r="1024">
      <c r="B1024" s="30" t="n"/>
      <c r="G1024" s="9">
        <f>IF(AND(E1024&lt;&gt;"",E1024&lt;&gt;0,H1024&lt;&gt;""),H1024/E1024,"")</f>
        <v/>
      </c>
      <c r="L1024">
        <f>IF(B1024="","",IFERROR(VALUE(TEXT(B1024,"[$-1170401]yyyy")),""))</f>
        <v/>
      </c>
      <c r="M1024">
        <f>IF(B1024="","",IFERROR(VALUE(TEXT(B1024,"[$-1170401]mm")),""))</f>
        <v/>
      </c>
    </row>
    <row r="1025">
      <c r="B1025" s="30" t="n"/>
      <c r="G1025" s="9">
        <f>IF(AND(E1025&lt;&gt;"",E1025&lt;&gt;0,H1025&lt;&gt;""),H1025/E1025,"")</f>
        <v/>
      </c>
      <c r="L1025">
        <f>IF(B1025="","",IFERROR(VALUE(TEXT(B1025,"[$-1170401]yyyy")),""))</f>
        <v/>
      </c>
      <c r="M1025">
        <f>IF(B1025="","",IFERROR(VALUE(TEXT(B1025,"[$-1170401]mm")),""))</f>
        <v/>
      </c>
    </row>
    <row r="1026">
      <c r="B1026" s="30" t="n"/>
      <c r="G1026" s="9">
        <f>IF(AND(E1026&lt;&gt;"",E1026&lt;&gt;0,H1026&lt;&gt;""),H1026/E1026,"")</f>
        <v/>
      </c>
      <c r="L1026">
        <f>IF(B1026="","",IFERROR(VALUE(TEXT(B1026,"[$-1170401]yyyy")),""))</f>
        <v/>
      </c>
      <c r="M1026">
        <f>IF(B1026="","",IFERROR(VALUE(TEXT(B1026,"[$-1170401]mm")),""))</f>
        <v/>
      </c>
    </row>
    <row r="1027">
      <c r="B1027" s="30" t="n"/>
      <c r="G1027" s="9">
        <f>IF(AND(E1027&lt;&gt;"",E1027&lt;&gt;0,H1027&lt;&gt;""),H1027/E1027,"")</f>
        <v/>
      </c>
      <c r="L1027">
        <f>IF(B1027="","",IFERROR(VALUE(TEXT(B1027,"[$-1170401]yyyy")),""))</f>
        <v/>
      </c>
      <c r="M1027">
        <f>IF(B1027="","",IFERROR(VALUE(TEXT(B1027,"[$-1170401]mm")),""))</f>
        <v/>
      </c>
    </row>
    <row r="1028">
      <c r="B1028" s="30" t="n"/>
      <c r="G1028" s="9">
        <f>IF(AND(E1028&lt;&gt;"",E1028&lt;&gt;0,H1028&lt;&gt;""),H1028/E1028,"")</f>
        <v/>
      </c>
      <c r="L1028">
        <f>IF(B1028="","",IFERROR(VALUE(TEXT(B1028,"[$-1170401]yyyy")),""))</f>
        <v/>
      </c>
      <c r="M1028">
        <f>IF(B1028="","",IFERROR(VALUE(TEXT(B1028,"[$-1170401]mm")),""))</f>
        <v/>
      </c>
    </row>
    <row r="1029">
      <c r="B1029" s="30" t="n"/>
      <c r="G1029" s="9">
        <f>IF(AND(E1029&lt;&gt;"",E1029&lt;&gt;0,H1029&lt;&gt;""),H1029/E1029,"")</f>
        <v/>
      </c>
      <c r="L1029">
        <f>IF(B1029="","",IFERROR(VALUE(TEXT(B1029,"[$-1170401]yyyy")),""))</f>
        <v/>
      </c>
      <c r="M1029">
        <f>IF(B1029="","",IFERROR(VALUE(TEXT(B1029,"[$-1170401]mm")),""))</f>
        <v/>
      </c>
    </row>
    <row r="1030">
      <c r="B1030" s="30" t="n"/>
      <c r="G1030" s="9">
        <f>IF(AND(E1030&lt;&gt;"",E1030&lt;&gt;0,H1030&lt;&gt;""),H1030/E1030,"")</f>
        <v/>
      </c>
      <c r="L1030">
        <f>IF(B1030="","",IFERROR(VALUE(TEXT(B1030,"[$-1170401]yyyy")),""))</f>
        <v/>
      </c>
      <c r="M1030">
        <f>IF(B1030="","",IFERROR(VALUE(TEXT(B1030,"[$-1170401]mm")),""))</f>
        <v/>
      </c>
    </row>
    <row r="1031">
      <c r="B1031" s="30" t="n"/>
      <c r="G1031" s="9">
        <f>IF(AND(E1031&lt;&gt;"",E1031&lt;&gt;0,H1031&lt;&gt;""),H1031/E1031,"")</f>
        <v/>
      </c>
      <c r="L1031">
        <f>IF(B1031="","",IFERROR(VALUE(TEXT(B1031,"[$-1170401]yyyy")),""))</f>
        <v/>
      </c>
      <c r="M1031">
        <f>IF(B1031="","",IFERROR(VALUE(TEXT(B1031,"[$-1170401]mm")),""))</f>
        <v/>
      </c>
    </row>
    <row r="1032">
      <c r="B1032" s="30" t="n"/>
      <c r="G1032" s="9">
        <f>IF(AND(E1032&lt;&gt;"",E1032&lt;&gt;0,H1032&lt;&gt;""),H1032/E1032,"")</f>
        <v/>
      </c>
      <c r="L1032">
        <f>IF(B1032="","",IFERROR(VALUE(TEXT(B1032,"[$-1170401]yyyy")),""))</f>
        <v/>
      </c>
      <c r="M1032">
        <f>IF(B1032="","",IFERROR(VALUE(TEXT(B1032,"[$-1170401]mm")),""))</f>
        <v/>
      </c>
    </row>
    <row r="1033">
      <c r="B1033" s="30" t="n"/>
      <c r="G1033" s="9">
        <f>IF(AND(E1033&lt;&gt;"",E1033&lt;&gt;0,H1033&lt;&gt;""),H1033/E1033,"")</f>
        <v/>
      </c>
      <c r="L1033">
        <f>IF(B1033="","",IFERROR(VALUE(TEXT(B1033,"[$-1170401]yyyy")),""))</f>
        <v/>
      </c>
      <c r="M1033">
        <f>IF(B1033="","",IFERROR(VALUE(TEXT(B1033,"[$-1170401]mm")),""))</f>
        <v/>
      </c>
    </row>
    <row r="1034">
      <c r="B1034" s="30" t="n"/>
      <c r="G1034" s="9">
        <f>IF(AND(E1034&lt;&gt;"",E1034&lt;&gt;0,H1034&lt;&gt;""),H1034/E1034,"")</f>
        <v/>
      </c>
      <c r="L1034">
        <f>IF(B1034="","",IFERROR(VALUE(TEXT(B1034,"[$-1170401]yyyy")),""))</f>
        <v/>
      </c>
      <c r="M1034">
        <f>IF(B1034="","",IFERROR(VALUE(TEXT(B1034,"[$-1170401]mm")),""))</f>
        <v/>
      </c>
    </row>
    <row r="1035">
      <c r="B1035" s="30" t="n"/>
      <c r="G1035" s="9">
        <f>IF(AND(E1035&lt;&gt;"",E1035&lt;&gt;0,H1035&lt;&gt;""),H1035/E1035,"")</f>
        <v/>
      </c>
      <c r="L1035">
        <f>IF(B1035="","",IFERROR(VALUE(TEXT(B1035,"[$-1170401]yyyy")),""))</f>
        <v/>
      </c>
      <c r="M1035">
        <f>IF(B1035="","",IFERROR(VALUE(TEXT(B1035,"[$-1170401]mm")),""))</f>
        <v/>
      </c>
    </row>
    <row r="1036">
      <c r="B1036" s="30" t="n"/>
      <c r="G1036" s="9">
        <f>IF(AND(E1036&lt;&gt;"",E1036&lt;&gt;0,H1036&lt;&gt;""),H1036/E1036,"")</f>
        <v/>
      </c>
      <c r="L1036">
        <f>IF(B1036="","",IFERROR(VALUE(TEXT(B1036,"[$-1170401]yyyy")),""))</f>
        <v/>
      </c>
      <c r="M1036">
        <f>IF(B1036="","",IFERROR(VALUE(TEXT(B1036,"[$-1170401]mm")),""))</f>
        <v/>
      </c>
    </row>
    <row r="1037">
      <c r="B1037" s="30" t="n"/>
      <c r="G1037" s="9">
        <f>IF(AND(E1037&lt;&gt;"",E1037&lt;&gt;0,H1037&lt;&gt;""),H1037/E1037,"")</f>
        <v/>
      </c>
      <c r="L1037">
        <f>IF(B1037="","",IFERROR(VALUE(TEXT(B1037,"[$-1170401]yyyy")),""))</f>
        <v/>
      </c>
      <c r="M1037">
        <f>IF(B1037="","",IFERROR(VALUE(TEXT(B1037,"[$-1170401]mm")),""))</f>
        <v/>
      </c>
    </row>
    <row r="1038">
      <c r="B1038" s="30" t="n"/>
      <c r="G1038" s="9">
        <f>IF(AND(E1038&lt;&gt;"",E1038&lt;&gt;0,H1038&lt;&gt;""),H1038/E1038,"")</f>
        <v/>
      </c>
      <c r="L1038">
        <f>IF(B1038="","",IFERROR(VALUE(TEXT(B1038,"[$-1170401]yyyy")),""))</f>
        <v/>
      </c>
      <c r="M1038">
        <f>IF(B1038="","",IFERROR(VALUE(TEXT(B1038,"[$-1170401]mm")),""))</f>
        <v/>
      </c>
    </row>
    <row r="1039">
      <c r="B1039" s="30" t="n"/>
      <c r="G1039" s="9">
        <f>IF(AND(E1039&lt;&gt;"",E1039&lt;&gt;0,H1039&lt;&gt;""),H1039/E1039,"")</f>
        <v/>
      </c>
      <c r="L1039">
        <f>IF(B1039="","",IFERROR(VALUE(TEXT(B1039,"[$-1170401]yyyy")),""))</f>
        <v/>
      </c>
      <c r="M1039">
        <f>IF(B1039="","",IFERROR(VALUE(TEXT(B1039,"[$-1170401]mm")),""))</f>
        <v/>
      </c>
    </row>
    <row r="1040">
      <c r="B1040" s="30" t="n"/>
      <c r="G1040" s="9">
        <f>IF(AND(E1040&lt;&gt;"",E1040&lt;&gt;0,H1040&lt;&gt;""),H1040/E1040,"")</f>
        <v/>
      </c>
      <c r="L1040">
        <f>IF(B1040="","",IFERROR(VALUE(TEXT(B1040,"[$-1170401]yyyy")),""))</f>
        <v/>
      </c>
      <c r="M1040">
        <f>IF(B1040="","",IFERROR(VALUE(TEXT(B1040,"[$-1170401]mm")),""))</f>
        <v/>
      </c>
    </row>
    <row r="1041">
      <c r="B1041" s="30" t="n"/>
      <c r="G1041" s="9">
        <f>IF(AND(E1041&lt;&gt;"",E1041&lt;&gt;0,H1041&lt;&gt;""),H1041/E1041,"")</f>
        <v/>
      </c>
      <c r="L1041">
        <f>IF(B1041="","",IFERROR(VALUE(TEXT(B1041,"[$-1170401]yyyy")),""))</f>
        <v/>
      </c>
      <c r="M1041">
        <f>IF(B1041="","",IFERROR(VALUE(TEXT(B1041,"[$-1170401]mm")),""))</f>
        <v/>
      </c>
    </row>
    <row r="1042">
      <c r="B1042" s="30" t="n"/>
      <c r="G1042" s="9">
        <f>IF(AND(E1042&lt;&gt;"",E1042&lt;&gt;0,H1042&lt;&gt;""),H1042/E1042,"")</f>
        <v/>
      </c>
      <c r="L1042">
        <f>IF(B1042="","",IFERROR(VALUE(TEXT(B1042,"[$-1170401]yyyy")),""))</f>
        <v/>
      </c>
      <c r="M1042">
        <f>IF(B1042="","",IFERROR(VALUE(TEXT(B1042,"[$-1170401]mm")),""))</f>
        <v/>
      </c>
    </row>
    <row r="1043">
      <c r="B1043" s="30" t="n"/>
      <c r="G1043" s="9">
        <f>IF(AND(E1043&lt;&gt;"",E1043&lt;&gt;0,H1043&lt;&gt;""),H1043/E1043,"")</f>
        <v/>
      </c>
      <c r="L1043">
        <f>IF(B1043="","",IFERROR(VALUE(TEXT(B1043,"[$-1170401]yyyy")),""))</f>
        <v/>
      </c>
      <c r="M1043">
        <f>IF(B1043="","",IFERROR(VALUE(TEXT(B1043,"[$-1170401]mm")),""))</f>
        <v/>
      </c>
    </row>
    <row r="1044">
      <c r="B1044" s="30" t="n"/>
      <c r="G1044" s="9">
        <f>IF(AND(E1044&lt;&gt;"",E1044&lt;&gt;0,H1044&lt;&gt;""),H1044/E1044,"")</f>
        <v/>
      </c>
      <c r="L1044">
        <f>IF(B1044="","",IFERROR(VALUE(TEXT(B1044,"[$-1170401]yyyy")),""))</f>
        <v/>
      </c>
      <c r="M1044">
        <f>IF(B1044="","",IFERROR(VALUE(TEXT(B1044,"[$-1170401]mm")),""))</f>
        <v/>
      </c>
    </row>
    <row r="1045">
      <c r="B1045" s="30" t="n"/>
      <c r="G1045" s="9">
        <f>IF(AND(E1045&lt;&gt;"",E1045&lt;&gt;0,H1045&lt;&gt;""),H1045/E1045,"")</f>
        <v/>
      </c>
      <c r="L1045">
        <f>IF(B1045="","",IFERROR(VALUE(TEXT(B1045,"[$-1170401]yyyy")),""))</f>
        <v/>
      </c>
      <c r="M1045">
        <f>IF(B1045="","",IFERROR(VALUE(TEXT(B1045,"[$-1170401]mm")),""))</f>
        <v/>
      </c>
    </row>
    <row r="1046">
      <c r="B1046" s="30" t="n"/>
      <c r="G1046" s="9">
        <f>IF(AND(E1046&lt;&gt;"",E1046&lt;&gt;0,H1046&lt;&gt;""),H1046/E1046,"")</f>
        <v/>
      </c>
      <c r="L1046">
        <f>IF(B1046="","",IFERROR(VALUE(TEXT(B1046,"[$-1170401]yyyy")),""))</f>
        <v/>
      </c>
      <c r="M1046">
        <f>IF(B1046="","",IFERROR(VALUE(TEXT(B1046,"[$-1170401]mm")),""))</f>
        <v/>
      </c>
    </row>
    <row r="1047">
      <c r="B1047" s="30" t="n"/>
      <c r="G1047" s="9">
        <f>IF(AND(E1047&lt;&gt;"",E1047&lt;&gt;0,H1047&lt;&gt;""),H1047/E1047,"")</f>
        <v/>
      </c>
      <c r="L1047">
        <f>IF(B1047="","",IFERROR(VALUE(TEXT(B1047,"[$-1170401]yyyy")),""))</f>
        <v/>
      </c>
      <c r="M1047">
        <f>IF(B1047="","",IFERROR(VALUE(TEXT(B1047,"[$-1170401]mm")),""))</f>
        <v/>
      </c>
    </row>
    <row r="1048">
      <c r="B1048" s="30" t="n"/>
      <c r="G1048" s="9">
        <f>IF(AND(E1048&lt;&gt;"",E1048&lt;&gt;0,H1048&lt;&gt;""),H1048/E1048,"")</f>
        <v/>
      </c>
      <c r="L1048">
        <f>IF(B1048="","",IFERROR(VALUE(TEXT(B1048,"[$-1170401]yyyy")),""))</f>
        <v/>
      </c>
      <c r="M1048">
        <f>IF(B1048="","",IFERROR(VALUE(TEXT(B1048,"[$-1170401]mm")),""))</f>
        <v/>
      </c>
    </row>
    <row r="1049">
      <c r="B1049" s="30" t="n"/>
      <c r="G1049" s="9">
        <f>IF(AND(E1049&lt;&gt;"",E1049&lt;&gt;0,H1049&lt;&gt;""),H1049/E1049,"")</f>
        <v/>
      </c>
      <c r="L1049">
        <f>IF(B1049="","",IFERROR(VALUE(TEXT(B1049,"[$-1170401]yyyy")),""))</f>
        <v/>
      </c>
      <c r="M1049">
        <f>IF(B1049="","",IFERROR(VALUE(TEXT(B1049,"[$-1170401]mm")),""))</f>
        <v/>
      </c>
    </row>
    <row r="1050">
      <c r="B1050" s="30" t="n"/>
      <c r="G1050" s="9">
        <f>IF(AND(E1050&lt;&gt;"",E1050&lt;&gt;0,H1050&lt;&gt;""),H1050/E1050,"")</f>
        <v/>
      </c>
      <c r="L1050">
        <f>IF(B1050="","",IFERROR(VALUE(TEXT(B1050,"[$-1170401]yyyy")),""))</f>
        <v/>
      </c>
      <c r="M1050">
        <f>IF(B1050="","",IFERROR(VALUE(TEXT(B1050,"[$-1170401]mm")),""))</f>
        <v/>
      </c>
    </row>
    <row r="1051">
      <c r="B1051" s="30" t="n"/>
      <c r="G1051" s="9">
        <f>IF(AND(E1051&lt;&gt;"",E1051&lt;&gt;0,H1051&lt;&gt;""),H1051/E1051,"")</f>
        <v/>
      </c>
      <c r="L1051">
        <f>IF(B1051="","",IFERROR(VALUE(TEXT(B1051,"[$-1170401]yyyy")),""))</f>
        <v/>
      </c>
      <c r="M1051">
        <f>IF(B1051="","",IFERROR(VALUE(TEXT(B1051,"[$-1170401]mm")),""))</f>
        <v/>
      </c>
    </row>
    <row r="1052">
      <c r="B1052" s="30" t="n"/>
      <c r="G1052" s="9">
        <f>IF(AND(E1052&lt;&gt;"",E1052&lt;&gt;0,H1052&lt;&gt;""),H1052/E1052,"")</f>
        <v/>
      </c>
      <c r="L1052">
        <f>IF(B1052="","",IFERROR(VALUE(TEXT(B1052,"[$-1170401]yyyy")),""))</f>
        <v/>
      </c>
      <c r="M1052">
        <f>IF(B1052="","",IFERROR(VALUE(TEXT(B1052,"[$-1170401]mm")),""))</f>
        <v/>
      </c>
    </row>
    <row r="1053">
      <c r="B1053" s="30" t="n"/>
      <c r="G1053" s="9">
        <f>IF(AND(E1053&lt;&gt;"",E1053&lt;&gt;0,H1053&lt;&gt;""),H1053/E1053,"")</f>
        <v/>
      </c>
      <c r="L1053">
        <f>IF(B1053="","",IFERROR(VALUE(TEXT(B1053,"[$-1170401]yyyy")),""))</f>
        <v/>
      </c>
      <c r="M1053">
        <f>IF(B1053="","",IFERROR(VALUE(TEXT(B1053,"[$-1170401]mm")),""))</f>
        <v/>
      </c>
    </row>
    <row r="1054">
      <c r="B1054" s="30" t="n"/>
      <c r="G1054" s="9">
        <f>IF(AND(E1054&lt;&gt;"",E1054&lt;&gt;0,H1054&lt;&gt;""),H1054/E1054,"")</f>
        <v/>
      </c>
      <c r="L1054">
        <f>IF(B1054="","",IFERROR(VALUE(TEXT(B1054,"[$-1170401]yyyy")),""))</f>
        <v/>
      </c>
      <c r="M1054">
        <f>IF(B1054="","",IFERROR(VALUE(TEXT(B1054,"[$-1170401]mm")),""))</f>
        <v/>
      </c>
    </row>
    <row r="1055">
      <c r="B1055" s="30" t="n"/>
      <c r="G1055" s="9">
        <f>IF(AND(E1055&lt;&gt;"",E1055&lt;&gt;0,H1055&lt;&gt;""),H1055/E1055,"")</f>
        <v/>
      </c>
      <c r="L1055">
        <f>IF(B1055="","",IFERROR(VALUE(TEXT(B1055,"[$-1170401]yyyy")),""))</f>
        <v/>
      </c>
      <c r="M1055">
        <f>IF(B1055="","",IFERROR(VALUE(TEXT(B1055,"[$-1170401]mm")),""))</f>
        <v/>
      </c>
    </row>
    <row r="1056">
      <c r="B1056" s="30" t="n"/>
      <c r="G1056" s="9">
        <f>IF(AND(E1056&lt;&gt;"",E1056&lt;&gt;0,H1056&lt;&gt;""),H1056/E1056,"")</f>
        <v/>
      </c>
      <c r="L1056">
        <f>IF(B1056="","",IFERROR(VALUE(TEXT(B1056,"[$-1170401]yyyy")),""))</f>
        <v/>
      </c>
      <c r="M1056">
        <f>IF(B1056="","",IFERROR(VALUE(TEXT(B1056,"[$-1170401]mm")),""))</f>
        <v/>
      </c>
    </row>
    <row r="1057">
      <c r="B1057" s="30" t="n"/>
      <c r="G1057" s="9">
        <f>IF(AND(E1057&lt;&gt;"",E1057&lt;&gt;0,H1057&lt;&gt;""),H1057/E1057,"")</f>
        <v/>
      </c>
      <c r="L1057">
        <f>IF(B1057="","",IFERROR(VALUE(TEXT(B1057,"[$-1170401]yyyy")),""))</f>
        <v/>
      </c>
      <c r="M1057">
        <f>IF(B1057="","",IFERROR(VALUE(TEXT(B1057,"[$-1170401]mm")),""))</f>
        <v/>
      </c>
    </row>
    <row r="1058">
      <c r="B1058" s="30" t="n"/>
      <c r="G1058" s="9">
        <f>IF(AND(E1058&lt;&gt;"",E1058&lt;&gt;0,H1058&lt;&gt;""),H1058/E1058,"")</f>
        <v/>
      </c>
      <c r="L1058">
        <f>IF(B1058="","",IFERROR(VALUE(TEXT(B1058,"[$-1170401]yyyy")),""))</f>
        <v/>
      </c>
      <c r="M1058">
        <f>IF(B1058="","",IFERROR(VALUE(TEXT(B1058,"[$-1170401]mm")),""))</f>
        <v/>
      </c>
    </row>
    <row r="1059">
      <c r="B1059" s="30" t="n"/>
      <c r="G1059" s="9">
        <f>IF(AND(E1059&lt;&gt;"",E1059&lt;&gt;0,H1059&lt;&gt;""),H1059/E1059,"")</f>
        <v/>
      </c>
      <c r="L1059">
        <f>IF(B1059="","",IFERROR(VALUE(TEXT(B1059,"[$-1170401]yyyy")),""))</f>
        <v/>
      </c>
      <c r="M1059">
        <f>IF(B1059="","",IFERROR(VALUE(TEXT(B1059,"[$-1170401]mm")),""))</f>
        <v/>
      </c>
    </row>
    <row r="1060">
      <c r="B1060" s="30" t="n"/>
      <c r="G1060" s="9">
        <f>IF(AND(E1060&lt;&gt;"",E1060&lt;&gt;0,H1060&lt;&gt;""),H1060/E1060,"")</f>
        <v/>
      </c>
      <c r="L1060">
        <f>IF(B1060="","",IFERROR(VALUE(TEXT(B1060,"[$-1170401]yyyy")),""))</f>
        <v/>
      </c>
      <c r="M1060">
        <f>IF(B1060="","",IFERROR(VALUE(TEXT(B1060,"[$-1170401]mm")),""))</f>
        <v/>
      </c>
    </row>
    <row r="1061">
      <c r="B1061" s="30" t="n"/>
      <c r="G1061" s="9">
        <f>IF(AND(E1061&lt;&gt;"",E1061&lt;&gt;0,H1061&lt;&gt;""),H1061/E1061,"")</f>
        <v/>
      </c>
      <c r="L1061">
        <f>IF(B1061="","",IFERROR(VALUE(TEXT(B1061,"[$-1170401]yyyy")),""))</f>
        <v/>
      </c>
      <c r="M1061">
        <f>IF(B1061="","",IFERROR(VALUE(TEXT(B1061,"[$-1170401]mm")),""))</f>
        <v/>
      </c>
    </row>
    <row r="1062">
      <c r="B1062" s="30" t="n"/>
      <c r="G1062" s="9">
        <f>IF(AND(E1062&lt;&gt;"",E1062&lt;&gt;0,H1062&lt;&gt;""),H1062/E1062,"")</f>
        <v/>
      </c>
      <c r="L1062">
        <f>IF(B1062="","",IFERROR(VALUE(TEXT(B1062,"[$-1170401]yyyy")),""))</f>
        <v/>
      </c>
      <c r="M1062">
        <f>IF(B1062="","",IFERROR(VALUE(TEXT(B1062,"[$-1170401]mm")),""))</f>
        <v/>
      </c>
    </row>
    <row r="1063">
      <c r="B1063" s="30" t="n"/>
      <c r="G1063" s="9">
        <f>IF(AND(E1063&lt;&gt;"",E1063&lt;&gt;0,H1063&lt;&gt;""),H1063/E1063,"")</f>
        <v/>
      </c>
      <c r="L1063">
        <f>IF(B1063="","",IFERROR(VALUE(TEXT(B1063,"[$-1170401]yyyy")),""))</f>
        <v/>
      </c>
      <c r="M1063">
        <f>IF(B1063="","",IFERROR(VALUE(TEXT(B1063,"[$-1170401]mm")),""))</f>
        <v/>
      </c>
    </row>
    <row r="1064">
      <c r="B1064" s="30" t="n"/>
      <c r="G1064" s="9">
        <f>IF(AND(E1064&lt;&gt;"",E1064&lt;&gt;0,H1064&lt;&gt;""),H1064/E1064,"")</f>
        <v/>
      </c>
      <c r="L1064">
        <f>IF(B1064="","",IFERROR(VALUE(TEXT(B1064,"[$-1170401]yyyy")),""))</f>
        <v/>
      </c>
      <c r="M1064">
        <f>IF(B1064="","",IFERROR(VALUE(TEXT(B1064,"[$-1170401]mm")),""))</f>
        <v/>
      </c>
    </row>
    <row r="1065">
      <c r="B1065" s="30" t="n"/>
      <c r="G1065" s="9">
        <f>IF(AND(E1065&lt;&gt;"",E1065&lt;&gt;0,H1065&lt;&gt;""),H1065/E1065,"")</f>
        <v/>
      </c>
      <c r="L1065">
        <f>IF(B1065="","",IFERROR(VALUE(TEXT(B1065,"[$-1170401]yyyy")),""))</f>
        <v/>
      </c>
      <c r="M1065">
        <f>IF(B1065="","",IFERROR(VALUE(TEXT(B1065,"[$-1170401]mm")),""))</f>
        <v/>
      </c>
    </row>
    <row r="1066">
      <c r="B1066" s="30" t="n"/>
      <c r="G1066" s="9">
        <f>IF(AND(E1066&lt;&gt;"",E1066&lt;&gt;0,H1066&lt;&gt;""),H1066/E1066,"")</f>
        <v/>
      </c>
      <c r="L1066">
        <f>IF(B1066="","",IFERROR(VALUE(TEXT(B1066,"[$-1170401]yyyy")),""))</f>
        <v/>
      </c>
      <c r="M1066">
        <f>IF(B1066="","",IFERROR(VALUE(TEXT(B1066,"[$-1170401]mm")),""))</f>
        <v/>
      </c>
    </row>
    <row r="1067">
      <c r="B1067" s="30" t="n"/>
      <c r="G1067" s="9">
        <f>IF(AND(E1067&lt;&gt;"",E1067&lt;&gt;0,H1067&lt;&gt;""),H1067/E1067,"")</f>
        <v/>
      </c>
      <c r="L1067">
        <f>IF(B1067="","",IFERROR(VALUE(TEXT(B1067,"[$-1170401]yyyy")),""))</f>
        <v/>
      </c>
      <c r="M1067">
        <f>IF(B1067="","",IFERROR(VALUE(TEXT(B1067,"[$-1170401]mm")),""))</f>
        <v/>
      </c>
    </row>
    <row r="1068">
      <c r="B1068" s="30" t="n"/>
      <c r="G1068" s="9">
        <f>IF(AND(E1068&lt;&gt;"",E1068&lt;&gt;0,H1068&lt;&gt;""),H1068/E1068,"")</f>
        <v/>
      </c>
      <c r="L1068">
        <f>IF(B1068="","",IFERROR(VALUE(TEXT(B1068,"[$-1170401]yyyy")),""))</f>
        <v/>
      </c>
      <c r="M1068">
        <f>IF(B1068="","",IFERROR(VALUE(TEXT(B1068,"[$-1170401]mm")),""))</f>
        <v/>
      </c>
    </row>
    <row r="1069">
      <c r="B1069" s="30" t="n"/>
      <c r="G1069" s="9">
        <f>IF(AND(E1069&lt;&gt;"",E1069&lt;&gt;0,H1069&lt;&gt;""),H1069/E1069,"")</f>
        <v/>
      </c>
      <c r="L1069">
        <f>IF(B1069="","",IFERROR(VALUE(TEXT(B1069,"[$-1170401]yyyy")),""))</f>
        <v/>
      </c>
      <c r="M1069">
        <f>IF(B1069="","",IFERROR(VALUE(TEXT(B1069,"[$-1170401]mm")),""))</f>
        <v/>
      </c>
    </row>
    <row r="1070">
      <c r="B1070" s="30" t="n"/>
      <c r="G1070" s="9">
        <f>IF(AND(E1070&lt;&gt;"",E1070&lt;&gt;0,H1070&lt;&gt;""),H1070/E1070,"")</f>
        <v/>
      </c>
      <c r="L1070">
        <f>IF(B1070="","",IFERROR(VALUE(TEXT(B1070,"[$-1170401]yyyy")),""))</f>
        <v/>
      </c>
      <c r="M1070">
        <f>IF(B1070="","",IFERROR(VALUE(TEXT(B1070,"[$-1170401]mm")),""))</f>
        <v/>
      </c>
    </row>
    <row r="1071">
      <c r="B1071" s="30" t="n"/>
      <c r="G1071" s="9">
        <f>IF(AND(E1071&lt;&gt;"",E1071&lt;&gt;0,H1071&lt;&gt;""),H1071/E1071,"")</f>
        <v/>
      </c>
      <c r="L1071">
        <f>IF(B1071="","",IFERROR(VALUE(TEXT(B1071,"[$-1170401]yyyy")),""))</f>
        <v/>
      </c>
      <c r="M1071">
        <f>IF(B1071="","",IFERROR(VALUE(TEXT(B1071,"[$-1170401]mm")),""))</f>
        <v/>
      </c>
    </row>
    <row r="1072">
      <c r="B1072" s="30" t="n"/>
      <c r="G1072" s="9">
        <f>IF(AND(E1072&lt;&gt;"",E1072&lt;&gt;0,H1072&lt;&gt;""),H1072/E1072,"")</f>
        <v/>
      </c>
      <c r="L1072">
        <f>IF(B1072="","",IFERROR(VALUE(TEXT(B1072,"[$-1170401]yyyy")),""))</f>
        <v/>
      </c>
      <c r="M1072">
        <f>IF(B1072="","",IFERROR(VALUE(TEXT(B1072,"[$-1170401]mm")),""))</f>
        <v/>
      </c>
    </row>
    <row r="1073">
      <c r="B1073" s="30" t="n"/>
      <c r="G1073" s="9">
        <f>IF(AND(E1073&lt;&gt;"",E1073&lt;&gt;0,H1073&lt;&gt;""),H1073/E1073,"")</f>
        <v/>
      </c>
      <c r="L1073">
        <f>IF(B1073="","",IFERROR(VALUE(TEXT(B1073,"[$-1170401]yyyy")),""))</f>
        <v/>
      </c>
      <c r="M1073">
        <f>IF(B1073="","",IFERROR(VALUE(TEXT(B1073,"[$-1170401]mm")),""))</f>
        <v/>
      </c>
    </row>
    <row r="1074">
      <c r="B1074" s="30" t="n"/>
      <c r="G1074" s="9">
        <f>IF(AND(E1074&lt;&gt;"",E1074&lt;&gt;0,H1074&lt;&gt;""),H1074/E1074,"")</f>
        <v/>
      </c>
      <c r="L1074">
        <f>IF(B1074="","",IFERROR(VALUE(TEXT(B1074,"[$-1170401]yyyy")),""))</f>
        <v/>
      </c>
      <c r="M1074">
        <f>IF(B1074="","",IFERROR(VALUE(TEXT(B1074,"[$-1170401]mm")),""))</f>
        <v/>
      </c>
    </row>
    <row r="1075">
      <c r="B1075" s="30" t="n"/>
      <c r="G1075" s="9">
        <f>IF(AND(E1075&lt;&gt;"",E1075&lt;&gt;0,H1075&lt;&gt;""),H1075/E1075,"")</f>
        <v/>
      </c>
      <c r="L1075">
        <f>IF(B1075="","",IFERROR(VALUE(TEXT(B1075,"[$-1170401]yyyy")),""))</f>
        <v/>
      </c>
      <c r="M1075">
        <f>IF(B1075="","",IFERROR(VALUE(TEXT(B1075,"[$-1170401]mm")),""))</f>
        <v/>
      </c>
    </row>
    <row r="1076">
      <c r="B1076" s="30" t="n"/>
      <c r="G1076" s="9">
        <f>IF(AND(E1076&lt;&gt;"",E1076&lt;&gt;0,H1076&lt;&gt;""),H1076/E1076,"")</f>
        <v/>
      </c>
      <c r="L1076">
        <f>IF(B1076="","",IFERROR(VALUE(TEXT(B1076,"[$-1170401]yyyy")),""))</f>
        <v/>
      </c>
      <c r="M1076">
        <f>IF(B1076="","",IFERROR(VALUE(TEXT(B1076,"[$-1170401]mm")),""))</f>
        <v/>
      </c>
    </row>
    <row r="1077">
      <c r="B1077" s="30" t="n"/>
      <c r="G1077" s="9">
        <f>IF(AND(E1077&lt;&gt;"",E1077&lt;&gt;0,H1077&lt;&gt;""),H1077/E1077,"")</f>
        <v/>
      </c>
      <c r="L1077">
        <f>IF(B1077="","",IFERROR(VALUE(TEXT(B1077,"[$-1170401]yyyy")),""))</f>
        <v/>
      </c>
      <c r="M1077">
        <f>IF(B1077="","",IFERROR(VALUE(TEXT(B1077,"[$-1170401]mm")),""))</f>
        <v/>
      </c>
    </row>
    <row r="1078">
      <c r="B1078" s="30" t="n"/>
      <c r="G1078" s="9">
        <f>IF(AND(E1078&lt;&gt;"",E1078&lt;&gt;0,H1078&lt;&gt;""),H1078/E1078,"")</f>
        <v/>
      </c>
      <c r="L1078">
        <f>IF(B1078="","",IFERROR(VALUE(TEXT(B1078,"[$-1170401]yyyy")),""))</f>
        <v/>
      </c>
      <c r="M1078">
        <f>IF(B1078="","",IFERROR(VALUE(TEXT(B1078,"[$-1170401]mm")),""))</f>
        <v/>
      </c>
    </row>
    <row r="1079">
      <c r="B1079" s="30" t="n"/>
      <c r="G1079" s="9">
        <f>IF(AND(E1079&lt;&gt;"",E1079&lt;&gt;0,H1079&lt;&gt;""),H1079/E1079,"")</f>
        <v/>
      </c>
      <c r="L1079">
        <f>IF(B1079="","",IFERROR(VALUE(TEXT(B1079,"[$-1170401]yyyy")),""))</f>
        <v/>
      </c>
      <c r="M1079">
        <f>IF(B1079="","",IFERROR(VALUE(TEXT(B1079,"[$-1170401]mm")),""))</f>
        <v/>
      </c>
    </row>
    <row r="1080">
      <c r="B1080" s="30" t="n"/>
      <c r="G1080" s="9">
        <f>IF(AND(E1080&lt;&gt;"",E1080&lt;&gt;0,H1080&lt;&gt;""),H1080/E1080,"")</f>
        <v/>
      </c>
      <c r="L1080">
        <f>IF(B1080="","",IFERROR(VALUE(TEXT(B1080,"[$-1170401]yyyy")),""))</f>
        <v/>
      </c>
      <c r="M1080">
        <f>IF(B1080="","",IFERROR(VALUE(TEXT(B1080,"[$-1170401]mm")),""))</f>
        <v/>
      </c>
    </row>
    <row r="1081">
      <c r="B1081" s="30" t="n"/>
      <c r="G1081" s="9">
        <f>IF(AND(E1081&lt;&gt;"",E1081&lt;&gt;0,H1081&lt;&gt;""),H1081/E1081,"")</f>
        <v/>
      </c>
      <c r="L1081">
        <f>IF(B1081="","",IFERROR(VALUE(TEXT(B1081,"[$-1170401]yyyy")),""))</f>
        <v/>
      </c>
      <c r="M1081">
        <f>IF(B1081="","",IFERROR(VALUE(TEXT(B1081,"[$-1170401]mm")),""))</f>
        <v/>
      </c>
    </row>
    <row r="1082">
      <c r="B1082" s="30" t="n"/>
      <c r="G1082" s="9">
        <f>IF(AND(E1082&lt;&gt;"",E1082&lt;&gt;0,H1082&lt;&gt;""),H1082/E1082,"")</f>
        <v/>
      </c>
      <c r="L1082">
        <f>IF(B1082="","",IFERROR(VALUE(TEXT(B1082,"[$-1170401]yyyy")),""))</f>
        <v/>
      </c>
      <c r="M1082">
        <f>IF(B1082="","",IFERROR(VALUE(TEXT(B1082,"[$-1170401]mm")),""))</f>
        <v/>
      </c>
    </row>
    <row r="1083">
      <c r="B1083" s="30" t="n"/>
      <c r="G1083" s="9">
        <f>IF(AND(E1083&lt;&gt;"",E1083&lt;&gt;0,H1083&lt;&gt;""),H1083/E1083,"")</f>
        <v/>
      </c>
      <c r="L1083">
        <f>IF(B1083="","",IFERROR(VALUE(TEXT(B1083,"[$-1170401]yyyy")),""))</f>
        <v/>
      </c>
      <c r="M1083">
        <f>IF(B1083="","",IFERROR(VALUE(TEXT(B1083,"[$-1170401]mm")),""))</f>
        <v/>
      </c>
    </row>
    <row r="1084">
      <c r="B1084" s="30" t="n"/>
      <c r="G1084" s="9">
        <f>IF(AND(E1084&lt;&gt;"",E1084&lt;&gt;0,H1084&lt;&gt;""),H1084/E1084,"")</f>
        <v/>
      </c>
      <c r="L1084">
        <f>IF(B1084="","",IFERROR(VALUE(TEXT(B1084,"[$-1170401]yyyy")),""))</f>
        <v/>
      </c>
      <c r="M1084">
        <f>IF(B1084="","",IFERROR(VALUE(TEXT(B1084,"[$-1170401]mm")),""))</f>
        <v/>
      </c>
    </row>
    <row r="1085">
      <c r="B1085" s="30" t="n"/>
      <c r="G1085" s="9">
        <f>IF(AND(E1085&lt;&gt;"",E1085&lt;&gt;0,H1085&lt;&gt;""),H1085/E1085,"")</f>
        <v/>
      </c>
      <c r="L1085">
        <f>IF(B1085="","",IFERROR(VALUE(TEXT(B1085,"[$-1170401]yyyy")),""))</f>
        <v/>
      </c>
      <c r="M1085">
        <f>IF(B1085="","",IFERROR(VALUE(TEXT(B1085,"[$-1170401]mm")),""))</f>
        <v/>
      </c>
    </row>
    <row r="1086">
      <c r="B1086" s="30" t="n"/>
      <c r="G1086" s="9">
        <f>IF(AND(E1086&lt;&gt;"",E1086&lt;&gt;0,H1086&lt;&gt;""),H1086/E1086,"")</f>
        <v/>
      </c>
      <c r="L1086">
        <f>IF(B1086="","",IFERROR(VALUE(TEXT(B1086,"[$-1170401]yyyy")),""))</f>
        <v/>
      </c>
      <c r="M1086">
        <f>IF(B1086="","",IFERROR(VALUE(TEXT(B1086,"[$-1170401]mm")),""))</f>
        <v/>
      </c>
    </row>
    <row r="1087">
      <c r="B1087" s="30" t="n"/>
      <c r="G1087" s="9">
        <f>IF(AND(E1087&lt;&gt;"",E1087&lt;&gt;0,H1087&lt;&gt;""),H1087/E1087,"")</f>
        <v/>
      </c>
      <c r="L1087">
        <f>IF(B1087="","",IFERROR(VALUE(TEXT(B1087,"[$-1170401]yyyy")),""))</f>
        <v/>
      </c>
      <c r="M1087">
        <f>IF(B1087="","",IFERROR(VALUE(TEXT(B1087,"[$-1170401]mm")),""))</f>
        <v/>
      </c>
    </row>
    <row r="1088">
      <c r="B1088" s="30" t="n"/>
      <c r="G1088" s="9">
        <f>IF(AND(E1088&lt;&gt;"",E1088&lt;&gt;0,H1088&lt;&gt;""),H1088/E1088,"")</f>
        <v/>
      </c>
      <c r="L1088">
        <f>IF(B1088="","",IFERROR(VALUE(TEXT(B1088,"[$-1170401]yyyy")),""))</f>
        <v/>
      </c>
      <c r="M1088">
        <f>IF(B1088="","",IFERROR(VALUE(TEXT(B1088,"[$-1170401]mm")),""))</f>
        <v/>
      </c>
    </row>
    <row r="1089">
      <c r="B1089" s="30" t="n"/>
      <c r="G1089" s="9">
        <f>IF(AND(E1089&lt;&gt;"",E1089&lt;&gt;0,H1089&lt;&gt;""),H1089/E1089,"")</f>
        <v/>
      </c>
      <c r="L1089">
        <f>IF(B1089="","",IFERROR(VALUE(TEXT(B1089,"[$-1170401]yyyy")),""))</f>
        <v/>
      </c>
      <c r="M1089">
        <f>IF(B1089="","",IFERROR(VALUE(TEXT(B1089,"[$-1170401]mm")),""))</f>
        <v/>
      </c>
    </row>
    <row r="1090">
      <c r="B1090" s="30" t="n"/>
      <c r="G1090" s="9">
        <f>IF(AND(E1090&lt;&gt;"",E1090&lt;&gt;0,H1090&lt;&gt;""),H1090/E1090,"")</f>
        <v/>
      </c>
      <c r="L1090">
        <f>IF(B1090="","",IFERROR(VALUE(TEXT(B1090,"[$-1170401]yyyy")),""))</f>
        <v/>
      </c>
      <c r="M1090">
        <f>IF(B1090="","",IFERROR(VALUE(TEXT(B1090,"[$-1170401]mm")),""))</f>
        <v/>
      </c>
    </row>
    <row r="1091">
      <c r="B1091" s="30" t="n"/>
      <c r="G1091" s="9">
        <f>IF(AND(E1091&lt;&gt;"",E1091&lt;&gt;0,H1091&lt;&gt;""),H1091/E1091,"")</f>
        <v/>
      </c>
      <c r="L1091">
        <f>IF(B1091="","",IFERROR(VALUE(TEXT(B1091,"[$-1170401]yyyy")),""))</f>
        <v/>
      </c>
      <c r="M1091">
        <f>IF(B1091="","",IFERROR(VALUE(TEXT(B1091,"[$-1170401]mm")),""))</f>
        <v/>
      </c>
    </row>
    <row r="1092">
      <c r="B1092" s="30" t="n"/>
      <c r="G1092" s="9">
        <f>IF(AND(E1092&lt;&gt;"",E1092&lt;&gt;0,H1092&lt;&gt;""),H1092/E1092,"")</f>
        <v/>
      </c>
      <c r="L1092">
        <f>IF(B1092="","",IFERROR(VALUE(TEXT(B1092,"[$-1170401]yyyy")),""))</f>
        <v/>
      </c>
      <c r="M1092">
        <f>IF(B1092="","",IFERROR(VALUE(TEXT(B1092,"[$-1170401]mm")),""))</f>
        <v/>
      </c>
    </row>
    <row r="1093">
      <c r="B1093" s="30" t="n"/>
      <c r="G1093" s="9">
        <f>IF(AND(E1093&lt;&gt;"",E1093&lt;&gt;0,H1093&lt;&gt;""),H1093/E1093,"")</f>
        <v/>
      </c>
      <c r="L1093">
        <f>IF(B1093="","",IFERROR(VALUE(TEXT(B1093,"[$-1170401]yyyy")),""))</f>
        <v/>
      </c>
      <c r="M1093">
        <f>IF(B1093="","",IFERROR(VALUE(TEXT(B1093,"[$-1170401]mm")),""))</f>
        <v/>
      </c>
    </row>
    <row r="1094">
      <c r="B1094" s="30" t="n"/>
      <c r="G1094" s="9">
        <f>IF(AND(E1094&lt;&gt;"",E1094&lt;&gt;0,H1094&lt;&gt;""),H1094/E1094,"")</f>
        <v/>
      </c>
      <c r="L1094">
        <f>IF(B1094="","",IFERROR(VALUE(TEXT(B1094,"[$-1170401]yyyy")),""))</f>
        <v/>
      </c>
      <c r="M1094">
        <f>IF(B1094="","",IFERROR(VALUE(TEXT(B1094,"[$-1170401]mm")),""))</f>
        <v/>
      </c>
    </row>
    <row r="1095">
      <c r="B1095" s="30" t="n"/>
      <c r="G1095" s="9">
        <f>IF(AND(E1095&lt;&gt;"",E1095&lt;&gt;0,H1095&lt;&gt;""),H1095/E1095,"")</f>
        <v/>
      </c>
      <c r="L1095">
        <f>IF(B1095="","",IFERROR(VALUE(TEXT(B1095,"[$-1170401]yyyy")),""))</f>
        <v/>
      </c>
      <c r="M1095">
        <f>IF(B1095="","",IFERROR(VALUE(TEXT(B1095,"[$-1170401]mm")),""))</f>
        <v/>
      </c>
    </row>
    <row r="1096">
      <c r="B1096" s="30" t="n"/>
      <c r="G1096" s="9">
        <f>IF(AND(E1096&lt;&gt;"",E1096&lt;&gt;0,H1096&lt;&gt;""),H1096/E1096,"")</f>
        <v/>
      </c>
      <c r="L1096">
        <f>IF(B1096="","",IFERROR(VALUE(TEXT(B1096,"[$-1170401]yyyy")),""))</f>
        <v/>
      </c>
      <c r="M1096">
        <f>IF(B1096="","",IFERROR(VALUE(TEXT(B1096,"[$-1170401]mm")),""))</f>
        <v/>
      </c>
    </row>
    <row r="1097">
      <c r="B1097" s="30" t="n"/>
      <c r="G1097" s="9">
        <f>IF(AND(E1097&lt;&gt;"",E1097&lt;&gt;0,H1097&lt;&gt;""),H1097/E1097,"")</f>
        <v/>
      </c>
      <c r="L1097">
        <f>IF(B1097="","",IFERROR(VALUE(TEXT(B1097,"[$-1170401]yyyy")),""))</f>
        <v/>
      </c>
      <c r="M1097">
        <f>IF(B1097="","",IFERROR(VALUE(TEXT(B1097,"[$-1170401]mm")),""))</f>
        <v/>
      </c>
    </row>
    <row r="1098">
      <c r="B1098" s="30" t="n"/>
      <c r="G1098" s="9">
        <f>IF(AND(E1098&lt;&gt;"",E1098&lt;&gt;0,H1098&lt;&gt;""),H1098/E1098,"")</f>
        <v/>
      </c>
      <c r="L1098">
        <f>IF(B1098="","",IFERROR(VALUE(TEXT(B1098,"[$-1170401]yyyy")),""))</f>
        <v/>
      </c>
      <c r="M1098">
        <f>IF(B1098="","",IFERROR(VALUE(TEXT(B1098,"[$-1170401]mm")),""))</f>
        <v/>
      </c>
    </row>
    <row r="1099">
      <c r="B1099" s="30" t="n"/>
      <c r="G1099" s="9">
        <f>IF(AND(E1099&lt;&gt;"",E1099&lt;&gt;0,H1099&lt;&gt;""),H1099/E1099,"")</f>
        <v/>
      </c>
      <c r="L1099">
        <f>IF(B1099="","",IFERROR(VALUE(TEXT(B1099,"[$-1170401]yyyy")),""))</f>
        <v/>
      </c>
      <c r="M1099">
        <f>IF(B1099="","",IFERROR(VALUE(TEXT(B1099,"[$-1170401]mm")),""))</f>
        <v/>
      </c>
    </row>
    <row r="1100">
      <c r="B1100" s="30" t="n"/>
      <c r="G1100" s="9">
        <f>IF(AND(E1100&lt;&gt;"",E1100&lt;&gt;0,H1100&lt;&gt;""),H1100/E1100,"")</f>
        <v/>
      </c>
      <c r="L1100">
        <f>IF(B1100="","",IFERROR(VALUE(TEXT(B1100,"[$-1170401]yyyy")),""))</f>
        <v/>
      </c>
      <c r="M1100">
        <f>IF(B1100="","",IFERROR(VALUE(TEXT(B1100,"[$-1170401]mm")),""))</f>
        <v/>
      </c>
    </row>
    <row r="1101">
      <c r="B1101" s="30" t="n"/>
      <c r="G1101" s="9">
        <f>IF(AND(E1101&lt;&gt;"",E1101&lt;&gt;0,H1101&lt;&gt;""),H1101/E1101,"")</f>
        <v/>
      </c>
      <c r="L1101">
        <f>IF(B1101="","",IFERROR(VALUE(TEXT(B1101,"[$-1170401]yyyy")),""))</f>
        <v/>
      </c>
      <c r="M1101">
        <f>IF(B1101="","",IFERROR(VALUE(TEXT(B1101,"[$-1170401]mm")),""))</f>
        <v/>
      </c>
    </row>
    <row r="1102">
      <c r="B1102" s="30" t="n"/>
      <c r="G1102" s="9">
        <f>IF(AND(E1102&lt;&gt;"",E1102&lt;&gt;0,H1102&lt;&gt;""),H1102/E1102,"")</f>
        <v/>
      </c>
      <c r="L1102">
        <f>IF(B1102="","",IFERROR(VALUE(TEXT(B1102,"[$-1170401]yyyy")),""))</f>
        <v/>
      </c>
      <c r="M1102">
        <f>IF(B1102="","",IFERROR(VALUE(TEXT(B1102,"[$-1170401]mm")),""))</f>
        <v/>
      </c>
    </row>
    <row r="1103">
      <c r="B1103" s="30" t="n"/>
      <c r="G1103" s="9">
        <f>IF(AND(E1103&lt;&gt;"",E1103&lt;&gt;0,H1103&lt;&gt;""),H1103/E1103,"")</f>
        <v/>
      </c>
      <c r="L1103">
        <f>IF(B1103="","",IFERROR(VALUE(TEXT(B1103,"[$-1170401]yyyy")),""))</f>
        <v/>
      </c>
      <c r="M1103">
        <f>IF(B1103="","",IFERROR(VALUE(TEXT(B1103,"[$-1170401]mm")),""))</f>
        <v/>
      </c>
    </row>
    <row r="1104">
      <c r="B1104" s="30" t="n"/>
      <c r="G1104" s="9">
        <f>IF(AND(E1104&lt;&gt;"",E1104&lt;&gt;0,H1104&lt;&gt;""),H1104/E1104,"")</f>
        <v/>
      </c>
      <c r="L1104">
        <f>IF(B1104="","",IFERROR(VALUE(TEXT(B1104,"[$-1170401]yyyy")),""))</f>
        <v/>
      </c>
      <c r="M1104">
        <f>IF(B1104="","",IFERROR(VALUE(TEXT(B1104,"[$-1170401]mm")),""))</f>
        <v/>
      </c>
    </row>
    <row r="1105">
      <c r="B1105" s="30" t="n"/>
      <c r="G1105" s="9">
        <f>IF(AND(E1105&lt;&gt;"",E1105&lt;&gt;0,H1105&lt;&gt;""),H1105/E1105,"")</f>
        <v/>
      </c>
      <c r="L1105">
        <f>IF(B1105="","",IFERROR(VALUE(TEXT(B1105,"[$-1170401]yyyy")),""))</f>
        <v/>
      </c>
      <c r="M1105">
        <f>IF(B1105="","",IFERROR(VALUE(TEXT(B1105,"[$-1170401]mm")),""))</f>
        <v/>
      </c>
    </row>
    <row r="1106">
      <c r="B1106" s="30" t="n"/>
      <c r="G1106" s="9">
        <f>IF(AND(E1106&lt;&gt;"",E1106&lt;&gt;0,H1106&lt;&gt;""),H1106/E1106,"")</f>
        <v/>
      </c>
      <c r="L1106">
        <f>IF(B1106="","",IFERROR(VALUE(TEXT(B1106,"[$-1170401]yyyy")),""))</f>
        <v/>
      </c>
      <c r="M1106">
        <f>IF(B1106="","",IFERROR(VALUE(TEXT(B1106,"[$-1170401]mm")),""))</f>
        <v/>
      </c>
    </row>
    <row r="1107">
      <c r="B1107" s="30" t="n"/>
      <c r="G1107" s="9">
        <f>IF(AND(E1107&lt;&gt;"",E1107&lt;&gt;0,H1107&lt;&gt;""),H1107/E1107,"")</f>
        <v/>
      </c>
      <c r="L1107">
        <f>IF(B1107="","",IFERROR(VALUE(TEXT(B1107,"[$-1170401]yyyy")),""))</f>
        <v/>
      </c>
      <c r="M1107">
        <f>IF(B1107="","",IFERROR(VALUE(TEXT(B1107,"[$-1170401]mm")),""))</f>
        <v/>
      </c>
    </row>
    <row r="1108">
      <c r="B1108" s="30" t="n"/>
      <c r="G1108" s="9">
        <f>IF(AND(E1108&lt;&gt;"",E1108&lt;&gt;0,H1108&lt;&gt;""),H1108/E1108,"")</f>
        <v/>
      </c>
      <c r="L1108">
        <f>IF(B1108="","",IFERROR(VALUE(TEXT(B1108,"[$-1170401]yyyy")),""))</f>
        <v/>
      </c>
      <c r="M1108">
        <f>IF(B1108="","",IFERROR(VALUE(TEXT(B1108,"[$-1170401]mm")),""))</f>
        <v/>
      </c>
    </row>
    <row r="1109">
      <c r="B1109" s="30" t="n"/>
      <c r="G1109" s="9">
        <f>IF(AND(E1109&lt;&gt;"",E1109&lt;&gt;0,H1109&lt;&gt;""),H1109/E1109,"")</f>
        <v/>
      </c>
      <c r="L1109">
        <f>IF(B1109="","",IFERROR(VALUE(TEXT(B1109,"[$-1170401]yyyy")),""))</f>
        <v/>
      </c>
      <c r="M1109">
        <f>IF(B1109="","",IFERROR(VALUE(TEXT(B1109,"[$-1170401]mm")),""))</f>
        <v/>
      </c>
    </row>
    <row r="1110">
      <c r="B1110" s="30" t="n"/>
      <c r="G1110" s="9">
        <f>IF(AND(E1110&lt;&gt;"",E1110&lt;&gt;0,H1110&lt;&gt;""),H1110/E1110,"")</f>
        <v/>
      </c>
      <c r="L1110">
        <f>IF(B1110="","",IFERROR(VALUE(TEXT(B1110,"[$-1170401]yyyy")),""))</f>
        <v/>
      </c>
      <c r="M1110">
        <f>IF(B1110="","",IFERROR(VALUE(TEXT(B1110,"[$-1170401]mm")),""))</f>
        <v/>
      </c>
    </row>
    <row r="1111">
      <c r="B1111" s="30" t="n"/>
      <c r="G1111" s="9">
        <f>IF(AND(E1111&lt;&gt;"",E1111&lt;&gt;0,H1111&lt;&gt;""),H1111/E1111,"")</f>
        <v/>
      </c>
      <c r="L1111">
        <f>IF(B1111="","",IFERROR(VALUE(TEXT(B1111,"[$-1170401]yyyy")),""))</f>
        <v/>
      </c>
      <c r="M1111">
        <f>IF(B1111="","",IFERROR(VALUE(TEXT(B1111,"[$-1170401]mm")),""))</f>
        <v/>
      </c>
    </row>
    <row r="1112">
      <c r="B1112" s="30" t="n"/>
      <c r="G1112" s="9">
        <f>IF(AND(E1112&lt;&gt;"",E1112&lt;&gt;0,H1112&lt;&gt;""),H1112/E1112,"")</f>
        <v/>
      </c>
      <c r="L1112">
        <f>IF(B1112="","",IFERROR(VALUE(TEXT(B1112,"[$-1170401]yyyy")),""))</f>
        <v/>
      </c>
      <c r="M1112">
        <f>IF(B1112="","",IFERROR(VALUE(TEXT(B1112,"[$-1170401]mm")),""))</f>
        <v/>
      </c>
    </row>
    <row r="1113">
      <c r="B1113" s="30" t="n"/>
      <c r="G1113" s="9">
        <f>IF(AND(E1113&lt;&gt;"",E1113&lt;&gt;0,H1113&lt;&gt;""),H1113/E1113,"")</f>
        <v/>
      </c>
      <c r="L1113">
        <f>IF(B1113="","",IFERROR(VALUE(TEXT(B1113,"[$-1170401]yyyy")),""))</f>
        <v/>
      </c>
      <c r="M1113">
        <f>IF(B1113="","",IFERROR(VALUE(TEXT(B1113,"[$-1170401]mm")),""))</f>
        <v/>
      </c>
    </row>
    <row r="1114">
      <c r="B1114" s="30" t="n"/>
      <c r="G1114" s="9">
        <f>IF(AND(E1114&lt;&gt;"",E1114&lt;&gt;0,H1114&lt;&gt;""),H1114/E1114,"")</f>
        <v/>
      </c>
      <c r="L1114">
        <f>IF(B1114="","",IFERROR(VALUE(TEXT(B1114,"[$-1170401]yyyy")),""))</f>
        <v/>
      </c>
      <c r="M1114">
        <f>IF(B1114="","",IFERROR(VALUE(TEXT(B1114,"[$-1170401]mm")),""))</f>
        <v/>
      </c>
    </row>
    <row r="1115">
      <c r="B1115" s="30" t="n"/>
      <c r="G1115" s="9">
        <f>IF(AND(E1115&lt;&gt;"",E1115&lt;&gt;0,H1115&lt;&gt;""),H1115/E1115,"")</f>
        <v/>
      </c>
      <c r="L1115">
        <f>IF(B1115="","",IFERROR(VALUE(TEXT(B1115,"[$-1170401]yyyy")),""))</f>
        <v/>
      </c>
      <c r="M1115">
        <f>IF(B1115="","",IFERROR(VALUE(TEXT(B1115,"[$-1170401]mm")),""))</f>
        <v/>
      </c>
    </row>
    <row r="1116">
      <c r="B1116" s="30" t="n"/>
      <c r="G1116" s="9">
        <f>IF(AND(E1116&lt;&gt;"",E1116&lt;&gt;0,H1116&lt;&gt;""),H1116/E1116,"")</f>
        <v/>
      </c>
      <c r="L1116">
        <f>IF(B1116="","",IFERROR(VALUE(TEXT(B1116,"[$-1170401]yyyy")),""))</f>
        <v/>
      </c>
      <c r="M1116">
        <f>IF(B1116="","",IFERROR(VALUE(TEXT(B1116,"[$-1170401]mm")),""))</f>
        <v/>
      </c>
    </row>
    <row r="1117">
      <c r="B1117" s="30" t="n"/>
      <c r="G1117" s="9">
        <f>IF(AND(E1117&lt;&gt;"",E1117&lt;&gt;0,H1117&lt;&gt;""),H1117/E1117,"")</f>
        <v/>
      </c>
      <c r="L1117">
        <f>IF(B1117="","",IFERROR(VALUE(TEXT(B1117,"[$-1170401]yyyy")),""))</f>
        <v/>
      </c>
      <c r="M1117">
        <f>IF(B1117="","",IFERROR(VALUE(TEXT(B1117,"[$-1170401]mm")),""))</f>
        <v/>
      </c>
    </row>
    <row r="1118">
      <c r="B1118" s="30" t="n"/>
      <c r="G1118" s="9">
        <f>IF(AND(E1118&lt;&gt;"",E1118&lt;&gt;0,H1118&lt;&gt;""),H1118/E1118,"")</f>
        <v/>
      </c>
      <c r="L1118">
        <f>IF(B1118="","",IFERROR(VALUE(TEXT(B1118,"[$-1170401]yyyy")),""))</f>
        <v/>
      </c>
      <c r="M1118">
        <f>IF(B1118="","",IFERROR(VALUE(TEXT(B1118,"[$-1170401]mm")),""))</f>
        <v/>
      </c>
    </row>
    <row r="1119">
      <c r="B1119" s="30" t="n"/>
      <c r="G1119" s="9">
        <f>IF(AND(E1119&lt;&gt;"",E1119&lt;&gt;0,H1119&lt;&gt;""),H1119/E1119,"")</f>
        <v/>
      </c>
      <c r="L1119">
        <f>IF(B1119="","",IFERROR(VALUE(TEXT(B1119,"[$-1170401]yyyy")),""))</f>
        <v/>
      </c>
      <c r="M1119">
        <f>IF(B1119="","",IFERROR(VALUE(TEXT(B1119,"[$-1170401]mm")),""))</f>
        <v/>
      </c>
    </row>
    <row r="1120">
      <c r="B1120" s="30" t="n"/>
      <c r="G1120" s="9">
        <f>IF(AND(E1120&lt;&gt;"",E1120&lt;&gt;0,H1120&lt;&gt;""),H1120/E1120,"")</f>
        <v/>
      </c>
      <c r="L1120">
        <f>IF(B1120="","",IFERROR(VALUE(TEXT(B1120,"[$-1170401]yyyy")),""))</f>
        <v/>
      </c>
      <c r="M1120">
        <f>IF(B1120="","",IFERROR(VALUE(TEXT(B1120,"[$-1170401]mm")),""))</f>
        <v/>
      </c>
    </row>
    <row r="1121">
      <c r="B1121" s="30" t="n"/>
      <c r="G1121" s="9">
        <f>IF(AND(E1121&lt;&gt;"",E1121&lt;&gt;0,H1121&lt;&gt;""),H1121/E1121,"")</f>
        <v/>
      </c>
      <c r="L1121">
        <f>IF(B1121="","",IFERROR(VALUE(TEXT(B1121,"[$-1170401]yyyy")),""))</f>
        <v/>
      </c>
      <c r="M1121">
        <f>IF(B1121="","",IFERROR(VALUE(TEXT(B1121,"[$-1170401]mm")),""))</f>
        <v/>
      </c>
    </row>
    <row r="1122">
      <c r="B1122" s="30" t="n"/>
      <c r="G1122" s="9">
        <f>IF(AND(E1122&lt;&gt;"",E1122&lt;&gt;0,H1122&lt;&gt;""),H1122/E1122,"")</f>
        <v/>
      </c>
      <c r="L1122">
        <f>IF(B1122="","",IFERROR(VALUE(TEXT(B1122,"[$-1170401]yyyy")),""))</f>
        <v/>
      </c>
      <c r="M1122">
        <f>IF(B1122="","",IFERROR(VALUE(TEXT(B1122,"[$-1170401]mm")),""))</f>
        <v/>
      </c>
    </row>
    <row r="1123">
      <c r="B1123" s="30" t="n"/>
      <c r="G1123" s="9">
        <f>IF(AND(E1123&lt;&gt;"",E1123&lt;&gt;0,H1123&lt;&gt;""),H1123/E1123,"")</f>
        <v/>
      </c>
      <c r="L1123">
        <f>IF(B1123="","",IFERROR(VALUE(TEXT(B1123,"[$-1170401]yyyy")),""))</f>
        <v/>
      </c>
      <c r="M1123">
        <f>IF(B1123="","",IFERROR(VALUE(TEXT(B1123,"[$-1170401]mm")),""))</f>
        <v/>
      </c>
    </row>
    <row r="1124">
      <c r="B1124" s="30" t="n"/>
      <c r="G1124" s="9">
        <f>IF(AND(E1124&lt;&gt;"",E1124&lt;&gt;0,H1124&lt;&gt;""),H1124/E1124,"")</f>
        <v/>
      </c>
      <c r="L1124">
        <f>IF(B1124="","",IFERROR(VALUE(TEXT(B1124,"[$-1170401]yyyy")),""))</f>
        <v/>
      </c>
      <c r="M1124">
        <f>IF(B1124="","",IFERROR(VALUE(TEXT(B1124,"[$-1170401]mm")),""))</f>
        <v/>
      </c>
    </row>
    <row r="1125">
      <c r="B1125" s="30" t="n"/>
      <c r="G1125" s="9">
        <f>IF(AND(E1125&lt;&gt;"",E1125&lt;&gt;0,H1125&lt;&gt;""),H1125/E1125,"")</f>
        <v/>
      </c>
      <c r="L1125">
        <f>IF(B1125="","",IFERROR(VALUE(TEXT(B1125,"[$-1170401]yyyy")),""))</f>
        <v/>
      </c>
      <c r="M1125">
        <f>IF(B1125="","",IFERROR(VALUE(TEXT(B1125,"[$-1170401]mm")),""))</f>
        <v/>
      </c>
    </row>
    <row r="1126">
      <c r="B1126" s="30" t="n"/>
      <c r="G1126" s="9">
        <f>IF(AND(E1126&lt;&gt;"",E1126&lt;&gt;0,H1126&lt;&gt;""),H1126/E1126,"")</f>
        <v/>
      </c>
      <c r="L1126">
        <f>IF(B1126="","",IFERROR(VALUE(TEXT(B1126,"[$-1170401]yyyy")),""))</f>
        <v/>
      </c>
      <c r="M1126">
        <f>IF(B1126="","",IFERROR(VALUE(TEXT(B1126,"[$-1170401]mm")),""))</f>
        <v/>
      </c>
    </row>
    <row r="1127">
      <c r="B1127" s="30" t="n"/>
      <c r="G1127" s="9">
        <f>IF(AND(E1127&lt;&gt;"",E1127&lt;&gt;0,H1127&lt;&gt;""),H1127/E1127,"")</f>
        <v/>
      </c>
      <c r="L1127">
        <f>IF(B1127="","",IFERROR(VALUE(TEXT(B1127,"[$-1170401]yyyy")),""))</f>
        <v/>
      </c>
      <c r="M1127">
        <f>IF(B1127="","",IFERROR(VALUE(TEXT(B1127,"[$-1170401]mm")),""))</f>
        <v/>
      </c>
    </row>
    <row r="1128">
      <c r="B1128" s="30" t="n"/>
      <c r="G1128" s="9">
        <f>IF(AND(E1128&lt;&gt;"",E1128&lt;&gt;0,H1128&lt;&gt;""),H1128/E1128,"")</f>
        <v/>
      </c>
      <c r="L1128">
        <f>IF(B1128="","",IFERROR(VALUE(TEXT(B1128,"[$-1170401]yyyy")),""))</f>
        <v/>
      </c>
      <c r="M1128">
        <f>IF(B1128="","",IFERROR(VALUE(TEXT(B1128,"[$-1170401]mm")),""))</f>
        <v/>
      </c>
    </row>
    <row r="1129">
      <c r="B1129" s="30" t="n"/>
      <c r="G1129" s="9">
        <f>IF(AND(E1129&lt;&gt;"",E1129&lt;&gt;0,H1129&lt;&gt;""),H1129/E1129,"")</f>
        <v/>
      </c>
      <c r="L1129">
        <f>IF(B1129="","",IFERROR(VALUE(TEXT(B1129,"[$-1170401]yyyy")),""))</f>
        <v/>
      </c>
      <c r="M1129">
        <f>IF(B1129="","",IFERROR(VALUE(TEXT(B1129,"[$-1170401]mm")),""))</f>
        <v/>
      </c>
    </row>
    <row r="1130">
      <c r="B1130" s="30" t="n"/>
      <c r="G1130" s="9">
        <f>IF(AND(E1130&lt;&gt;"",E1130&lt;&gt;0,H1130&lt;&gt;""),H1130/E1130,"")</f>
        <v/>
      </c>
      <c r="L1130">
        <f>IF(B1130="","",IFERROR(VALUE(TEXT(B1130,"[$-1170401]yyyy")),""))</f>
        <v/>
      </c>
      <c r="M1130">
        <f>IF(B1130="","",IFERROR(VALUE(TEXT(B1130,"[$-1170401]mm")),""))</f>
        <v/>
      </c>
    </row>
    <row r="1131">
      <c r="B1131" s="30" t="n"/>
      <c r="G1131" s="9">
        <f>IF(AND(E1131&lt;&gt;"",E1131&lt;&gt;0,H1131&lt;&gt;""),H1131/E1131,"")</f>
        <v/>
      </c>
      <c r="L1131">
        <f>IF(B1131="","",IFERROR(VALUE(TEXT(B1131,"[$-1170401]yyyy")),""))</f>
        <v/>
      </c>
      <c r="M1131">
        <f>IF(B1131="","",IFERROR(VALUE(TEXT(B1131,"[$-1170401]mm")),""))</f>
        <v/>
      </c>
    </row>
    <row r="1132">
      <c r="B1132" s="30" t="n"/>
      <c r="G1132" s="9">
        <f>IF(AND(E1132&lt;&gt;"",E1132&lt;&gt;0,H1132&lt;&gt;""),H1132/E1132,"")</f>
        <v/>
      </c>
      <c r="L1132">
        <f>IF(B1132="","",IFERROR(VALUE(TEXT(B1132,"[$-1170401]yyyy")),""))</f>
        <v/>
      </c>
      <c r="M1132">
        <f>IF(B1132="","",IFERROR(VALUE(TEXT(B1132,"[$-1170401]mm")),""))</f>
        <v/>
      </c>
    </row>
    <row r="1133">
      <c r="B1133" s="30" t="n"/>
      <c r="G1133" s="9">
        <f>IF(AND(E1133&lt;&gt;"",E1133&lt;&gt;0,H1133&lt;&gt;""),H1133/E1133,"")</f>
        <v/>
      </c>
      <c r="L1133">
        <f>IF(B1133="","",IFERROR(VALUE(TEXT(B1133,"[$-1170401]yyyy")),""))</f>
        <v/>
      </c>
      <c r="M1133">
        <f>IF(B1133="","",IFERROR(VALUE(TEXT(B1133,"[$-1170401]mm")),""))</f>
        <v/>
      </c>
    </row>
    <row r="1134">
      <c r="B1134" s="30" t="n"/>
      <c r="G1134" s="9">
        <f>IF(AND(E1134&lt;&gt;"",E1134&lt;&gt;0,H1134&lt;&gt;""),H1134/E1134,"")</f>
        <v/>
      </c>
      <c r="L1134">
        <f>IF(B1134="","",IFERROR(VALUE(TEXT(B1134,"[$-1170401]yyyy")),""))</f>
        <v/>
      </c>
      <c r="M1134">
        <f>IF(B1134="","",IFERROR(VALUE(TEXT(B1134,"[$-1170401]mm")),""))</f>
        <v/>
      </c>
    </row>
    <row r="1135">
      <c r="B1135" s="30" t="n"/>
      <c r="G1135" s="9">
        <f>IF(AND(E1135&lt;&gt;"",E1135&lt;&gt;0,H1135&lt;&gt;""),H1135/E1135,"")</f>
        <v/>
      </c>
      <c r="L1135">
        <f>IF(B1135="","",IFERROR(VALUE(TEXT(B1135,"[$-1170401]yyyy")),""))</f>
        <v/>
      </c>
      <c r="M1135">
        <f>IF(B1135="","",IFERROR(VALUE(TEXT(B1135,"[$-1170401]mm")),""))</f>
        <v/>
      </c>
    </row>
    <row r="1136">
      <c r="B1136" s="30" t="n"/>
      <c r="G1136" s="9">
        <f>IF(AND(E1136&lt;&gt;"",E1136&lt;&gt;0,H1136&lt;&gt;""),H1136/E1136,"")</f>
        <v/>
      </c>
      <c r="L1136">
        <f>IF(B1136="","",IFERROR(VALUE(TEXT(B1136,"[$-1170401]yyyy")),""))</f>
        <v/>
      </c>
      <c r="M1136">
        <f>IF(B1136="","",IFERROR(VALUE(TEXT(B1136,"[$-1170401]mm")),""))</f>
        <v/>
      </c>
    </row>
    <row r="1137">
      <c r="B1137" s="30" t="n"/>
      <c r="G1137" s="9">
        <f>IF(AND(E1137&lt;&gt;"",E1137&lt;&gt;0,H1137&lt;&gt;""),H1137/E1137,"")</f>
        <v/>
      </c>
      <c r="L1137">
        <f>IF(B1137="","",IFERROR(VALUE(TEXT(B1137,"[$-1170401]yyyy")),""))</f>
        <v/>
      </c>
      <c r="M1137">
        <f>IF(B1137="","",IFERROR(VALUE(TEXT(B1137,"[$-1170401]mm")),""))</f>
        <v/>
      </c>
    </row>
    <row r="1138">
      <c r="B1138" s="30" t="n"/>
      <c r="G1138" s="9">
        <f>IF(AND(E1138&lt;&gt;"",E1138&lt;&gt;0,H1138&lt;&gt;""),H1138/E1138,"")</f>
        <v/>
      </c>
      <c r="L1138">
        <f>IF(B1138="","",IFERROR(VALUE(TEXT(B1138,"[$-1170401]yyyy")),""))</f>
        <v/>
      </c>
      <c r="M1138">
        <f>IF(B1138="","",IFERROR(VALUE(TEXT(B1138,"[$-1170401]mm")),""))</f>
        <v/>
      </c>
    </row>
    <row r="1139">
      <c r="B1139" s="30" t="n"/>
      <c r="G1139" s="9">
        <f>IF(AND(E1139&lt;&gt;"",E1139&lt;&gt;0,H1139&lt;&gt;""),H1139/E1139,"")</f>
        <v/>
      </c>
      <c r="L1139">
        <f>IF(B1139="","",IFERROR(VALUE(TEXT(B1139,"[$-1170401]yyyy")),""))</f>
        <v/>
      </c>
      <c r="M1139">
        <f>IF(B1139="","",IFERROR(VALUE(TEXT(B1139,"[$-1170401]mm")),""))</f>
        <v/>
      </c>
    </row>
    <row r="1140">
      <c r="B1140" s="30" t="n"/>
      <c r="G1140" s="9">
        <f>IF(AND(E1140&lt;&gt;"",E1140&lt;&gt;0,H1140&lt;&gt;""),H1140/E1140,"")</f>
        <v/>
      </c>
      <c r="L1140">
        <f>IF(B1140="","",IFERROR(VALUE(TEXT(B1140,"[$-1170401]yyyy")),""))</f>
        <v/>
      </c>
      <c r="M1140">
        <f>IF(B1140="","",IFERROR(VALUE(TEXT(B1140,"[$-1170401]mm")),""))</f>
        <v/>
      </c>
    </row>
    <row r="1141">
      <c r="B1141" s="30" t="n"/>
      <c r="G1141" s="9">
        <f>IF(AND(E1141&lt;&gt;"",E1141&lt;&gt;0,H1141&lt;&gt;""),H1141/E1141,"")</f>
        <v/>
      </c>
      <c r="L1141">
        <f>IF(B1141="","",IFERROR(VALUE(TEXT(B1141,"[$-1170401]yyyy")),""))</f>
        <v/>
      </c>
      <c r="M1141">
        <f>IF(B1141="","",IFERROR(VALUE(TEXT(B1141,"[$-1170401]mm")),""))</f>
        <v/>
      </c>
    </row>
    <row r="1142">
      <c r="B1142" s="30" t="n"/>
      <c r="G1142" s="9">
        <f>IF(AND(E1142&lt;&gt;"",E1142&lt;&gt;0,H1142&lt;&gt;""),H1142/E1142,"")</f>
        <v/>
      </c>
      <c r="L1142">
        <f>IF(B1142="","",IFERROR(VALUE(TEXT(B1142,"[$-1170401]yyyy")),""))</f>
        <v/>
      </c>
      <c r="M1142">
        <f>IF(B1142="","",IFERROR(VALUE(TEXT(B1142,"[$-1170401]mm")),""))</f>
        <v/>
      </c>
    </row>
    <row r="1143">
      <c r="B1143" s="30" t="n"/>
      <c r="G1143" s="9">
        <f>IF(AND(E1143&lt;&gt;"",E1143&lt;&gt;0,H1143&lt;&gt;""),H1143/E1143,"")</f>
        <v/>
      </c>
      <c r="L1143">
        <f>IF(B1143="","",IFERROR(VALUE(TEXT(B1143,"[$-1170401]yyyy")),""))</f>
        <v/>
      </c>
      <c r="M1143">
        <f>IF(B1143="","",IFERROR(VALUE(TEXT(B1143,"[$-1170401]mm")),""))</f>
        <v/>
      </c>
    </row>
    <row r="1144">
      <c r="B1144" s="30" t="n"/>
      <c r="G1144" s="9">
        <f>IF(AND(E1144&lt;&gt;"",E1144&lt;&gt;0,H1144&lt;&gt;""),H1144/E1144,"")</f>
        <v/>
      </c>
      <c r="L1144">
        <f>IF(B1144="","",IFERROR(VALUE(TEXT(B1144,"[$-1170401]yyyy")),""))</f>
        <v/>
      </c>
      <c r="M1144">
        <f>IF(B1144="","",IFERROR(VALUE(TEXT(B1144,"[$-1170401]mm")),""))</f>
        <v/>
      </c>
    </row>
    <row r="1145">
      <c r="B1145" s="30" t="n"/>
      <c r="G1145" s="9">
        <f>IF(AND(E1145&lt;&gt;"",E1145&lt;&gt;0,H1145&lt;&gt;""),H1145/E1145,"")</f>
        <v/>
      </c>
      <c r="L1145">
        <f>IF(B1145="","",IFERROR(VALUE(TEXT(B1145,"[$-1170401]yyyy")),""))</f>
        <v/>
      </c>
      <c r="M1145">
        <f>IF(B1145="","",IFERROR(VALUE(TEXT(B1145,"[$-1170401]mm")),""))</f>
        <v/>
      </c>
    </row>
    <row r="1146">
      <c r="B1146" s="30" t="n"/>
      <c r="G1146" s="9">
        <f>IF(AND(E1146&lt;&gt;"",E1146&lt;&gt;0,H1146&lt;&gt;""),H1146/E1146,"")</f>
        <v/>
      </c>
      <c r="L1146">
        <f>IF(B1146="","",IFERROR(VALUE(TEXT(B1146,"[$-1170401]yyyy")),""))</f>
        <v/>
      </c>
      <c r="M1146">
        <f>IF(B1146="","",IFERROR(VALUE(TEXT(B1146,"[$-1170401]mm")),""))</f>
        <v/>
      </c>
    </row>
    <row r="1147">
      <c r="B1147" s="30" t="n"/>
      <c r="G1147" s="9">
        <f>IF(AND(E1147&lt;&gt;"",E1147&lt;&gt;0,H1147&lt;&gt;""),H1147/E1147,"")</f>
        <v/>
      </c>
      <c r="L1147">
        <f>IF(B1147="","",IFERROR(VALUE(TEXT(B1147,"[$-1170401]yyyy")),""))</f>
        <v/>
      </c>
      <c r="M1147">
        <f>IF(B1147="","",IFERROR(VALUE(TEXT(B1147,"[$-1170401]mm")),""))</f>
        <v/>
      </c>
    </row>
    <row r="1148">
      <c r="B1148" s="30" t="n"/>
      <c r="G1148" s="9">
        <f>IF(AND(E1148&lt;&gt;"",E1148&lt;&gt;0,H1148&lt;&gt;""),H1148/E1148,"")</f>
        <v/>
      </c>
      <c r="L1148">
        <f>IF(B1148="","",IFERROR(VALUE(TEXT(B1148,"[$-1170401]yyyy")),""))</f>
        <v/>
      </c>
      <c r="M1148">
        <f>IF(B1148="","",IFERROR(VALUE(TEXT(B1148,"[$-1170401]mm")),""))</f>
        <v/>
      </c>
    </row>
    <row r="1149">
      <c r="B1149" s="30" t="n"/>
      <c r="G1149" s="9">
        <f>IF(AND(E1149&lt;&gt;"",E1149&lt;&gt;0,H1149&lt;&gt;""),H1149/E1149,"")</f>
        <v/>
      </c>
      <c r="L1149">
        <f>IF(B1149="","",IFERROR(VALUE(TEXT(B1149,"[$-1170401]yyyy")),""))</f>
        <v/>
      </c>
      <c r="M1149">
        <f>IF(B1149="","",IFERROR(VALUE(TEXT(B1149,"[$-1170401]mm")),""))</f>
        <v/>
      </c>
    </row>
    <row r="1150">
      <c r="B1150" s="30" t="n"/>
      <c r="G1150" s="9">
        <f>IF(AND(E1150&lt;&gt;"",E1150&lt;&gt;0,H1150&lt;&gt;""),H1150/E1150,"")</f>
        <v/>
      </c>
      <c r="L1150">
        <f>IF(B1150="","",IFERROR(VALUE(TEXT(B1150,"[$-1170401]yyyy")),""))</f>
        <v/>
      </c>
      <c r="M1150">
        <f>IF(B1150="","",IFERROR(VALUE(TEXT(B1150,"[$-1170401]mm")),""))</f>
        <v/>
      </c>
    </row>
    <row r="1151">
      <c r="B1151" s="30" t="n"/>
      <c r="G1151" s="9">
        <f>IF(AND(E1151&lt;&gt;"",E1151&lt;&gt;0,H1151&lt;&gt;""),H1151/E1151,"")</f>
        <v/>
      </c>
      <c r="L1151">
        <f>IF(B1151="","",IFERROR(VALUE(TEXT(B1151,"[$-1170401]yyyy")),""))</f>
        <v/>
      </c>
      <c r="M1151">
        <f>IF(B1151="","",IFERROR(VALUE(TEXT(B1151,"[$-1170401]mm")),""))</f>
        <v/>
      </c>
    </row>
    <row r="1152">
      <c r="B1152" s="30" t="n"/>
      <c r="G1152" s="9">
        <f>IF(AND(E1152&lt;&gt;"",E1152&lt;&gt;0,H1152&lt;&gt;""),H1152/E1152,"")</f>
        <v/>
      </c>
      <c r="L1152">
        <f>IF(B1152="","",IFERROR(VALUE(TEXT(B1152,"[$-1170401]yyyy")),""))</f>
        <v/>
      </c>
      <c r="M1152">
        <f>IF(B1152="","",IFERROR(VALUE(TEXT(B1152,"[$-1170401]mm")),""))</f>
        <v/>
      </c>
    </row>
    <row r="1153">
      <c r="B1153" s="30" t="n"/>
      <c r="G1153" s="9">
        <f>IF(AND(E1153&lt;&gt;"",E1153&lt;&gt;0,H1153&lt;&gt;""),H1153/E1153,"")</f>
        <v/>
      </c>
      <c r="L1153">
        <f>IF(B1153="","",IFERROR(VALUE(TEXT(B1153,"[$-1170401]yyyy")),""))</f>
        <v/>
      </c>
      <c r="M1153">
        <f>IF(B1153="","",IFERROR(VALUE(TEXT(B1153,"[$-1170401]mm")),""))</f>
        <v/>
      </c>
    </row>
    <row r="1154">
      <c r="B1154" s="30" t="n"/>
      <c r="G1154" s="9">
        <f>IF(AND(E1154&lt;&gt;"",E1154&lt;&gt;0,H1154&lt;&gt;""),H1154/E1154,"")</f>
        <v/>
      </c>
      <c r="L1154">
        <f>IF(B1154="","",IFERROR(VALUE(TEXT(B1154,"[$-1170401]yyyy")),""))</f>
        <v/>
      </c>
      <c r="M1154">
        <f>IF(B1154="","",IFERROR(VALUE(TEXT(B1154,"[$-1170401]mm")),""))</f>
        <v/>
      </c>
    </row>
    <row r="1155">
      <c r="B1155" s="30" t="n"/>
      <c r="G1155" s="9">
        <f>IF(AND(E1155&lt;&gt;"",E1155&lt;&gt;0,H1155&lt;&gt;""),H1155/E1155,"")</f>
        <v/>
      </c>
      <c r="L1155">
        <f>IF(B1155="","",IFERROR(VALUE(TEXT(B1155,"[$-1170401]yyyy")),""))</f>
        <v/>
      </c>
      <c r="M1155">
        <f>IF(B1155="","",IFERROR(VALUE(TEXT(B1155,"[$-1170401]mm")),""))</f>
        <v/>
      </c>
    </row>
    <row r="1156">
      <c r="B1156" s="30" t="n"/>
      <c r="G1156" s="9">
        <f>IF(AND(E1156&lt;&gt;"",E1156&lt;&gt;0,H1156&lt;&gt;""),H1156/E1156,"")</f>
        <v/>
      </c>
      <c r="L1156">
        <f>IF(B1156="","",IFERROR(VALUE(TEXT(B1156,"[$-1170401]yyyy")),""))</f>
        <v/>
      </c>
      <c r="M1156">
        <f>IF(B1156="","",IFERROR(VALUE(TEXT(B1156,"[$-1170401]mm")),""))</f>
        <v/>
      </c>
    </row>
    <row r="1157">
      <c r="B1157" s="30" t="n"/>
      <c r="G1157" s="9">
        <f>IF(AND(E1157&lt;&gt;"",E1157&lt;&gt;0,H1157&lt;&gt;""),H1157/E1157,"")</f>
        <v/>
      </c>
      <c r="L1157">
        <f>IF(B1157="","",IFERROR(VALUE(TEXT(B1157,"[$-1170401]yyyy")),""))</f>
        <v/>
      </c>
      <c r="M1157">
        <f>IF(B1157="","",IFERROR(VALUE(TEXT(B1157,"[$-1170401]mm")),""))</f>
        <v/>
      </c>
    </row>
    <row r="1158">
      <c r="B1158" s="30" t="n"/>
      <c r="G1158" s="9">
        <f>IF(AND(E1158&lt;&gt;"",E1158&lt;&gt;0,H1158&lt;&gt;""),H1158/E1158,"")</f>
        <v/>
      </c>
      <c r="L1158">
        <f>IF(B1158="","",IFERROR(VALUE(TEXT(B1158,"[$-1170401]yyyy")),""))</f>
        <v/>
      </c>
      <c r="M1158">
        <f>IF(B1158="","",IFERROR(VALUE(TEXT(B1158,"[$-1170401]mm")),""))</f>
        <v/>
      </c>
    </row>
    <row r="1159">
      <c r="B1159" s="30" t="n"/>
      <c r="G1159" s="9">
        <f>IF(AND(E1159&lt;&gt;"",E1159&lt;&gt;0,H1159&lt;&gt;""),H1159/E1159,"")</f>
        <v/>
      </c>
      <c r="L1159">
        <f>IF(B1159="","",IFERROR(VALUE(TEXT(B1159,"[$-1170401]yyyy")),""))</f>
        <v/>
      </c>
      <c r="M1159">
        <f>IF(B1159="","",IFERROR(VALUE(TEXT(B1159,"[$-1170401]mm")),""))</f>
        <v/>
      </c>
    </row>
    <row r="1160">
      <c r="B1160" s="30" t="n"/>
      <c r="G1160" s="9">
        <f>IF(AND(E1160&lt;&gt;"",E1160&lt;&gt;0,H1160&lt;&gt;""),H1160/E1160,"")</f>
        <v/>
      </c>
      <c r="L1160">
        <f>IF(B1160="","",IFERROR(VALUE(TEXT(B1160,"[$-1170401]yyyy")),""))</f>
        <v/>
      </c>
      <c r="M1160">
        <f>IF(B1160="","",IFERROR(VALUE(TEXT(B1160,"[$-1170401]mm")),""))</f>
        <v/>
      </c>
    </row>
    <row r="1161">
      <c r="B1161" s="30" t="n"/>
      <c r="G1161" s="9">
        <f>IF(AND(E1161&lt;&gt;"",E1161&lt;&gt;0,H1161&lt;&gt;""),H1161/E1161,"")</f>
        <v/>
      </c>
      <c r="L1161">
        <f>IF(B1161="","",IFERROR(VALUE(TEXT(B1161,"[$-1170401]yyyy")),""))</f>
        <v/>
      </c>
      <c r="M1161">
        <f>IF(B1161="","",IFERROR(VALUE(TEXT(B1161,"[$-1170401]mm")),""))</f>
        <v/>
      </c>
    </row>
    <row r="1162">
      <c r="B1162" s="30" t="n"/>
      <c r="G1162" s="9">
        <f>IF(AND(E1162&lt;&gt;"",E1162&lt;&gt;0,H1162&lt;&gt;""),H1162/E1162,"")</f>
        <v/>
      </c>
      <c r="L1162">
        <f>IF(B1162="","",IFERROR(VALUE(TEXT(B1162,"[$-1170401]yyyy")),""))</f>
        <v/>
      </c>
      <c r="M1162">
        <f>IF(B1162="","",IFERROR(VALUE(TEXT(B1162,"[$-1170401]mm")),""))</f>
        <v/>
      </c>
    </row>
    <row r="1163">
      <c r="B1163" s="30" t="n"/>
      <c r="G1163" s="9">
        <f>IF(AND(E1163&lt;&gt;"",E1163&lt;&gt;0,H1163&lt;&gt;""),H1163/E1163,"")</f>
        <v/>
      </c>
      <c r="L1163">
        <f>IF(B1163="","",IFERROR(VALUE(TEXT(B1163,"[$-1170401]yyyy")),""))</f>
        <v/>
      </c>
      <c r="M1163">
        <f>IF(B1163="","",IFERROR(VALUE(TEXT(B1163,"[$-1170401]mm")),""))</f>
        <v/>
      </c>
    </row>
    <row r="1164">
      <c r="B1164" s="30" t="n"/>
      <c r="G1164" s="9">
        <f>IF(AND(E1164&lt;&gt;"",E1164&lt;&gt;0,H1164&lt;&gt;""),H1164/E1164,"")</f>
        <v/>
      </c>
      <c r="L1164">
        <f>IF(B1164="","",IFERROR(VALUE(TEXT(B1164,"[$-1170401]yyyy")),""))</f>
        <v/>
      </c>
      <c r="M1164">
        <f>IF(B1164="","",IFERROR(VALUE(TEXT(B1164,"[$-1170401]mm")),""))</f>
        <v/>
      </c>
    </row>
    <row r="1165">
      <c r="B1165" s="30" t="n"/>
      <c r="G1165" s="9">
        <f>IF(AND(E1165&lt;&gt;"",E1165&lt;&gt;0,H1165&lt;&gt;""),H1165/E1165,"")</f>
        <v/>
      </c>
      <c r="L1165">
        <f>IF(B1165="","",IFERROR(VALUE(TEXT(B1165,"[$-1170401]yyyy")),""))</f>
        <v/>
      </c>
      <c r="M1165">
        <f>IF(B1165="","",IFERROR(VALUE(TEXT(B1165,"[$-1170401]mm")),""))</f>
        <v/>
      </c>
    </row>
    <row r="1166">
      <c r="B1166" s="30" t="n"/>
      <c r="G1166" s="9">
        <f>IF(AND(E1166&lt;&gt;"",E1166&lt;&gt;0,H1166&lt;&gt;""),H1166/E1166,"")</f>
        <v/>
      </c>
      <c r="L1166">
        <f>IF(B1166="","",IFERROR(VALUE(TEXT(B1166,"[$-1170401]yyyy")),""))</f>
        <v/>
      </c>
      <c r="M1166">
        <f>IF(B1166="","",IFERROR(VALUE(TEXT(B1166,"[$-1170401]mm")),""))</f>
        <v/>
      </c>
    </row>
    <row r="1167">
      <c r="B1167" s="30" t="n"/>
      <c r="G1167" s="9">
        <f>IF(AND(E1167&lt;&gt;"",E1167&lt;&gt;0,H1167&lt;&gt;""),H1167/E1167,"")</f>
        <v/>
      </c>
      <c r="L1167">
        <f>IF(B1167="","",IFERROR(VALUE(TEXT(B1167,"[$-1170401]yyyy")),""))</f>
        <v/>
      </c>
      <c r="M1167">
        <f>IF(B1167="","",IFERROR(VALUE(TEXT(B1167,"[$-1170401]mm")),""))</f>
        <v/>
      </c>
    </row>
    <row r="1168">
      <c r="B1168" s="30" t="n"/>
      <c r="G1168" s="9">
        <f>IF(AND(E1168&lt;&gt;"",E1168&lt;&gt;0,H1168&lt;&gt;""),H1168/E1168,"")</f>
        <v/>
      </c>
      <c r="L1168">
        <f>IF(B1168="","",IFERROR(VALUE(TEXT(B1168,"[$-1170401]yyyy")),""))</f>
        <v/>
      </c>
      <c r="M1168">
        <f>IF(B1168="","",IFERROR(VALUE(TEXT(B1168,"[$-1170401]mm")),""))</f>
        <v/>
      </c>
    </row>
    <row r="1169">
      <c r="B1169" s="30" t="n"/>
      <c r="G1169" s="9">
        <f>IF(AND(E1169&lt;&gt;"",E1169&lt;&gt;0,H1169&lt;&gt;""),H1169/E1169,"")</f>
        <v/>
      </c>
      <c r="L1169">
        <f>IF(B1169="","",IFERROR(VALUE(TEXT(B1169,"[$-1170401]yyyy")),""))</f>
        <v/>
      </c>
      <c r="M1169">
        <f>IF(B1169="","",IFERROR(VALUE(TEXT(B1169,"[$-1170401]mm")),""))</f>
        <v/>
      </c>
    </row>
    <row r="1170">
      <c r="B1170" s="30" t="n"/>
      <c r="G1170" s="9">
        <f>IF(AND(E1170&lt;&gt;"",E1170&lt;&gt;0,H1170&lt;&gt;""),H1170/E1170,"")</f>
        <v/>
      </c>
      <c r="L1170">
        <f>IF(B1170="","",IFERROR(VALUE(TEXT(B1170,"[$-1170401]yyyy")),""))</f>
        <v/>
      </c>
      <c r="M1170">
        <f>IF(B1170="","",IFERROR(VALUE(TEXT(B1170,"[$-1170401]mm")),""))</f>
        <v/>
      </c>
    </row>
    <row r="1171">
      <c r="B1171" s="30" t="n"/>
      <c r="G1171" s="9">
        <f>IF(AND(E1171&lt;&gt;"",E1171&lt;&gt;0,H1171&lt;&gt;""),H1171/E1171,"")</f>
        <v/>
      </c>
      <c r="L1171">
        <f>IF(B1171="","",IFERROR(VALUE(TEXT(B1171,"[$-1170401]yyyy")),""))</f>
        <v/>
      </c>
      <c r="M1171">
        <f>IF(B1171="","",IFERROR(VALUE(TEXT(B1171,"[$-1170401]mm")),""))</f>
        <v/>
      </c>
    </row>
    <row r="1172">
      <c r="B1172" s="30" t="n"/>
      <c r="G1172" s="9">
        <f>IF(AND(E1172&lt;&gt;"",E1172&lt;&gt;0,H1172&lt;&gt;""),H1172/E1172,"")</f>
        <v/>
      </c>
      <c r="L1172">
        <f>IF(B1172="","",IFERROR(VALUE(TEXT(B1172,"[$-1170401]yyyy")),""))</f>
        <v/>
      </c>
      <c r="M1172">
        <f>IF(B1172="","",IFERROR(VALUE(TEXT(B1172,"[$-1170401]mm")),""))</f>
        <v/>
      </c>
    </row>
    <row r="1173">
      <c r="B1173" s="30" t="n"/>
      <c r="G1173" s="9">
        <f>IF(AND(E1173&lt;&gt;"",E1173&lt;&gt;0,H1173&lt;&gt;""),H1173/E1173,"")</f>
        <v/>
      </c>
      <c r="L1173">
        <f>IF(B1173="","",IFERROR(VALUE(TEXT(B1173,"[$-1170401]yyyy")),""))</f>
        <v/>
      </c>
      <c r="M1173">
        <f>IF(B1173="","",IFERROR(VALUE(TEXT(B1173,"[$-1170401]mm")),""))</f>
        <v/>
      </c>
    </row>
    <row r="1174">
      <c r="B1174" s="30" t="n"/>
      <c r="G1174" s="9">
        <f>IF(AND(E1174&lt;&gt;"",E1174&lt;&gt;0,H1174&lt;&gt;""),H1174/E1174,"")</f>
        <v/>
      </c>
      <c r="L1174">
        <f>IF(B1174="","",IFERROR(VALUE(TEXT(B1174,"[$-1170401]yyyy")),""))</f>
        <v/>
      </c>
      <c r="M1174">
        <f>IF(B1174="","",IFERROR(VALUE(TEXT(B1174,"[$-1170401]mm")),""))</f>
        <v/>
      </c>
    </row>
    <row r="1175">
      <c r="B1175" s="30" t="n"/>
      <c r="G1175" s="9">
        <f>IF(AND(E1175&lt;&gt;"",E1175&lt;&gt;0,H1175&lt;&gt;""),H1175/E1175,"")</f>
        <v/>
      </c>
      <c r="L1175">
        <f>IF(B1175="","",IFERROR(VALUE(TEXT(B1175,"[$-1170401]yyyy")),""))</f>
        <v/>
      </c>
      <c r="M1175">
        <f>IF(B1175="","",IFERROR(VALUE(TEXT(B1175,"[$-1170401]mm")),""))</f>
        <v/>
      </c>
    </row>
    <row r="1176">
      <c r="B1176" s="30" t="n"/>
      <c r="G1176" s="9">
        <f>IF(AND(E1176&lt;&gt;"",E1176&lt;&gt;0,H1176&lt;&gt;""),H1176/E1176,"")</f>
        <v/>
      </c>
      <c r="L1176">
        <f>IF(B1176="","",IFERROR(VALUE(TEXT(B1176,"[$-1170401]yyyy")),""))</f>
        <v/>
      </c>
      <c r="M1176">
        <f>IF(B1176="","",IFERROR(VALUE(TEXT(B1176,"[$-1170401]mm")),""))</f>
        <v/>
      </c>
    </row>
    <row r="1177">
      <c r="B1177" s="30" t="n"/>
      <c r="G1177" s="9">
        <f>IF(AND(E1177&lt;&gt;"",E1177&lt;&gt;0,H1177&lt;&gt;""),H1177/E1177,"")</f>
        <v/>
      </c>
      <c r="L1177">
        <f>IF(B1177="","",IFERROR(VALUE(TEXT(B1177,"[$-1170401]yyyy")),""))</f>
        <v/>
      </c>
      <c r="M1177">
        <f>IF(B1177="","",IFERROR(VALUE(TEXT(B1177,"[$-1170401]mm")),""))</f>
        <v/>
      </c>
    </row>
    <row r="1178">
      <c r="B1178" s="30" t="n"/>
      <c r="G1178" s="9">
        <f>IF(AND(E1178&lt;&gt;"",E1178&lt;&gt;0,H1178&lt;&gt;""),H1178/E1178,"")</f>
        <v/>
      </c>
      <c r="L1178">
        <f>IF(B1178="","",IFERROR(VALUE(TEXT(B1178,"[$-1170401]yyyy")),""))</f>
        <v/>
      </c>
      <c r="M1178">
        <f>IF(B1178="","",IFERROR(VALUE(TEXT(B1178,"[$-1170401]mm")),""))</f>
        <v/>
      </c>
    </row>
    <row r="1179">
      <c r="B1179" s="30" t="n"/>
      <c r="G1179" s="9">
        <f>IF(AND(E1179&lt;&gt;"",E1179&lt;&gt;0,H1179&lt;&gt;""),H1179/E1179,"")</f>
        <v/>
      </c>
      <c r="L1179">
        <f>IF(B1179="","",IFERROR(VALUE(TEXT(B1179,"[$-1170401]yyyy")),""))</f>
        <v/>
      </c>
      <c r="M1179">
        <f>IF(B1179="","",IFERROR(VALUE(TEXT(B1179,"[$-1170401]mm")),""))</f>
        <v/>
      </c>
    </row>
    <row r="1180">
      <c r="B1180" s="30" t="n"/>
      <c r="G1180" s="9">
        <f>IF(AND(E1180&lt;&gt;"",E1180&lt;&gt;0,H1180&lt;&gt;""),H1180/E1180,"")</f>
        <v/>
      </c>
      <c r="L1180">
        <f>IF(B1180="","",IFERROR(VALUE(TEXT(B1180,"[$-1170401]yyyy")),""))</f>
        <v/>
      </c>
      <c r="M1180">
        <f>IF(B1180="","",IFERROR(VALUE(TEXT(B1180,"[$-1170401]mm")),""))</f>
        <v/>
      </c>
    </row>
    <row r="1181">
      <c r="B1181" s="30" t="n"/>
      <c r="G1181" s="9">
        <f>IF(AND(E1181&lt;&gt;"",E1181&lt;&gt;0,H1181&lt;&gt;""),H1181/E1181,"")</f>
        <v/>
      </c>
      <c r="L1181">
        <f>IF(B1181="","",IFERROR(VALUE(TEXT(B1181,"[$-1170401]yyyy")),""))</f>
        <v/>
      </c>
      <c r="M1181">
        <f>IF(B1181="","",IFERROR(VALUE(TEXT(B1181,"[$-1170401]mm")),""))</f>
        <v/>
      </c>
    </row>
    <row r="1182">
      <c r="B1182" s="30" t="n"/>
      <c r="G1182" s="9">
        <f>IF(AND(E1182&lt;&gt;"",E1182&lt;&gt;0,H1182&lt;&gt;""),H1182/E1182,"")</f>
        <v/>
      </c>
      <c r="L1182">
        <f>IF(B1182="","",IFERROR(VALUE(TEXT(B1182,"[$-1170401]yyyy")),""))</f>
        <v/>
      </c>
      <c r="M1182">
        <f>IF(B1182="","",IFERROR(VALUE(TEXT(B1182,"[$-1170401]mm")),""))</f>
        <v/>
      </c>
    </row>
    <row r="1183">
      <c r="B1183" s="30" t="n"/>
      <c r="G1183" s="9">
        <f>IF(AND(E1183&lt;&gt;"",E1183&lt;&gt;0,H1183&lt;&gt;""),H1183/E1183,"")</f>
        <v/>
      </c>
      <c r="L1183">
        <f>IF(B1183="","",IFERROR(VALUE(TEXT(B1183,"[$-1170401]yyyy")),""))</f>
        <v/>
      </c>
      <c r="M1183">
        <f>IF(B1183="","",IFERROR(VALUE(TEXT(B1183,"[$-1170401]mm")),""))</f>
        <v/>
      </c>
    </row>
    <row r="1184">
      <c r="B1184" s="30" t="n"/>
      <c r="G1184" s="9">
        <f>IF(AND(E1184&lt;&gt;"",E1184&lt;&gt;0,H1184&lt;&gt;""),H1184/E1184,"")</f>
        <v/>
      </c>
      <c r="L1184">
        <f>IF(B1184="","",IFERROR(VALUE(TEXT(B1184,"[$-1170401]yyyy")),""))</f>
        <v/>
      </c>
      <c r="M1184">
        <f>IF(B1184="","",IFERROR(VALUE(TEXT(B1184,"[$-1170401]mm")),""))</f>
        <v/>
      </c>
    </row>
    <row r="1185">
      <c r="B1185" s="30" t="n"/>
      <c r="G1185" s="9">
        <f>IF(AND(E1185&lt;&gt;"",E1185&lt;&gt;0,H1185&lt;&gt;""),H1185/E1185,"")</f>
        <v/>
      </c>
      <c r="L1185">
        <f>IF(B1185="","",IFERROR(VALUE(TEXT(B1185,"[$-1170401]yyyy")),""))</f>
        <v/>
      </c>
      <c r="M1185">
        <f>IF(B1185="","",IFERROR(VALUE(TEXT(B1185,"[$-1170401]mm")),""))</f>
        <v/>
      </c>
    </row>
    <row r="1186">
      <c r="B1186" s="30" t="n"/>
      <c r="G1186" s="9">
        <f>IF(AND(E1186&lt;&gt;"",E1186&lt;&gt;0,H1186&lt;&gt;""),H1186/E1186,"")</f>
        <v/>
      </c>
      <c r="L1186">
        <f>IF(B1186="","",IFERROR(VALUE(TEXT(B1186,"[$-1170401]yyyy")),""))</f>
        <v/>
      </c>
      <c r="M1186">
        <f>IF(B1186="","",IFERROR(VALUE(TEXT(B1186,"[$-1170401]mm")),""))</f>
        <v/>
      </c>
    </row>
    <row r="1187">
      <c r="B1187" s="30" t="n"/>
      <c r="G1187" s="9">
        <f>IF(AND(E1187&lt;&gt;"",E1187&lt;&gt;0,H1187&lt;&gt;""),H1187/E1187,"")</f>
        <v/>
      </c>
      <c r="L1187">
        <f>IF(B1187="","",IFERROR(VALUE(TEXT(B1187,"[$-1170401]yyyy")),""))</f>
        <v/>
      </c>
      <c r="M1187">
        <f>IF(B1187="","",IFERROR(VALUE(TEXT(B1187,"[$-1170401]mm")),""))</f>
        <v/>
      </c>
    </row>
    <row r="1188">
      <c r="B1188" s="30" t="n"/>
      <c r="G1188" s="9">
        <f>IF(AND(E1188&lt;&gt;"",E1188&lt;&gt;0,H1188&lt;&gt;""),H1188/E1188,"")</f>
        <v/>
      </c>
      <c r="L1188">
        <f>IF(B1188="","",IFERROR(VALUE(TEXT(B1188,"[$-1170401]yyyy")),""))</f>
        <v/>
      </c>
      <c r="M1188">
        <f>IF(B1188="","",IFERROR(VALUE(TEXT(B1188,"[$-1170401]mm")),""))</f>
        <v/>
      </c>
    </row>
    <row r="1189">
      <c r="B1189" s="30" t="n"/>
      <c r="G1189" s="9">
        <f>IF(AND(E1189&lt;&gt;"",E1189&lt;&gt;0,H1189&lt;&gt;""),H1189/E1189,"")</f>
        <v/>
      </c>
      <c r="L1189">
        <f>IF(B1189="","",IFERROR(VALUE(TEXT(B1189,"[$-1170401]yyyy")),""))</f>
        <v/>
      </c>
      <c r="M1189">
        <f>IF(B1189="","",IFERROR(VALUE(TEXT(B1189,"[$-1170401]mm")),""))</f>
        <v/>
      </c>
    </row>
    <row r="1190">
      <c r="B1190" s="30" t="n"/>
      <c r="G1190" s="9">
        <f>IF(AND(E1190&lt;&gt;"",E1190&lt;&gt;0,H1190&lt;&gt;""),H1190/E1190,"")</f>
        <v/>
      </c>
      <c r="L1190">
        <f>IF(B1190="","",IFERROR(VALUE(TEXT(B1190,"[$-1170401]yyyy")),""))</f>
        <v/>
      </c>
      <c r="M1190">
        <f>IF(B1190="","",IFERROR(VALUE(TEXT(B1190,"[$-1170401]mm")),""))</f>
        <v/>
      </c>
    </row>
    <row r="1191">
      <c r="B1191" s="30" t="n"/>
      <c r="G1191" s="9">
        <f>IF(AND(E1191&lt;&gt;"",E1191&lt;&gt;0,H1191&lt;&gt;""),H1191/E1191,"")</f>
        <v/>
      </c>
      <c r="L1191">
        <f>IF(B1191="","",IFERROR(VALUE(TEXT(B1191,"[$-1170401]yyyy")),""))</f>
        <v/>
      </c>
      <c r="M1191">
        <f>IF(B1191="","",IFERROR(VALUE(TEXT(B1191,"[$-1170401]mm")),""))</f>
        <v/>
      </c>
    </row>
    <row r="1192">
      <c r="B1192" s="30" t="n"/>
      <c r="G1192" s="9">
        <f>IF(AND(E1192&lt;&gt;"",E1192&lt;&gt;0,H1192&lt;&gt;""),H1192/E1192,"")</f>
        <v/>
      </c>
      <c r="L1192">
        <f>IF(B1192="","",IFERROR(VALUE(TEXT(B1192,"[$-1170401]yyyy")),""))</f>
        <v/>
      </c>
      <c r="M1192">
        <f>IF(B1192="","",IFERROR(VALUE(TEXT(B1192,"[$-1170401]mm")),""))</f>
        <v/>
      </c>
    </row>
    <row r="1193">
      <c r="B1193" s="30" t="n"/>
      <c r="G1193" s="9">
        <f>IF(AND(E1193&lt;&gt;"",E1193&lt;&gt;0,H1193&lt;&gt;""),H1193/E1193,"")</f>
        <v/>
      </c>
      <c r="L1193">
        <f>IF(B1193="","",IFERROR(VALUE(TEXT(B1193,"[$-1170401]yyyy")),""))</f>
        <v/>
      </c>
      <c r="M1193">
        <f>IF(B1193="","",IFERROR(VALUE(TEXT(B1193,"[$-1170401]mm")),""))</f>
        <v/>
      </c>
    </row>
    <row r="1194">
      <c r="B1194" s="30" t="n"/>
      <c r="G1194" s="9">
        <f>IF(AND(E1194&lt;&gt;"",E1194&lt;&gt;0,H1194&lt;&gt;""),H1194/E1194,"")</f>
        <v/>
      </c>
      <c r="L1194">
        <f>IF(B1194="","",IFERROR(VALUE(TEXT(B1194,"[$-1170401]yyyy")),""))</f>
        <v/>
      </c>
      <c r="M1194">
        <f>IF(B1194="","",IFERROR(VALUE(TEXT(B1194,"[$-1170401]mm")),""))</f>
        <v/>
      </c>
    </row>
    <row r="1195">
      <c r="B1195" s="30" t="n"/>
      <c r="G1195" s="9">
        <f>IF(AND(E1195&lt;&gt;"",E1195&lt;&gt;0,H1195&lt;&gt;""),H1195/E1195,"")</f>
        <v/>
      </c>
      <c r="L1195">
        <f>IF(B1195="","",IFERROR(VALUE(TEXT(B1195,"[$-1170401]yyyy")),""))</f>
        <v/>
      </c>
      <c r="M1195">
        <f>IF(B1195="","",IFERROR(VALUE(TEXT(B1195,"[$-1170401]mm")),""))</f>
        <v/>
      </c>
    </row>
    <row r="1196">
      <c r="B1196" s="30" t="n"/>
      <c r="G1196" s="9">
        <f>IF(AND(E1196&lt;&gt;"",E1196&lt;&gt;0,H1196&lt;&gt;""),H1196/E1196,"")</f>
        <v/>
      </c>
      <c r="L1196">
        <f>IF(B1196="","",IFERROR(VALUE(TEXT(B1196,"[$-1170401]yyyy")),""))</f>
        <v/>
      </c>
      <c r="M1196">
        <f>IF(B1196="","",IFERROR(VALUE(TEXT(B1196,"[$-1170401]mm")),""))</f>
        <v/>
      </c>
    </row>
    <row r="1197">
      <c r="B1197" s="30" t="n"/>
      <c r="G1197" s="9">
        <f>IF(AND(E1197&lt;&gt;"",E1197&lt;&gt;0,H1197&lt;&gt;""),H1197/E1197,"")</f>
        <v/>
      </c>
      <c r="L1197">
        <f>IF(B1197="","",IFERROR(VALUE(TEXT(B1197,"[$-1170401]yyyy")),""))</f>
        <v/>
      </c>
      <c r="M1197">
        <f>IF(B1197="","",IFERROR(VALUE(TEXT(B1197,"[$-1170401]mm")),""))</f>
        <v/>
      </c>
    </row>
    <row r="1198">
      <c r="B1198" s="30" t="n"/>
      <c r="G1198" s="9">
        <f>IF(AND(E1198&lt;&gt;"",E1198&lt;&gt;0,H1198&lt;&gt;""),H1198/E1198,"")</f>
        <v/>
      </c>
      <c r="L1198">
        <f>IF(B1198="","",IFERROR(VALUE(TEXT(B1198,"[$-1170401]yyyy")),""))</f>
        <v/>
      </c>
      <c r="M1198">
        <f>IF(B1198="","",IFERROR(VALUE(TEXT(B1198,"[$-1170401]mm")),""))</f>
        <v/>
      </c>
    </row>
    <row r="1199">
      <c r="B1199" s="30" t="n"/>
      <c r="G1199" s="9">
        <f>IF(AND(E1199&lt;&gt;"",E1199&lt;&gt;0,H1199&lt;&gt;""),H1199/E1199,"")</f>
        <v/>
      </c>
      <c r="L1199">
        <f>IF(B1199="","",IFERROR(VALUE(TEXT(B1199,"[$-1170401]yyyy")),""))</f>
        <v/>
      </c>
      <c r="M1199">
        <f>IF(B1199="","",IFERROR(VALUE(TEXT(B1199,"[$-1170401]mm")),""))</f>
        <v/>
      </c>
    </row>
    <row r="1200">
      <c r="B1200" s="30" t="n"/>
      <c r="G1200" s="9">
        <f>IF(AND(E1200&lt;&gt;"",E1200&lt;&gt;0,H1200&lt;&gt;""),H1200/E1200,"")</f>
        <v/>
      </c>
      <c r="L1200">
        <f>IF(B1200="","",IFERROR(VALUE(TEXT(B1200,"[$-1170401]yyyy")),""))</f>
        <v/>
      </c>
      <c r="M1200">
        <f>IF(B1200="","",IFERROR(VALUE(TEXT(B1200,"[$-1170401]mm")),""))</f>
        <v/>
      </c>
    </row>
    <row r="1201">
      <c r="B1201" s="30" t="n"/>
      <c r="G1201" s="9">
        <f>IF(AND(E1201&lt;&gt;"",E1201&lt;&gt;0,H1201&lt;&gt;""),H1201/E1201,"")</f>
        <v/>
      </c>
      <c r="L1201">
        <f>IF(B1201="","",IFERROR(VALUE(TEXT(B1201,"[$-1170401]yyyy")),""))</f>
        <v/>
      </c>
      <c r="M1201">
        <f>IF(B1201="","",IFERROR(VALUE(TEXT(B1201,"[$-1170401]mm")),""))</f>
        <v/>
      </c>
    </row>
    <row r="1202">
      <c r="B1202" s="30" t="n"/>
      <c r="G1202" s="9">
        <f>IF(AND(E1202&lt;&gt;"",E1202&lt;&gt;0,H1202&lt;&gt;""),H1202/E1202,"")</f>
        <v/>
      </c>
      <c r="L1202">
        <f>IF(B1202="","",IFERROR(VALUE(TEXT(B1202,"[$-1170401]yyyy")),""))</f>
        <v/>
      </c>
      <c r="M1202">
        <f>IF(B1202="","",IFERROR(VALUE(TEXT(B1202,"[$-1170401]mm")),""))</f>
        <v/>
      </c>
    </row>
    <row r="1203">
      <c r="B1203" s="30" t="n"/>
      <c r="G1203" s="9">
        <f>IF(AND(E1203&lt;&gt;"",E1203&lt;&gt;0,H1203&lt;&gt;""),H1203/E1203,"")</f>
        <v/>
      </c>
      <c r="L1203">
        <f>IF(B1203="","",IFERROR(VALUE(TEXT(B1203,"[$-1170401]yyyy")),""))</f>
        <v/>
      </c>
      <c r="M1203">
        <f>IF(B1203="","",IFERROR(VALUE(TEXT(B1203,"[$-1170401]mm")),""))</f>
        <v/>
      </c>
    </row>
    <row r="1204">
      <c r="B1204" s="30" t="n"/>
      <c r="G1204" s="9">
        <f>IF(AND(E1204&lt;&gt;"",E1204&lt;&gt;0,H1204&lt;&gt;""),H1204/E1204,"")</f>
        <v/>
      </c>
      <c r="L1204">
        <f>IF(B1204="","",IFERROR(VALUE(TEXT(B1204,"[$-1170401]yyyy")),""))</f>
        <v/>
      </c>
      <c r="M1204">
        <f>IF(B1204="","",IFERROR(VALUE(TEXT(B1204,"[$-1170401]mm")),""))</f>
        <v/>
      </c>
    </row>
    <row r="1205">
      <c r="B1205" s="30" t="n"/>
      <c r="G1205" s="9">
        <f>IF(AND(E1205&lt;&gt;"",E1205&lt;&gt;0,H1205&lt;&gt;""),H1205/E1205,"")</f>
        <v/>
      </c>
      <c r="L1205">
        <f>IF(B1205="","",IFERROR(VALUE(TEXT(B1205,"[$-1170401]yyyy")),""))</f>
        <v/>
      </c>
      <c r="M1205">
        <f>IF(B1205="","",IFERROR(VALUE(TEXT(B1205,"[$-1170401]mm")),""))</f>
        <v/>
      </c>
    </row>
    <row r="1206">
      <c r="B1206" s="30" t="n"/>
      <c r="G1206" s="9">
        <f>IF(AND(E1206&lt;&gt;"",E1206&lt;&gt;0,H1206&lt;&gt;""),H1206/E1206,"")</f>
        <v/>
      </c>
      <c r="L1206">
        <f>IF(B1206="","",IFERROR(VALUE(TEXT(B1206,"[$-1170401]yyyy")),""))</f>
        <v/>
      </c>
      <c r="M1206">
        <f>IF(B1206="","",IFERROR(VALUE(TEXT(B1206,"[$-1170401]mm")),""))</f>
        <v/>
      </c>
    </row>
    <row r="1207">
      <c r="B1207" s="30" t="n"/>
      <c r="G1207" s="9">
        <f>IF(AND(E1207&lt;&gt;"",E1207&lt;&gt;0,H1207&lt;&gt;""),H1207/E1207,"")</f>
        <v/>
      </c>
      <c r="L1207">
        <f>IF(B1207="","",IFERROR(VALUE(TEXT(B1207,"[$-1170401]yyyy")),""))</f>
        <v/>
      </c>
      <c r="M1207">
        <f>IF(B1207="","",IFERROR(VALUE(TEXT(B1207,"[$-1170401]mm")),""))</f>
        <v/>
      </c>
    </row>
    <row r="1208">
      <c r="B1208" s="30" t="n"/>
      <c r="G1208" s="9">
        <f>IF(AND(E1208&lt;&gt;"",E1208&lt;&gt;0,H1208&lt;&gt;""),H1208/E1208,"")</f>
        <v/>
      </c>
      <c r="L1208">
        <f>IF(B1208="","",IFERROR(VALUE(TEXT(B1208,"[$-1170401]yyyy")),""))</f>
        <v/>
      </c>
      <c r="M1208">
        <f>IF(B1208="","",IFERROR(VALUE(TEXT(B1208,"[$-1170401]mm")),""))</f>
        <v/>
      </c>
    </row>
    <row r="1209">
      <c r="B1209" s="30" t="n"/>
      <c r="G1209" s="9">
        <f>IF(AND(E1209&lt;&gt;"",E1209&lt;&gt;0,H1209&lt;&gt;""),H1209/E1209,"")</f>
        <v/>
      </c>
      <c r="L1209">
        <f>IF(B1209="","",IFERROR(VALUE(TEXT(B1209,"[$-1170401]yyyy")),""))</f>
        <v/>
      </c>
      <c r="M1209">
        <f>IF(B1209="","",IFERROR(VALUE(TEXT(B1209,"[$-1170401]mm")),""))</f>
        <v/>
      </c>
    </row>
    <row r="1210">
      <c r="B1210" s="30" t="n"/>
      <c r="G1210" s="9">
        <f>IF(AND(E1210&lt;&gt;"",E1210&lt;&gt;0,H1210&lt;&gt;""),H1210/E1210,"")</f>
        <v/>
      </c>
      <c r="L1210">
        <f>IF(B1210="","",IFERROR(VALUE(TEXT(B1210,"[$-1170401]yyyy")),""))</f>
        <v/>
      </c>
      <c r="M1210">
        <f>IF(B1210="","",IFERROR(VALUE(TEXT(B1210,"[$-1170401]mm")),""))</f>
        <v/>
      </c>
    </row>
    <row r="1211">
      <c r="B1211" s="30" t="n"/>
      <c r="G1211" s="9">
        <f>IF(AND(E1211&lt;&gt;"",E1211&lt;&gt;0,H1211&lt;&gt;""),H1211/E1211,"")</f>
        <v/>
      </c>
      <c r="L1211">
        <f>IF(B1211="","",IFERROR(VALUE(TEXT(B1211,"[$-1170401]yyyy")),""))</f>
        <v/>
      </c>
      <c r="M1211">
        <f>IF(B1211="","",IFERROR(VALUE(TEXT(B1211,"[$-1170401]mm")),""))</f>
        <v/>
      </c>
    </row>
    <row r="1212">
      <c r="B1212" s="30" t="n"/>
      <c r="G1212" s="9">
        <f>IF(AND(E1212&lt;&gt;"",E1212&lt;&gt;0,H1212&lt;&gt;""),H1212/E1212,"")</f>
        <v/>
      </c>
      <c r="L1212">
        <f>IF(B1212="","",IFERROR(VALUE(TEXT(B1212,"[$-1170401]yyyy")),""))</f>
        <v/>
      </c>
      <c r="M1212">
        <f>IF(B1212="","",IFERROR(VALUE(TEXT(B1212,"[$-1170401]mm")),""))</f>
        <v/>
      </c>
    </row>
    <row r="1213">
      <c r="B1213" s="30" t="n"/>
      <c r="G1213" s="9">
        <f>IF(AND(E1213&lt;&gt;"",E1213&lt;&gt;0,H1213&lt;&gt;""),H1213/E1213,"")</f>
        <v/>
      </c>
      <c r="L1213">
        <f>IF(B1213="","",IFERROR(VALUE(TEXT(B1213,"[$-1170401]yyyy")),""))</f>
        <v/>
      </c>
      <c r="M1213">
        <f>IF(B1213="","",IFERROR(VALUE(TEXT(B1213,"[$-1170401]mm")),""))</f>
        <v/>
      </c>
    </row>
    <row r="1214">
      <c r="B1214" s="30" t="n"/>
      <c r="G1214" s="9">
        <f>IF(AND(E1214&lt;&gt;"",E1214&lt;&gt;0,H1214&lt;&gt;""),H1214/E1214,"")</f>
        <v/>
      </c>
      <c r="L1214">
        <f>IF(B1214="","",IFERROR(VALUE(TEXT(B1214,"[$-1170401]yyyy")),""))</f>
        <v/>
      </c>
      <c r="M1214">
        <f>IF(B1214="","",IFERROR(VALUE(TEXT(B1214,"[$-1170401]mm")),""))</f>
        <v/>
      </c>
    </row>
    <row r="1215">
      <c r="B1215" s="30" t="n"/>
      <c r="G1215" s="9">
        <f>IF(AND(E1215&lt;&gt;"",E1215&lt;&gt;0,H1215&lt;&gt;""),H1215/E1215,"")</f>
        <v/>
      </c>
      <c r="L1215">
        <f>IF(B1215="","",IFERROR(VALUE(TEXT(B1215,"[$-1170401]yyyy")),""))</f>
        <v/>
      </c>
      <c r="M1215">
        <f>IF(B1215="","",IFERROR(VALUE(TEXT(B1215,"[$-1170401]mm")),""))</f>
        <v/>
      </c>
    </row>
    <row r="1216">
      <c r="B1216" s="30" t="n"/>
      <c r="G1216" s="9">
        <f>IF(AND(E1216&lt;&gt;"",E1216&lt;&gt;0,H1216&lt;&gt;""),H1216/E1216,"")</f>
        <v/>
      </c>
      <c r="L1216">
        <f>IF(B1216="","",IFERROR(VALUE(TEXT(B1216,"[$-1170401]yyyy")),""))</f>
        <v/>
      </c>
      <c r="M1216">
        <f>IF(B1216="","",IFERROR(VALUE(TEXT(B1216,"[$-1170401]mm")),""))</f>
        <v/>
      </c>
    </row>
    <row r="1217">
      <c r="B1217" s="30" t="n"/>
      <c r="G1217" s="9">
        <f>IF(AND(E1217&lt;&gt;"",E1217&lt;&gt;0,H1217&lt;&gt;""),H1217/E1217,"")</f>
        <v/>
      </c>
      <c r="L1217">
        <f>IF(B1217="","",IFERROR(VALUE(TEXT(B1217,"[$-1170401]yyyy")),""))</f>
        <v/>
      </c>
      <c r="M1217">
        <f>IF(B1217="","",IFERROR(VALUE(TEXT(B1217,"[$-1170401]mm")),""))</f>
        <v/>
      </c>
    </row>
    <row r="1218">
      <c r="B1218" s="30" t="n"/>
      <c r="G1218" s="9">
        <f>IF(AND(E1218&lt;&gt;"",E1218&lt;&gt;0,H1218&lt;&gt;""),H1218/E1218,"")</f>
        <v/>
      </c>
      <c r="L1218">
        <f>IF(B1218="","",IFERROR(VALUE(TEXT(B1218,"[$-1170401]yyyy")),""))</f>
        <v/>
      </c>
      <c r="M1218">
        <f>IF(B1218="","",IFERROR(VALUE(TEXT(B1218,"[$-1170401]mm")),""))</f>
        <v/>
      </c>
    </row>
    <row r="1219">
      <c r="B1219" s="30" t="n"/>
      <c r="G1219" s="9">
        <f>IF(AND(E1219&lt;&gt;"",E1219&lt;&gt;0,H1219&lt;&gt;""),H1219/E1219,"")</f>
        <v/>
      </c>
      <c r="L1219">
        <f>IF(B1219="","",IFERROR(VALUE(TEXT(B1219,"[$-1170401]yyyy")),""))</f>
        <v/>
      </c>
      <c r="M1219">
        <f>IF(B1219="","",IFERROR(VALUE(TEXT(B1219,"[$-1170401]mm")),""))</f>
        <v/>
      </c>
    </row>
    <row r="1220">
      <c r="B1220" s="30" t="n"/>
      <c r="G1220" s="9">
        <f>IF(AND(E1220&lt;&gt;"",E1220&lt;&gt;0,H1220&lt;&gt;""),H1220/E1220,"")</f>
        <v/>
      </c>
      <c r="L1220">
        <f>IF(B1220="","",IFERROR(VALUE(TEXT(B1220,"[$-1170401]yyyy")),""))</f>
        <v/>
      </c>
      <c r="M1220">
        <f>IF(B1220="","",IFERROR(VALUE(TEXT(B1220,"[$-1170401]mm")),""))</f>
        <v/>
      </c>
    </row>
    <row r="1221">
      <c r="B1221" s="30" t="n"/>
      <c r="G1221" s="9">
        <f>IF(AND(E1221&lt;&gt;"",E1221&lt;&gt;0,H1221&lt;&gt;""),H1221/E1221,"")</f>
        <v/>
      </c>
      <c r="L1221">
        <f>IF(B1221="","",IFERROR(VALUE(TEXT(B1221,"[$-1170401]yyyy")),""))</f>
        <v/>
      </c>
      <c r="M1221">
        <f>IF(B1221="","",IFERROR(VALUE(TEXT(B1221,"[$-1170401]mm")),""))</f>
        <v/>
      </c>
    </row>
    <row r="1222">
      <c r="B1222" s="30" t="n"/>
      <c r="G1222" s="9">
        <f>IF(AND(E1222&lt;&gt;"",E1222&lt;&gt;0,H1222&lt;&gt;""),H1222/E1222,"")</f>
        <v/>
      </c>
      <c r="L1222">
        <f>IF(B1222="","",IFERROR(VALUE(TEXT(B1222,"[$-1170401]yyyy")),""))</f>
        <v/>
      </c>
      <c r="M1222">
        <f>IF(B1222="","",IFERROR(VALUE(TEXT(B1222,"[$-1170401]mm")),""))</f>
        <v/>
      </c>
    </row>
    <row r="1223">
      <c r="B1223" s="30" t="n"/>
      <c r="G1223" s="9">
        <f>IF(AND(E1223&lt;&gt;"",E1223&lt;&gt;0,H1223&lt;&gt;""),H1223/E1223,"")</f>
        <v/>
      </c>
      <c r="L1223">
        <f>IF(B1223="","",IFERROR(VALUE(TEXT(B1223,"[$-1170401]yyyy")),""))</f>
        <v/>
      </c>
      <c r="M1223">
        <f>IF(B1223="","",IFERROR(VALUE(TEXT(B1223,"[$-1170401]mm")),""))</f>
        <v/>
      </c>
    </row>
    <row r="1224">
      <c r="B1224" s="30" t="n"/>
      <c r="G1224" s="9">
        <f>IF(AND(E1224&lt;&gt;"",E1224&lt;&gt;0,H1224&lt;&gt;""),H1224/E1224,"")</f>
        <v/>
      </c>
      <c r="L1224">
        <f>IF(B1224="","",IFERROR(VALUE(TEXT(B1224,"[$-1170401]yyyy")),""))</f>
        <v/>
      </c>
      <c r="M1224">
        <f>IF(B1224="","",IFERROR(VALUE(TEXT(B1224,"[$-1170401]mm")),""))</f>
        <v/>
      </c>
    </row>
    <row r="1225">
      <c r="B1225" s="30" t="n"/>
      <c r="G1225" s="9">
        <f>IF(AND(E1225&lt;&gt;"",E1225&lt;&gt;0,H1225&lt;&gt;""),H1225/E1225,"")</f>
        <v/>
      </c>
      <c r="L1225">
        <f>IF(B1225="","",IFERROR(VALUE(TEXT(B1225,"[$-1170401]yyyy")),""))</f>
        <v/>
      </c>
      <c r="M1225">
        <f>IF(B1225="","",IFERROR(VALUE(TEXT(B1225,"[$-1170401]mm")),""))</f>
        <v/>
      </c>
    </row>
    <row r="1226">
      <c r="B1226" s="30" t="n"/>
      <c r="G1226" s="9">
        <f>IF(AND(E1226&lt;&gt;"",E1226&lt;&gt;0,H1226&lt;&gt;""),H1226/E1226,"")</f>
        <v/>
      </c>
      <c r="L1226">
        <f>IF(B1226="","",IFERROR(VALUE(TEXT(B1226,"[$-1170401]yyyy")),""))</f>
        <v/>
      </c>
      <c r="M1226">
        <f>IF(B1226="","",IFERROR(VALUE(TEXT(B1226,"[$-1170401]mm")),""))</f>
        <v/>
      </c>
    </row>
    <row r="1227">
      <c r="B1227" s="30" t="n"/>
      <c r="G1227" s="9">
        <f>IF(AND(E1227&lt;&gt;"",E1227&lt;&gt;0,H1227&lt;&gt;""),H1227/E1227,"")</f>
        <v/>
      </c>
      <c r="L1227">
        <f>IF(B1227="","",IFERROR(VALUE(TEXT(B1227,"[$-1170401]yyyy")),""))</f>
        <v/>
      </c>
      <c r="M1227">
        <f>IF(B1227="","",IFERROR(VALUE(TEXT(B1227,"[$-1170401]mm")),""))</f>
        <v/>
      </c>
    </row>
    <row r="1228">
      <c r="B1228" s="30" t="n"/>
      <c r="G1228" s="9">
        <f>IF(AND(E1228&lt;&gt;"",E1228&lt;&gt;0,H1228&lt;&gt;""),H1228/E1228,"")</f>
        <v/>
      </c>
      <c r="L1228">
        <f>IF(B1228="","",IFERROR(VALUE(TEXT(B1228,"[$-1170401]yyyy")),""))</f>
        <v/>
      </c>
      <c r="M1228">
        <f>IF(B1228="","",IFERROR(VALUE(TEXT(B1228,"[$-1170401]mm")),""))</f>
        <v/>
      </c>
    </row>
    <row r="1229">
      <c r="B1229" s="30" t="n"/>
      <c r="G1229" s="9">
        <f>IF(AND(E1229&lt;&gt;"",E1229&lt;&gt;0,H1229&lt;&gt;""),H1229/E1229,"")</f>
        <v/>
      </c>
      <c r="L1229">
        <f>IF(B1229="","",IFERROR(VALUE(TEXT(B1229,"[$-1170401]yyyy")),""))</f>
        <v/>
      </c>
      <c r="M1229">
        <f>IF(B1229="","",IFERROR(VALUE(TEXT(B1229,"[$-1170401]mm")),""))</f>
        <v/>
      </c>
    </row>
    <row r="1230">
      <c r="B1230" s="30" t="n"/>
      <c r="G1230" s="9">
        <f>IF(AND(E1230&lt;&gt;"",E1230&lt;&gt;0,H1230&lt;&gt;""),H1230/E1230,"")</f>
        <v/>
      </c>
      <c r="L1230">
        <f>IF(B1230="","",IFERROR(VALUE(TEXT(B1230,"[$-1170401]yyyy")),""))</f>
        <v/>
      </c>
      <c r="M1230">
        <f>IF(B1230="","",IFERROR(VALUE(TEXT(B1230,"[$-1170401]mm")),""))</f>
        <v/>
      </c>
    </row>
    <row r="1231">
      <c r="B1231" s="30" t="n"/>
      <c r="G1231" s="9">
        <f>IF(AND(E1231&lt;&gt;"",E1231&lt;&gt;0,H1231&lt;&gt;""),H1231/E1231,"")</f>
        <v/>
      </c>
      <c r="L1231">
        <f>IF(B1231="","",IFERROR(VALUE(TEXT(B1231,"[$-1170401]yyyy")),""))</f>
        <v/>
      </c>
      <c r="M1231">
        <f>IF(B1231="","",IFERROR(VALUE(TEXT(B1231,"[$-1170401]mm")),""))</f>
        <v/>
      </c>
    </row>
    <row r="1232">
      <c r="B1232" s="30" t="n"/>
      <c r="G1232" s="9">
        <f>IF(AND(E1232&lt;&gt;"",E1232&lt;&gt;0,H1232&lt;&gt;""),H1232/E1232,"")</f>
        <v/>
      </c>
      <c r="L1232">
        <f>IF(B1232="","",IFERROR(VALUE(TEXT(B1232,"[$-1170401]yyyy")),""))</f>
        <v/>
      </c>
      <c r="M1232">
        <f>IF(B1232="","",IFERROR(VALUE(TEXT(B1232,"[$-1170401]mm")),""))</f>
        <v/>
      </c>
    </row>
    <row r="1233">
      <c r="B1233" s="30" t="n"/>
      <c r="G1233" s="9">
        <f>IF(AND(E1233&lt;&gt;"",E1233&lt;&gt;0,H1233&lt;&gt;""),H1233/E1233,"")</f>
        <v/>
      </c>
      <c r="L1233">
        <f>IF(B1233="","",IFERROR(VALUE(TEXT(B1233,"[$-1170401]yyyy")),""))</f>
        <v/>
      </c>
      <c r="M1233">
        <f>IF(B1233="","",IFERROR(VALUE(TEXT(B1233,"[$-1170401]mm")),""))</f>
        <v/>
      </c>
    </row>
    <row r="1234">
      <c r="B1234" s="30" t="n"/>
      <c r="G1234" s="9">
        <f>IF(AND(E1234&lt;&gt;"",E1234&lt;&gt;0,H1234&lt;&gt;""),H1234/E1234,"")</f>
        <v/>
      </c>
      <c r="L1234">
        <f>IF(B1234="","",IFERROR(VALUE(TEXT(B1234,"[$-1170401]yyyy")),""))</f>
        <v/>
      </c>
      <c r="M1234">
        <f>IF(B1234="","",IFERROR(VALUE(TEXT(B1234,"[$-1170401]mm")),""))</f>
        <v/>
      </c>
    </row>
    <row r="1235">
      <c r="B1235" s="30" t="n"/>
      <c r="G1235" s="9">
        <f>IF(AND(E1235&lt;&gt;"",E1235&lt;&gt;0,H1235&lt;&gt;""),H1235/E1235,"")</f>
        <v/>
      </c>
      <c r="L1235">
        <f>IF(B1235="","",IFERROR(VALUE(TEXT(B1235,"[$-1170401]yyyy")),""))</f>
        <v/>
      </c>
      <c r="M1235">
        <f>IF(B1235="","",IFERROR(VALUE(TEXT(B1235,"[$-1170401]mm")),""))</f>
        <v/>
      </c>
    </row>
    <row r="1236">
      <c r="B1236" s="30" t="n"/>
      <c r="G1236" s="9">
        <f>IF(AND(E1236&lt;&gt;"",E1236&lt;&gt;0,H1236&lt;&gt;""),H1236/E1236,"")</f>
        <v/>
      </c>
      <c r="L1236">
        <f>IF(B1236="","",IFERROR(VALUE(TEXT(B1236,"[$-1170401]yyyy")),""))</f>
        <v/>
      </c>
      <c r="M1236">
        <f>IF(B1236="","",IFERROR(VALUE(TEXT(B1236,"[$-1170401]mm")),""))</f>
        <v/>
      </c>
    </row>
    <row r="1237">
      <c r="B1237" s="30" t="n"/>
      <c r="G1237" s="9">
        <f>IF(AND(E1237&lt;&gt;"",E1237&lt;&gt;0,H1237&lt;&gt;""),H1237/E1237,"")</f>
        <v/>
      </c>
      <c r="L1237">
        <f>IF(B1237="","",IFERROR(VALUE(TEXT(B1237,"[$-1170401]yyyy")),""))</f>
        <v/>
      </c>
      <c r="M1237">
        <f>IF(B1237="","",IFERROR(VALUE(TEXT(B1237,"[$-1170401]mm")),""))</f>
        <v/>
      </c>
    </row>
    <row r="1238">
      <c r="B1238" s="30" t="n"/>
      <c r="G1238" s="9">
        <f>IF(AND(E1238&lt;&gt;"",E1238&lt;&gt;0,H1238&lt;&gt;""),H1238/E1238,"")</f>
        <v/>
      </c>
      <c r="L1238">
        <f>IF(B1238="","",IFERROR(VALUE(TEXT(B1238,"[$-1170401]yyyy")),""))</f>
        <v/>
      </c>
      <c r="M1238">
        <f>IF(B1238="","",IFERROR(VALUE(TEXT(B1238,"[$-1170401]mm")),""))</f>
        <v/>
      </c>
    </row>
    <row r="1239">
      <c r="B1239" s="30" t="n"/>
      <c r="G1239" s="9">
        <f>IF(AND(E1239&lt;&gt;"",E1239&lt;&gt;0,H1239&lt;&gt;""),H1239/E1239,"")</f>
        <v/>
      </c>
      <c r="L1239">
        <f>IF(B1239="","",IFERROR(VALUE(TEXT(B1239,"[$-1170401]yyyy")),""))</f>
        <v/>
      </c>
      <c r="M1239">
        <f>IF(B1239="","",IFERROR(VALUE(TEXT(B1239,"[$-1170401]mm")),""))</f>
        <v/>
      </c>
    </row>
    <row r="1240">
      <c r="B1240" s="30" t="n"/>
      <c r="G1240" s="9">
        <f>IF(AND(E1240&lt;&gt;"",E1240&lt;&gt;0,H1240&lt;&gt;""),H1240/E1240,"")</f>
        <v/>
      </c>
      <c r="L1240">
        <f>IF(B1240="","",IFERROR(VALUE(TEXT(B1240,"[$-1170401]yyyy")),""))</f>
        <v/>
      </c>
      <c r="M1240">
        <f>IF(B1240="","",IFERROR(VALUE(TEXT(B1240,"[$-1170401]mm")),""))</f>
        <v/>
      </c>
    </row>
    <row r="1241">
      <c r="B1241" s="30" t="n"/>
      <c r="G1241" s="9">
        <f>IF(AND(E1241&lt;&gt;"",E1241&lt;&gt;0,H1241&lt;&gt;""),H1241/E1241,"")</f>
        <v/>
      </c>
      <c r="L1241">
        <f>IF(B1241="","",IFERROR(VALUE(TEXT(B1241,"[$-1170401]yyyy")),""))</f>
        <v/>
      </c>
      <c r="M1241">
        <f>IF(B1241="","",IFERROR(VALUE(TEXT(B1241,"[$-1170401]mm")),""))</f>
        <v/>
      </c>
    </row>
    <row r="1242">
      <c r="B1242" s="30" t="n"/>
      <c r="G1242" s="9">
        <f>IF(AND(E1242&lt;&gt;"",E1242&lt;&gt;0,H1242&lt;&gt;""),H1242/E1242,"")</f>
        <v/>
      </c>
      <c r="L1242">
        <f>IF(B1242="","",IFERROR(VALUE(TEXT(B1242,"[$-1170401]yyyy")),""))</f>
        <v/>
      </c>
      <c r="M1242">
        <f>IF(B1242="","",IFERROR(VALUE(TEXT(B1242,"[$-1170401]mm")),""))</f>
        <v/>
      </c>
    </row>
    <row r="1243">
      <c r="B1243" s="30" t="n"/>
      <c r="G1243" s="9">
        <f>IF(AND(E1243&lt;&gt;"",E1243&lt;&gt;0,H1243&lt;&gt;""),H1243/E1243,"")</f>
        <v/>
      </c>
      <c r="L1243">
        <f>IF(B1243="","",IFERROR(VALUE(TEXT(B1243,"[$-1170401]yyyy")),""))</f>
        <v/>
      </c>
      <c r="M1243">
        <f>IF(B1243="","",IFERROR(VALUE(TEXT(B1243,"[$-1170401]mm")),""))</f>
        <v/>
      </c>
    </row>
    <row r="1244">
      <c r="B1244" s="30" t="n"/>
      <c r="G1244" s="9">
        <f>IF(AND(E1244&lt;&gt;"",E1244&lt;&gt;0,H1244&lt;&gt;""),H1244/E1244,"")</f>
        <v/>
      </c>
      <c r="L1244">
        <f>IF(B1244="","",IFERROR(VALUE(TEXT(B1244,"[$-1170401]yyyy")),""))</f>
        <v/>
      </c>
      <c r="M1244">
        <f>IF(B1244="","",IFERROR(VALUE(TEXT(B1244,"[$-1170401]mm")),""))</f>
        <v/>
      </c>
    </row>
    <row r="1245">
      <c r="B1245" s="30" t="n"/>
      <c r="G1245" s="9">
        <f>IF(AND(E1245&lt;&gt;"",E1245&lt;&gt;0,H1245&lt;&gt;""),H1245/E1245,"")</f>
        <v/>
      </c>
      <c r="L1245">
        <f>IF(B1245="","",IFERROR(VALUE(TEXT(B1245,"[$-1170401]yyyy")),""))</f>
        <v/>
      </c>
      <c r="M1245">
        <f>IF(B1245="","",IFERROR(VALUE(TEXT(B1245,"[$-1170401]mm")),""))</f>
        <v/>
      </c>
    </row>
    <row r="1246">
      <c r="B1246" s="30" t="n"/>
      <c r="G1246" s="9">
        <f>IF(AND(E1246&lt;&gt;"",E1246&lt;&gt;0,H1246&lt;&gt;""),H1246/E1246,"")</f>
        <v/>
      </c>
      <c r="L1246">
        <f>IF(B1246="","",IFERROR(VALUE(TEXT(B1246,"[$-1170401]yyyy")),""))</f>
        <v/>
      </c>
      <c r="M1246">
        <f>IF(B1246="","",IFERROR(VALUE(TEXT(B1246,"[$-1170401]mm")),""))</f>
        <v/>
      </c>
    </row>
    <row r="1247">
      <c r="B1247" s="30" t="n"/>
      <c r="G1247" s="9">
        <f>IF(AND(E1247&lt;&gt;"",E1247&lt;&gt;0,H1247&lt;&gt;""),H1247/E1247,"")</f>
        <v/>
      </c>
      <c r="L1247">
        <f>IF(B1247="","",IFERROR(VALUE(TEXT(B1247,"[$-1170401]yyyy")),""))</f>
        <v/>
      </c>
      <c r="M1247">
        <f>IF(B1247="","",IFERROR(VALUE(TEXT(B1247,"[$-1170401]mm")),""))</f>
        <v/>
      </c>
    </row>
    <row r="1248">
      <c r="B1248" s="30" t="n"/>
      <c r="G1248" s="9">
        <f>IF(AND(E1248&lt;&gt;"",E1248&lt;&gt;0,H1248&lt;&gt;""),H1248/E1248,"")</f>
        <v/>
      </c>
      <c r="L1248">
        <f>IF(B1248="","",IFERROR(VALUE(TEXT(B1248,"[$-1170401]yyyy")),""))</f>
        <v/>
      </c>
      <c r="M1248">
        <f>IF(B1248="","",IFERROR(VALUE(TEXT(B1248,"[$-1170401]mm")),""))</f>
        <v/>
      </c>
    </row>
    <row r="1249">
      <c r="B1249" s="30" t="n"/>
      <c r="G1249" s="9">
        <f>IF(AND(E1249&lt;&gt;"",E1249&lt;&gt;0,H1249&lt;&gt;""),H1249/E1249,"")</f>
        <v/>
      </c>
      <c r="L1249">
        <f>IF(B1249="","",IFERROR(VALUE(TEXT(B1249,"[$-1170401]yyyy")),""))</f>
        <v/>
      </c>
      <c r="M1249">
        <f>IF(B1249="","",IFERROR(VALUE(TEXT(B1249,"[$-1170401]mm")),""))</f>
        <v/>
      </c>
    </row>
    <row r="1250">
      <c r="B1250" s="30" t="n"/>
      <c r="G1250" s="9">
        <f>IF(AND(E1250&lt;&gt;"",E1250&lt;&gt;0,H1250&lt;&gt;""),H1250/E1250,"")</f>
        <v/>
      </c>
      <c r="L1250">
        <f>IF(B1250="","",IFERROR(VALUE(TEXT(B1250,"[$-1170401]yyyy")),""))</f>
        <v/>
      </c>
      <c r="M1250">
        <f>IF(B1250="","",IFERROR(VALUE(TEXT(B1250,"[$-1170401]mm")),""))</f>
        <v/>
      </c>
    </row>
    <row r="1251">
      <c r="B1251" s="30" t="n"/>
      <c r="G1251" s="9">
        <f>IF(AND(E1251&lt;&gt;"",E1251&lt;&gt;0,H1251&lt;&gt;""),H1251/E1251,"")</f>
        <v/>
      </c>
      <c r="L1251">
        <f>IF(B1251="","",IFERROR(VALUE(TEXT(B1251,"[$-1170401]yyyy")),""))</f>
        <v/>
      </c>
      <c r="M1251">
        <f>IF(B1251="","",IFERROR(VALUE(TEXT(B1251,"[$-1170401]mm")),""))</f>
        <v/>
      </c>
    </row>
    <row r="1252">
      <c r="B1252" s="30" t="n"/>
      <c r="G1252" s="9">
        <f>IF(AND(E1252&lt;&gt;"",E1252&lt;&gt;0,H1252&lt;&gt;""),H1252/E1252,"")</f>
        <v/>
      </c>
      <c r="L1252">
        <f>IF(B1252="","",IFERROR(VALUE(TEXT(B1252,"[$-1170401]yyyy")),""))</f>
        <v/>
      </c>
      <c r="M1252">
        <f>IF(B1252="","",IFERROR(VALUE(TEXT(B1252,"[$-1170401]mm")),""))</f>
        <v/>
      </c>
    </row>
    <row r="1253">
      <c r="B1253" s="30" t="n"/>
      <c r="G1253" s="9">
        <f>IF(AND(E1253&lt;&gt;"",E1253&lt;&gt;0,H1253&lt;&gt;""),H1253/E1253,"")</f>
        <v/>
      </c>
      <c r="L1253">
        <f>IF(B1253="","",IFERROR(VALUE(TEXT(B1253,"[$-1170401]yyyy")),""))</f>
        <v/>
      </c>
      <c r="M1253">
        <f>IF(B1253="","",IFERROR(VALUE(TEXT(B1253,"[$-1170401]mm")),""))</f>
        <v/>
      </c>
    </row>
    <row r="1254">
      <c r="B1254" s="30" t="n"/>
      <c r="G1254" s="9">
        <f>IF(AND(E1254&lt;&gt;"",E1254&lt;&gt;0,H1254&lt;&gt;""),H1254/E1254,"")</f>
        <v/>
      </c>
      <c r="L1254">
        <f>IF(B1254="","",IFERROR(VALUE(TEXT(B1254,"[$-1170401]yyyy")),""))</f>
        <v/>
      </c>
      <c r="M1254">
        <f>IF(B1254="","",IFERROR(VALUE(TEXT(B1254,"[$-1170401]mm")),""))</f>
        <v/>
      </c>
    </row>
    <row r="1255">
      <c r="B1255" s="30" t="n"/>
      <c r="G1255" s="9">
        <f>IF(AND(E1255&lt;&gt;"",E1255&lt;&gt;0,H1255&lt;&gt;""),H1255/E1255,"")</f>
        <v/>
      </c>
      <c r="L1255">
        <f>IF(B1255="","",IFERROR(VALUE(TEXT(B1255,"[$-1170401]yyyy")),""))</f>
        <v/>
      </c>
      <c r="M1255">
        <f>IF(B1255="","",IFERROR(VALUE(TEXT(B1255,"[$-1170401]mm")),""))</f>
        <v/>
      </c>
    </row>
    <row r="1256">
      <c r="B1256" s="30" t="n"/>
      <c r="G1256" s="9">
        <f>IF(AND(E1256&lt;&gt;"",E1256&lt;&gt;0,H1256&lt;&gt;""),H1256/E1256,"")</f>
        <v/>
      </c>
      <c r="L1256">
        <f>IF(B1256="","",IFERROR(VALUE(TEXT(B1256,"[$-1170401]yyyy")),""))</f>
        <v/>
      </c>
      <c r="M1256">
        <f>IF(B1256="","",IFERROR(VALUE(TEXT(B1256,"[$-1170401]mm")),""))</f>
        <v/>
      </c>
    </row>
    <row r="1257">
      <c r="B1257" s="30" t="n"/>
      <c r="G1257" s="9">
        <f>IF(AND(E1257&lt;&gt;"",E1257&lt;&gt;0,H1257&lt;&gt;""),H1257/E1257,"")</f>
        <v/>
      </c>
      <c r="L1257">
        <f>IF(B1257="","",IFERROR(VALUE(TEXT(B1257,"[$-1170401]yyyy")),""))</f>
        <v/>
      </c>
      <c r="M1257">
        <f>IF(B1257="","",IFERROR(VALUE(TEXT(B1257,"[$-1170401]mm")),""))</f>
        <v/>
      </c>
    </row>
    <row r="1258">
      <c r="B1258" s="30" t="n"/>
      <c r="G1258" s="9">
        <f>IF(AND(E1258&lt;&gt;"",E1258&lt;&gt;0,H1258&lt;&gt;""),H1258/E1258,"")</f>
        <v/>
      </c>
      <c r="L1258">
        <f>IF(B1258="","",IFERROR(VALUE(TEXT(B1258,"[$-1170401]yyyy")),""))</f>
        <v/>
      </c>
      <c r="M1258">
        <f>IF(B1258="","",IFERROR(VALUE(TEXT(B1258,"[$-1170401]mm")),""))</f>
        <v/>
      </c>
    </row>
    <row r="1259">
      <c r="B1259" s="30" t="n"/>
      <c r="G1259" s="9">
        <f>IF(AND(E1259&lt;&gt;"",E1259&lt;&gt;0,H1259&lt;&gt;""),H1259/E1259,"")</f>
        <v/>
      </c>
      <c r="L1259">
        <f>IF(B1259="","",IFERROR(VALUE(TEXT(B1259,"[$-1170401]yyyy")),""))</f>
        <v/>
      </c>
      <c r="M1259">
        <f>IF(B1259="","",IFERROR(VALUE(TEXT(B1259,"[$-1170401]mm")),""))</f>
        <v/>
      </c>
    </row>
    <row r="1260">
      <c r="B1260" s="30" t="n"/>
      <c r="G1260" s="9">
        <f>IF(AND(E1260&lt;&gt;"",E1260&lt;&gt;0,H1260&lt;&gt;""),H1260/E1260,"")</f>
        <v/>
      </c>
      <c r="L1260">
        <f>IF(B1260="","",IFERROR(VALUE(TEXT(B1260,"[$-1170401]yyyy")),""))</f>
        <v/>
      </c>
      <c r="M1260">
        <f>IF(B1260="","",IFERROR(VALUE(TEXT(B1260,"[$-1170401]mm")),""))</f>
        <v/>
      </c>
    </row>
    <row r="1261">
      <c r="B1261" s="30" t="n"/>
      <c r="G1261" s="9">
        <f>IF(AND(E1261&lt;&gt;"",E1261&lt;&gt;0,H1261&lt;&gt;""),H1261/E1261,"")</f>
        <v/>
      </c>
      <c r="L1261">
        <f>IF(B1261="","",IFERROR(VALUE(TEXT(B1261,"[$-1170401]yyyy")),""))</f>
        <v/>
      </c>
      <c r="M1261">
        <f>IF(B1261="","",IFERROR(VALUE(TEXT(B1261,"[$-1170401]mm")),""))</f>
        <v/>
      </c>
    </row>
    <row r="1262">
      <c r="B1262" s="30" t="n"/>
      <c r="G1262" s="9">
        <f>IF(AND(E1262&lt;&gt;"",E1262&lt;&gt;0,H1262&lt;&gt;""),H1262/E1262,"")</f>
        <v/>
      </c>
      <c r="L1262">
        <f>IF(B1262="","",IFERROR(VALUE(TEXT(B1262,"[$-1170401]yyyy")),""))</f>
        <v/>
      </c>
      <c r="M1262">
        <f>IF(B1262="","",IFERROR(VALUE(TEXT(B1262,"[$-1170401]mm")),""))</f>
        <v/>
      </c>
    </row>
    <row r="1263">
      <c r="B1263" s="30" t="n"/>
      <c r="G1263" s="9">
        <f>IF(AND(E1263&lt;&gt;"",E1263&lt;&gt;0,H1263&lt;&gt;""),H1263/E1263,"")</f>
        <v/>
      </c>
      <c r="L1263">
        <f>IF(B1263="","",IFERROR(VALUE(TEXT(B1263,"[$-1170401]yyyy")),""))</f>
        <v/>
      </c>
      <c r="M1263">
        <f>IF(B1263="","",IFERROR(VALUE(TEXT(B1263,"[$-1170401]mm")),""))</f>
        <v/>
      </c>
    </row>
    <row r="1264">
      <c r="B1264" s="30" t="n"/>
      <c r="G1264" s="9">
        <f>IF(AND(E1264&lt;&gt;"",E1264&lt;&gt;0,H1264&lt;&gt;""),H1264/E1264,"")</f>
        <v/>
      </c>
      <c r="L1264">
        <f>IF(B1264="","",IFERROR(VALUE(TEXT(B1264,"[$-1170401]yyyy")),""))</f>
        <v/>
      </c>
      <c r="M1264">
        <f>IF(B1264="","",IFERROR(VALUE(TEXT(B1264,"[$-1170401]mm")),""))</f>
        <v/>
      </c>
    </row>
    <row r="1265">
      <c r="B1265" s="30" t="n"/>
      <c r="G1265" s="9">
        <f>IF(AND(E1265&lt;&gt;"",E1265&lt;&gt;0,H1265&lt;&gt;""),H1265/E1265,"")</f>
        <v/>
      </c>
      <c r="L1265">
        <f>IF(B1265="","",IFERROR(VALUE(TEXT(B1265,"[$-1170401]yyyy")),""))</f>
        <v/>
      </c>
      <c r="M1265">
        <f>IF(B1265="","",IFERROR(VALUE(TEXT(B1265,"[$-1170401]mm")),""))</f>
        <v/>
      </c>
    </row>
    <row r="1266">
      <c r="B1266" s="30" t="n"/>
      <c r="G1266" s="9">
        <f>IF(AND(E1266&lt;&gt;"",E1266&lt;&gt;0,H1266&lt;&gt;""),H1266/E1266,"")</f>
        <v/>
      </c>
      <c r="L1266">
        <f>IF(B1266="","",IFERROR(VALUE(TEXT(B1266,"[$-1170401]yyyy")),""))</f>
        <v/>
      </c>
      <c r="M1266">
        <f>IF(B1266="","",IFERROR(VALUE(TEXT(B1266,"[$-1170401]mm")),""))</f>
        <v/>
      </c>
    </row>
    <row r="1267">
      <c r="B1267" s="30" t="n"/>
      <c r="G1267" s="9">
        <f>IF(AND(E1267&lt;&gt;"",E1267&lt;&gt;0,H1267&lt;&gt;""),H1267/E1267,"")</f>
        <v/>
      </c>
      <c r="L1267">
        <f>IF(B1267="","",IFERROR(VALUE(TEXT(B1267,"[$-1170401]yyyy")),""))</f>
        <v/>
      </c>
      <c r="M1267">
        <f>IF(B1267="","",IFERROR(VALUE(TEXT(B1267,"[$-1170401]mm")),""))</f>
        <v/>
      </c>
    </row>
    <row r="1268">
      <c r="B1268" s="30" t="n"/>
      <c r="G1268" s="9">
        <f>IF(AND(E1268&lt;&gt;"",E1268&lt;&gt;0,H1268&lt;&gt;""),H1268/E1268,"")</f>
        <v/>
      </c>
      <c r="L1268">
        <f>IF(B1268="","",IFERROR(VALUE(TEXT(B1268,"[$-1170401]yyyy")),""))</f>
        <v/>
      </c>
      <c r="M1268">
        <f>IF(B1268="","",IFERROR(VALUE(TEXT(B1268,"[$-1170401]mm")),""))</f>
        <v/>
      </c>
    </row>
    <row r="1269">
      <c r="B1269" s="30" t="n"/>
      <c r="G1269" s="9">
        <f>IF(AND(E1269&lt;&gt;"",E1269&lt;&gt;0,H1269&lt;&gt;""),H1269/E1269,"")</f>
        <v/>
      </c>
      <c r="L1269">
        <f>IF(B1269="","",IFERROR(VALUE(TEXT(B1269,"[$-1170401]yyyy")),""))</f>
        <v/>
      </c>
      <c r="M1269">
        <f>IF(B1269="","",IFERROR(VALUE(TEXT(B1269,"[$-1170401]mm")),""))</f>
        <v/>
      </c>
    </row>
    <row r="1270">
      <c r="B1270" s="30" t="n"/>
      <c r="G1270" s="9">
        <f>IF(AND(E1270&lt;&gt;"",E1270&lt;&gt;0,H1270&lt;&gt;""),H1270/E1270,"")</f>
        <v/>
      </c>
      <c r="L1270">
        <f>IF(B1270="","",IFERROR(VALUE(TEXT(B1270,"[$-1170401]yyyy")),""))</f>
        <v/>
      </c>
      <c r="M1270">
        <f>IF(B1270="","",IFERROR(VALUE(TEXT(B1270,"[$-1170401]mm")),""))</f>
        <v/>
      </c>
    </row>
    <row r="1271">
      <c r="B1271" s="30" t="n"/>
      <c r="G1271" s="9">
        <f>IF(AND(E1271&lt;&gt;"",E1271&lt;&gt;0,H1271&lt;&gt;""),H1271/E1271,"")</f>
        <v/>
      </c>
      <c r="L1271">
        <f>IF(B1271="","",IFERROR(VALUE(TEXT(B1271,"[$-1170401]yyyy")),""))</f>
        <v/>
      </c>
      <c r="M1271">
        <f>IF(B1271="","",IFERROR(VALUE(TEXT(B1271,"[$-1170401]mm")),""))</f>
        <v/>
      </c>
    </row>
    <row r="1272">
      <c r="B1272" s="30" t="n"/>
      <c r="G1272" s="9">
        <f>IF(AND(E1272&lt;&gt;"",E1272&lt;&gt;0,H1272&lt;&gt;""),H1272/E1272,"")</f>
        <v/>
      </c>
      <c r="L1272">
        <f>IF(B1272="","",IFERROR(VALUE(TEXT(B1272,"[$-1170401]yyyy")),""))</f>
        <v/>
      </c>
      <c r="M1272">
        <f>IF(B1272="","",IFERROR(VALUE(TEXT(B1272,"[$-1170401]mm")),""))</f>
        <v/>
      </c>
    </row>
    <row r="1273">
      <c r="B1273" s="30" t="n"/>
      <c r="G1273" s="9">
        <f>IF(AND(E1273&lt;&gt;"",E1273&lt;&gt;0,H1273&lt;&gt;""),H1273/E1273,"")</f>
        <v/>
      </c>
      <c r="L1273">
        <f>IF(B1273="","",IFERROR(VALUE(TEXT(B1273,"[$-1170401]yyyy")),""))</f>
        <v/>
      </c>
      <c r="M1273">
        <f>IF(B1273="","",IFERROR(VALUE(TEXT(B1273,"[$-1170401]mm")),""))</f>
        <v/>
      </c>
    </row>
    <row r="1274">
      <c r="B1274" s="30" t="n"/>
      <c r="G1274" s="9">
        <f>IF(AND(E1274&lt;&gt;"",E1274&lt;&gt;0,H1274&lt;&gt;""),H1274/E1274,"")</f>
        <v/>
      </c>
      <c r="L1274">
        <f>IF(B1274="","",IFERROR(VALUE(TEXT(B1274,"[$-1170401]yyyy")),""))</f>
        <v/>
      </c>
      <c r="M1274">
        <f>IF(B1274="","",IFERROR(VALUE(TEXT(B1274,"[$-1170401]mm")),""))</f>
        <v/>
      </c>
    </row>
    <row r="1275">
      <c r="B1275" s="30" t="n"/>
      <c r="G1275" s="9">
        <f>IF(AND(E1275&lt;&gt;"",E1275&lt;&gt;0,H1275&lt;&gt;""),H1275/E1275,"")</f>
        <v/>
      </c>
      <c r="L1275">
        <f>IF(B1275="","",IFERROR(VALUE(TEXT(B1275,"[$-1170401]yyyy")),""))</f>
        <v/>
      </c>
      <c r="M1275">
        <f>IF(B1275="","",IFERROR(VALUE(TEXT(B1275,"[$-1170401]mm")),""))</f>
        <v/>
      </c>
    </row>
    <row r="1276">
      <c r="B1276" s="30" t="n"/>
      <c r="G1276" s="9">
        <f>IF(AND(E1276&lt;&gt;"",E1276&lt;&gt;0,H1276&lt;&gt;""),H1276/E1276,"")</f>
        <v/>
      </c>
      <c r="L1276">
        <f>IF(B1276="","",IFERROR(VALUE(TEXT(B1276,"[$-1170401]yyyy")),""))</f>
        <v/>
      </c>
      <c r="M1276">
        <f>IF(B1276="","",IFERROR(VALUE(TEXT(B1276,"[$-1170401]mm")),""))</f>
        <v/>
      </c>
    </row>
    <row r="1277">
      <c r="B1277" s="30" t="n"/>
      <c r="G1277" s="9">
        <f>IF(AND(E1277&lt;&gt;"",E1277&lt;&gt;0,H1277&lt;&gt;""),H1277/E1277,"")</f>
        <v/>
      </c>
      <c r="L1277">
        <f>IF(B1277="","",IFERROR(VALUE(TEXT(B1277,"[$-1170401]yyyy")),""))</f>
        <v/>
      </c>
      <c r="M1277">
        <f>IF(B1277="","",IFERROR(VALUE(TEXT(B1277,"[$-1170401]mm")),""))</f>
        <v/>
      </c>
    </row>
    <row r="1278">
      <c r="B1278" s="30" t="n"/>
      <c r="G1278" s="9">
        <f>IF(AND(E1278&lt;&gt;"",E1278&lt;&gt;0,H1278&lt;&gt;""),H1278/E1278,"")</f>
        <v/>
      </c>
      <c r="L1278">
        <f>IF(B1278="","",IFERROR(VALUE(TEXT(B1278,"[$-1170401]yyyy")),""))</f>
        <v/>
      </c>
      <c r="M1278">
        <f>IF(B1278="","",IFERROR(VALUE(TEXT(B1278,"[$-1170401]mm")),""))</f>
        <v/>
      </c>
    </row>
    <row r="1279">
      <c r="B1279" s="30" t="n"/>
      <c r="G1279" s="9">
        <f>IF(AND(E1279&lt;&gt;"",E1279&lt;&gt;0,H1279&lt;&gt;""),H1279/E1279,"")</f>
        <v/>
      </c>
      <c r="L1279">
        <f>IF(B1279="","",IFERROR(VALUE(TEXT(B1279,"[$-1170401]yyyy")),""))</f>
        <v/>
      </c>
      <c r="M1279">
        <f>IF(B1279="","",IFERROR(VALUE(TEXT(B1279,"[$-1170401]mm")),""))</f>
        <v/>
      </c>
    </row>
    <row r="1280">
      <c r="B1280" s="30" t="n"/>
      <c r="G1280" s="9">
        <f>IF(AND(E1280&lt;&gt;"",E1280&lt;&gt;0,H1280&lt;&gt;""),H1280/E1280,"")</f>
        <v/>
      </c>
      <c r="L1280">
        <f>IF(B1280="","",IFERROR(VALUE(TEXT(B1280,"[$-1170401]yyyy")),""))</f>
        <v/>
      </c>
      <c r="M1280">
        <f>IF(B1280="","",IFERROR(VALUE(TEXT(B1280,"[$-1170401]mm")),""))</f>
        <v/>
      </c>
    </row>
    <row r="1281">
      <c r="B1281" s="30" t="n"/>
      <c r="G1281" s="9">
        <f>IF(AND(E1281&lt;&gt;"",E1281&lt;&gt;0,H1281&lt;&gt;""),H1281/E1281,"")</f>
        <v/>
      </c>
      <c r="L1281">
        <f>IF(B1281="","",IFERROR(VALUE(TEXT(B1281,"[$-1170401]yyyy")),""))</f>
        <v/>
      </c>
      <c r="M1281">
        <f>IF(B1281="","",IFERROR(VALUE(TEXT(B1281,"[$-1170401]mm")),""))</f>
        <v/>
      </c>
    </row>
    <row r="1282">
      <c r="B1282" s="30" t="n"/>
      <c r="G1282" s="9">
        <f>IF(AND(E1282&lt;&gt;"",E1282&lt;&gt;0,H1282&lt;&gt;""),H1282/E1282,"")</f>
        <v/>
      </c>
      <c r="L1282">
        <f>IF(B1282="","",IFERROR(VALUE(TEXT(B1282,"[$-1170401]yyyy")),""))</f>
        <v/>
      </c>
      <c r="M1282">
        <f>IF(B1282="","",IFERROR(VALUE(TEXT(B1282,"[$-1170401]mm")),""))</f>
        <v/>
      </c>
    </row>
    <row r="1283">
      <c r="B1283" s="30" t="n"/>
      <c r="G1283" s="9">
        <f>IF(AND(E1283&lt;&gt;"",E1283&lt;&gt;0,H1283&lt;&gt;""),H1283/E1283,"")</f>
        <v/>
      </c>
      <c r="L1283">
        <f>IF(B1283="","",IFERROR(VALUE(TEXT(B1283,"[$-1170401]yyyy")),""))</f>
        <v/>
      </c>
      <c r="M1283">
        <f>IF(B1283="","",IFERROR(VALUE(TEXT(B1283,"[$-1170401]mm")),""))</f>
        <v/>
      </c>
    </row>
    <row r="1284">
      <c r="B1284" s="30" t="n"/>
      <c r="G1284" s="9">
        <f>IF(AND(E1284&lt;&gt;"",E1284&lt;&gt;0,H1284&lt;&gt;""),H1284/E1284,"")</f>
        <v/>
      </c>
      <c r="L1284">
        <f>IF(B1284="","",IFERROR(VALUE(TEXT(B1284,"[$-1170401]yyyy")),""))</f>
        <v/>
      </c>
      <c r="M1284">
        <f>IF(B1284="","",IFERROR(VALUE(TEXT(B1284,"[$-1170401]mm")),""))</f>
        <v/>
      </c>
    </row>
    <row r="1285">
      <c r="B1285" s="30" t="n"/>
      <c r="G1285" s="9">
        <f>IF(AND(E1285&lt;&gt;"",E1285&lt;&gt;0,H1285&lt;&gt;""),H1285/E1285,"")</f>
        <v/>
      </c>
      <c r="L1285">
        <f>IF(B1285="","",IFERROR(VALUE(TEXT(B1285,"[$-1170401]yyyy")),""))</f>
        <v/>
      </c>
      <c r="M1285">
        <f>IF(B1285="","",IFERROR(VALUE(TEXT(B1285,"[$-1170401]mm")),""))</f>
        <v/>
      </c>
    </row>
    <row r="1286">
      <c r="B1286" s="30" t="n"/>
      <c r="G1286" s="9">
        <f>IF(AND(E1286&lt;&gt;"",E1286&lt;&gt;0,H1286&lt;&gt;""),H1286/E1286,"")</f>
        <v/>
      </c>
      <c r="L1286">
        <f>IF(B1286="","",IFERROR(VALUE(TEXT(B1286,"[$-1170401]yyyy")),""))</f>
        <v/>
      </c>
      <c r="M1286">
        <f>IF(B1286="","",IFERROR(VALUE(TEXT(B1286,"[$-1170401]mm")),""))</f>
        <v/>
      </c>
    </row>
    <row r="1287">
      <c r="B1287" s="30" t="n"/>
      <c r="G1287" s="9">
        <f>IF(AND(E1287&lt;&gt;"",E1287&lt;&gt;0,H1287&lt;&gt;""),H1287/E1287,"")</f>
        <v/>
      </c>
      <c r="L1287">
        <f>IF(B1287="","",IFERROR(VALUE(TEXT(B1287,"[$-1170401]yyyy")),""))</f>
        <v/>
      </c>
      <c r="M1287">
        <f>IF(B1287="","",IFERROR(VALUE(TEXT(B1287,"[$-1170401]mm")),""))</f>
        <v/>
      </c>
    </row>
    <row r="1288">
      <c r="B1288" s="30" t="n"/>
      <c r="G1288" s="9">
        <f>IF(AND(E1288&lt;&gt;"",E1288&lt;&gt;0,H1288&lt;&gt;""),H1288/E1288,"")</f>
        <v/>
      </c>
      <c r="L1288">
        <f>IF(B1288="","",IFERROR(VALUE(TEXT(B1288,"[$-1170401]yyyy")),""))</f>
        <v/>
      </c>
      <c r="M1288">
        <f>IF(B1288="","",IFERROR(VALUE(TEXT(B1288,"[$-1170401]mm")),""))</f>
        <v/>
      </c>
    </row>
    <row r="1289">
      <c r="B1289" s="30" t="n"/>
      <c r="G1289" s="9">
        <f>IF(AND(E1289&lt;&gt;"",E1289&lt;&gt;0,H1289&lt;&gt;""),H1289/E1289,"")</f>
        <v/>
      </c>
      <c r="L1289">
        <f>IF(B1289="","",IFERROR(VALUE(TEXT(B1289,"[$-1170401]yyyy")),""))</f>
        <v/>
      </c>
      <c r="M1289">
        <f>IF(B1289="","",IFERROR(VALUE(TEXT(B1289,"[$-1170401]mm")),""))</f>
        <v/>
      </c>
    </row>
    <row r="1290">
      <c r="B1290" s="30" t="n"/>
      <c r="G1290" s="9">
        <f>IF(AND(E1290&lt;&gt;"",E1290&lt;&gt;0,H1290&lt;&gt;""),H1290/E1290,"")</f>
        <v/>
      </c>
      <c r="L1290">
        <f>IF(B1290="","",IFERROR(VALUE(TEXT(B1290,"[$-1170401]yyyy")),""))</f>
        <v/>
      </c>
      <c r="M1290">
        <f>IF(B1290="","",IFERROR(VALUE(TEXT(B1290,"[$-1170401]mm")),""))</f>
        <v/>
      </c>
    </row>
    <row r="1291">
      <c r="B1291" s="30" t="n"/>
      <c r="G1291" s="9">
        <f>IF(AND(E1291&lt;&gt;"",E1291&lt;&gt;0,H1291&lt;&gt;""),H1291/E1291,"")</f>
        <v/>
      </c>
      <c r="L1291">
        <f>IF(B1291="","",IFERROR(VALUE(TEXT(B1291,"[$-1170401]yyyy")),""))</f>
        <v/>
      </c>
      <c r="M1291">
        <f>IF(B1291="","",IFERROR(VALUE(TEXT(B1291,"[$-1170401]mm")),""))</f>
        <v/>
      </c>
    </row>
    <row r="1292">
      <c r="B1292" s="30" t="n"/>
      <c r="G1292" s="9">
        <f>IF(AND(E1292&lt;&gt;"",E1292&lt;&gt;0,H1292&lt;&gt;""),H1292/E1292,"")</f>
        <v/>
      </c>
      <c r="L1292">
        <f>IF(B1292="","",IFERROR(VALUE(TEXT(B1292,"[$-1170401]yyyy")),""))</f>
        <v/>
      </c>
      <c r="M1292">
        <f>IF(B1292="","",IFERROR(VALUE(TEXT(B1292,"[$-1170401]mm")),""))</f>
        <v/>
      </c>
    </row>
    <row r="1293">
      <c r="B1293" s="30" t="n"/>
      <c r="G1293" s="9">
        <f>IF(AND(E1293&lt;&gt;"",E1293&lt;&gt;0,H1293&lt;&gt;""),H1293/E1293,"")</f>
        <v/>
      </c>
      <c r="L1293">
        <f>IF(B1293="","",IFERROR(VALUE(TEXT(B1293,"[$-1170401]yyyy")),""))</f>
        <v/>
      </c>
      <c r="M1293">
        <f>IF(B1293="","",IFERROR(VALUE(TEXT(B1293,"[$-1170401]mm")),""))</f>
        <v/>
      </c>
    </row>
    <row r="1294">
      <c r="B1294" s="30" t="n"/>
      <c r="G1294" s="9">
        <f>IF(AND(E1294&lt;&gt;"",E1294&lt;&gt;0,H1294&lt;&gt;""),H1294/E1294,"")</f>
        <v/>
      </c>
      <c r="L1294">
        <f>IF(B1294="","",IFERROR(VALUE(TEXT(B1294,"[$-1170401]yyyy")),""))</f>
        <v/>
      </c>
      <c r="M1294">
        <f>IF(B1294="","",IFERROR(VALUE(TEXT(B1294,"[$-1170401]mm")),""))</f>
        <v/>
      </c>
    </row>
    <row r="1295">
      <c r="B1295" s="30" t="n"/>
      <c r="G1295" s="9">
        <f>IF(AND(E1295&lt;&gt;"",E1295&lt;&gt;0,H1295&lt;&gt;""),H1295/E1295,"")</f>
        <v/>
      </c>
      <c r="L1295">
        <f>IF(B1295="","",IFERROR(VALUE(TEXT(B1295,"[$-1170401]yyyy")),""))</f>
        <v/>
      </c>
      <c r="M1295">
        <f>IF(B1295="","",IFERROR(VALUE(TEXT(B1295,"[$-1170401]mm")),""))</f>
        <v/>
      </c>
    </row>
    <row r="1296">
      <c r="B1296" s="30" t="n"/>
      <c r="G1296" s="9">
        <f>IF(AND(E1296&lt;&gt;"",E1296&lt;&gt;0,H1296&lt;&gt;""),H1296/E1296,"")</f>
        <v/>
      </c>
      <c r="L1296">
        <f>IF(B1296="","",IFERROR(VALUE(TEXT(B1296,"[$-1170401]yyyy")),""))</f>
        <v/>
      </c>
      <c r="M1296">
        <f>IF(B1296="","",IFERROR(VALUE(TEXT(B1296,"[$-1170401]mm")),""))</f>
        <v/>
      </c>
    </row>
    <row r="1297">
      <c r="B1297" s="30" t="n"/>
      <c r="G1297" s="9">
        <f>IF(AND(E1297&lt;&gt;"",E1297&lt;&gt;0,H1297&lt;&gt;""),H1297/E1297,"")</f>
        <v/>
      </c>
      <c r="L1297">
        <f>IF(B1297="","",IFERROR(VALUE(TEXT(B1297,"[$-1170401]yyyy")),""))</f>
        <v/>
      </c>
      <c r="M1297">
        <f>IF(B1297="","",IFERROR(VALUE(TEXT(B1297,"[$-1170401]mm")),""))</f>
        <v/>
      </c>
    </row>
    <row r="1298">
      <c r="B1298" s="30" t="n"/>
      <c r="G1298" s="9">
        <f>IF(AND(E1298&lt;&gt;"",E1298&lt;&gt;0,H1298&lt;&gt;""),H1298/E1298,"")</f>
        <v/>
      </c>
      <c r="L1298">
        <f>IF(B1298="","",IFERROR(VALUE(TEXT(B1298,"[$-1170401]yyyy")),""))</f>
        <v/>
      </c>
      <c r="M1298">
        <f>IF(B1298="","",IFERROR(VALUE(TEXT(B1298,"[$-1170401]mm")),""))</f>
        <v/>
      </c>
    </row>
    <row r="1299">
      <c r="B1299" s="30" t="n"/>
      <c r="G1299" s="9">
        <f>IF(AND(E1299&lt;&gt;"",E1299&lt;&gt;0,H1299&lt;&gt;""),H1299/E1299,"")</f>
        <v/>
      </c>
      <c r="L1299">
        <f>IF(B1299="","",IFERROR(VALUE(TEXT(B1299,"[$-1170401]yyyy")),""))</f>
        <v/>
      </c>
      <c r="M1299">
        <f>IF(B1299="","",IFERROR(VALUE(TEXT(B1299,"[$-1170401]mm")),""))</f>
        <v/>
      </c>
    </row>
    <row r="1300">
      <c r="B1300" s="30" t="n"/>
      <c r="G1300" s="9">
        <f>IF(AND(E1300&lt;&gt;"",E1300&lt;&gt;0,H1300&lt;&gt;""),H1300/E1300,"")</f>
        <v/>
      </c>
      <c r="L1300">
        <f>IF(B1300="","",IFERROR(VALUE(TEXT(B1300,"[$-1170401]yyyy")),""))</f>
        <v/>
      </c>
      <c r="M1300">
        <f>IF(B1300="","",IFERROR(VALUE(TEXT(B1300,"[$-1170401]mm")),""))</f>
        <v/>
      </c>
    </row>
    <row r="1301">
      <c r="B1301" s="30" t="n"/>
      <c r="G1301" s="9">
        <f>IF(AND(E1301&lt;&gt;"",E1301&lt;&gt;0,H1301&lt;&gt;""),H1301/E1301,"")</f>
        <v/>
      </c>
      <c r="L1301">
        <f>IF(B1301="","",IFERROR(VALUE(TEXT(B1301,"[$-1170401]yyyy")),""))</f>
        <v/>
      </c>
      <c r="M1301">
        <f>IF(B1301="","",IFERROR(VALUE(TEXT(B1301,"[$-1170401]mm")),""))</f>
        <v/>
      </c>
    </row>
    <row r="1302">
      <c r="B1302" s="30" t="n"/>
      <c r="G1302" s="9">
        <f>IF(AND(E1302&lt;&gt;"",E1302&lt;&gt;0,H1302&lt;&gt;""),H1302/E1302,"")</f>
        <v/>
      </c>
      <c r="L1302">
        <f>IF(B1302="","",IFERROR(VALUE(TEXT(B1302,"[$-1170401]yyyy")),""))</f>
        <v/>
      </c>
      <c r="M1302">
        <f>IF(B1302="","",IFERROR(VALUE(TEXT(B1302,"[$-1170401]mm")),""))</f>
        <v/>
      </c>
    </row>
    <row r="1303">
      <c r="B1303" s="30" t="n"/>
      <c r="G1303" s="9">
        <f>IF(AND(E1303&lt;&gt;"",E1303&lt;&gt;0,H1303&lt;&gt;""),H1303/E1303,"")</f>
        <v/>
      </c>
      <c r="L1303">
        <f>IF(B1303="","",IFERROR(VALUE(TEXT(B1303,"[$-1170401]yyyy")),""))</f>
        <v/>
      </c>
      <c r="M1303">
        <f>IF(B1303="","",IFERROR(VALUE(TEXT(B1303,"[$-1170401]mm")),""))</f>
        <v/>
      </c>
    </row>
    <row r="1304">
      <c r="B1304" s="30" t="n"/>
      <c r="G1304" s="9">
        <f>IF(AND(E1304&lt;&gt;"",E1304&lt;&gt;0,H1304&lt;&gt;""),H1304/E1304,"")</f>
        <v/>
      </c>
      <c r="L1304">
        <f>IF(B1304="","",IFERROR(VALUE(TEXT(B1304,"[$-1170401]yyyy")),""))</f>
        <v/>
      </c>
      <c r="M1304">
        <f>IF(B1304="","",IFERROR(VALUE(TEXT(B1304,"[$-1170401]mm")),""))</f>
        <v/>
      </c>
    </row>
    <row r="1305">
      <c r="B1305" s="30" t="n"/>
      <c r="G1305" s="9">
        <f>IF(AND(E1305&lt;&gt;"",E1305&lt;&gt;0,H1305&lt;&gt;""),H1305/E1305,"")</f>
        <v/>
      </c>
      <c r="L1305">
        <f>IF(B1305="","",IFERROR(VALUE(TEXT(B1305,"[$-1170401]yyyy")),""))</f>
        <v/>
      </c>
      <c r="M1305">
        <f>IF(B1305="","",IFERROR(VALUE(TEXT(B1305,"[$-1170401]mm")),""))</f>
        <v/>
      </c>
    </row>
    <row r="1306">
      <c r="B1306" s="30" t="n"/>
      <c r="G1306" s="9">
        <f>IF(AND(E1306&lt;&gt;"",E1306&lt;&gt;0,H1306&lt;&gt;""),H1306/E1306,"")</f>
        <v/>
      </c>
      <c r="L1306">
        <f>IF(B1306="","",IFERROR(VALUE(TEXT(B1306,"[$-1170401]yyyy")),""))</f>
        <v/>
      </c>
      <c r="M1306">
        <f>IF(B1306="","",IFERROR(VALUE(TEXT(B1306,"[$-1170401]mm")),""))</f>
        <v/>
      </c>
    </row>
    <row r="1307">
      <c r="B1307" s="30" t="n"/>
      <c r="G1307" s="9">
        <f>IF(AND(E1307&lt;&gt;"",E1307&lt;&gt;0,H1307&lt;&gt;""),H1307/E1307,"")</f>
        <v/>
      </c>
      <c r="L1307">
        <f>IF(B1307="","",IFERROR(VALUE(TEXT(B1307,"[$-1170401]yyyy")),""))</f>
        <v/>
      </c>
      <c r="M1307">
        <f>IF(B1307="","",IFERROR(VALUE(TEXT(B1307,"[$-1170401]mm")),""))</f>
        <v/>
      </c>
    </row>
    <row r="1308">
      <c r="B1308" s="30" t="n"/>
      <c r="G1308" s="9">
        <f>IF(AND(E1308&lt;&gt;"",E1308&lt;&gt;0,H1308&lt;&gt;""),H1308/E1308,"")</f>
        <v/>
      </c>
      <c r="L1308">
        <f>IF(B1308="","",IFERROR(VALUE(TEXT(B1308,"[$-1170401]yyyy")),""))</f>
        <v/>
      </c>
      <c r="M1308">
        <f>IF(B1308="","",IFERROR(VALUE(TEXT(B1308,"[$-1170401]mm")),""))</f>
        <v/>
      </c>
    </row>
    <row r="1309">
      <c r="B1309" s="30" t="n"/>
      <c r="G1309" s="9">
        <f>IF(AND(E1309&lt;&gt;"",E1309&lt;&gt;0,H1309&lt;&gt;""),H1309/E1309,"")</f>
        <v/>
      </c>
      <c r="L1309">
        <f>IF(B1309="","",IFERROR(VALUE(TEXT(B1309,"[$-1170401]yyyy")),""))</f>
        <v/>
      </c>
      <c r="M1309">
        <f>IF(B1309="","",IFERROR(VALUE(TEXT(B1309,"[$-1170401]mm")),""))</f>
        <v/>
      </c>
    </row>
    <row r="1310">
      <c r="B1310" s="30" t="n"/>
      <c r="G1310" s="9">
        <f>IF(AND(E1310&lt;&gt;"",E1310&lt;&gt;0,H1310&lt;&gt;""),H1310/E1310,"")</f>
        <v/>
      </c>
      <c r="L1310">
        <f>IF(B1310="","",IFERROR(VALUE(TEXT(B1310,"[$-1170401]yyyy")),""))</f>
        <v/>
      </c>
      <c r="M1310">
        <f>IF(B1310="","",IFERROR(VALUE(TEXT(B1310,"[$-1170401]mm")),""))</f>
        <v/>
      </c>
    </row>
    <row r="1311">
      <c r="B1311" s="30" t="n"/>
      <c r="G1311" s="9">
        <f>IF(AND(E1311&lt;&gt;"",E1311&lt;&gt;0,H1311&lt;&gt;""),H1311/E1311,"")</f>
        <v/>
      </c>
      <c r="L1311">
        <f>IF(B1311="","",IFERROR(VALUE(TEXT(B1311,"[$-1170401]yyyy")),""))</f>
        <v/>
      </c>
      <c r="M1311">
        <f>IF(B1311="","",IFERROR(VALUE(TEXT(B1311,"[$-1170401]mm")),""))</f>
        <v/>
      </c>
    </row>
    <row r="1312">
      <c r="B1312" s="30" t="n"/>
      <c r="G1312" s="9">
        <f>IF(AND(E1312&lt;&gt;"",E1312&lt;&gt;0,H1312&lt;&gt;""),H1312/E1312,"")</f>
        <v/>
      </c>
      <c r="L1312">
        <f>IF(B1312="","",IFERROR(VALUE(TEXT(B1312,"[$-1170401]yyyy")),""))</f>
        <v/>
      </c>
      <c r="M1312">
        <f>IF(B1312="","",IFERROR(VALUE(TEXT(B1312,"[$-1170401]mm")),""))</f>
        <v/>
      </c>
    </row>
    <row r="1313">
      <c r="B1313" s="30" t="n"/>
      <c r="G1313" s="9">
        <f>IF(AND(E1313&lt;&gt;"",E1313&lt;&gt;0,H1313&lt;&gt;""),H1313/E1313,"")</f>
        <v/>
      </c>
      <c r="L1313">
        <f>IF(B1313="","",IFERROR(VALUE(TEXT(B1313,"[$-1170401]yyyy")),""))</f>
        <v/>
      </c>
      <c r="M1313">
        <f>IF(B1313="","",IFERROR(VALUE(TEXT(B1313,"[$-1170401]mm")),""))</f>
        <v/>
      </c>
    </row>
    <row r="1314">
      <c r="B1314" s="30" t="n"/>
      <c r="G1314" s="9">
        <f>IF(AND(E1314&lt;&gt;"",E1314&lt;&gt;0,H1314&lt;&gt;""),H1314/E1314,"")</f>
        <v/>
      </c>
      <c r="L1314">
        <f>IF(B1314="","",IFERROR(VALUE(TEXT(B1314,"[$-1170401]yyyy")),""))</f>
        <v/>
      </c>
      <c r="M1314">
        <f>IF(B1314="","",IFERROR(VALUE(TEXT(B1314,"[$-1170401]mm")),""))</f>
        <v/>
      </c>
    </row>
    <row r="1315">
      <c r="B1315" s="30" t="n"/>
      <c r="G1315" s="9">
        <f>IF(AND(E1315&lt;&gt;"",E1315&lt;&gt;0,H1315&lt;&gt;""),H1315/E1315,"")</f>
        <v/>
      </c>
      <c r="L1315">
        <f>IF(B1315="","",IFERROR(VALUE(TEXT(B1315,"[$-1170401]yyyy")),""))</f>
        <v/>
      </c>
      <c r="M1315">
        <f>IF(B1315="","",IFERROR(VALUE(TEXT(B1315,"[$-1170401]mm")),""))</f>
        <v/>
      </c>
    </row>
    <row r="1316">
      <c r="B1316" s="30" t="n"/>
      <c r="G1316" s="9">
        <f>IF(AND(E1316&lt;&gt;"",E1316&lt;&gt;0,H1316&lt;&gt;""),H1316/E1316,"")</f>
        <v/>
      </c>
      <c r="L1316">
        <f>IF(B1316="","",IFERROR(VALUE(TEXT(B1316,"[$-1170401]yyyy")),""))</f>
        <v/>
      </c>
      <c r="M1316">
        <f>IF(B1316="","",IFERROR(VALUE(TEXT(B1316,"[$-1170401]mm")),""))</f>
        <v/>
      </c>
    </row>
    <row r="1317">
      <c r="B1317" s="30" t="n"/>
      <c r="G1317" s="9">
        <f>IF(AND(E1317&lt;&gt;"",E1317&lt;&gt;0,H1317&lt;&gt;""),H1317/E1317,"")</f>
        <v/>
      </c>
      <c r="L1317">
        <f>IF(B1317="","",IFERROR(VALUE(TEXT(B1317,"[$-1170401]yyyy")),""))</f>
        <v/>
      </c>
      <c r="M1317">
        <f>IF(B1317="","",IFERROR(VALUE(TEXT(B1317,"[$-1170401]mm")),""))</f>
        <v/>
      </c>
    </row>
    <row r="1318">
      <c r="B1318" s="30" t="n"/>
      <c r="G1318" s="9">
        <f>IF(AND(E1318&lt;&gt;"",E1318&lt;&gt;0,H1318&lt;&gt;""),H1318/E1318,"")</f>
        <v/>
      </c>
      <c r="L1318">
        <f>IF(B1318="","",IFERROR(VALUE(TEXT(B1318,"[$-1170401]yyyy")),""))</f>
        <v/>
      </c>
      <c r="M1318">
        <f>IF(B1318="","",IFERROR(VALUE(TEXT(B1318,"[$-1170401]mm")),""))</f>
        <v/>
      </c>
    </row>
    <row r="1319">
      <c r="B1319" s="30" t="n"/>
      <c r="G1319" s="9">
        <f>IF(AND(E1319&lt;&gt;"",E1319&lt;&gt;0,H1319&lt;&gt;""),H1319/E1319,"")</f>
        <v/>
      </c>
      <c r="L1319">
        <f>IF(B1319="","",IFERROR(VALUE(TEXT(B1319,"[$-1170401]yyyy")),""))</f>
        <v/>
      </c>
      <c r="M1319">
        <f>IF(B1319="","",IFERROR(VALUE(TEXT(B1319,"[$-1170401]mm")),""))</f>
        <v/>
      </c>
    </row>
    <row r="1320">
      <c r="B1320" s="30" t="n"/>
      <c r="G1320" s="9">
        <f>IF(AND(E1320&lt;&gt;"",E1320&lt;&gt;0,H1320&lt;&gt;""),H1320/E1320,"")</f>
        <v/>
      </c>
      <c r="L1320">
        <f>IF(B1320="","",IFERROR(VALUE(TEXT(B1320,"[$-1170401]yyyy")),""))</f>
        <v/>
      </c>
      <c r="M1320">
        <f>IF(B1320="","",IFERROR(VALUE(TEXT(B1320,"[$-1170401]mm")),""))</f>
        <v/>
      </c>
    </row>
    <row r="1321">
      <c r="B1321" s="30" t="n"/>
      <c r="G1321" s="9">
        <f>IF(AND(E1321&lt;&gt;"",E1321&lt;&gt;0,H1321&lt;&gt;""),H1321/E1321,"")</f>
        <v/>
      </c>
      <c r="L1321">
        <f>IF(B1321="","",IFERROR(VALUE(TEXT(B1321,"[$-1170401]yyyy")),""))</f>
        <v/>
      </c>
      <c r="M1321">
        <f>IF(B1321="","",IFERROR(VALUE(TEXT(B1321,"[$-1170401]mm")),""))</f>
        <v/>
      </c>
    </row>
    <row r="1322">
      <c r="B1322" s="30" t="n"/>
      <c r="G1322" s="9">
        <f>IF(AND(E1322&lt;&gt;"",E1322&lt;&gt;0,H1322&lt;&gt;""),H1322/E1322,"")</f>
        <v/>
      </c>
      <c r="L1322">
        <f>IF(B1322="","",IFERROR(VALUE(TEXT(B1322,"[$-1170401]yyyy")),""))</f>
        <v/>
      </c>
      <c r="M1322">
        <f>IF(B1322="","",IFERROR(VALUE(TEXT(B1322,"[$-1170401]mm")),""))</f>
        <v/>
      </c>
    </row>
    <row r="1323">
      <c r="B1323" s="30" t="n"/>
      <c r="G1323" s="9">
        <f>IF(AND(E1323&lt;&gt;"",E1323&lt;&gt;0,H1323&lt;&gt;""),H1323/E1323,"")</f>
        <v/>
      </c>
      <c r="L1323">
        <f>IF(B1323="","",IFERROR(VALUE(TEXT(B1323,"[$-1170401]yyyy")),""))</f>
        <v/>
      </c>
      <c r="M1323">
        <f>IF(B1323="","",IFERROR(VALUE(TEXT(B1323,"[$-1170401]mm")),""))</f>
        <v/>
      </c>
    </row>
    <row r="1324">
      <c r="B1324" s="30" t="n"/>
      <c r="G1324" s="9">
        <f>IF(AND(E1324&lt;&gt;"",E1324&lt;&gt;0,H1324&lt;&gt;""),H1324/E1324,"")</f>
        <v/>
      </c>
      <c r="L1324">
        <f>IF(B1324="","",IFERROR(VALUE(TEXT(B1324,"[$-1170401]yyyy")),""))</f>
        <v/>
      </c>
      <c r="M1324">
        <f>IF(B1324="","",IFERROR(VALUE(TEXT(B1324,"[$-1170401]mm")),""))</f>
        <v/>
      </c>
    </row>
    <row r="1325">
      <c r="B1325" s="30" t="n"/>
      <c r="G1325" s="9">
        <f>IF(AND(E1325&lt;&gt;"",E1325&lt;&gt;0,H1325&lt;&gt;""),H1325/E1325,"")</f>
        <v/>
      </c>
      <c r="L1325">
        <f>IF(B1325="","",IFERROR(VALUE(TEXT(B1325,"[$-1170401]yyyy")),""))</f>
        <v/>
      </c>
      <c r="M1325">
        <f>IF(B1325="","",IFERROR(VALUE(TEXT(B1325,"[$-1170401]mm")),""))</f>
        <v/>
      </c>
    </row>
    <row r="1326">
      <c r="B1326" s="30" t="n"/>
      <c r="G1326" s="9">
        <f>IF(AND(E1326&lt;&gt;"",E1326&lt;&gt;0,H1326&lt;&gt;""),H1326/E1326,"")</f>
        <v/>
      </c>
      <c r="L1326">
        <f>IF(B1326="","",IFERROR(VALUE(TEXT(B1326,"[$-1170401]yyyy")),""))</f>
        <v/>
      </c>
      <c r="M1326">
        <f>IF(B1326="","",IFERROR(VALUE(TEXT(B1326,"[$-1170401]mm")),""))</f>
        <v/>
      </c>
    </row>
    <row r="1327">
      <c r="B1327" s="30" t="n"/>
      <c r="G1327" s="9">
        <f>IF(AND(E1327&lt;&gt;"",E1327&lt;&gt;0,H1327&lt;&gt;""),H1327/E1327,"")</f>
        <v/>
      </c>
      <c r="L1327">
        <f>IF(B1327="","",IFERROR(VALUE(TEXT(B1327,"[$-1170401]yyyy")),""))</f>
        <v/>
      </c>
      <c r="M1327">
        <f>IF(B1327="","",IFERROR(VALUE(TEXT(B1327,"[$-1170401]mm")),""))</f>
        <v/>
      </c>
    </row>
    <row r="1328">
      <c r="B1328" s="30" t="n"/>
      <c r="G1328" s="9">
        <f>IF(AND(E1328&lt;&gt;"",E1328&lt;&gt;0,H1328&lt;&gt;""),H1328/E1328,"")</f>
        <v/>
      </c>
      <c r="L1328">
        <f>IF(B1328="","",IFERROR(VALUE(TEXT(B1328,"[$-1170401]yyyy")),""))</f>
        <v/>
      </c>
      <c r="M1328">
        <f>IF(B1328="","",IFERROR(VALUE(TEXT(B1328,"[$-1170401]mm")),""))</f>
        <v/>
      </c>
    </row>
    <row r="1329">
      <c r="B1329" s="30" t="n"/>
      <c r="G1329" s="9">
        <f>IF(AND(E1329&lt;&gt;"",E1329&lt;&gt;0,H1329&lt;&gt;""),H1329/E1329,"")</f>
        <v/>
      </c>
      <c r="L1329">
        <f>IF(B1329="","",IFERROR(VALUE(TEXT(B1329,"[$-1170401]yyyy")),""))</f>
        <v/>
      </c>
      <c r="M1329">
        <f>IF(B1329="","",IFERROR(VALUE(TEXT(B1329,"[$-1170401]mm")),""))</f>
        <v/>
      </c>
    </row>
    <row r="1330">
      <c r="B1330" s="30" t="n"/>
      <c r="G1330" s="9">
        <f>IF(AND(E1330&lt;&gt;"",E1330&lt;&gt;0,H1330&lt;&gt;""),H1330/E1330,"")</f>
        <v/>
      </c>
      <c r="L1330">
        <f>IF(B1330="","",IFERROR(VALUE(TEXT(B1330,"[$-1170401]yyyy")),""))</f>
        <v/>
      </c>
      <c r="M1330">
        <f>IF(B1330="","",IFERROR(VALUE(TEXT(B1330,"[$-1170401]mm")),""))</f>
        <v/>
      </c>
    </row>
    <row r="1331">
      <c r="B1331" s="30" t="n"/>
      <c r="G1331" s="9">
        <f>IF(AND(E1331&lt;&gt;"",E1331&lt;&gt;0,H1331&lt;&gt;""),H1331/E1331,"")</f>
        <v/>
      </c>
      <c r="L1331">
        <f>IF(B1331="","",IFERROR(VALUE(TEXT(B1331,"[$-1170401]yyyy")),""))</f>
        <v/>
      </c>
      <c r="M1331">
        <f>IF(B1331="","",IFERROR(VALUE(TEXT(B1331,"[$-1170401]mm")),""))</f>
        <v/>
      </c>
    </row>
    <row r="1332">
      <c r="B1332" s="30" t="n"/>
      <c r="G1332" s="9">
        <f>IF(AND(E1332&lt;&gt;"",E1332&lt;&gt;0,H1332&lt;&gt;""),H1332/E1332,"")</f>
        <v/>
      </c>
      <c r="L1332">
        <f>IF(B1332="","",IFERROR(VALUE(TEXT(B1332,"[$-1170401]yyyy")),""))</f>
        <v/>
      </c>
      <c r="M1332">
        <f>IF(B1332="","",IFERROR(VALUE(TEXT(B1332,"[$-1170401]mm")),""))</f>
        <v/>
      </c>
    </row>
    <row r="1333">
      <c r="B1333" s="30" t="n"/>
      <c r="G1333" s="9">
        <f>IF(AND(E1333&lt;&gt;"",E1333&lt;&gt;0,H1333&lt;&gt;""),H1333/E1333,"")</f>
        <v/>
      </c>
      <c r="L1333">
        <f>IF(B1333="","",IFERROR(VALUE(TEXT(B1333,"[$-1170401]yyyy")),""))</f>
        <v/>
      </c>
      <c r="M1333">
        <f>IF(B1333="","",IFERROR(VALUE(TEXT(B1333,"[$-1170401]mm")),""))</f>
        <v/>
      </c>
    </row>
    <row r="1334">
      <c r="B1334" s="30" t="n"/>
      <c r="G1334" s="9">
        <f>IF(AND(E1334&lt;&gt;"",E1334&lt;&gt;0,H1334&lt;&gt;""),H1334/E1334,"")</f>
        <v/>
      </c>
      <c r="L1334">
        <f>IF(B1334="","",IFERROR(VALUE(TEXT(B1334,"[$-1170401]yyyy")),""))</f>
        <v/>
      </c>
      <c r="M1334">
        <f>IF(B1334="","",IFERROR(VALUE(TEXT(B1334,"[$-1170401]mm")),""))</f>
        <v/>
      </c>
    </row>
    <row r="1335">
      <c r="B1335" s="30" t="n"/>
      <c r="G1335" s="9">
        <f>IF(AND(E1335&lt;&gt;"",E1335&lt;&gt;0,H1335&lt;&gt;""),H1335/E1335,"")</f>
        <v/>
      </c>
      <c r="L1335">
        <f>IF(B1335="","",IFERROR(VALUE(TEXT(B1335,"[$-1170401]yyyy")),""))</f>
        <v/>
      </c>
      <c r="M1335">
        <f>IF(B1335="","",IFERROR(VALUE(TEXT(B1335,"[$-1170401]mm")),""))</f>
        <v/>
      </c>
    </row>
    <row r="1336">
      <c r="B1336" s="30" t="n"/>
      <c r="G1336" s="9">
        <f>IF(AND(E1336&lt;&gt;"",E1336&lt;&gt;0,H1336&lt;&gt;""),H1336/E1336,"")</f>
        <v/>
      </c>
      <c r="L1336">
        <f>IF(B1336="","",IFERROR(VALUE(TEXT(B1336,"[$-1170401]yyyy")),""))</f>
        <v/>
      </c>
      <c r="M1336">
        <f>IF(B1336="","",IFERROR(VALUE(TEXT(B1336,"[$-1170401]mm")),""))</f>
        <v/>
      </c>
    </row>
    <row r="1337">
      <c r="B1337" s="30" t="n"/>
      <c r="G1337" s="9">
        <f>IF(AND(E1337&lt;&gt;"",E1337&lt;&gt;0,H1337&lt;&gt;""),H1337/E1337,"")</f>
        <v/>
      </c>
      <c r="L1337">
        <f>IF(B1337="","",IFERROR(VALUE(TEXT(B1337,"[$-1170401]yyyy")),""))</f>
        <v/>
      </c>
      <c r="M1337">
        <f>IF(B1337="","",IFERROR(VALUE(TEXT(B1337,"[$-1170401]mm")),""))</f>
        <v/>
      </c>
    </row>
    <row r="1338">
      <c r="B1338" s="30" t="n"/>
      <c r="G1338" s="9">
        <f>IF(AND(E1338&lt;&gt;"",E1338&lt;&gt;0,H1338&lt;&gt;""),H1338/E1338,"")</f>
        <v/>
      </c>
      <c r="L1338">
        <f>IF(B1338="","",IFERROR(VALUE(TEXT(B1338,"[$-1170401]yyyy")),""))</f>
        <v/>
      </c>
      <c r="M1338">
        <f>IF(B1338="","",IFERROR(VALUE(TEXT(B1338,"[$-1170401]mm")),""))</f>
        <v/>
      </c>
    </row>
    <row r="1339">
      <c r="B1339" s="30" t="n"/>
      <c r="G1339" s="9">
        <f>IF(AND(E1339&lt;&gt;"",E1339&lt;&gt;0,H1339&lt;&gt;""),H1339/E1339,"")</f>
        <v/>
      </c>
      <c r="L1339">
        <f>IF(B1339="","",IFERROR(VALUE(TEXT(B1339,"[$-1170401]yyyy")),""))</f>
        <v/>
      </c>
      <c r="M1339">
        <f>IF(B1339="","",IFERROR(VALUE(TEXT(B1339,"[$-1170401]mm")),""))</f>
        <v/>
      </c>
    </row>
    <row r="1340">
      <c r="B1340" s="30" t="n"/>
      <c r="G1340" s="9">
        <f>IF(AND(E1340&lt;&gt;"",E1340&lt;&gt;0,H1340&lt;&gt;""),H1340/E1340,"")</f>
        <v/>
      </c>
      <c r="L1340">
        <f>IF(B1340="","",IFERROR(VALUE(TEXT(B1340,"[$-1170401]yyyy")),""))</f>
        <v/>
      </c>
      <c r="M1340">
        <f>IF(B1340="","",IFERROR(VALUE(TEXT(B1340,"[$-1170401]mm")),""))</f>
        <v/>
      </c>
    </row>
    <row r="1341">
      <c r="B1341" s="30" t="n"/>
      <c r="G1341" s="9">
        <f>IF(AND(E1341&lt;&gt;"",E1341&lt;&gt;0,H1341&lt;&gt;""),H1341/E1341,"")</f>
        <v/>
      </c>
      <c r="L1341">
        <f>IF(B1341="","",IFERROR(VALUE(TEXT(B1341,"[$-1170401]yyyy")),""))</f>
        <v/>
      </c>
      <c r="M1341">
        <f>IF(B1341="","",IFERROR(VALUE(TEXT(B1341,"[$-1170401]mm")),""))</f>
        <v/>
      </c>
    </row>
    <row r="1342">
      <c r="B1342" s="30" t="n"/>
      <c r="G1342" s="9">
        <f>IF(AND(E1342&lt;&gt;"",E1342&lt;&gt;0,H1342&lt;&gt;""),H1342/E1342,"")</f>
        <v/>
      </c>
      <c r="L1342">
        <f>IF(B1342="","",IFERROR(VALUE(TEXT(B1342,"[$-1170401]yyyy")),""))</f>
        <v/>
      </c>
      <c r="M1342">
        <f>IF(B1342="","",IFERROR(VALUE(TEXT(B1342,"[$-1170401]mm")),""))</f>
        <v/>
      </c>
    </row>
    <row r="1343">
      <c r="B1343" s="30" t="n"/>
      <c r="G1343" s="9">
        <f>IF(AND(E1343&lt;&gt;"",E1343&lt;&gt;0,H1343&lt;&gt;""),H1343/E1343,"")</f>
        <v/>
      </c>
      <c r="L1343">
        <f>IF(B1343="","",IFERROR(VALUE(TEXT(B1343,"[$-1170401]yyyy")),""))</f>
        <v/>
      </c>
      <c r="M1343">
        <f>IF(B1343="","",IFERROR(VALUE(TEXT(B1343,"[$-1170401]mm")),""))</f>
        <v/>
      </c>
    </row>
    <row r="1344">
      <c r="B1344" s="30" t="n"/>
      <c r="G1344" s="9">
        <f>IF(AND(E1344&lt;&gt;"",E1344&lt;&gt;0,H1344&lt;&gt;""),H1344/E1344,"")</f>
        <v/>
      </c>
      <c r="L1344">
        <f>IF(B1344="","",IFERROR(VALUE(TEXT(B1344,"[$-1170401]yyyy")),""))</f>
        <v/>
      </c>
      <c r="M1344">
        <f>IF(B1344="","",IFERROR(VALUE(TEXT(B1344,"[$-1170401]mm")),""))</f>
        <v/>
      </c>
    </row>
    <row r="1345">
      <c r="B1345" s="30" t="n"/>
      <c r="G1345" s="9">
        <f>IF(AND(E1345&lt;&gt;"",E1345&lt;&gt;0,H1345&lt;&gt;""),H1345/E1345,"")</f>
        <v/>
      </c>
      <c r="L1345">
        <f>IF(B1345="","",IFERROR(VALUE(TEXT(B1345,"[$-1170401]yyyy")),""))</f>
        <v/>
      </c>
      <c r="M1345">
        <f>IF(B1345="","",IFERROR(VALUE(TEXT(B1345,"[$-1170401]mm")),""))</f>
        <v/>
      </c>
    </row>
    <row r="1346">
      <c r="B1346" s="30" t="n"/>
      <c r="G1346" s="9">
        <f>IF(AND(E1346&lt;&gt;"",E1346&lt;&gt;0,H1346&lt;&gt;""),H1346/E1346,"")</f>
        <v/>
      </c>
      <c r="L1346">
        <f>IF(B1346="","",IFERROR(VALUE(TEXT(B1346,"[$-1170401]yyyy")),""))</f>
        <v/>
      </c>
      <c r="M1346">
        <f>IF(B1346="","",IFERROR(VALUE(TEXT(B1346,"[$-1170401]mm")),""))</f>
        <v/>
      </c>
    </row>
    <row r="1347">
      <c r="B1347" s="30" t="n"/>
      <c r="G1347" s="9">
        <f>IF(AND(E1347&lt;&gt;"",E1347&lt;&gt;0,H1347&lt;&gt;""),H1347/E1347,"")</f>
        <v/>
      </c>
      <c r="L1347">
        <f>IF(B1347="","",IFERROR(VALUE(TEXT(B1347,"[$-1170401]yyyy")),""))</f>
        <v/>
      </c>
      <c r="M1347">
        <f>IF(B1347="","",IFERROR(VALUE(TEXT(B1347,"[$-1170401]mm")),""))</f>
        <v/>
      </c>
    </row>
    <row r="1348">
      <c r="B1348" s="30" t="n"/>
      <c r="G1348" s="9">
        <f>IF(AND(E1348&lt;&gt;"",E1348&lt;&gt;0,H1348&lt;&gt;""),H1348/E1348,"")</f>
        <v/>
      </c>
      <c r="L1348">
        <f>IF(B1348="","",IFERROR(VALUE(TEXT(B1348,"[$-1170401]yyyy")),""))</f>
        <v/>
      </c>
      <c r="M1348">
        <f>IF(B1348="","",IFERROR(VALUE(TEXT(B1348,"[$-1170401]mm")),""))</f>
        <v/>
      </c>
    </row>
    <row r="1349">
      <c r="B1349" s="30" t="n"/>
      <c r="G1349" s="9">
        <f>IF(AND(E1349&lt;&gt;"",E1349&lt;&gt;0,H1349&lt;&gt;""),H1349/E1349,"")</f>
        <v/>
      </c>
      <c r="L1349">
        <f>IF(B1349="","",IFERROR(VALUE(TEXT(B1349,"[$-1170401]yyyy")),""))</f>
        <v/>
      </c>
      <c r="M1349">
        <f>IF(B1349="","",IFERROR(VALUE(TEXT(B1349,"[$-1170401]mm")),""))</f>
        <v/>
      </c>
    </row>
    <row r="1350">
      <c r="B1350" s="30" t="n"/>
      <c r="G1350" s="9">
        <f>IF(AND(E1350&lt;&gt;"",E1350&lt;&gt;0,H1350&lt;&gt;""),H1350/E1350,"")</f>
        <v/>
      </c>
      <c r="L1350">
        <f>IF(B1350="","",IFERROR(VALUE(TEXT(B1350,"[$-1170401]yyyy")),""))</f>
        <v/>
      </c>
      <c r="M1350">
        <f>IF(B1350="","",IFERROR(VALUE(TEXT(B1350,"[$-1170401]mm")),""))</f>
        <v/>
      </c>
    </row>
    <row r="1351">
      <c r="B1351" s="30" t="n"/>
      <c r="G1351" s="9">
        <f>IF(AND(E1351&lt;&gt;"",E1351&lt;&gt;0,H1351&lt;&gt;""),H1351/E1351,"")</f>
        <v/>
      </c>
      <c r="L1351">
        <f>IF(B1351="","",IFERROR(VALUE(TEXT(B1351,"[$-1170401]yyyy")),""))</f>
        <v/>
      </c>
      <c r="M1351">
        <f>IF(B1351="","",IFERROR(VALUE(TEXT(B1351,"[$-1170401]mm")),""))</f>
        <v/>
      </c>
    </row>
    <row r="1352">
      <c r="B1352" s="30" t="n"/>
      <c r="G1352" s="9">
        <f>IF(AND(E1352&lt;&gt;"",E1352&lt;&gt;0,H1352&lt;&gt;""),H1352/E1352,"")</f>
        <v/>
      </c>
      <c r="L1352">
        <f>IF(B1352="","",IFERROR(VALUE(TEXT(B1352,"[$-1170401]yyyy")),""))</f>
        <v/>
      </c>
      <c r="M1352">
        <f>IF(B1352="","",IFERROR(VALUE(TEXT(B1352,"[$-1170401]mm")),""))</f>
        <v/>
      </c>
    </row>
    <row r="1353">
      <c r="B1353" s="30" t="n"/>
      <c r="G1353" s="9">
        <f>IF(AND(E1353&lt;&gt;"",E1353&lt;&gt;0,H1353&lt;&gt;""),H1353/E1353,"")</f>
        <v/>
      </c>
      <c r="L1353">
        <f>IF(B1353="","",IFERROR(VALUE(TEXT(B1353,"[$-1170401]yyyy")),""))</f>
        <v/>
      </c>
      <c r="M1353">
        <f>IF(B1353="","",IFERROR(VALUE(TEXT(B1353,"[$-1170401]mm")),""))</f>
        <v/>
      </c>
    </row>
    <row r="1354">
      <c r="B1354" s="30" t="n"/>
      <c r="G1354" s="9">
        <f>IF(AND(E1354&lt;&gt;"",E1354&lt;&gt;0,H1354&lt;&gt;""),H1354/E1354,"")</f>
        <v/>
      </c>
      <c r="L1354">
        <f>IF(B1354="","",IFERROR(VALUE(TEXT(B1354,"[$-1170401]yyyy")),""))</f>
        <v/>
      </c>
      <c r="M1354">
        <f>IF(B1354="","",IFERROR(VALUE(TEXT(B1354,"[$-1170401]mm")),""))</f>
        <v/>
      </c>
    </row>
    <row r="1355">
      <c r="B1355" s="30" t="n"/>
      <c r="G1355" s="9">
        <f>IF(AND(E1355&lt;&gt;"",E1355&lt;&gt;0,H1355&lt;&gt;""),H1355/E1355,"")</f>
        <v/>
      </c>
      <c r="L1355">
        <f>IF(B1355="","",IFERROR(VALUE(TEXT(B1355,"[$-1170401]yyyy")),""))</f>
        <v/>
      </c>
      <c r="M1355">
        <f>IF(B1355="","",IFERROR(VALUE(TEXT(B1355,"[$-1170401]mm")),""))</f>
        <v/>
      </c>
    </row>
    <row r="1356">
      <c r="B1356" s="30" t="n"/>
      <c r="G1356" s="9">
        <f>IF(AND(E1356&lt;&gt;"",E1356&lt;&gt;0,H1356&lt;&gt;""),H1356/E1356,"")</f>
        <v/>
      </c>
      <c r="L1356">
        <f>IF(B1356="","",IFERROR(VALUE(TEXT(B1356,"[$-1170401]yyyy")),""))</f>
        <v/>
      </c>
      <c r="M1356">
        <f>IF(B1356="","",IFERROR(VALUE(TEXT(B1356,"[$-1170401]mm")),""))</f>
        <v/>
      </c>
    </row>
    <row r="1357">
      <c r="B1357" s="30" t="n"/>
      <c r="G1357" s="9">
        <f>IF(AND(E1357&lt;&gt;"",E1357&lt;&gt;0,H1357&lt;&gt;""),H1357/E1357,"")</f>
        <v/>
      </c>
      <c r="L1357">
        <f>IF(B1357="","",IFERROR(VALUE(TEXT(B1357,"[$-1170401]yyyy")),""))</f>
        <v/>
      </c>
      <c r="M1357">
        <f>IF(B1357="","",IFERROR(VALUE(TEXT(B1357,"[$-1170401]mm")),""))</f>
        <v/>
      </c>
    </row>
    <row r="1358">
      <c r="B1358" s="30" t="n"/>
      <c r="G1358" s="9">
        <f>IF(AND(E1358&lt;&gt;"",E1358&lt;&gt;0,H1358&lt;&gt;""),H1358/E1358,"")</f>
        <v/>
      </c>
      <c r="L1358">
        <f>IF(B1358="","",IFERROR(VALUE(TEXT(B1358,"[$-1170401]yyyy")),""))</f>
        <v/>
      </c>
      <c r="M1358">
        <f>IF(B1358="","",IFERROR(VALUE(TEXT(B1358,"[$-1170401]mm")),""))</f>
        <v/>
      </c>
    </row>
    <row r="1359">
      <c r="B1359" s="30" t="n"/>
      <c r="G1359" s="9">
        <f>IF(AND(E1359&lt;&gt;"",E1359&lt;&gt;0,H1359&lt;&gt;""),H1359/E1359,"")</f>
        <v/>
      </c>
      <c r="L1359">
        <f>IF(B1359="","",IFERROR(VALUE(TEXT(B1359,"[$-1170401]yyyy")),""))</f>
        <v/>
      </c>
      <c r="M1359">
        <f>IF(B1359="","",IFERROR(VALUE(TEXT(B1359,"[$-1170401]mm")),""))</f>
        <v/>
      </c>
    </row>
    <row r="1360">
      <c r="B1360" s="30" t="n"/>
      <c r="G1360" s="9">
        <f>IF(AND(E1360&lt;&gt;"",E1360&lt;&gt;0,H1360&lt;&gt;""),H1360/E1360,"")</f>
        <v/>
      </c>
      <c r="L1360">
        <f>IF(B1360="","",IFERROR(VALUE(TEXT(B1360,"[$-1170401]yyyy")),""))</f>
        <v/>
      </c>
      <c r="M1360">
        <f>IF(B1360="","",IFERROR(VALUE(TEXT(B1360,"[$-1170401]mm")),""))</f>
        <v/>
      </c>
    </row>
    <row r="1361">
      <c r="B1361" s="30" t="n"/>
      <c r="G1361" s="9">
        <f>IF(AND(E1361&lt;&gt;"",E1361&lt;&gt;0,H1361&lt;&gt;""),H1361/E1361,"")</f>
        <v/>
      </c>
      <c r="L1361">
        <f>IF(B1361="","",IFERROR(VALUE(TEXT(B1361,"[$-1170401]yyyy")),""))</f>
        <v/>
      </c>
      <c r="M1361">
        <f>IF(B1361="","",IFERROR(VALUE(TEXT(B1361,"[$-1170401]mm")),""))</f>
        <v/>
      </c>
    </row>
    <row r="1362">
      <c r="B1362" s="30" t="n"/>
      <c r="G1362" s="9">
        <f>IF(AND(E1362&lt;&gt;"",E1362&lt;&gt;0,H1362&lt;&gt;""),H1362/E1362,"")</f>
        <v/>
      </c>
      <c r="L1362">
        <f>IF(B1362="","",IFERROR(VALUE(TEXT(B1362,"[$-1170401]yyyy")),""))</f>
        <v/>
      </c>
      <c r="M1362">
        <f>IF(B1362="","",IFERROR(VALUE(TEXT(B1362,"[$-1170401]mm")),""))</f>
        <v/>
      </c>
    </row>
    <row r="1363">
      <c r="B1363" s="30" t="n"/>
      <c r="G1363" s="9">
        <f>IF(AND(E1363&lt;&gt;"",E1363&lt;&gt;0,H1363&lt;&gt;""),H1363/E1363,"")</f>
        <v/>
      </c>
      <c r="L1363">
        <f>IF(B1363="","",IFERROR(VALUE(TEXT(B1363,"[$-1170401]yyyy")),""))</f>
        <v/>
      </c>
      <c r="M1363">
        <f>IF(B1363="","",IFERROR(VALUE(TEXT(B1363,"[$-1170401]mm")),""))</f>
        <v/>
      </c>
    </row>
    <row r="1364">
      <c r="B1364" s="30" t="n"/>
      <c r="G1364" s="9">
        <f>IF(AND(E1364&lt;&gt;"",E1364&lt;&gt;0,H1364&lt;&gt;""),H1364/E1364,"")</f>
        <v/>
      </c>
      <c r="L1364">
        <f>IF(B1364="","",IFERROR(VALUE(TEXT(B1364,"[$-1170401]yyyy")),""))</f>
        <v/>
      </c>
      <c r="M1364">
        <f>IF(B1364="","",IFERROR(VALUE(TEXT(B1364,"[$-1170401]mm")),""))</f>
        <v/>
      </c>
    </row>
    <row r="1365">
      <c r="B1365" s="30" t="n"/>
      <c r="G1365" s="9">
        <f>IF(AND(E1365&lt;&gt;"",E1365&lt;&gt;0,H1365&lt;&gt;""),H1365/E1365,"")</f>
        <v/>
      </c>
      <c r="L1365">
        <f>IF(B1365="","",IFERROR(VALUE(TEXT(B1365,"[$-1170401]yyyy")),""))</f>
        <v/>
      </c>
      <c r="M1365">
        <f>IF(B1365="","",IFERROR(VALUE(TEXT(B1365,"[$-1170401]mm")),""))</f>
        <v/>
      </c>
    </row>
    <row r="1366">
      <c r="B1366" s="30" t="n"/>
      <c r="G1366" s="9">
        <f>IF(AND(E1366&lt;&gt;"",E1366&lt;&gt;0,H1366&lt;&gt;""),H1366/E1366,"")</f>
        <v/>
      </c>
      <c r="L1366">
        <f>IF(B1366="","",IFERROR(VALUE(TEXT(B1366,"[$-1170401]yyyy")),""))</f>
        <v/>
      </c>
      <c r="M1366">
        <f>IF(B1366="","",IFERROR(VALUE(TEXT(B1366,"[$-1170401]mm")),""))</f>
        <v/>
      </c>
    </row>
    <row r="1367">
      <c r="B1367" s="30" t="n"/>
      <c r="G1367" s="9">
        <f>IF(AND(E1367&lt;&gt;"",E1367&lt;&gt;0,H1367&lt;&gt;""),H1367/E1367,"")</f>
        <v/>
      </c>
      <c r="L1367">
        <f>IF(B1367="","",IFERROR(VALUE(TEXT(B1367,"[$-1170401]yyyy")),""))</f>
        <v/>
      </c>
      <c r="M1367">
        <f>IF(B1367="","",IFERROR(VALUE(TEXT(B1367,"[$-1170401]mm")),""))</f>
        <v/>
      </c>
    </row>
    <row r="1368">
      <c r="B1368" s="30" t="n"/>
      <c r="G1368" s="9">
        <f>IF(AND(E1368&lt;&gt;"",E1368&lt;&gt;0,H1368&lt;&gt;""),H1368/E1368,"")</f>
        <v/>
      </c>
      <c r="L1368">
        <f>IF(B1368="","",IFERROR(VALUE(TEXT(B1368,"[$-1170401]yyyy")),""))</f>
        <v/>
      </c>
      <c r="M1368">
        <f>IF(B1368="","",IFERROR(VALUE(TEXT(B1368,"[$-1170401]mm")),""))</f>
        <v/>
      </c>
    </row>
    <row r="1369">
      <c r="B1369" s="30" t="n"/>
      <c r="G1369" s="9">
        <f>IF(AND(E1369&lt;&gt;"",E1369&lt;&gt;0,H1369&lt;&gt;""),H1369/E1369,"")</f>
        <v/>
      </c>
      <c r="L1369">
        <f>IF(B1369="","",IFERROR(VALUE(TEXT(B1369,"[$-1170401]yyyy")),""))</f>
        <v/>
      </c>
      <c r="M1369">
        <f>IF(B1369="","",IFERROR(VALUE(TEXT(B1369,"[$-1170401]mm")),""))</f>
        <v/>
      </c>
    </row>
    <row r="1370">
      <c r="B1370" s="30" t="n"/>
      <c r="G1370" s="9">
        <f>IF(AND(E1370&lt;&gt;"",E1370&lt;&gt;0,H1370&lt;&gt;""),H1370/E1370,"")</f>
        <v/>
      </c>
      <c r="L1370">
        <f>IF(B1370="","",IFERROR(VALUE(TEXT(B1370,"[$-1170401]yyyy")),""))</f>
        <v/>
      </c>
      <c r="M1370">
        <f>IF(B1370="","",IFERROR(VALUE(TEXT(B1370,"[$-1170401]mm")),""))</f>
        <v/>
      </c>
    </row>
    <row r="1371">
      <c r="B1371" s="30" t="n"/>
      <c r="G1371" s="9">
        <f>IF(AND(E1371&lt;&gt;"",E1371&lt;&gt;0,H1371&lt;&gt;""),H1371/E1371,"")</f>
        <v/>
      </c>
      <c r="L1371">
        <f>IF(B1371="","",IFERROR(VALUE(TEXT(B1371,"[$-1170401]yyyy")),""))</f>
        <v/>
      </c>
      <c r="M1371">
        <f>IF(B1371="","",IFERROR(VALUE(TEXT(B1371,"[$-1170401]mm")),""))</f>
        <v/>
      </c>
    </row>
    <row r="1372">
      <c r="B1372" s="30" t="n"/>
      <c r="G1372" s="9">
        <f>IF(AND(E1372&lt;&gt;"",E1372&lt;&gt;0,H1372&lt;&gt;""),H1372/E1372,"")</f>
        <v/>
      </c>
      <c r="L1372">
        <f>IF(B1372="","",IFERROR(VALUE(TEXT(B1372,"[$-1170401]yyyy")),""))</f>
        <v/>
      </c>
      <c r="M1372">
        <f>IF(B1372="","",IFERROR(VALUE(TEXT(B1372,"[$-1170401]mm")),""))</f>
        <v/>
      </c>
    </row>
    <row r="1373">
      <c r="B1373" s="30" t="n"/>
      <c r="G1373" s="9">
        <f>IF(AND(E1373&lt;&gt;"",E1373&lt;&gt;0,H1373&lt;&gt;""),H1373/E1373,"")</f>
        <v/>
      </c>
      <c r="L1373">
        <f>IF(B1373="","",IFERROR(VALUE(TEXT(B1373,"[$-1170401]yyyy")),""))</f>
        <v/>
      </c>
      <c r="M1373">
        <f>IF(B1373="","",IFERROR(VALUE(TEXT(B1373,"[$-1170401]mm")),""))</f>
        <v/>
      </c>
    </row>
    <row r="1374">
      <c r="B1374" s="30" t="n"/>
      <c r="G1374" s="9">
        <f>IF(AND(E1374&lt;&gt;"",E1374&lt;&gt;0,H1374&lt;&gt;""),H1374/E1374,"")</f>
        <v/>
      </c>
      <c r="L1374">
        <f>IF(B1374="","",IFERROR(VALUE(TEXT(B1374,"[$-1170401]yyyy")),""))</f>
        <v/>
      </c>
      <c r="M1374">
        <f>IF(B1374="","",IFERROR(VALUE(TEXT(B1374,"[$-1170401]mm")),""))</f>
        <v/>
      </c>
    </row>
    <row r="1375">
      <c r="B1375" s="30" t="n"/>
      <c r="G1375" s="9">
        <f>IF(AND(E1375&lt;&gt;"",E1375&lt;&gt;0,H1375&lt;&gt;""),H1375/E1375,"")</f>
        <v/>
      </c>
      <c r="L1375">
        <f>IF(B1375="","",IFERROR(VALUE(TEXT(B1375,"[$-1170401]yyyy")),""))</f>
        <v/>
      </c>
      <c r="M1375">
        <f>IF(B1375="","",IFERROR(VALUE(TEXT(B1375,"[$-1170401]mm")),""))</f>
        <v/>
      </c>
    </row>
    <row r="1376">
      <c r="B1376" s="30" t="n"/>
      <c r="G1376" s="9">
        <f>IF(AND(E1376&lt;&gt;"",E1376&lt;&gt;0,H1376&lt;&gt;""),H1376/E1376,"")</f>
        <v/>
      </c>
      <c r="L1376">
        <f>IF(B1376="","",IFERROR(VALUE(TEXT(B1376,"[$-1170401]yyyy")),""))</f>
        <v/>
      </c>
      <c r="M1376">
        <f>IF(B1376="","",IFERROR(VALUE(TEXT(B1376,"[$-1170401]mm")),""))</f>
        <v/>
      </c>
    </row>
    <row r="1377">
      <c r="B1377" s="30" t="n"/>
      <c r="G1377" s="9">
        <f>IF(AND(E1377&lt;&gt;"",E1377&lt;&gt;0,H1377&lt;&gt;""),H1377/E1377,"")</f>
        <v/>
      </c>
      <c r="L1377">
        <f>IF(B1377="","",IFERROR(VALUE(TEXT(B1377,"[$-1170401]yyyy")),""))</f>
        <v/>
      </c>
      <c r="M1377">
        <f>IF(B1377="","",IFERROR(VALUE(TEXT(B1377,"[$-1170401]mm")),""))</f>
        <v/>
      </c>
    </row>
    <row r="1378">
      <c r="B1378" s="30" t="n"/>
      <c r="G1378" s="9">
        <f>IF(AND(E1378&lt;&gt;"",E1378&lt;&gt;0,H1378&lt;&gt;""),H1378/E1378,"")</f>
        <v/>
      </c>
      <c r="L1378">
        <f>IF(B1378="","",IFERROR(VALUE(TEXT(B1378,"[$-1170401]yyyy")),""))</f>
        <v/>
      </c>
      <c r="M1378">
        <f>IF(B1378="","",IFERROR(VALUE(TEXT(B1378,"[$-1170401]mm")),""))</f>
        <v/>
      </c>
    </row>
    <row r="1379">
      <c r="B1379" s="30" t="n"/>
      <c r="G1379" s="9">
        <f>IF(AND(E1379&lt;&gt;"",E1379&lt;&gt;0,H1379&lt;&gt;""),H1379/E1379,"")</f>
        <v/>
      </c>
      <c r="L1379">
        <f>IF(B1379="","",IFERROR(VALUE(TEXT(B1379,"[$-1170401]yyyy")),""))</f>
        <v/>
      </c>
      <c r="M1379">
        <f>IF(B1379="","",IFERROR(VALUE(TEXT(B1379,"[$-1170401]mm")),""))</f>
        <v/>
      </c>
    </row>
    <row r="1380">
      <c r="B1380" s="30" t="n"/>
      <c r="G1380" s="9">
        <f>IF(AND(E1380&lt;&gt;"",E1380&lt;&gt;0,H1380&lt;&gt;""),H1380/E1380,"")</f>
        <v/>
      </c>
      <c r="L1380">
        <f>IF(B1380="","",IFERROR(VALUE(TEXT(B1380,"[$-1170401]yyyy")),""))</f>
        <v/>
      </c>
      <c r="M1380">
        <f>IF(B1380="","",IFERROR(VALUE(TEXT(B1380,"[$-1170401]mm")),""))</f>
        <v/>
      </c>
    </row>
    <row r="1381">
      <c r="B1381" s="30" t="n"/>
      <c r="G1381" s="9">
        <f>IF(AND(E1381&lt;&gt;"",E1381&lt;&gt;0,H1381&lt;&gt;""),H1381/E1381,"")</f>
        <v/>
      </c>
      <c r="L1381">
        <f>IF(B1381="","",IFERROR(VALUE(TEXT(B1381,"[$-1170401]yyyy")),""))</f>
        <v/>
      </c>
      <c r="M1381">
        <f>IF(B1381="","",IFERROR(VALUE(TEXT(B1381,"[$-1170401]mm")),""))</f>
        <v/>
      </c>
    </row>
    <row r="1382">
      <c r="B1382" s="30" t="n"/>
      <c r="G1382" s="9">
        <f>IF(AND(E1382&lt;&gt;"",E1382&lt;&gt;0,H1382&lt;&gt;""),H1382/E1382,"")</f>
        <v/>
      </c>
      <c r="L1382">
        <f>IF(B1382="","",IFERROR(VALUE(TEXT(B1382,"[$-1170401]yyyy")),""))</f>
        <v/>
      </c>
      <c r="M1382">
        <f>IF(B1382="","",IFERROR(VALUE(TEXT(B1382,"[$-1170401]mm")),""))</f>
        <v/>
      </c>
    </row>
    <row r="1383">
      <c r="B1383" s="30" t="n"/>
      <c r="G1383" s="9">
        <f>IF(AND(E1383&lt;&gt;"",E1383&lt;&gt;0,H1383&lt;&gt;""),H1383/E1383,"")</f>
        <v/>
      </c>
      <c r="L1383">
        <f>IF(B1383="","",IFERROR(VALUE(TEXT(B1383,"[$-1170401]yyyy")),""))</f>
        <v/>
      </c>
      <c r="M1383">
        <f>IF(B1383="","",IFERROR(VALUE(TEXT(B1383,"[$-1170401]mm")),""))</f>
        <v/>
      </c>
    </row>
    <row r="1384">
      <c r="B1384" s="30" t="n"/>
      <c r="G1384" s="9">
        <f>IF(AND(E1384&lt;&gt;"",E1384&lt;&gt;0,H1384&lt;&gt;""),H1384/E1384,"")</f>
        <v/>
      </c>
      <c r="L1384">
        <f>IF(B1384="","",IFERROR(VALUE(TEXT(B1384,"[$-1170401]yyyy")),""))</f>
        <v/>
      </c>
      <c r="M1384">
        <f>IF(B1384="","",IFERROR(VALUE(TEXT(B1384,"[$-1170401]mm")),""))</f>
        <v/>
      </c>
    </row>
    <row r="1385">
      <c r="B1385" s="30" t="n"/>
      <c r="G1385" s="9">
        <f>IF(AND(E1385&lt;&gt;"",E1385&lt;&gt;0,H1385&lt;&gt;""),H1385/E1385,"")</f>
        <v/>
      </c>
      <c r="L1385">
        <f>IF(B1385="","",IFERROR(VALUE(TEXT(B1385,"[$-1170401]yyyy")),""))</f>
        <v/>
      </c>
      <c r="M1385">
        <f>IF(B1385="","",IFERROR(VALUE(TEXT(B1385,"[$-1170401]mm")),""))</f>
        <v/>
      </c>
    </row>
    <row r="1386">
      <c r="B1386" s="30" t="n"/>
      <c r="G1386" s="9">
        <f>IF(AND(E1386&lt;&gt;"",E1386&lt;&gt;0,H1386&lt;&gt;""),H1386/E1386,"")</f>
        <v/>
      </c>
      <c r="L1386">
        <f>IF(B1386="","",IFERROR(VALUE(TEXT(B1386,"[$-1170401]yyyy")),""))</f>
        <v/>
      </c>
      <c r="M1386">
        <f>IF(B1386="","",IFERROR(VALUE(TEXT(B1386,"[$-1170401]mm")),""))</f>
        <v/>
      </c>
    </row>
    <row r="1387">
      <c r="B1387" s="30" t="n"/>
      <c r="G1387" s="9">
        <f>IF(AND(E1387&lt;&gt;"",E1387&lt;&gt;0,H1387&lt;&gt;""),H1387/E1387,"")</f>
        <v/>
      </c>
      <c r="L1387">
        <f>IF(B1387="","",IFERROR(VALUE(TEXT(B1387,"[$-1170401]yyyy")),""))</f>
        <v/>
      </c>
      <c r="M1387">
        <f>IF(B1387="","",IFERROR(VALUE(TEXT(B1387,"[$-1170401]mm")),""))</f>
        <v/>
      </c>
    </row>
    <row r="1388">
      <c r="B1388" s="30" t="n"/>
      <c r="G1388" s="9">
        <f>IF(AND(E1388&lt;&gt;"",E1388&lt;&gt;0,H1388&lt;&gt;""),H1388/E1388,"")</f>
        <v/>
      </c>
      <c r="L1388">
        <f>IF(B1388="","",IFERROR(VALUE(TEXT(B1388,"[$-1170401]yyyy")),""))</f>
        <v/>
      </c>
      <c r="M1388">
        <f>IF(B1388="","",IFERROR(VALUE(TEXT(B1388,"[$-1170401]mm")),""))</f>
        <v/>
      </c>
    </row>
    <row r="1389">
      <c r="B1389" s="30" t="n"/>
      <c r="G1389" s="9">
        <f>IF(AND(E1389&lt;&gt;"",E1389&lt;&gt;0,H1389&lt;&gt;""),H1389/E1389,"")</f>
        <v/>
      </c>
      <c r="L1389">
        <f>IF(B1389="","",IFERROR(VALUE(TEXT(B1389,"[$-1170401]yyyy")),""))</f>
        <v/>
      </c>
      <c r="M1389">
        <f>IF(B1389="","",IFERROR(VALUE(TEXT(B1389,"[$-1170401]mm")),""))</f>
        <v/>
      </c>
    </row>
    <row r="1390">
      <c r="B1390" s="30" t="n"/>
      <c r="G1390" s="9">
        <f>IF(AND(E1390&lt;&gt;"",E1390&lt;&gt;0,H1390&lt;&gt;""),H1390/E1390,"")</f>
        <v/>
      </c>
      <c r="L1390">
        <f>IF(B1390="","",IFERROR(VALUE(TEXT(B1390,"[$-1170401]yyyy")),""))</f>
        <v/>
      </c>
      <c r="M1390">
        <f>IF(B1390="","",IFERROR(VALUE(TEXT(B1390,"[$-1170401]mm")),""))</f>
        <v/>
      </c>
    </row>
    <row r="1391">
      <c r="B1391" s="30" t="n"/>
      <c r="G1391" s="9">
        <f>IF(AND(E1391&lt;&gt;"",E1391&lt;&gt;0,H1391&lt;&gt;""),H1391/E1391,"")</f>
        <v/>
      </c>
      <c r="L1391">
        <f>IF(B1391="","",IFERROR(VALUE(TEXT(B1391,"[$-1170401]yyyy")),""))</f>
        <v/>
      </c>
      <c r="M1391">
        <f>IF(B1391="","",IFERROR(VALUE(TEXT(B1391,"[$-1170401]mm")),""))</f>
        <v/>
      </c>
    </row>
    <row r="1392">
      <c r="B1392" s="30" t="n"/>
      <c r="G1392" s="9">
        <f>IF(AND(E1392&lt;&gt;"",E1392&lt;&gt;0,H1392&lt;&gt;""),H1392/E1392,"")</f>
        <v/>
      </c>
      <c r="L1392">
        <f>IF(B1392="","",IFERROR(VALUE(TEXT(B1392,"[$-1170401]yyyy")),""))</f>
        <v/>
      </c>
      <c r="M1392">
        <f>IF(B1392="","",IFERROR(VALUE(TEXT(B1392,"[$-1170401]mm")),""))</f>
        <v/>
      </c>
    </row>
    <row r="1393">
      <c r="B1393" s="30" t="n"/>
      <c r="G1393" s="9">
        <f>IF(AND(E1393&lt;&gt;"",E1393&lt;&gt;0,H1393&lt;&gt;""),H1393/E1393,"")</f>
        <v/>
      </c>
      <c r="L1393">
        <f>IF(B1393="","",IFERROR(VALUE(TEXT(B1393,"[$-1170401]yyyy")),""))</f>
        <v/>
      </c>
      <c r="M1393">
        <f>IF(B1393="","",IFERROR(VALUE(TEXT(B1393,"[$-1170401]mm")),""))</f>
        <v/>
      </c>
    </row>
    <row r="1394">
      <c r="B1394" s="30" t="n"/>
      <c r="G1394" s="9">
        <f>IF(AND(E1394&lt;&gt;"",E1394&lt;&gt;0,H1394&lt;&gt;""),H1394/E1394,"")</f>
        <v/>
      </c>
      <c r="L1394">
        <f>IF(B1394="","",IFERROR(VALUE(TEXT(B1394,"[$-1170401]yyyy")),""))</f>
        <v/>
      </c>
      <c r="M1394">
        <f>IF(B1394="","",IFERROR(VALUE(TEXT(B1394,"[$-1170401]mm")),""))</f>
        <v/>
      </c>
    </row>
    <row r="1395">
      <c r="B1395" s="30" t="n"/>
      <c r="G1395" s="9">
        <f>IF(AND(E1395&lt;&gt;"",E1395&lt;&gt;0,H1395&lt;&gt;""),H1395/E1395,"")</f>
        <v/>
      </c>
      <c r="L1395">
        <f>IF(B1395="","",IFERROR(VALUE(TEXT(B1395,"[$-1170401]yyyy")),""))</f>
        <v/>
      </c>
      <c r="M1395">
        <f>IF(B1395="","",IFERROR(VALUE(TEXT(B1395,"[$-1170401]mm")),""))</f>
        <v/>
      </c>
    </row>
    <row r="1396">
      <c r="B1396" s="30" t="n"/>
      <c r="G1396" s="9">
        <f>IF(AND(E1396&lt;&gt;"",E1396&lt;&gt;0,H1396&lt;&gt;""),H1396/E1396,"")</f>
        <v/>
      </c>
      <c r="L1396">
        <f>IF(B1396="","",IFERROR(VALUE(TEXT(B1396,"[$-1170401]yyyy")),""))</f>
        <v/>
      </c>
      <c r="M1396">
        <f>IF(B1396="","",IFERROR(VALUE(TEXT(B1396,"[$-1170401]mm")),""))</f>
        <v/>
      </c>
    </row>
    <row r="1397">
      <c r="B1397" s="30" t="n"/>
      <c r="G1397" s="9">
        <f>IF(AND(E1397&lt;&gt;"",E1397&lt;&gt;0,H1397&lt;&gt;""),H1397/E1397,"")</f>
        <v/>
      </c>
      <c r="L1397">
        <f>IF(B1397="","",IFERROR(VALUE(TEXT(B1397,"[$-1170401]yyyy")),""))</f>
        <v/>
      </c>
      <c r="M1397">
        <f>IF(B1397="","",IFERROR(VALUE(TEXT(B1397,"[$-1170401]mm")),""))</f>
        <v/>
      </c>
    </row>
    <row r="1398">
      <c r="B1398" s="30" t="n"/>
      <c r="G1398" s="9">
        <f>IF(AND(E1398&lt;&gt;"",E1398&lt;&gt;0,H1398&lt;&gt;""),H1398/E1398,"")</f>
        <v/>
      </c>
      <c r="L1398">
        <f>IF(B1398="","",IFERROR(VALUE(TEXT(B1398,"[$-1170401]yyyy")),""))</f>
        <v/>
      </c>
      <c r="M1398">
        <f>IF(B1398="","",IFERROR(VALUE(TEXT(B1398,"[$-1170401]mm")),""))</f>
        <v/>
      </c>
    </row>
    <row r="1399">
      <c r="B1399" s="30" t="n"/>
      <c r="G1399" s="9">
        <f>IF(AND(E1399&lt;&gt;"",E1399&lt;&gt;0,H1399&lt;&gt;""),H1399/E1399,"")</f>
        <v/>
      </c>
      <c r="L1399">
        <f>IF(B1399="","",IFERROR(VALUE(TEXT(B1399,"[$-1170401]yyyy")),""))</f>
        <v/>
      </c>
      <c r="M1399">
        <f>IF(B1399="","",IFERROR(VALUE(TEXT(B1399,"[$-1170401]mm")),""))</f>
        <v/>
      </c>
    </row>
    <row r="1400">
      <c r="B1400" s="30" t="n"/>
      <c r="G1400" s="9">
        <f>IF(AND(E1400&lt;&gt;"",E1400&lt;&gt;0,H1400&lt;&gt;""),H1400/E1400,"")</f>
        <v/>
      </c>
      <c r="L1400">
        <f>IF(B1400="","",IFERROR(VALUE(TEXT(B1400,"[$-1170401]yyyy")),""))</f>
        <v/>
      </c>
      <c r="M1400">
        <f>IF(B1400="","",IFERROR(VALUE(TEXT(B1400,"[$-1170401]mm")),""))</f>
        <v/>
      </c>
    </row>
    <row r="1401">
      <c r="B1401" s="30" t="n"/>
      <c r="G1401" s="9">
        <f>IF(AND(E1401&lt;&gt;"",E1401&lt;&gt;0,H1401&lt;&gt;""),H1401/E1401,"")</f>
        <v/>
      </c>
      <c r="L1401">
        <f>IF(B1401="","",IFERROR(VALUE(TEXT(B1401,"[$-1170401]yyyy")),""))</f>
        <v/>
      </c>
      <c r="M1401">
        <f>IF(B1401="","",IFERROR(VALUE(TEXT(B1401,"[$-1170401]mm")),""))</f>
        <v/>
      </c>
    </row>
    <row r="1402">
      <c r="B1402" s="30" t="n"/>
      <c r="G1402" s="9">
        <f>IF(AND(E1402&lt;&gt;"",E1402&lt;&gt;0,H1402&lt;&gt;""),H1402/E1402,"")</f>
        <v/>
      </c>
      <c r="L1402">
        <f>IF(B1402="","",IFERROR(VALUE(TEXT(B1402,"[$-1170401]yyyy")),""))</f>
        <v/>
      </c>
      <c r="M1402">
        <f>IF(B1402="","",IFERROR(VALUE(TEXT(B1402,"[$-1170401]mm")),""))</f>
        <v/>
      </c>
    </row>
    <row r="1403">
      <c r="B1403" s="30" t="n"/>
      <c r="G1403" s="9">
        <f>IF(AND(E1403&lt;&gt;"",E1403&lt;&gt;0,H1403&lt;&gt;""),H1403/E1403,"")</f>
        <v/>
      </c>
      <c r="L1403">
        <f>IF(B1403="","",IFERROR(VALUE(TEXT(B1403,"[$-1170401]yyyy")),""))</f>
        <v/>
      </c>
      <c r="M1403">
        <f>IF(B1403="","",IFERROR(VALUE(TEXT(B1403,"[$-1170401]mm")),""))</f>
        <v/>
      </c>
    </row>
    <row r="1404">
      <c r="B1404" s="30" t="n"/>
      <c r="G1404" s="9">
        <f>IF(AND(E1404&lt;&gt;"",E1404&lt;&gt;0,H1404&lt;&gt;""),H1404/E1404,"")</f>
        <v/>
      </c>
      <c r="L1404">
        <f>IF(B1404="","",IFERROR(VALUE(TEXT(B1404,"[$-1170401]yyyy")),""))</f>
        <v/>
      </c>
      <c r="M1404">
        <f>IF(B1404="","",IFERROR(VALUE(TEXT(B1404,"[$-1170401]mm")),""))</f>
        <v/>
      </c>
    </row>
    <row r="1405">
      <c r="B1405" s="30" t="n"/>
      <c r="G1405" s="9">
        <f>IF(AND(E1405&lt;&gt;"",E1405&lt;&gt;0,H1405&lt;&gt;""),H1405/E1405,"")</f>
        <v/>
      </c>
      <c r="L1405">
        <f>IF(B1405="","",IFERROR(VALUE(TEXT(B1405,"[$-1170401]yyyy")),""))</f>
        <v/>
      </c>
      <c r="M1405">
        <f>IF(B1405="","",IFERROR(VALUE(TEXT(B1405,"[$-1170401]mm")),""))</f>
        <v/>
      </c>
    </row>
    <row r="1406">
      <c r="B1406" s="30" t="n"/>
      <c r="G1406" s="9">
        <f>IF(AND(E1406&lt;&gt;"",E1406&lt;&gt;0,H1406&lt;&gt;""),H1406/E1406,"")</f>
        <v/>
      </c>
      <c r="L1406">
        <f>IF(B1406="","",IFERROR(VALUE(TEXT(B1406,"[$-1170401]yyyy")),""))</f>
        <v/>
      </c>
      <c r="M1406">
        <f>IF(B1406="","",IFERROR(VALUE(TEXT(B1406,"[$-1170401]mm")),""))</f>
        <v/>
      </c>
    </row>
    <row r="1407">
      <c r="B1407" s="30" t="n"/>
      <c r="G1407" s="9">
        <f>IF(AND(E1407&lt;&gt;"",E1407&lt;&gt;0,H1407&lt;&gt;""),H1407/E1407,"")</f>
        <v/>
      </c>
      <c r="L1407">
        <f>IF(B1407="","",IFERROR(VALUE(TEXT(B1407,"[$-1170401]yyyy")),""))</f>
        <v/>
      </c>
      <c r="M1407">
        <f>IF(B1407="","",IFERROR(VALUE(TEXT(B1407,"[$-1170401]mm")),""))</f>
        <v/>
      </c>
    </row>
    <row r="1408">
      <c r="B1408" s="30" t="n"/>
      <c r="G1408" s="9">
        <f>IF(AND(E1408&lt;&gt;"",E1408&lt;&gt;0,H1408&lt;&gt;""),H1408/E1408,"")</f>
        <v/>
      </c>
      <c r="L1408">
        <f>IF(B1408="","",IFERROR(VALUE(TEXT(B1408,"[$-1170401]yyyy")),""))</f>
        <v/>
      </c>
      <c r="M1408">
        <f>IF(B1408="","",IFERROR(VALUE(TEXT(B1408,"[$-1170401]mm")),""))</f>
        <v/>
      </c>
    </row>
    <row r="1409">
      <c r="B1409" s="30" t="n"/>
      <c r="G1409" s="9">
        <f>IF(AND(E1409&lt;&gt;"",E1409&lt;&gt;0,H1409&lt;&gt;""),H1409/E1409,"")</f>
        <v/>
      </c>
      <c r="L1409">
        <f>IF(B1409="","",IFERROR(VALUE(TEXT(B1409,"[$-1170401]yyyy")),""))</f>
        <v/>
      </c>
      <c r="M1409">
        <f>IF(B1409="","",IFERROR(VALUE(TEXT(B1409,"[$-1170401]mm")),""))</f>
        <v/>
      </c>
    </row>
    <row r="1410">
      <c r="B1410" s="30" t="n"/>
      <c r="G1410" s="9">
        <f>IF(AND(E1410&lt;&gt;"",E1410&lt;&gt;0,H1410&lt;&gt;""),H1410/E1410,"")</f>
        <v/>
      </c>
      <c r="L1410">
        <f>IF(B1410="","",IFERROR(VALUE(TEXT(B1410,"[$-1170401]yyyy")),""))</f>
        <v/>
      </c>
      <c r="M1410">
        <f>IF(B1410="","",IFERROR(VALUE(TEXT(B1410,"[$-1170401]mm")),""))</f>
        <v/>
      </c>
    </row>
    <row r="1411">
      <c r="B1411" s="30" t="n"/>
      <c r="G1411" s="9">
        <f>IF(AND(E1411&lt;&gt;"",E1411&lt;&gt;0,H1411&lt;&gt;""),H1411/E1411,"")</f>
        <v/>
      </c>
      <c r="L1411">
        <f>IF(B1411="","",IFERROR(VALUE(TEXT(B1411,"[$-1170401]yyyy")),""))</f>
        <v/>
      </c>
      <c r="M1411">
        <f>IF(B1411="","",IFERROR(VALUE(TEXT(B1411,"[$-1170401]mm")),""))</f>
        <v/>
      </c>
    </row>
    <row r="1412">
      <c r="B1412" s="30" t="n"/>
      <c r="G1412" s="9">
        <f>IF(AND(E1412&lt;&gt;"",E1412&lt;&gt;0,H1412&lt;&gt;""),H1412/E1412,"")</f>
        <v/>
      </c>
      <c r="L1412">
        <f>IF(B1412="","",IFERROR(VALUE(TEXT(B1412,"[$-1170401]yyyy")),""))</f>
        <v/>
      </c>
      <c r="M1412">
        <f>IF(B1412="","",IFERROR(VALUE(TEXT(B1412,"[$-1170401]mm")),""))</f>
        <v/>
      </c>
    </row>
    <row r="1413">
      <c r="B1413" s="30" t="n"/>
      <c r="G1413" s="9">
        <f>IF(AND(E1413&lt;&gt;"",E1413&lt;&gt;0,H1413&lt;&gt;""),H1413/E1413,"")</f>
        <v/>
      </c>
      <c r="L1413">
        <f>IF(B1413="","",IFERROR(VALUE(TEXT(B1413,"[$-1170401]yyyy")),""))</f>
        <v/>
      </c>
      <c r="M1413">
        <f>IF(B1413="","",IFERROR(VALUE(TEXT(B1413,"[$-1170401]mm")),""))</f>
        <v/>
      </c>
    </row>
    <row r="1414">
      <c r="B1414" s="30" t="n"/>
      <c r="G1414" s="9">
        <f>IF(AND(E1414&lt;&gt;"",E1414&lt;&gt;0,H1414&lt;&gt;""),H1414/E1414,"")</f>
        <v/>
      </c>
      <c r="L1414">
        <f>IF(B1414="","",IFERROR(VALUE(TEXT(B1414,"[$-1170401]yyyy")),""))</f>
        <v/>
      </c>
      <c r="M1414">
        <f>IF(B1414="","",IFERROR(VALUE(TEXT(B1414,"[$-1170401]mm")),""))</f>
        <v/>
      </c>
    </row>
    <row r="1415">
      <c r="B1415" s="30" t="n"/>
      <c r="G1415" s="9">
        <f>IF(AND(E1415&lt;&gt;"",E1415&lt;&gt;0,H1415&lt;&gt;""),H1415/E1415,"")</f>
        <v/>
      </c>
      <c r="L1415">
        <f>IF(B1415="","",IFERROR(VALUE(TEXT(B1415,"[$-1170401]yyyy")),""))</f>
        <v/>
      </c>
      <c r="M1415">
        <f>IF(B1415="","",IFERROR(VALUE(TEXT(B1415,"[$-1170401]mm")),""))</f>
        <v/>
      </c>
    </row>
    <row r="1416">
      <c r="B1416" s="30" t="n"/>
      <c r="G1416" s="9">
        <f>IF(AND(E1416&lt;&gt;"",E1416&lt;&gt;0,H1416&lt;&gt;""),H1416/E1416,"")</f>
        <v/>
      </c>
      <c r="L1416">
        <f>IF(B1416="","",IFERROR(VALUE(TEXT(B1416,"[$-1170401]yyyy")),""))</f>
        <v/>
      </c>
      <c r="M1416">
        <f>IF(B1416="","",IFERROR(VALUE(TEXT(B1416,"[$-1170401]mm")),""))</f>
        <v/>
      </c>
    </row>
    <row r="1417">
      <c r="B1417" s="30" t="n"/>
      <c r="G1417" s="9">
        <f>IF(AND(E1417&lt;&gt;"",E1417&lt;&gt;0,H1417&lt;&gt;""),H1417/E1417,"")</f>
        <v/>
      </c>
      <c r="L1417">
        <f>IF(B1417="","",IFERROR(VALUE(TEXT(B1417,"[$-1170401]yyyy")),""))</f>
        <v/>
      </c>
      <c r="M1417">
        <f>IF(B1417="","",IFERROR(VALUE(TEXT(B1417,"[$-1170401]mm")),""))</f>
        <v/>
      </c>
    </row>
    <row r="1418">
      <c r="B1418" s="30" t="n"/>
      <c r="G1418" s="9">
        <f>IF(AND(E1418&lt;&gt;"",E1418&lt;&gt;0,H1418&lt;&gt;""),H1418/E1418,"")</f>
        <v/>
      </c>
      <c r="L1418">
        <f>IF(B1418="","",IFERROR(VALUE(TEXT(B1418,"[$-1170401]yyyy")),""))</f>
        <v/>
      </c>
      <c r="M1418">
        <f>IF(B1418="","",IFERROR(VALUE(TEXT(B1418,"[$-1170401]mm")),""))</f>
        <v/>
      </c>
    </row>
    <row r="1419">
      <c r="B1419" s="30" t="n"/>
      <c r="G1419" s="9">
        <f>IF(AND(E1419&lt;&gt;"",E1419&lt;&gt;0,H1419&lt;&gt;""),H1419/E1419,"")</f>
        <v/>
      </c>
      <c r="L1419">
        <f>IF(B1419="","",IFERROR(VALUE(TEXT(B1419,"[$-1170401]yyyy")),""))</f>
        <v/>
      </c>
      <c r="M1419">
        <f>IF(B1419="","",IFERROR(VALUE(TEXT(B1419,"[$-1170401]mm")),""))</f>
        <v/>
      </c>
    </row>
    <row r="1420">
      <c r="B1420" s="30" t="n"/>
      <c r="G1420" s="9">
        <f>IF(AND(E1420&lt;&gt;"",E1420&lt;&gt;0,H1420&lt;&gt;""),H1420/E1420,"")</f>
        <v/>
      </c>
      <c r="L1420">
        <f>IF(B1420="","",IFERROR(VALUE(TEXT(B1420,"[$-1170401]yyyy")),""))</f>
        <v/>
      </c>
      <c r="M1420">
        <f>IF(B1420="","",IFERROR(VALUE(TEXT(B1420,"[$-1170401]mm")),""))</f>
        <v/>
      </c>
    </row>
    <row r="1421">
      <c r="B1421" s="30" t="n"/>
      <c r="G1421" s="9">
        <f>IF(AND(E1421&lt;&gt;"",E1421&lt;&gt;0,H1421&lt;&gt;""),H1421/E1421,"")</f>
        <v/>
      </c>
      <c r="L1421">
        <f>IF(B1421="","",IFERROR(VALUE(TEXT(B1421,"[$-1170401]yyyy")),""))</f>
        <v/>
      </c>
      <c r="M1421">
        <f>IF(B1421="","",IFERROR(VALUE(TEXT(B1421,"[$-1170401]mm")),""))</f>
        <v/>
      </c>
    </row>
    <row r="1422">
      <c r="B1422" s="30" t="n"/>
      <c r="G1422" s="9">
        <f>IF(AND(E1422&lt;&gt;"",E1422&lt;&gt;0,H1422&lt;&gt;""),H1422/E1422,"")</f>
        <v/>
      </c>
      <c r="L1422">
        <f>IF(B1422="","",IFERROR(VALUE(TEXT(B1422,"[$-1170401]yyyy")),""))</f>
        <v/>
      </c>
      <c r="M1422">
        <f>IF(B1422="","",IFERROR(VALUE(TEXT(B1422,"[$-1170401]mm")),""))</f>
        <v/>
      </c>
    </row>
    <row r="1423">
      <c r="B1423" s="30" t="n"/>
      <c r="G1423" s="9">
        <f>IF(AND(E1423&lt;&gt;"",E1423&lt;&gt;0,H1423&lt;&gt;""),H1423/E1423,"")</f>
        <v/>
      </c>
      <c r="L1423">
        <f>IF(B1423="","",IFERROR(VALUE(TEXT(B1423,"[$-1170401]yyyy")),""))</f>
        <v/>
      </c>
      <c r="M1423">
        <f>IF(B1423="","",IFERROR(VALUE(TEXT(B1423,"[$-1170401]mm")),""))</f>
        <v/>
      </c>
    </row>
    <row r="1424">
      <c r="B1424" s="30" t="n"/>
      <c r="G1424" s="9">
        <f>IF(AND(E1424&lt;&gt;"",E1424&lt;&gt;0,H1424&lt;&gt;""),H1424/E1424,"")</f>
        <v/>
      </c>
      <c r="L1424">
        <f>IF(B1424="","",IFERROR(VALUE(TEXT(B1424,"[$-1170401]yyyy")),""))</f>
        <v/>
      </c>
      <c r="M1424">
        <f>IF(B1424="","",IFERROR(VALUE(TEXT(B1424,"[$-1170401]mm")),""))</f>
        <v/>
      </c>
    </row>
    <row r="1425">
      <c r="B1425" s="30" t="n"/>
      <c r="G1425" s="9">
        <f>IF(AND(E1425&lt;&gt;"",E1425&lt;&gt;0,H1425&lt;&gt;""),H1425/E1425,"")</f>
        <v/>
      </c>
      <c r="L1425">
        <f>IF(B1425="","",IFERROR(VALUE(TEXT(B1425,"[$-1170401]yyyy")),""))</f>
        <v/>
      </c>
      <c r="M1425">
        <f>IF(B1425="","",IFERROR(VALUE(TEXT(B1425,"[$-1170401]mm")),""))</f>
        <v/>
      </c>
    </row>
    <row r="1426">
      <c r="B1426" s="30" t="n"/>
      <c r="G1426" s="9">
        <f>IF(AND(E1426&lt;&gt;"",E1426&lt;&gt;0,H1426&lt;&gt;""),H1426/E1426,"")</f>
        <v/>
      </c>
      <c r="L1426">
        <f>IF(B1426="","",IFERROR(VALUE(TEXT(B1426,"[$-1170401]yyyy")),""))</f>
        <v/>
      </c>
      <c r="M1426">
        <f>IF(B1426="","",IFERROR(VALUE(TEXT(B1426,"[$-1170401]mm")),""))</f>
        <v/>
      </c>
    </row>
    <row r="1427">
      <c r="B1427" s="30" t="n"/>
      <c r="G1427" s="9">
        <f>IF(AND(E1427&lt;&gt;"",E1427&lt;&gt;0,H1427&lt;&gt;""),H1427/E1427,"")</f>
        <v/>
      </c>
      <c r="L1427">
        <f>IF(B1427="","",IFERROR(VALUE(TEXT(B1427,"[$-1170401]yyyy")),""))</f>
        <v/>
      </c>
      <c r="M1427">
        <f>IF(B1427="","",IFERROR(VALUE(TEXT(B1427,"[$-1170401]mm")),""))</f>
        <v/>
      </c>
    </row>
    <row r="1428">
      <c r="B1428" s="30" t="n"/>
      <c r="G1428" s="9">
        <f>IF(AND(E1428&lt;&gt;"",E1428&lt;&gt;0,H1428&lt;&gt;""),H1428/E1428,"")</f>
        <v/>
      </c>
      <c r="L1428">
        <f>IF(B1428="","",IFERROR(VALUE(TEXT(B1428,"[$-1170401]yyyy")),""))</f>
        <v/>
      </c>
      <c r="M1428">
        <f>IF(B1428="","",IFERROR(VALUE(TEXT(B1428,"[$-1170401]mm")),""))</f>
        <v/>
      </c>
    </row>
    <row r="1429">
      <c r="B1429" s="30" t="n"/>
      <c r="G1429" s="9">
        <f>IF(AND(E1429&lt;&gt;"",E1429&lt;&gt;0,H1429&lt;&gt;""),H1429/E1429,"")</f>
        <v/>
      </c>
      <c r="L1429">
        <f>IF(B1429="","",IFERROR(VALUE(TEXT(B1429,"[$-1170401]yyyy")),""))</f>
        <v/>
      </c>
      <c r="M1429">
        <f>IF(B1429="","",IFERROR(VALUE(TEXT(B1429,"[$-1170401]mm")),""))</f>
        <v/>
      </c>
    </row>
    <row r="1430">
      <c r="B1430" s="30" t="n"/>
      <c r="G1430" s="9">
        <f>IF(AND(E1430&lt;&gt;"",E1430&lt;&gt;0,H1430&lt;&gt;""),H1430/E1430,"")</f>
        <v/>
      </c>
      <c r="L1430">
        <f>IF(B1430="","",IFERROR(VALUE(TEXT(B1430,"[$-1170401]yyyy")),""))</f>
        <v/>
      </c>
      <c r="M1430">
        <f>IF(B1430="","",IFERROR(VALUE(TEXT(B1430,"[$-1170401]mm")),""))</f>
        <v/>
      </c>
    </row>
    <row r="1431">
      <c r="B1431" s="30" t="n"/>
      <c r="G1431" s="9">
        <f>IF(AND(E1431&lt;&gt;"",E1431&lt;&gt;0,H1431&lt;&gt;""),H1431/E1431,"")</f>
        <v/>
      </c>
      <c r="L1431">
        <f>IF(B1431="","",IFERROR(VALUE(TEXT(B1431,"[$-1170401]yyyy")),""))</f>
        <v/>
      </c>
      <c r="M1431">
        <f>IF(B1431="","",IFERROR(VALUE(TEXT(B1431,"[$-1170401]mm")),""))</f>
        <v/>
      </c>
    </row>
    <row r="1432">
      <c r="B1432" s="30" t="n"/>
      <c r="G1432" s="9">
        <f>IF(AND(E1432&lt;&gt;"",E1432&lt;&gt;0,H1432&lt;&gt;""),H1432/E1432,"")</f>
        <v/>
      </c>
      <c r="L1432">
        <f>IF(B1432="","",IFERROR(VALUE(TEXT(B1432,"[$-1170401]yyyy")),""))</f>
        <v/>
      </c>
      <c r="M1432">
        <f>IF(B1432="","",IFERROR(VALUE(TEXT(B1432,"[$-1170401]mm")),""))</f>
        <v/>
      </c>
    </row>
    <row r="1433">
      <c r="B1433" s="30" t="n"/>
      <c r="G1433" s="9">
        <f>IF(AND(E1433&lt;&gt;"",E1433&lt;&gt;0,H1433&lt;&gt;""),H1433/E1433,"")</f>
        <v/>
      </c>
      <c r="L1433">
        <f>IF(B1433="","",IFERROR(VALUE(TEXT(B1433,"[$-1170401]yyyy")),""))</f>
        <v/>
      </c>
      <c r="M1433">
        <f>IF(B1433="","",IFERROR(VALUE(TEXT(B1433,"[$-1170401]mm")),""))</f>
        <v/>
      </c>
    </row>
    <row r="1434">
      <c r="B1434" s="30" t="n"/>
      <c r="G1434" s="9">
        <f>IF(AND(E1434&lt;&gt;"",E1434&lt;&gt;0,H1434&lt;&gt;""),H1434/E1434,"")</f>
        <v/>
      </c>
      <c r="L1434">
        <f>IF(B1434="","",IFERROR(VALUE(TEXT(B1434,"[$-1170401]yyyy")),""))</f>
        <v/>
      </c>
      <c r="M1434">
        <f>IF(B1434="","",IFERROR(VALUE(TEXT(B1434,"[$-1170401]mm")),""))</f>
        <v/>
      </c>
    </row>
    <row r="1435">
      <c r="B1435" s="30" t="n"/>
      <c r="G1435" s="9">
        <f>IF(AND(E1435&lt;&gt;"",E1435&lt;&gt;0,H1435&lt;&gt;""),H1435/E1435,"")</f>
        <v/>
      </c>
      <c r="L1435">
        <f>IF(B1435="","",IFERROR(VALUE(TEXT(B1435,"[$-1170401]yyyy")),""))</f>
        <v/>
      </c>
      <c r="M1435">
        <f>IF(B1435="","",IFERROR(VALUE(TEXT(B1435,"[$-1170401]mm")),""))</f>
        <v/>
      </c>
    </row>
    <row r="1436">
      <c r="B1436" s="30" t="n"/>
      <c r="G1436" s="9">
        <f>IF(AND(E1436&lt;&gt;"",E1436&lt;&gt;0,H1436&lt;&gt;""),H1436/E1436,"")</f>
        <v/>
      </c>
      <c r="L1436">
        <f>IF(B1436="","",IFERROR(VALUE(TEXT(B1436,"[$-1170401]yyyy")),""))</f>
        <v/>
      </c>
      <c r="M1436">
        <f>IF(B1436="","",IFERROR(VALUE(TEXT(B1436,"[$-1170401]mm")),""))</f>
        <v/>
      </c>
    </row>
    <row r="1437">
      <c r="B1437" s="30" t="n"/>
      <c r="G1437" s="9">
        <f>IF(AND(E1437&lt;&gt;"",E1437&lt;&gt;0,H1437&lt;&gt;""),H1437/E1437,"")</f>
        <v/>
      </c>
      <c r="L1437">
        <f>IF(B1437="","",IFERROR(VALUE(TEXT(B1437,"[$-1170401]yyyy")),""))</f>
        <v/>
      </c>
      <c r="M1437">
        <f>IF(B1437="","",IFERROR(VALUE(TEXT(B1437,"[$-1170401]mm")),""))</f>
        <v/>
      </c>
    </row>
    <row r="1438">
      <c r="B1438" s="30" t="n"/>
      <c r="G1438" s="9">
        <f>IF(AND(E1438&lt;&gt;"",E1438&lt;&gt;0,H1438&lt;&gt;""),H1438/E1438,"")</f>
        <v/>
      </c>
      <c r="L1438">
        <f>IF(B1438="","",IFERROR(VALUE(TEXT(B1438,"[$-1170401]yyyy")),""))</f>
        <v/>
      </c>
      <c r="M1438">
        <f>IF(B1438="","",IFERROR(VALUE(TEXT(B1438,"[$-1170401]mm")),""))</f>
        <v/>
      </c>
    </row>
    <row r="1439">
      <c r="B1439" s="30" t="n"/>
      <c r="G1439" s="9">
        <f>IF(AND(E1439&lt;&gt;"",E1439&lt;&gt;0,H1439&lt;&gt;""),H1439/E1439,"")</f>
        <v/>
      </c>
      <c r="L1439">
        <f>IF(B1439="","",IFERROR(VALUE(TEXT(B1439,"[$-1170401]yyyy")),""))</f>
        <v/>
      </c>
      <c r="M1439">
        <f>IF(B1439="","",IFERROR(VALUE(TEXT(B1439,"[$-1170401]mm")),""))</f>
        <v/>
      </c>
    </row>
    <row r="1440">
      <c r="B1440" s="30" t="n"/>
      <c r="G1440" s="9">
        <f>IF(AND(E1440&lt;&gt;"",E1440&lt;&gt;0,H1440&lt;&gt;""),H1440/E1440,"")</f>
        <v/>
      </c>
      <c r="L1440">
        <f>IF(B1440="","",IFERROR(VALUE(TEXT(B1440,"[$-1170401]yyyy")),""))</f>
        <v/>
      </c>
      <c r="M1440">
        <f>IF(B1440="","",IFERROR(VALUE(TEXT(B1440,"[$-1170401]mm")),""))</f>
        <v/>
      </c>
    </row>
    <row r="1441">
      <c r="B1441" s="30" t="n"/>
      <c r="G1441" s="9">
        <f>IF(AND(E1441&lt;&gt;"",E1441&lt;&gt;0,H1441&lt;&gt;""),H1441/E1441,"")</f>
        <v/>
      </c>
      <c r="L1441">
        <f>IF(B1441="","",IFERROR(VALUE(TEXT(B1441,"[$-1170401]yyyy")),""))</f>
        <v/>
      </c>
      <c r="M1441">
        <f>IF(B1441="","",IFERROR(VALUE(TEXT(B1441,"[$-1170401]mm")),""))</f>
        <v/>
      </c>
    </row>
    <row r="1442">
      <c r="B1442" s="30" t="n"/>
      <c r="G1442" s="9">
        <f>IF(AND(E1442&lt;&gt;"",E1442&lt;&gt;0,H1442&lt;&gt;""),H1442/E1442,"")</f>
        <v/>
      </c>
      <c r="L1442">
        <f>IF(B1442="","",IFERROR(VALUE(TEXT(B1442,"[$-1170401]yyyy")),""))</f>
        <v/>
      </c>
      <c r="M1442">
        <f>IF(B1442="","",IFERROR(VALUE(TEXT(B1442,"[$-1170401]mm")),""))</f>
        <v/>
      </c>
    </row>
    <row r="1443">
      <c r="B1443" s="30" t="n"/>
      <c r="G1443" s="9">
        <f>IF(AND(E1443&lt;&gt;"",E1443&lt;&gt;0,H1443&lt;&gt;""),H1443/E1443,"")</f>
        <v/>
      </c>
      <c r="L1443">
        <f>IF(B1443="","",IFERROR(VALUE(TEXT(B1443,"[$-1170401]yyyy")),""))</f>
        <v/>
      </c>
      <c r="M1443">
        <f>IF(B1443="","",IFERROR(VALUE(TEXT(B1443,"[$-1170401]mm")),""))</f>
        <v/>
      </c>
    </row>
    <row r="1444">
      <c r="B1444" s="30" t="n"/>
      <c r="G1444" s="9">
        <f>IF(AND(E1444&lt;&gt;"",E1444&lt;&gt;0,H1444&lt;&gt;""),H1444/E1444,"")</f>
        <v/>
      </c>
      <c r="L1444">
        <f>IF(B1444="","",IFERROR(VALUE(TEXT(B1444,"[$-1170401]yyyy")),""))</f>
        <v/>
      </c>
      <c r="M1444">
        <f>IF(B1444="","",IFERROR(VALUE(TEXT(B1444,"[$-1170401]mm")),""))</f>
        <v/>
      </c>
    </row>
    <row r="1445">
      <c r="B1445" s="30" t="n"/>
      <c r="G1445" s="9">
        <f>IF(AND(E1445&lt;&gt;"",E1445&lt;&gt;0,H1445&lt;&gt;""),H1445/E1445,"")</f>
        <v/>
      </c>
      <c r="L1445">
        <f>IF(B1445="","",IFERROR(VALUE(TEXT(B1445,"[$-1170401]yyyy")),""))</f>
        <v/>
      </c>
      <c r="M1445">
        <f>IF(B1445="","",IFERROR(VALUE(TEXT(B1445,"[$-1170401]mm")),""))</f>
        <v/>
      </c>
    </row>
    <row r="1446">
      <c r="B1446" s="30" t="n"/>
      <c r="G1446" s="9">
        <f>IF(AND(E1446&lt;&gt;"",E1446&lt;&gt;0,H1446&lt;&gt;""),H1446/E1446,"")</f>
        <v/>
      </c>
      <c r="L1446">
        <f>IF(B1446="","",IFERROR(VALUE(TEXT(B1446,"[$-1170401]yyyy")),""))</f>
        <v/>
      </c>
      <c r="M1446">
        <f>IF(B1446="","",IFERROR(VALUE(TEXT(B1446,"[$-1170401]mm")),""))</f>
        <v/>
      </c>
    </row>
    <row r="1447">
      <c r="B1447" s="30" t="n"/>
      <c r="G1447" s="9">
        <f>IF(AND(E1447&lt;&gt;"",E1447&lt;&gt;0,H1447&lt;&gt;""),H1447/E1447,"")</f>
        <v/>
      </c>
      <c r="L1447">
        <f>IF(B1447="","",IFERROR(VALUE(TEXT(B1447,"[$-1170401]yyyy")),""))</f>
        <v/>
      </c>
      <c r="M1447">
        <f>IF(B1447="","",IFERROR(VALUE(TEXT(B1447,"[$-1170401]mm")),""))</f>
        <v/>
      </c>
    </row>
    <row r="1448">
      <c r="B1448" s="30" t="n"/>
      <c r="G1448" s="9">
        <f>IF(AND(E1448&lt;&gt;"",E1448&lt;&gt;0,H1448&lt;&gt;""),H1448/E1448,"")</f>
        <v/>
      </c>
      <c r="L1448">
        <f>IF(B1448="","",IFERROR(VALUE(TEXT(B1448,"[$-1170401]yyyy")),""))</f>
        <v/>
      </c>
      <c r="M1448">
        <f>IF(B1448="","",IFERROR(VALUE(TEXT(B1448,"[$-1170401]mm")),""))</f>
        <v/>
      </c>
    </row>
    <row r="1449">
      <c r="B1449" s="30" t="n"/>
      <c r="G1449" s="9">
        <f>IF(AND(E1449&lt;&gt;"",E1449&lt;&gt;0,H1449&lt;&gt;""),H1449/E1449,"")</f>
        <v/>
      </c>
      <c r="L1449">
        <f>IF(B1449="","",IFERROR(VALUE(TEXT(B1449,"[$-1170401]yyyy")),""))</f>
        <v/>
      </c>
      <c r="M1449">
        <f>IF(B1449="","",IFERROR(VALUE(TEXT(B1449,"[$-1170401]mm")),""))</f>
        <v/>
      </c>
    </row>
    <row r="1450">
      <c r="B1450" s="30" t="n"/>
      <c r="G1450" s="9">
        <f>IF(AND(E1450&lt;&gt;"",E1450&lt;&gt;0,H1450&lt;&gt;""),H1450/E1450,"")</f>
        <v/>
      </c>
      <c r="L1450">
        <f>IF(B1450="","",IFERROR(VALUE(TEXT(B1450,"[$-1170401]yyyy")),""))</f>
        <v/>
      </c>
      <c r="M1450">
        <f>IF(B1450="","",IFERROR(VALUE(TEXT(B1450,"[$-1170401]mm")),""))</f>
        <v/>
      </c>
    </row>
    <row r="1451">
      <c r="B1451" s="30" t="n"/>
      <c r="G1451" s="9">
        <f>IF(AND(E1451&lt;&gt;"",E1451&lt;&gt;0,H1451&lt;&gt;""),H1451/E1451,"")</f>
        <v/>
      </c>
      <c r="L1451">
        <f>IF(B1451="","",IFERROR(VALUE(TEXT(B1451,"[$-1170401]yyyy")),""))</f>
        <v/>
      </c>
      <c r="M1451">
        <f>IF(B1451="","",IFERROR(VALUE(TEXT(B1451,"[$-1170401]mm")),""))</f>
        <v/>
      </c>
    </row>
    <row r="1452">
      <c r="B1452" s="30" t="n"/>
      <c r="G1452" s="9">
        <f>IF(AND(E1452&lt;&gt;"",E1452&lt;&gt;0,H1452&lt;&gt;""),H1452/E1452,"")</f>
        <v/>
      </c>
      <c r="L1452">
        <f>IF(B1452="","",IFERROR(VALUE(TEXT(B1452,"[$-1170401]yyyy")),""))</f>
        <v/>
      </c>
      <c r="M1452">
        <f>IF(B1452="","",IFERROR(VALUE(TEXT(B1452,"[$-1170401]mm")),""))</f>
        <v/>
      </c>
    </row>
    <row r="1453">
      <c r="B1453" s="30" t="n"/>
      <c r="G1453" s="9">
        <f>IF(AND(E1453&lt;&gt;"",E1453&lt;&gt;0,H1453&lt;&gt;""),H1453/E1453,"")</f>
        <v/>
      </c>
      <c r="L1453">
        <f>IF(B1453="","",IFERROR(VALUE(TEXT(B1453,"[$-1170401]yyyy")),""))</f>
        <v/>
      </c>
      <c r="M1453">
        <f>IF(B1453="","",IFERROR(VALUE(TEXT(B1453,"[$-1170401]mm")),""))</f>
        <v/>
      </c>
    </row>
    <row r="1454">
      <c r="B1454" s="30" t="n"/>
      <c r="G1454" s="9">
        <f>IF(AND(E1454&lt;&gt;"",E1454&lt;&gt;0,H1454&lt;&gt;""),H1454/E1454,"")</f>
        <v/>
      </c>
      <c r="L1454">
        <f>IF(B1454="","",IFERROR(VALUE(TEXT(B1454,"[$-1170401]yyyy")),""))</f>
        <v/>
      </c>
      <c r="M1454">
        <f>IF(B1454="","",IFERROR(VALUE(TEXT(B1454,"[$-1170401]mm")),""))</f>
        <v/>
      </c>
    </row>
    <row r="1455">
      <c r="B1455" s="30" t="n"/>
      <c r="G1455" s="9">
        <f>IF(AND(E1455&lt;&gt;"",E1455&lt;&gt;0,H1455&lt;&gt;""),H1455/E1455,"")</f>
        <v/>
      </c>
      <c r="L1455">
        <f>IF(B1455="","",IFERROR(VALUE(TEXT(B1455,"[$-1170401]yyyy")),""))</f>
        <v/>
      </c>
      <c r="M1455">
        <f>IF(B1455="","",IFERROR(VALUE(TEXT(B1455,"[$-1170401]mm")),""))</f>
        <v/>
      </c>
    </row>
    <row r="1456">
      <c r="B1456" s="30" t="n"/>
      <c r="G1456" s="9">
        <f>IF(AND(E1456&lt;&gt;"",E1456&lt;&gt;0,H1456&lt;&gt;""),H1456/E1456,"")</f>
        <v/>
      </c>
      <c r="L1456">
        <f>IF(B1456="","",IFERROR(VALUE(TEXT(B1456,"[$-1170401]yyyy")),""))</f>
        <v/>
      </c>
      <c r="M1456">
        <f>IF(B1456="","",IFERROR(VALUE(TEXT(B1456,"[$-1170401]mm")),""))</f>
        <v/>
      </c>
    </row>
    <row r="1457">
      <c r="B1457" s="30" t="n"/>
      <c r="G1457" s="9">
        <f>IF(AND(E1457&lt;&gt;"",E1457&lt;&gt;0,H1457&lt;&gt;""),H1457/E1457,"")</f>
        <v/>
      </c>
      <c r="L1457">
        <f>IF(B1457="","",IFERROR(VALUE(TEXT(B1457,"[$-1170401]yyyy")),""))</f>
        <v/>
      </c>
      <c r="M1457">
        <f>IF(B1457="","",IFERROR(VALUE(TEXT(B1457,"[$-1170401]mm")),""))</f>
        <v/>
      </c>
    </row>
    <row r="1458">
      <c r="B1458" s="30" t="n"/>
      <c r="G1458" s="9">
        <f>IF(AND(E1458&lt;&gt;"",E1458&lt;&gt;0,H1458&lt;&gt;""),H1458/E1458,"")</f>
        <v/>
      </c>
      <c r="L1458">
        <f>IF(B1458="","",IFERROR(VALUE(TEXT(B1458,"[$-1170401]yyyy")),""))</f>
        <v/>
      </c>
      <c r="M1458">
        <f>IF(B1458="","",IFERROR(VALUE(TEXT(B1458,"[$-1170401]mm")),""))</f>
        <v/>
      </c>
    </row>
    <row r="1459">
      <c r="B1459" s="30" t="n"/>
      <c r="G1459" s="9">
        <f>IF(AND(E1459&lt;&gt;"",E1459&lt;&gt;0,H1459&lt;&gt;""),H1459/E1459,"")</f>
        <v/>
      </c>
      <c r="L1459">
        <f>IF(B1459="","",IFERROR(VALUE(TEXT(B1459,"[$-1170401]yyyy")),""))</f>
        <v/>
      </c>
      <c r="M1459">
        <f>IF(B1459="","",IFERROR(VALUE(TEXT(B1459,"[$-1170401]mm")),""))</f>
        <v/>
      </c>
    </row>
    <row r="1460">
      <c r="B1460" s="30" t="n"/>
      <c r="G1460" s="9">
        <f>IF(AND(E1460&lt;&gt;"",E1460&lt;&gt;0,H1460&lt;&gt;""),H1460/E1460,"")</f>
        <v/>
      </c>
      <c r="L1460">
        <f>IF(B1460="","",IFERROR(VALUE(TEXT(B1460,"[$-1170401]yyyy")),""))</f>
        <v/>
      </c>
      <c r="M1460">
        <f>IF(B1460="","",IFERROR(VALUE(TEXT(B1460,"[$-1170401]mm")),""))</f>
        <v/>
      </c>
    </row>
    <row r="1461">
      <c r="B1461" s="30" t="n"/>
      <c r="G1461" s="9">
        <f>IF(AND(E1461&lt;&gt;"",E1461&lt;&gt;0,H1461&lt;&gt;""),H1461/E1461,"")</f>
        <v/>
      </c>
      <c r="L1461">
        <f>IF(B1461="","",IFERROR(VALUE(TEXT(B1461,"[$-1170401]yyyy")),""))</f>
        <v/>
      </c>
      <c r="M1461">
        <f>IF(B1461="","",IFERROR(VALUE(TEXT(B1461,"[$-1170401]mm")),""))</f>
        <v/>
      </c>
    </row>
    <row r="1462">
      <c r="B1462" s="30" t="n"/>
      <c r="G1462" s="9">
        <f>IF(AND(E1462&lt;&gt;"",E1462&lt;&gt;0,H1462&lt;&gt;""),H1462/E1462,"")</f>
        <v/>
      </c>
      <c r="L1462">
        <f>IF(B1462="","",IFERROR(VALUE(TEXT(B1462,"[$-1170401]yyyy")),""))</f>
        <v/>
      </c>
      <c r="M1462">
        <f>IF(B1462="","",IFERROR(VALUE(TEXT(B1462,"[$-1170401]mm")),""))</f>
        <v/>
      </c>
    </row>
    <row r="1463">
      <c r="B1463" s="30" t="n"/>
      <c r="G1463" s="9">
        <f>IF(AND(E1463&lt;&gt;"",E1463&lt;&gt;0,H1463&lt;&gt;""),H1463/E1463,"")</f>
        <v/>
      </c>
      <c r="L1463">
        <f>IF(B1463="","",IFERROR(VALUE(TEXT(B1463,"[$-1170401]yyyy")),""))</f>
        <v/>
      </c>
      <c r="M1463">
        <f>IF(B1463="","",IFERROR(VALUE(TEXT(B1463,"[$-1170401]mm")),""))</f>
        <v/>
      </c>
    </row>
    <row r="1464">
      <c r="B1464" s="30" t="n"/>
      <c r="G1464" s="9">
        <f>IF(AND(E1464&lt;&gt;"",E1464&lt;&gt;0,H1464&lt;&gt;""),H1464/E1464,"")</f>
        <v/>
      </c>
      <c r="L1464">
        <f>IF(B1464="","",IFERROR(VALUE(TEXT(B1464,"[$-1170401]yyyy")),""))</f>
        <v/>
      </c>
      <c r="M1464">
        <f>IF(B1464="","",IFERROR(VALUE(TEXT(B1464,"[$-1170401]mm")),""))</f>
        <v/>
      </c>
    </row>
    <row r="1465">
      <c r="B1465" s="30" t="n"/>
      <c r="G1465" s="9">
        <f>IF(AND(E1465&lt;&gt;"",E1465&lt;&gt;0,H1465&lt;&gt;""),H1465/E1465,"")</f>
        <v/>
      </c>
      <c r="L1465">
        <f>IF(B1465="","",IFERROR(VALUE(TEXT(B1465,"[$-1170401]yyyy")),""))</f>
        <v/>
      </c>
      <c r="M1465">
        <f>IF(B1465="","",IFERROR(VALUE(TEXT(B1465,"[$-1170401]mm")),""))</f>
        <v/>
      </c>
    </row>
    <row r="1466">
      <c r="B1466" s="30" t="n"/>
      <c r="G1466" s="9">
        <f>IF(AND(E1466&lt;&gt;"",E1466&lt;&gt;0,H1466&lt;&gt;""),H1466/E1466,"")</f>
        <v/>
      </c>
      <c r="L1466">
        <f>IF(B1466="","",IFERROR(VALUE(TEXT(B1466,"[$-1170401]yyyy")),""))</f>
        <v/>
      </c>
      <c r="M1466">
        <f>IF(B1466="","",IFERROR(VALUE(TEXT(B1466,"[$-1170401]mm")),""))</f>
        <v/>
      </c>
    </row>
    <row r="1467">
      <c r="B1467" s="30" t="n"/>
      <c r="G1467" s="9">
        <f>IF(AND(E1467&lt;&gt;"",E1467&lt;&gt;0,H1467&lt;&gt;""),H1467/E1467,"")</f>
        <v/>
      </c>
      <c r="L1467">
        <f>IF(B1467="","",IFERROR(VALUE(TEXT(B1467,"[$-1170401]yyyy")),""))</f>
        <v/>
      </c>
      <c r="M1467">
        <f>IF(B1467="","",IFERROR(VALUE(TEXT(B1467,"[$-1170401]mm")),""))</f>
        <v/>
      </c>
    </row>
    <row r="1468">
      <c r="B1468" s="30" t="n"/>
      <c r="G1468" s="9">
        <f>IF(AND(E1468&lt;&gt;"",E1468&lt;&gt;0,H1468&lt;&gt;""),H1468/E1468,"")</f>
        <v/>
      </c>
      <c r="L1468">
        <f>IF(B1468="","",IFERROR(VALUE(TEXT(B1468,"[$-1170401]yyyy")),""))</f>
        <v/>
      </c>
      <c r="M1468">
        <f>IF(B1468="","",IFERROR(VALUE(TEXT(B1468,"[$-1170401]mm")),""))</f>
        <v/>
      </c>
    </row>
    <row r="1469">
      <c r="B1469" s="30" t="n"/>
      <c r="G1469" s="9">
        <f>IF(AND(E1469&lt;&gt;"",E1469&lt;&gt;0,H1469&lt;&gt;""),H1469/E1469,"")</f>
        <v/>
      </c>
      <c r="L1469">
        <f>IF(B1469="","",IFERROR(VALUE(TEXT(B1469,"[$-1170401]yyyy")),""))</f>
        <v/>
      </c>
      <c r="M1469">
        <f>IF(B1469="","",IFERROR(VALUE(TEXT(B1469,"[$-1170401]mm")),""))</f>
        <v/>
      </c>
    </row>
    <row r="1470">
      <c r="B1470" s="30" t="n"/>
      <c r="G1470" s="9">
        <f>IF(AND(E1470&lt;&gt;"",E1470&lt;&gt;0,H1470&lt;&gt;""),H1470/E1470,"")</f>
        <v/>
      </c>
      <c r="L1470">
        <f>IF(B1470="","",IFERROR(VALUE(TEXT(B1470,"[$-1170401]yyyy")),""))</f>
        <v/>
      </c>
      <c r="M1470">
        <f>IF(B1470="","",IFERROR(VALUE(TEXT(B1470,"[$-1170401]mm")),""))</f>
        <v/>
      </c>
    </row>
    <row r="1471">
      <c r="B1471" s="30" t="n"/>
      <c r="G1471" s="9">
        <f>IF(AND(E1471&lt;&gt;"",E1471&lt;&gt;0,H1471&lt;&gt;""),H1471/E1471,"")</f>
        <v/>
      </c>
      <c r="L1471">
        <f>IF(B1471="","",IFERROR(VALUE(TEXT(B1471,"[$-1170401]yyyy")),""))</f>
        <v/>
      </c>
      <c r="M1471">
        <f>IF(B1471="","",IFERROR(VALUE(TEXT(B1471,"[$-1170401]mm")),""))</f>
        <v/>
      </c>
    </row>
    <row r="1472">
      <c r="B1472" s="30" t="n"/>
      <c r="G1472" s="9">
        <f>IF(AND(E1472&lt;&gt;"",E1472&lt;&gt;0,H1472&lt;&gt;""),H1472/E1472,"")</f>
        <v/>
      </c>
      <c r="L1472">
        <f>IF(B1472="","",IFERROR(VALUE(TEXT(B1472,"[$-1170401]yyyy")),""))</f>
        <v/>
      </c>
      <c r="M1472">
        <f>IF(B1472="","",IFERROR(VALUE(TEXT(B1472,"[$-1170401]mm")),""))</f>
        <v/>
      </c>
    </row>
    <row r="1473">
      <c r="B1473" s="30" t="n"/>
      <c r="G1473" s="9">
        <f>IF(AND(E1473&lt;&gt;"",E1473&lt;&gt;0,H1473&lt;&gt;""),H1473/E1473,"")</f>
        <v/>
      </c>
      <c r="L1473">
        <f>IF(B1473="","",IFERROR(VALUE(TEXT(B1473,"[$-1170401]yyyy")),""))</f>
        <v/>
      </c>
      <c r="M1473">
        <f>IF(B1473="","",IFERROR(VALUE(TEXT(B1473,"[$-1170401]mm")),""))</f>
        <v/>
      </c>
    </row>
    <row r="1474">
      <c r="B1474" s="30" t="n"/>
      <c r="G1474" s="9">
        <f>IF(AND(E1474&lt;&gt;"",E1474&lt;&gt;0,H1474&lt;&gt;""),H1474/E1474,"")</f>
        <v/>
      </c>
      <c r="L1474">
        <f>IF(B1474="","",IFERROR(VALUE(TEXT(B1474,"[$-1170401]yyyy")),""))</f>
        <v/>
      </c>
      <c r="M1474">
        <f>IF(B1474="","",IFERROR(VALUE(TEXT(B1474,"[$-1170401]mm")),""))</f>
        <v/>
      </c>
    </row>
    <row r="1475">
      <c r="B1475" s="30" t="n"/>
      <c r="G1475" s="9">
        <f>IF(AND(E1475&lt;&gt;"",E1475&lt;&gt;0,H1475&lt;&gt;""),H1475/E1475,"")</f>
        <v/>
      </c>
      <c r="L1475">
        <f>IF(B1475="","",IFERROR(VALUE(TEXT(B1475,"[$-1170401]yyyy")),""))</f>
        <v/>
      </c>
      <c r="M1475">
        <f>IF(B1475="","",IFERROR(VALUE(TEXT(B1475,"[$-1170401]mm")),""))</f>
        <v/>
      </c>
    </row>
    <row r="1476">
      <c r="B1476" s="30" t="n"/>
      <c r="G1476" s="9">
        <f>IF(AND(E1476&lt;&gt;"",E1476&lt;&gt;0,H1476&lt;&gt;""),H1476/E1476,"")</f>
        <v/>
      </c>
      <c r="L1476">
        <f>IF(B1476="","",IFERROR(VALUE(TEXT(B1476,"[$-1170401]yyyy")),""))</f>
        <v/>
      </c>
      <c r="M1476">
        <f>IF(B1476="","",IFERROR(VALUE(TEXT(B1476,"[$-1170401]mm")),""))</f>
        <v/>
      </c>
    </row>
    <row r="1477">
      <c r="B1477" s="30" t="n"/>
      <c r="G1477" s="9">
        <f>IF(AND(E1477&lt;&gt;"",E1477&lt;&gt;0,H1477&lt;&gt;""),H1477/E1477,"")</f>
        <v/>
      </c>
      <c r="L1477">
        <f>IF(B1477="","",IFERROR(VALUE(TEXT(B1477,"[$-1170401]yyyy")),""))</f>
        <v/>
      </c>
      <c r="M1477">
        <f>IF(B1477="","",IFERROR(VALUE(TEXT(B1477,"[$-1170401]mm")),""))</f>
        <v/>
      </c>
    </row>
    <row r="1478">
      <c r="B1478" s="30" t="n"/>
      <c r="G1478" s="9">
        <f>IF(AND(E1478&lt;&gt;"",E1478&lt;&gt;0,H1478&lt;&gt;""),H1478/E1478,"")</f>
        <v/>
      </c>
      <c r="L1478">
        <f>IF(B1478="","",IFERROR(VALUE(TEXT(B1478,"[$-1170401]yyyy")),""))</f>
        <v/>
      </c>
      <c r="M1478">
        <f>IF(B1478="","",IFERROR(VALUE(TEXT(B1478,"[$-1170401]mm")),""))</f>
        <v/>
      </c>
    </row>
    <row r="1479">
      <c r="B1479" s="30" t="n"/>
      <c r="G1479" s="9">
        <f>IF(AND(E1479&lt;&gt;"",E1479&lt;&gt;0,H1479&lt;&gt;""),H1479/E1479,"")</f>
        <v/>
      </c>
      <c r="L1479">
        <f>IF(B1479="","",IFERROR(VALUE(TEXT(B1479,"[$-1170401]yyyy")),""))</f>
        <v/>
      </c>
      <c r="M1479">
        <f>IF(B1479="","",IFERROR(VALUE(TEXT(B1479,"[$-1170401]mm")),""))</f>
        <v/>
      </c>
    </row>
    <row r="1480">
      <c r="B1480" s="30" t="n"/>
      <c r="G1480" s="9">
        <f>IF(AND(E1480&lt;&gt;"",E1480&lt;&gt;0,H1480&lt;&gt;""),H1480/E1480,"")</f>
        <v/>
      </c>
      <c r="L1480">
        <f>IF(B1480="","",IFERROR(VALUE(TEXT(B1480,"[$-1170401]yyyy")),""))</f>
        <v/>
      </c>
      <c r="M1480">
        <f>IF(B1480="","",IFERROR(VALUE(TEXT(B1480,"[$-1170401]mm")),""))</f>
        <v/>
      </c>
    </row>
    <row r="1481">
      <c r="B1481" s="30" t="n"/>
      <c r="G1481" s="9">
        <f>IF(AND(E1481&lt;&gt;"",E1481&lt;&gt;0,H1481&lt;&gt;""),H1481/E1481,"")</f>
        <v/>
      </c>
      <c r="L1481">
        <f>IF(B1481="","",IFERROR(VALUE(TEXT(B1481,"[$-1170401]yyyy")),""))</f>
        <v/>
      </c>
      <c r="M1481">
        <f>IF(B1481="","",IFERROR(VALUE(TEXT(B1481,"[$-1170401]mm")),""))</f>
        <v/>
      </c>
    </row>
    <row r="1482">
      <c r="B1482" s="30" t="n"/>
      <c r="G1482" s="9">
        <f>IF(AND(E1482&lt;&gt;"",E1482&lt;&gt;0,H1482&lt;&gt;""),H1482/E1482,"")</f>
        <v/>
      </c>
      <c r="L1482">
        <f>IF(B1482="","",IFERROR(VALUE(TEXT(B1482,"[$-1170401]yyyy")),""))</f>
        <v/>
      </c>
      <c r="M1482">
        <f>IF(B1482="","",IFERROR(VALUE(TEXT(B1482,"[$-1170401]mm")),""))</f>
        <v/>
      </c>
    </row>
    <row r="1483">
      <c r="B1483" s="30" t="n"/>
      <c r="G1483" s="9">
        <f>IF(AND(E1483&lt;&gt;"",E1483&lt;&gt;0,H1483&lt;&gt;""),H1483/E1483,"")</f>
        <v/>
      </c>
      <c r="L1483">
        <f>IF(B1483="","",IFERROR(VALUE(TEXT(B1483,"[$-1170401]yyyy")),""))</f>
        <v/>
      </c>
      <c r="M1483">
        <f>IF(B1483="","",IFERROR(VALUE(TEXT(B1483,"[$-1170401]mm")),""))</f>
        <v/>
      </c>
    </row>
    <row r="1484">
      <c r="B1484" s="30" t="n"/>
      <c r="G1484" s="9">
        <f>IF(AND(E1484&lt;&gt;"",E1484&lt;&gt;0,H1484&lt;&gt;""),H1484/E1484,"")</f>
        <v/>
      </c>
      <c r="L1484">
        <f>IF(B1484="","",IFERROR(VALUE(TEXT(B1484,"[$-1170401]yyyy")),""))</f>
        <v/>
      </c>
      <c r="M1484">
        <f>IF(B1484="","",IFERROR(VALUE(TEXT(B1484,"[$-1170401]mm")),""))</f>
        <v/>
      </c>
    </row>
    <row r="1485">
      <c r="B1485" s="30" t="n"/>
      <c r="G1485" s="9">
        <f>IF(AND(E1485&lt;&gt;"",E1485&lt;&gt;0,H1485&lt;&gt;""),H1485/E1485,"")</f>
        <v/>
      </c>
      <c r="L1485">
        <f>IF(B1485="","",IFERROR(VALUE(TEXT(B1485,"[$-1170401]yyyy")),""))</f>
        <v/>
      </c>
      <c r="M1485">
        <f>IF(B1485="","",IFERROR(VALUE(TEXT(B1485,"[$-1170401]mm")),""))</f>
        <v/>
      </c>
    </row>
    <row r="1486">
      <c r="B1486" s="30" t="n"/>
      <c r="G1486" s="9">
        <f>IF(AND(E1486&lt;&gt;"",E1486&lt;&gt;0,H1486&lt;&gt;""),H1486/E1486,"")</f>
        <v/>
      </c>
      <c r="L1486">
        <f>IF(B1486="","",IFERROR(VALUE(TEXT(B1486,"[$-1170401]yyyy")),""))</f>
        <v/>
      </c>
      <c r="M1486">
        <f>IF(B1486="","",IFERROR(VALUE(TEXT(B1486,"[$-1170401]mm")),""))</f>
        <v/>
      </c>
    </row>
    <row r="1487">
      <c r="B1487" s="30" t="n"/>
      <c r="G1487" s="9">
        <f>IF(AND(E1487&lt;&gt;"",E1487&lt;&gt;0,H1487&lt;&gt;""),H1487/E1487,"")</f>
        <v/>
      </c>
      <c r="L1487">
        <f>IF(B1487="","",IFERROR(VALUE(TEXT(B1487,"[$-1170401]yyyy")),""))</f>
        <v/>
      </c>
      <c r="M1487">
        <f>IF(B1487="","",IFERROR(VALUE(TEXT(B1487,"[$-1170401]mm")),""))</f>
        <v/>
      </c>
    </row>
    <row r="1488">
      <c r="B1488" s="30" t="n"/>
      <c r="G1488" s="9">
        <f>IF(AND(E1488&lt;&gt;"",E1488&lt;&gt;0,H1488&lt;&gt;""),H1488/E1488,"")</f>
        <v/>
      </c>
      <c r="L1488">
        <f>IF(B1488="","",IFERROR(VALUE(TEXT(B1488,"[$-1170401]yyyy")),""))</f>
        <v/>
      </c>
      <c r="M1488">
        <f>IF(B1488="","",IFERROR(VALUE(TEXT(B1488,"[$-1170401]mm")),""))</f>
        <v/>
      </c>
    </row>
    <row r="1489">
      <c r="B1489" s="30" t="n"/>
      <c r="G1489" s="9">
        <f>IF(AND(E1489&lt;&gt;"",E1489&lt;&gt;0,H1489&lt;&gt;""),H1489/E1489,"")</f>
        <v/>
      </c>
      <c r="L1489">
        <f>IF(B1489="","",IFERROR(VALUE(TEXT(B1489,"[$-1170401]yyyy")),""))</f>
        <v/>
      </c>
      <c r="M1489">
        <f>IF(B1489="","",IFERROR(VALUE(TEXT(B1489,"[$-1170401]mm")),""))</f>
        <v/>
      </c>
    </row>
    <row r="1490">
      <c r="B1490" s="30" t="n"/>
      <c r="G1490" s="9">
        <f>IF(AND(E1490&lt;&gt;"",E1490&lt;&gt;0,H1490&lt;&gt;""),H1490/E1490,"")</f>
        <v/>
      </c>
      <c r="L1490">
        <f>IF(B1490="","",IFERROR(VALUE(TEXT(B1490,"[$-1170401]yyyy")),""))</f>
        <v/>
      </c>
      <c r="M1490">
        <f>IF(B1490="","",IFERROR(VALUE(TEXT(B1490,"[$-1170401]mm")),""))</f>
        <v/>
      </c>
    </row>
    <row r="1491">
      <c r="B1491" s="30" t="n"/>
      <c r="G1491" s="9">
        <f>IF(AND(E1491&lt;&gt;"",E1491&lt;&gt;0,H1491&lt;&gt;""),H1491/E1491,"")</f>
        <v/>
      </c>
      <c r="L1491">
        <f>IF(B1491="","",IFERROR(VALUE(TEXT(B1491,"[$-1170401]yyyy")),""))</f>
        <v/>
      </c>
      <c r="M1491">
        <f>IF(B1491="","",IFERROR(VALUE(TEXT(B1491,"[$-1170401]mm")),""))</f>
        <v/>
      </c>
    </row>
    <row r="1492">
      <c r="B1492" s="30" t="n"/>
      <c r="G1492" s="9">
        <f>IF(AND(E1492&lt;&gt;"",E1492&lt;&gt;0,H1492&lt;&gt;""),H1492/E1492,"")</f>
        <v/>
      </c>
      <c r="L1492">
        <f>IF(B1492="","",IFERROR(VALUE(TEXT(B1492,"[$-1170401]yyyy")),""))</f>
        <v/>
      </c>
      <c r="M1492">
        <f>IF(B1492="","",IFERROR(VALUE(TEXT(B1492,"[$-1170401]mm")),""))</f>
        <v/>
      </c>
    </row>
    <row r="1493">
      <c r="B1493" s="30" t="n"/>
      <c r="G1493" s="9">
        <f>IF(AND(E1493&lt;&gt;"",E1493&lt;&gt;0,H1493&lt;&gt;""),H1493/E1493,"")</f>
        <v/>
      </c>
      <c r="L1493">
        <f>IF(B1493="","",IFERROR(VALUE(TEXT(B1493,"[$-1170401]yyyy")),""))</f>
        <v/>
      </c>
      <c r="M1493">
        <f>IF(B1493="","",IFERROR(VALUE(TEXT(B1493,"[$-1170401]mm")),""))</f>
        <v/>
      </c>
    </row>
    <row r="1494">
      <c r="B1494" s="30" t="n"/>
      <c r="G1494" s="9">
        <f>IF(AND(E1494&lt;&gt;"",E1494&lt;&gt;0,H1494&lt;&gt;""),H1494/E1494,"")</f>
        <v/>
      </c>
      <c r="L1494">
        <f>IF(B1494="","",IFERROR(VALUE(TEXT(B1494,"[$-1170401]yyyy")),""))</f>
        <v/>
      </c>
      <c r="M1494">
        <f>IF(B1494="","",IFERROR(VALUE(TEXT(B1494,"[$-1170401]mm")),""))</f>
        <v/>
      </c>
    </row>
    <row r="1495">
      <c r="B1495" s="30" t="n"/>
      <c r="G1495" s="9">
        <f>IF(AND(E1495&lt;&gt;"",E1495&lt;&gt;0,H1495&lt;&gt;""),H1495/E1495,"")</f>
        <v/>
      </c>
      <c r="L1495">
        <f>IF(B1495="","",IFERROR(VALUE(TEXT(B1495,"[$-1170401]yyyy")),""))</f>
        <v/>
      </c>
      <c r="M1495">
        <f>IF(B1495="","",IFERROR(VALUE(TEXT(B1495,"[$-1170401]mm")),""))</f>
        <v/>
      </c>
    </row>
    <row r="1496">
      <c r="B1496" s="30" t="n"/>
      <c r="G1496" s="9">
        <f>IF(AND(E1496&lt;&gt;"",E1496&lt;&gt;0,H1496&lt;&gt;""),H1496/E1496,"")</f>
        <v/>
      </c>
      <c r="L1496">
        <f>IF(B1496="","",IFERROR(VALUE(TEXT(B1496,"[$-1170401]yyyy")),""))</f>
        <v/>
      </c>
      <c r="M1496">
        <f>IF(B1496="","",IFERROR(VALUE(TEXT(B1496,"[$-1170401]mm")),""))</f>
        <v/>
      </c>
    </row>
    <row r="1497">
      <c r="B1497" s="30" t="n"/>
      <c r="G1497" s="9">
        <f>IF(AND(E1497&lt;&gt;"",E1497&lt;&gt;0,H1497&lt;&gt;""),H1497/E1497,"")</f>
        <v/>
      </c>
      <c r="L1497">
        <f>IF(B1497="","",IFERROR(VALUE(TEXT(B1497,"[$-1170401]yyyy")),""))</f>
        <v/>
      </c>
      <c r="M1497">
        <f>IF(B1497="","",IFERROR(VALUE(TEXT(B1497,"[$-1170401]mm")),""))</f>
        <v/>
      </c>
    </row>
    <row r="1498">
      <c r="B1498" s="30" t="n"/>
      <c r="G1498" s="9">
        <f>IF(AND(E1498&lt;&gt;"",E1498&lt;&gt;0,H1498&lt;&gt;""),H1498/E1498,"")</f>
        <v/>
      </c>
      <c r="L1498">
        <f>IF(B1498="","",IFERROR(VALUE(TEXT(B1498,"[$-1170401]yyyy")),""))</f>
        <v/>
      </c>
      <c r="M1498">
        <f>IF(B1498="","",IFERROR(VALUE(TEXT(B1498,"[$-1170401]mm")),""))</f>
        <v/>
      </c>
    </row>
    <row r="1499">
      <c r="B1499" s="30" t="n"/>
      <c r="G1499" s="9">
        <f>IF(AND(E1499&lt;&gt;"",E1499&lt;&gt;0,H1499&lt;&gt;""),H1499/E1499,"")</f>
        <v/>
      </c>
      <c r="L1499">
        <f>IF(B1499="","",IFERROR(VALUE(TEXT(B1499,"[$-1170401]yyyy")),""))</f>
        <v/>
      </c>
      <c r="M1499">
        <f>IF(B1499="","",IFERROR(VALUE(TEXT(B1499,"[$-1170401]mm")),""))</f>
        <v/>
      </c>
    </row>
    <row r="1500">
      <c r="B1500" s="30" t="n"/>
      <c r="G1500" s="9">
        <f>IF(AND(E1500&lt;&gt;"",E1500&lt;&gt;0,H1500&lt;&gt;""),H1500/E1500,"")</f>
        <v/>
      </c>
      <c r="L1500">
        <f>IF(B1500="","",IFERROR(VALUE(TEXT(B1500,"[$-1170401]yyyy")),""))</f>
        <v/>
      </c>
      <c r="M1500">
        <f>IF(B1500="","",IFERROR(VALUE(TEXT(B1500,"[$-1170401]mm")),""))</f>
        <v/>
      </c>
    </row>
    <row r="1501">
      <c r="B1501" s="30" t="n"/>
      <c r="G1501" s="9">
        <f>IF(AND(E1501&lt;&gt;"",E1501&lt;&gt;0,H1501&lt;&gt;""),H1501/E1501,"")</f>
        <v/>
      </c>
      <c r="L1501">
        <f>IF(B1501="","",IFERROR(VALUE(TEXT(B1501,"[$-1170401]yyyy")),""))</f>
        <v/>
      </c>
      <c r="M1501">
        <f>IF(B1501="","",IFERROR(VALUE(TEXT(B1501,"[$-1170401]mm")),""))</f>
        <v/>
      </c>
    </row>
    <row r="1502">
      <c r="B1502" s="30" t="n"/>
      <c r="G1502" s="9">
        <f>IF(AND(E1502&lt;&gt;"",E1502&lt;&gt;0,H1502&lt;&gt;""),H1502/E1502,"")</f>
        <v/>
      </c>
      <c r="L1502">
        <f>IF(B1502="","",IFERROR(VALUE(TEXT(B1502,"[$-1170401]yyyy")),""))</f>
        <v/>
      </c>
      <c r="M1502">
        <f>IF(B1502="","",IFERROR(VALUE(TEXT(B1502,"[$-1170401]mm")),""))</f>
        <v/>
      </c>
    </row>
    <row r="1503">
      <c r="B1503" s="30" t="n"/>
      <c r="G1503" s="9">
        <f>IF(AND(E1503&lt;&gt;"",E1503&lt;&gt;0,H1503&lt;&gt;""),H1503/E1503,"")</f>
        <v/>
      </c>
      <c r="L1503">
        <f>IF(B1503="","",IFERROR(VALUE(TEXT(B1503,"[$-1170401]yyyy")),""))</f>
        <v/>
      </c>
      <c r="M1503">
        <f>IF(B1503="","",IFERROR(VALUE(TEXT(B1503,"[$-1170401]mm")),""))</f>
        <v/>
      </c>
    </row>
    <row r="1504">
      <c r="B1504" s="30" t="n"/>
      <c r="G1504" s="9">
        <f>IF(AND(E1504&lt;&gt;"",E1504&lt;&gt;0,H1504&lt;&gt;""),H1504/E1504,"")</f>
        <v/>
      </c>
      <c r="L1504">
        <f>IF(B1504="","",IFERROR(VALUE(TEXT(B1504,"[$-1170401]yyyy")),""))</f>
        <v/>
      </c>
      <c r="M1504">
        <f>IF(B1504="","",IFERROR(VALUE(TEXT(B1504,"[$-1170401]mm")),""))</f>
        <v/>
      </c>
    </row>
    <row r="1505">
      <c r="B1505" s="30" t="n"/>
      <c r="G1505" s="9">
        <f>IF(AND(E1505&lt;&gt;"",E1505&lt;&gt;0,H1505&lt;&gt;""),H1505/E1505,"")</f>
        <v/>
      </c>
      <c r="L1505">
        <f>IF(B1505="","",IFERROR(VALUE(TEXT(B1505,"[$-1170401]yyyy")),""))</f>
        <v/>
      </c>
      <c r="M1505">
        <f>IF(B1505="","",IFERROR(VALUE(TEXT(B1505,"[$-1170401]mm")),""))</f>
        <v/>
      </c>
    </row>
    <row r="1506">
      <c r="B1506" s="30" t="n"/>
      <c r="G1506" s="9">
        <f>IF(AND(E1506&lt;&gt;"",E1506&lt;&gt;0,H1506&lt;&gt;""),H1506/E1506,"")</f>
        <v/>
      </c>
      <c r="L1506">
        <f>IF(B1506="","",IFERROR(VALUE(TEXT(B1506,"[$-1170401]yyyy")),""))</f>
        <v/>
      </c>
      <c r="M1506">
        <f>IF(B1506="","",IFERROR(VALUE(TEXT(B1506,"[$-1170401]mm")),""))</f>
        <v/>
      </c>
    </row>
    <row r="1507">
      <c r="B1507" s="30" t="n"/>
      <c r="G1507" s="9">
        <f>IF(AND(E1507&lt;&gt;"",E1507&lt;&gt;0,H1507&lt;&gt;""),H1507/E1507,"")</f>
        <v/>
      </c>
      <c r="L1507">
        <f>IF(B1507="","",IFERROR(VALUE(TEXT(B1507,"[$-1170401]yyyy")),""))</f>
        <v/>
      </c>
      <c r="M1507">
        <f>IF(B1507="","",IFERROR(VALUE(TEXT(B1507,"[$-1170401]mm")),""))</f>
        <v/>
      </c>
    </row>
    <row r="1508">
      <c r="B1508" s="30" t="n"/>
      <c r="G1508" s="9">
        <f>IF(AND(E1508&lt;&gt;"",E1508&lt;&gt;0,H1508&lt;&gt;""),H1508/E1508,"")</f>
        <v/>
      </c>
      <c r="L1508">
        <f>IF(B1508="","",IFERROR(VALUE(TEXT(B1508,"[$-1170401]yyyy")),""))</f>
        <v/>
      </c>
      <c r="M1508">
        <f>IF(B1508="","",IFERROR(VALUE(TEXT(B1508,"[$-1170401]mm")),""))</f>
        <v/>
      </c>
    </row>
    <row r="1509">
      <c r="B1509" s="30" t="n"/>
      <c r="G1509" s="9">
        <f>IF(AND(E1509&lt;&gt;"",E1509&lt;&gt;0,H1509&lt;&gt;""),H1509/E1509,"")</f>
        <v/>
      </c>
      <c r="L1509">
        <f>IF(B1509="","",IFERROR(VALUE(TEXT(B1509,"[$-1170401]yyyy")),""))</f>
        <v/>
      </c>
      <c r="M1509">
        <f>IF(B1509="","",IFERROR(VALUE(TEXT(B1509,"[$-1170401]mm")),""))</f>
        <v/>
      </c>
    </row>
    <row r="1510">
      <c r="B1510" s="30" t="n"/>
      <c r="G1510" s="9">
        <f>IF(AND(E1510&lt;&gt;"",E1510&lt;&gt;0,H1510&lt;&gt;""),H1510/E1510,"")</f>
        <v/>
      </c>
      <c r="L1510">
        <f>IF(B1510="","",IFERROR(VALUE(TEXT(B1510,"[$-1170401]yyyy")),""))</f>
        <v/>
      </c>
      <c r="M1510">
        <f>IF(B1510="","",IFERROR(VALUE(TEXT(B1510,"[$-1170401]mm")),""))</f>
        <v/>
      </c>
    </row>
    <row r="1511">
      <c r="B1511" s="30" t="n"/>
      <c r="G1511" s="9">
        <f>IF(AND(E1511&lt;&gt;"",E1511&lt;&gt;0,H1511&lt;&gt;""),H1511/E1511,"")</f>
        <v/>
      </c>
      <c r="L1511">
        <f>IF(B1511="","",IFERROR(VALUE(TEXT(B1511,"[$-1170401]yyyy")),""))</f>
        <v/>
      </c>
      <c r="M1511">
        <f>IF(B1511="","",IFERROR(VALUE(TEXT(B1511,"[$-1170401]mm")),""))</f>
        <v/>
      </c>
    </row>
    <row r="1512">
      <c r="B1512" s="30" t="n"/>
      <c r="G1512" s="9">
        <f>IF(AND(E1512&lt;&gt;"",E1512&lt;&gt;0,H1512&lt;&gt;""),H1512/E1512,"")</f>
        <v/>
      </c>
      <c r="L1512">
        <f>IF(B1512="","",IFERROR(VALUE(TEXT(B1512,"[$-1170401]yyyy")),""))</f>
        <v/>
      </c>
      <c r="M1512">
        <f>IF(B1512="","",IFERROR(VALUE(TEXT(B1512,"[$-1170401]mm")),""))</f>
        <v/>
      </c>
    </row>
    <row r="1513">
      <c r="B1513" s="30" t="n"/>
      <c r="G1513" s="9">
        <f>IF(AND(E1513&lt;&gt;"",E1513&lt;&gt;0,H1513&lt;&gt;""),H1513/E1513,"")</f>
        <v/>
      </c>
      <c r="L1513">
        <f>IF(B1513="","",IFERROR(VALUE(TEXT(B1513,"[$-1170401]yyyy")),""))</f>
        <v/>
      </c>
      <c r="M1513">
        <f>IF(B1513="","",IFERROR(VALUE(TEXT(B1513,"[$-1170401]mm")),""))</f>
        <v/>
      </c>
    </row>
    <row r="1514">
      <c r="B1514" s="30" t="n"/>
      <c r="G1514" s="9">
        <f>IF(AND(E1514&lt;&gt;"",E1514&lt;&gt;0,H1514&lt;&gt;""),H1514/E1514,"")</f>
        <v/>
      </c>
      <c r="L1514">
        <f>IF(B1514="","",IFERROR(VALUE(TEXT(B1514,"[$-1170401]yyyy")),""))</f>
        <v/>
      </c>
      <c r="M1514">
        <f>IF(B1514="","",IFERROR(VALUE(TEXT(B1514,"[$-1170401]mm")),""))</f>
        <v/>
      </c>
    </row>
    <row r="1515">
      <c r="B1515" s="30" t="n"/>
      <c r="G1515" s="9">
        <f>IF(AND(E1515&lt;&gt;"",E1515&lt;&gt;0,H1515&lt;&gt;""),H1515/E1515,"")</f>
        <v/>
      </c>
      <c r="L1515">
        <f>IF(B1515="","",IFERROR(VALUE(TEXT(B1515,"[$-1170401]yyyy")),""))</f>
        <v/>
      </c>
      <c r="M1515">
        <f>IF(B1515="","",IFERROR(VALUE(TEXT(B1515,"[$-1170401]mm")),""))</f>
        <v/>
      </c>
    </row>
    <row r="1516">
      <c r="B1516" s="30" t="n"/>
      <c r="G1516" s="9">
        <f>IF(AND(E1516&lt;&gt;"",E1516&lt;&gt;0,H1516&lt;&gt;""),H1516/E1516,"")</f>
        <v/>
      </c>
      <c r="L1516">
        <f>IF(B1516="","",IFERROR(VALUE(TEXT(B1516,"[$-1170401]yyyy")),""))</f>
        <v/>
      </c>
      <c r="M1516">
        <f>IF(B1516="","",IFERROR(VALUE(TEXT(B1516,"[$-1170401]mm")),""))</f>
        <v/>
      </c>
    </row>
    <row r="1517">
      <c r="B1517" s="30" t="n"/>
      <c r="G1517" s="9">
        <f>IF(AND(E1517&lt;&gt;"",E1517&lt;&gt;0,H1517&lt;&gt;""),H1517/E1517,"")</f>
        <v/>
      </c>
      <c r="L1517">
        <f>IF(B1517="","",IFERROR(VALUE(TEXT(B1517,"[$-1170401]yyyy")),""))</f>
        <v/>
      </c>
      <c r="M1517">
        <f>IF(B1517="","",IFERROR(VALUE(TEXT(B1517,"[$-1170401]mm")),""))</f>
        <v/>
      </c>
    </row>
    <row r="1518">
      <c r="B1518" s="30" t="n"/>
      <c r="G1518" s="9">
        <f>IF(AND(E1518&lt;&gt;"",E1518&lt;&gt;0,H1518&lt;&gt;""),H1518/E1518,"")</f>
        <v/>
      </c>
      <c r="L1518">
        <f>IF(B1518="","",IFERROR(VALUE(TEXT(B1518,"[$-1170401]yyyy")),""))</f>
        <v/>
      </c>
      <c r="M1518">
        <f>IF(B1518="","",IFERROR(VALUE(TEXT(B1518,"[$-1170401]mm")),""))</f>
        <v/>
      </c>
    </row>
    <row r="1519">
      <c r="B1519" s="30" t="n"/>
      <c r="G1519" s="9">
        <f>IF(AND(E1519&lt;&gt;"",E1519&lt;&gt;0,H1519&lt;&gt;""),H1519/E1519,"")</f>
        <v/>
      </c>
      <c r="L1519">
        <f>IF(B1519="","",IFERROR(VALUE(TEXT(B1519,"[$-1170401]yyyy")),""))</f>
        <v/>
      </c>
      <c r="M1519">
        <f>IF(B1519="","",IFERROR(VALUE(TEXT(B1519,"[$-1170401]mm")),""))</f>
        <v/>
      </c>
    </row>
    <row r="1520">
      <c r="B1520" s="30" t="n"/>
      <c r="G1520" s="9">
        <f>IF(AND(E1520&lt;&gt;"",E1520&lt;&gt;0,H1520&lt;&gt;""),H1520/E1520,"")</f>
        <v/>
      </c>
      <c r="L1520">
        <f>IF(B1520="","",IFERROR(VALUE(TEXT(B1520,"[$-1170401]yyyy")),""))</f>
        <v/>
      </c>
      <c r="M1520">
        <f>IF(B1520="","",IFERROR(VALUE(TEXT(B1520,"[$-1170401]mm")),""))</f>
        <v/>
      </c>
    </row>
    <row r="1521">
      <c r="B1521" s="30" t="n"/>
      <c r="G1521" s="9">
        <f>IF(AND(E1521&lt;&gt;"",E1521&lt;&gt;0,H1521&lt;&gt;""),H1521/E1521,"")</f>
        <v/>
      </c>
      <c r="L1521">
        <f>IF(B1521="","",IFERROR(VALUE(TEXT(B1521,"[$-1170401]yyyy")),""))</f>
        <v/>
      </c>
      <c r="M1521">
        <f>IF(B1521="","",IFERROR(VALUE(TEXT(B1521,"[$-1170401]mm")),""))</f>
        <v/>
      </c>
    </row>
    <row r="1522">
      <c r="B1522" s="30" t="n"/>
      <c r="G1522" s="9">
        <f>IF(AND(E1522&lt;&gt;"",E1522&lt;&gt;0,H1522&lt;&gt;""),H1522/E1522,"")</f>
        <v/>
      </c>
      <c r="L1522">
        <f>IF(B1522="","",IFERROR(VALUE(TEXT(B1522,"[$-1170401]yyyy")),""))</f>
        <v/>
      </c>
      <c r="M1522">
        <f>IF(B1522="","",IFERROR(VALUE(TEXT(B1522,"[$-1170401]mm")),""))</f>
        <v/>
      </c>
    </row>
    <row r="1523">
      <c r="B1523" s="30" t="n"/>
      <c r="G1523" s="9">
        <f>IF(AND(E1523&lt;&gt;"",E1523&lt;&gt;0,H1523&lt;&gt;""),H1523/E1523,"")</f>
        <v/>
      </c>
      <c r="L1523">
        <f>IF(B1523="","",IFERROR(VALUE(TEXT(B1523,"[$-1170401]yyyy")),""))</f>
        <v/>
      </c>
      <c r="M1523">
        <f>IF(B1523="","",IFERROR(VALUE(TEXT(B1523,"[$-1170401]mm")),""))</f>
        <v/>
      </c>
    </row>
    <row r="1524">
      <c r="B1524" s="30" t="n"/>
      <c r="G1524" s="9">
        <f>IF(AND(E1524&lt;&gt;"",E1524&lt;&gt;0,H1524&lt;&gt;""),H1524/E1524,"")</f>
        <v/>
      </c>
      <c r="L1524">
        <f>IF(B1524="","",IFERROR(VALUE(TEXT(B1524,"[$-1170401]yyyy")),""))</f>
        <v/>
      </c>
      <c r="M1524">
        <f>IF(B1524="","",IFERROR(VALUE(TEXT(B1524,"[$-1170401]mm")),""))</f>
        <v/>
      </c>
    </row>
    <row r="1525">
      <c r="B1525" s="30" t="n"/>
      <c r="G1525" s="9">
        <f>IF(AND(E1525&lt;&gt;"",E1525&lt;&gt;0,H1525&lt;&gt;""),H1525/E1525,"")</f>
        <v/>
      </c>
      <c r="L1525">
        <f>IF(B1525="","",IFERROR(VALUE(TEXT(B1525,"[$-1170401]yyyy")),""))</f>
        <v/>
      </c>
      <c r="M1525">
        <f>IF(B1525="","",IFERROR(VALUE(TEXT(B1525,"[$-1170401]mm")),""))</f>
        <v/>
      </c>
    </row>
    <row r="1526">
      <c r="B1526" s="30" t="n"/>
      <c r="G1526" s="9">
        <f>IF(AND(E1526&lt;&gt;"",E1526&lt;&gt;0,H1526&lt;&gt;""),H1526/E1526,"")</f>
        <v/>
      </c>
      <c r="L1526">
        <f>IF(B1526="","",IFERROR(VALUE(TEXT(B1526,"[$-1170401]yyyy")),""))</f>
        <v/>
      </c>
      <c r="M1526">
        <f>IF(B1526="","",IFERROR(VALUE(TEXT(B1526,"[$-1170401]mm")),""))</f>
        <v/>
      </c>
    </row>
    <row r="1527">
      <c r="B1527" s="30" t="n"/>
      <c r="G1527" s="9">
        <f>IF(AND(E1527&lt;&gt;"",E1527&lt;&gt;0,H1527&lt;&gt;""),H1527/E1527,"")</f>
        <v/>
      </c>
      <c r="L1527">
        <f>IF(B1527="","",IFERROR(VALUE(TEXT(B1527,"[$-1170401]yyyy")),""))</f>
        <v/>
      </c>
      <c r="M1527">
        <f>IF(B1527="","",IFERROR(VALUE(TEXT(B1527,"[$-1170401]mm")),""))</f>
        <v/>
      </c>
    </row>
    <row r="1528">
      <c r="B1528" s="30" t="n"/>
      <c r="G1528" s="9">
        <f>IF(AND(E1528&lt;&gt;"",E1528&lt;&gt;0,H1528&lt;&gt;""),H1528/E1528,"")</f>
        <v/>
      </c>
      <c r="L1528">
        <f>IF(B1528="","",IFERROR(VALUE(TEXT(B1528,"[$-1170401]yyyy")),""))</f>
        <v/>
      </c>
      <c r="M1528">
        <f>IF(B1528="","",IFERROR(VALUE(TEXT(B1528,"[$-1170401]mm")),""))</f>
        <v/>
      </c>
    </row>
    <row r="1529">
      <c r="B1529" s="30" t="n"/>
      <c r="G1529" s="9">
        <f>IF(AND(E1529&lt;&gt;"",E1529&lt;&gt;0,H1529&lt;&gt;""),H1529/E1529,"")</f>
        <v/>
      </c>
      <c r="L1529">
        <f>IF(B1529="","",IFERROR(VALUE(TEXT(B1529,"[$-1170401]yyyy")),""))</f>
        <v/>
      </c>
      <c r="M1529">
        <f>IF(B1529="","",IFERROR(VALUE(TEXT(B1529,"[$-1170401]mm")),""))</f>
        <v/>
      </c>
    </row>
    <row r="1530">
      <c r="B1530" s="30" t="n"/>
      <c r="G1530" s="9">
        <f>IF(AND(E1530&lt;&gt;"",E1530&lt;&gt;0,H1530&lt;&gt;""),H1530/E1530,"")</f>
        <v/>
      </c>
      <c r="L1530">
        <f>IF(B1530="","",IFERROR(VALUE(TEXT(B1530,"[$-1170401]yyyy")),""))</f>
        <v/>
      </c>
      <c r="M1530">
        <f>IF(B1530="","",IFERROR(VALUE(TEXT(B1530,"[$-1170401]mm")),""))</f>
        <v/>
      </c>
    </row>
    <row r="1531">
      <c r="B1531" s="30" t="n"/>
      <c r="G1531" s="9">
        <f>IF(AND(E1531&lt;&gt;"",E1531&lt;&gt;0,H1531&lt;&gt;""),H1531/E1531,"")</f>
        <v/>
      </c>
      <c r="L1531">
        <f>IF(B1531="","",IFERROR(VALUE(TEXT(B1531,"[$-1170401]yyyy")),""))</f>
        <v/>
      </c>
      <c r="M1531">
        <f>IF(B1531="","",IFERROR(VALUE(TEXT(B1531,"[$-1170401]mm")),""))</f>
        <v/>
      </c>
    </row>
    <row r="1532">
      <c r="B1532" s="30" t="n"/>
      <c r="G1532" s="9">
        <f>IF(AND(E1532&lt;&gt;"",E1532&lt;&gt;0,H1532&lt;&gt;""),H1532/E1532,"")</f>
        <v/>
      </c>
      <c r="L1532">
        <f>IF(B1532="","",IFERROR(VALUE(TEXT(B1532,"[$-1170401]yyyy")),""))</f>
        <v/>
      </c>
      <c r="M1532">
        <f>IF(B1532="","",IFERROR(VALUE(TEXT(B1532,"[$-1170401]mm")),""))</f>
        <v/>
      </c>
    </row>
    <row r="1533">
      <c r="B1533" s="30" t="n"/>
      <c r="G1533" s="9">
        <f>IF(AND(E1533&lt;&gt;"",E1533&lt;&gt;0,H1533&lt;&gt;""),H1533/E1533,"")</f>
        <v/>
      </c>
      <c r="L1533">
        <f>IF(B1533="","",IFERROR(VALUE(TEXT(B1533,"[$-1170401]yyyy")),""))</f>
        <v/>
      </c>
      <c r="M1533">
        <f>IF(B1533="","",IFERROR(VALUE(TEXT(B1533,"[$-1170401]mm")),""))</f>
        <v/>
      </c>
    </row>
    <row r="1534">
      <c r="B1534" s="30" t="n"/>
      <c r="G1534" s="9">
        <f>IF(AND(E1534&lt;&gt;"",E1534&lt;&gt;0,H1534&lt;&gt;""),H1534/E1534,"")</f>
        <v/>
      </c>
      <c r="L1534">
        <f>IF(B1534="","",IFERROR(VALUE(TEXT(B1534,"[$-1170401]yyyy")),""))</f>
        <v/>
      </c>
      <c r="M1534">
        <f>IF(B1534="","",IFERROR(VALUE(TEXT(B1534,"[$-1170401]mm")),""))</f>
        <v/>
      </c>
    </row>
    <row r="1535">
      <c r="B1535" s="30" t="n"/>
      <c r="G1535" s="9">
        <f>IF(AND(E1535&lt;&gt;"",E1535&lt;&gt;0,H1535&lt;&gt;""),H1535/E1535,"")</f>
        <v/>
      </c>
      <c r="L1535">
        <f>IF(B1535="","",IFERROR(VALUE(TEXT(B1535,"[$-1170401]yyyy")),""))</f>
        <v/>
      </c>
      <c r="M1535">
        <f>IF(B1535="","",IFERROR(VALUE(TEXT(B1535,"[$-1170401]mm")),""))</f>
        <v/>
      </c>
    </row>
    <row r="1536">
      <c r="B1536" s="30" t="n"/>
      <c r="G1536" s="9">
        <f>IF(AND(E1536&lt;&gt;"",E1536&lt;&gt;0,H1536&lt;&gt;""),H1536/E1536,"")</f>
        <v/>
      </c>
      <c r="L1536">
        <f>IF(B1536="","",IFERROR(VALUE(TEXT(B1536,"[$-1170401]yyyy")),""))</f>
        <v/>
      </c>
      <c r="M1536">
        <f>IF(B1536="","",IFERROR(VALUE(TEXT(B1536,"[$-1170401]mm")),""))</f>
        <v/>
      </c>
    </row>
    <row r="1537">
      <c r="B1537" s="30" t="n"/>
      <c r="G1537" s="9">
        <f>IF(AND(E1537&lt;&gt;"",E1537&lt;&gt;0,H1537&lt;&gt;""),H1537/E1537,"")</f>
        <v/>
      </c>
      <c r="L1537">
        <f>IF(B1537="","",IFERROR(VALUE(TEXT(B1537,"[$-1170401]yyyy")),""))</f>
        <v/>
      </c>
      <c r="M1537">
        <f>IF(B1537="","",IFERROR(VALUE(TEXT(B1537,"[$-1170401]mm")),""))</f>
        <v/>
      </c>
    </row>
    <row r="1538">
      <c r="B1538" s="30" t="n"/>
      <c r="G1538" s="9">
        <f>IF(AND(E1538&lt;&gt;"",E1538&lt;&gt;0,H1538&lt;&gt;""),H1538/E1538,"")</f>
        <v/>
      </c>
      <c r="L1538">
        <f>IF(B1538="","",IFERROR(VALUE(TEXT(B1538,"[$-1170401]yyyy")),""))</f>
        <v/>
      </c>
      <c r="M1538">
        <f>IF(B1538="","",IFERROR(VALUE(TEXT(B1538,"[$-1170401]mm")),""))</f>
        <v/>
      </c>
    </row>
    <row r="1539">
      <c r="B1539" s="30" t="n"/>
      <c r="G1539" s="9">
        <f>IF(AND(E1539&lt;&gt;"",E1539&lt;&gt;0,H1539&lt;&gt;""),H1539/E1539,"")</f>
        <v/>
      </c>
      <c r="L1539">
        <f>IF(B1539="","",IFERROR(VALUE(TEXT(B1539,"[$-1170401]yyyy")),""))</f>
        <v/>
      </c>
      <c r="M1539">
        <f>IF(B1539="","",IFERROR(VALUE(TEXT(B1539,"[$-1170401]mm")),""))</f>
        <v/>
      </c>
    </row>
    <row r="1540">
      <c r="B1540" s="30" t="n"/>
      <c r="G1540" s="9">
        <f>IF(AND(E1540&lt;&gt;"",E1540&lt;&gt;0,H1540&lt;&gt;""),H1540/E1540,"")</f>
        <v/>
      </c>
      <c r="L1540">
        <f>IF(B1540="","",IFERROR(VALUE(TEXT(B1540,"[$-1170401]yyyy")),""))</f>
        <v/>
      </c>
      <c r="M1540">
        <f>IF(B1540="","",IFERROR(VALUE(TEXT(B1540,"[$-1170401]mm")),""))</f>
        <v/>
      </c>
    </row>
    <row r="1541">
      <c r="B1541" s="30" t="n"/>
      <c r="G1541" s="9">
        <f>IF(AND(E1541&lt;&gt;"",E1541&lt;&gt;0,H1541&lt;&gt;""),H1541/E1541,"")</f>
        <v/>
      </c>
      <c r="L1541">
        <f>IF(B1541="","",IFERROR(VALUE(TEXT(B1541,"[$-1170401]yyyy")),""))</f>
        <v/>
      </c>
      <c r="M1541">
        <f>IF(B1541="","",IFERROR(VALUE(TEXT(B1541,"[$-1170401]mm")),""))</f>
        <v/>
      </c>
    </row>
    <row r="1542">
      <c r="B1542" s="30" t="n"/>
      <c r="G1542" s="9">
        <f>IF(AND(E1542&lt;&gt;"",E1542&lt;&gt;0,H1542&lt;&gt;""),H1542/E1542,"")</f>
        <v/>
      </c>
      <c r="L1542">
        <f>IF(B1542="","",IFERROR(VALUE(TEXT(B1542,"[$-1170401]yyyy")),""))</f>
        <v/>
      </c>
      <c r="M1542">
        <f>IF(B1542="","",IFERROR(VALUE(TEXT(B1542,"[$-1170401]mm")),""))</f>
        <v/>
      </c>
    </row>
    <row r="1543">
      <c r="B1543" s="30" t="n"/>
      <c r="G1543" s="9">
        <f>IF(AND(E1543&lt;&gt;"",E1543&lt;&gt;0,H1543&lt;&gt;""),H1543/E1543,"")</f>
        <v/>
      </c>
      <c r="L1543">
        <f>IF(B1543="","",IFERROR(VALUE(TEXT(B1543,"[$-1170401]yyyy")),""))</f>
        <v/>
      </c>
      <c r="M1543">
        <f>IF(B1543="","",IFERROR(VALUE(TEXT(B1543,"[$-1170401]mm")),""))</f>
        <v/>
      </c>
    </row>
    <row r="1544">
      <c r="B1544" s="30" t="n"/>
      <c r="G1544" s="9">
        <f>IF(AND(E1544&lt;&gt;"",E1544&lt;&gt;0,H1544&lt;&gt;""),H1544/E1544,"")</f>
        <v/>
      </c>
      <c r="L1544">
        <f>IF(B1544="","",IFERROR(VALUE(TEXT(B1544,"[$-1170401]yyyy")),""))</f>
        <v/>
      </c>
      <c r="M1544">
        <f>IF(B1544="","",IFERROR(VALUE(TEXT(B1544,"[$-1170401]mm")),""))</f>
        <v/>
      </c>
    </row>
    <row r="1545">
      <c r="B1545" s="30" t="n"/>
      <c r="G1545" s="9">
        <f>IF(AND(E1545&lt;&gt;"",E1545&lt;&gt;0,H1545&lt;&gt;""),H1545/E1545,"")</f>
        <v/>
      </c>
      <c r="L1545">
        <f>IF(B1545="","",IFERROR(VALUE(TEXT(B1545,"[$-1170401]yyyy")),""))</f>
        <v/>
      </c>
      <c r="M1545">
        <f>IF(B1545="","",IFERROR(VALUE(TEXT(B1545,"[$-1170401]mm")),""))</f>
        <v/>
      </c>
    </row>
    <row r="1546">
      <c r="B1546" s="30" t="n"/>
      <c r="G1546" s="9">
        <f>IF(AND(E1546&lt;&gt;"",E1546&lt;&gt;0,H1546&lt;&gt;""),H1546/E1546,"")</f>
        <v/>
      </c>
      <c r="L1546">
        <f>IF(B1546="","",IFERROR(VALUE(TEXT(B1546,"[$-1170401]yyyy")),""))</f>
        <v/>
      </c>
      <c r="M1546">
        <f>IF(B1546="","",IFERROR(VALUE(TEXT(B1546,"[$-1170401]mm")),""))</f>
        <v/>
      </c>
    </row>
    <row r="1547">
      <c r="B1547" s="30" t="n"/>
      <c r="G1547" s="9">
        <f>IF(AND(E1547&lt;&gt;"",E1547&lt;&gt;0,H1547&lt;&gt;""),H1547/E1547,"")</f>
        <v/>
      </c>
      <c r="L1547">
        <f>IF(B1547="","",IFERROR(VALUE(TEXT(B1547,"[$-1170401]yyyy")),""))</f>
        <v/>
      </c>
      <c r="M1547">
        <f>IF(B1547="","",IFERROR(VALUE(TEXT(B1547,"[$-1170401]mm")),""))</f>
        <v/>
      </c>
    </row>
    <row r="1548">
      <c r="B1548" s="30" t="n"/>
      <c r="G1548" s="9">
        <f>IF(AND(E1548&lt;&gt;"",E1548&lt;&gt;0,H1548&lt;&gt;""),H1548/E1548,"")</f>
        <v/>
      </c>
      <c r="L1548">
        <f>IF(B1548="","",IFERROR(VALUE(TEXT(B1548,"[$-1170401]yyyy")),""))</f>
        <v/>
      </c>
      <c r="M1548">
        <f>IF(B1548="","",IFERROR(VALUE(TEXT(B1548,"[$-1170401]mm")),""))</f>
        <v/>
      </c>
    </row>
    <row r="1549">
      <c r="B1549" s="30" t="n"/>
      <c r="G1549" s="9">
        <f>IF(AND(E1549&lt;&gt;"",E1549&lt;&gt;0,H1549&lt;&gt;""),H1549/E1549,"")</f>
        <v/>
      </c>
      <c r="L1549">
        <f>IF(B1549="","",IFERROR(VALUE(TEXT(B1549,"[$-1170401]yyyy")),""))</f>
        <v/>
      </c>
      <c r="M1549">
        <f>IF(B1549="","",IFERROR(VALUE(TEXT(B1549,"[$-1170401]mm")),""))</f>
        <v/>
      </c>
    </row>
    <row r="1550">
      <c r="B1550" s="30" t="n"/>
      <c r="G1550" s="9">
        <f>IF(AND(E1550&lt;&gt;"",E1550&lt;&gt;0,H1550&lt;&gt;""),H1550/E1550,"")</f>
        <v/>
      </c>
      <c r="L1550">
        <f>IF(B1550="","",IFERROR(VALUE(TEXT(B1550,"[$-1170401]yyyy")),""))</f>
        <v/>
      </c>
      <c r="M1550">
        <f>IF(B1550="","",IFERROR(VALUE(TEXT(B1550,"[$-1170401]mm")),""))</f>
        <v/>
      </c>
    </row>
    <row r="1551">
      <c r="B1551" s="30" t="n"/>
      <c r="G1551" s="9">
        <f>IF(AND(E1551&lt;&gt;"",E1551&lt;&gt;0,H1551&lt;&gt;""),H1551/E1551,"")</f>
        <v/>
      </c>
      <c r="L1551">
        <f>IF(B1551="","",IFERROR(VALUE(TEXT(B1551,"[$-1170401]yyyy")),""))</f>
        <v/>
      </c>
      <c r="M1551">
        <f>IF(B1551="","",IFERROR(VALUE(TEXT(B1551,"[$-1170401]mm")),""))</f>
        <v/>
      </c>
    </row>
    <row r="1552">
      <c r="B1552" s="30" t="n"/>
      <c r="G1552" s="9">
        <f>IF(AND(E1552&lt;&gt;"",E1552&lt;&gt;0,H1552&lt;&gt;""),H1552/E1552,"")</f>
        <v/>
      </c>
      <c r="L1552">
        <f>IF(B1552="","",IFERROR(VALUE(TEXT(B1552,"[$-1170401]yyyy")),""))</f>
        <v/>
      </c>
      <c r="M1552">
        <f>IF(B1552="","",IFERROR(VALUE(TEXT(B1552,"[$-1170401]mm")),""))</f>
        <v/>
      </c>
    </row>
    <row r="1553">
      <c r="B1553" s="30" t="n"/>
      <c r="G1553" s="9">
        <f>IF(AND(E1553&lt;&gt;"",E1553&lt;&gt;0,H1553&lt;&gt;""),H1553/E1553,"")</f>
        <v/>
      </c>
      <c r="L1553">
        <f>IF(B1553="","",IFERROR(VALUE(TEXT(B1553,"[$-1170401]yyyy")),""))</f>
        <v/>
      </c>
      <c r="M1553">
        <f>IF(B1553="","",IFERROR(VALUE(TEXT(B1553,"[$-1170401]mm")),""))</f>
        <v/>
      </c>
    </row>
    <row r="1554">
      <c r="B1554" s="30" t="n"/>
      <c r="G1554" s="9">
        <f>IF(AND(E1554&lt;&gt;"",E1554&lt;&gt;0,H1554&lt;&gt;""),H1554/E1554,"")</f>
        <v/>
      </c>
      <c r="L1554">
        <f>IF(B1554="","",IFERROR(VALUE(TEXT(B1554,"[$-1170401]yyyy")),""))</f>
        <v/>
      </c>
      <c r="M1554">
        <f>IF(B1554="","",IFERROR(VALUE(TEXT(B1554,"[$-1170401]mm")),""))</f>
        <v/>
      </c>
    </row>
    <row r="1555">
      <c r="B1555" s="30" t="n"/>
      <c r="G1555" s="9">
        <f>IF(AND(E1555&lt;&gt;"",E1555&lt;&gt;0,H1555&lt;&gt;""),H1555/E1555,"")</f>
        <v/>
      </c>
      <c r="L1555">
        <f>IF(B1555="","",IFERROR(VALUE(TEXT(B1555,"[$-1170401]yyyy")),""))</f>
        <v/>
      </c>
      <c r="M1555">
        <f>IF(B1555="","",IFERROR(VALUE(TEXT(B1555,"[$-1170401]mm")),""))</f>
        <v/>
      </c>
    </row>
    <row r="1556">
      <c r="B1556" s="30" t="n"/>
      <c r="G1556" s="9">
        <f>IF(AND(E1556&lt;&gt;"",E1556&lt;&gt;0,H1556&lt;&gt;""),H1556/E1556,"")</f>
        <v/>
      </c>
      <c r="L1556">
        <f>IF(B1556="","",IFERROR(VALUE(TEXT(B1556,"[$-1170401]yyyy")),""))</f>
        <v/>
      </c>
      <c r="M1556">
        <f>IF(B1556="","",IFERROR(VALUE(TEXT(B1556,"[$-1170401]mm")),""))</f>
        <v/>
      </c>
    </row>
    <row r="1557">
      <c r="B1557" s="30" t="n"/>
      <c r="G1557" s="9">
        <f>IF(AND(E1557&lt;&gt;"",E1557&lt;&gt;0,H1557&lt;&gt;""),H1557/E1557,"")</f>
        <v/>
      </c>
      <c r="L1557">
        <f>IF(B1557="","",IFERROR(VALUE(TEXT(B1557,"[$-1170401]yyyy")),""))</f>
        <v/>
      </c>
      <c r="M1557">
        <f>IF(B1557="","",IFERROR(VALUE(TEXT(B1557,"[$-1170401]mm")),""))</f>
        <v/>
      </c>
    </row>
    <row r="1558">
      <c r="B1558" s="30" t="n"/>
      <c r="G1558" s="9">
        <f>IF(AND(E1558&lt;&gt;"",E1558&lt;&gt;0,H1558&lt;&gt;""),H1558/E1558,"")</f>
        <v/>
      </c>
      <c r="L1558">
        <f>IF(B1558="","",IFERROR(VALUE(TEXT(B1558,"[$-1170401]yyyy")),""))</f>
        <v/>
      </c>
      <c r="M1558">
        <f>IF(B1558="","",IFERROR(VALUE(TEXT(B1558,"[$-1170401]mm")),""))</f>
        <v/>
      </c>
    </row>
    <row r="1559">
      <c r="B1559" s="30" t="n"/>
      <c r="G1559" s="9">
        <f>IF(AND(E1559&lt;&gt;"",E1559&lt;&gt;0,H1559&lt;&gt;""),H1559/E1559,"")</f>
        <v/>
      </c>
      <c r="L1559">
        <f>IF(B1559="","",IFERROR(VALUE(TEXT(B1559,"[$-1170401]yyyy")),""))</f>
        <v/>
      </c>
      <c r="M1559">
        <f>IF(B1559="","",IFERROR(VALUE(TEXT(B1559,"[$-1170401]mm")),""))</f>
        <v/>
      </c>
    </row>
    <row r="1560">
      <c r="B1560" s="30" t="n"/>
      <c r="G1560" s="9">
        <f>IF(AND(E1560&lt;&gt;"",E1560&lt;&gt;0,H1560&lt;&gt;""),H1560/E1560,"")</f>
        <v/>
      </c>
      <c r="L1560">
        <f>IF(B1560="","",IFERROR(VALUE(TEXT(B1560,"[$-1170401]yyyy")),""))</f>
        <v/>
      </c>
      <c r="M1560">
        <f>IF(B1560="","",IFERROR(VALUE(TEXT(B1560,"[$-1170401]mm")),""))</f>
        <v/>
      </c>
    </row>
    <row r="1561">
      <c r="B1561" s="30" t="n"/>
      <c r="G1561" s="9">
        <f>IF(AND(E1561&lt;&gt;"",E1561&lt;&gt;0,H1561&lt;&gt;""),H1561/E1561,"")</f>
        <v/>
      </c>
      <c r="L1561">
        <f>IF(B1561="","",IFERROR(VALUE(TEXT(B1561,"[$-1170401]yyyy")),""))</f>
        <v/>
      </c>
      <c r="M1561">
        <f>IF(B1561="","",IFERROR(VALUE(TEXT(B1561,"[$-1170401]mm")),""))</f>
        <v/>
      </c>
    </row>
    <row r="1562">
      <c r="B1562" s="30" t="n"/>
      <c r="G1562" s="9">
        <f>IF(AND(E1562&lt;&gt;"",E1562&lt;&gt;0,H1562&lt;&gt;""),H1562/E1562,"")</f>
        <v/>
      </c>
      <c r="L1562">
        <f>IF(B1562="","",IFERROR(VALUE(TEXT(B1562,"[$-1170401]yyyy")),""))</f>
        <v/>
      </c>
      <c r="M1562">
        <f>IF(B1562="","",IFERROR(VALUE(TEXT(B1562,"[$-1170401]mm")),""))</f>
        <v/>
      </c>
    </row>
    <row r="1563">
      <c r="B1563" s="30" t="n"/>
      <c r="G1563" s="9">
        <f>IF(AND(E1563&lt;&gt;"",E1563&lt;&gt;0,H1563&lt;&gt;""),H1563/E1563,"")</f>
        <v/>
      </c>
      <c r="L1563">
        <f>IF(B1563="","",IFERROR(VALUE(TEXT(B1563,"[$-1170401]yyyy")),""))</f>
        <v/>
      </c>
      <c r="M1563">
        <f>IF(B1563="","",IFERROR(VALUE(TEXT(B1563,"[$-1170401]mm")),""))</f>
        <v/>
      </c>
    </row>
    <row r="1564">
      <c r="B1564" s="30" t="n"/>
      <c r="G1564" s="9">
        <f>IF(AND(E1564&lt;&gt;"",E1564&lt;&gt;0,H1564&lt;&gt;""),H1564/E1564,"")</f>
        <v/>
      </c>
      <c r="L1564">
        <f>IF(B1564="","",IFERROR(VALUE(TEXT(B1564,"[$-1170401]yyyy")),""))</f>
        <v/>
      </c>
      <c r="M1564">
        <f>IF(B1564="","",IFERROR(VALUE(TEXT(B1564,"[$-1170401]mm")),""))</f>
        <v/>
      </c>
    </row>
    <row r="1565">
      <c r="B1565" s="30" t="n"/>
      <c r="G1565" s="9">
        <f>IF(AND(E1565&lt;&gt;"",E1565&lt;&gt;0,H1565&lt;&gt;""),H1565/E1565,"")</f>
        <v/>
      </c>
      <c r="L1565">
        <f>IF(B1565="","",IFERROR(VALUE(TEXT(B1565,"[$-1170401]yyyy")),""))</f>
        <v/>
      </c>
      <c r="M1565">
        <f>IF(B1565="","",IFERROR(VALUE(TEXT(B1565,"[$-1170401]mm")),""))</f>
        <v/>
      </c>
    </row>
    <row r="1566">
      <c r="B1566" s="30" t="n"/>
      <c r="G1566" s="9">
        <f>IF(AND(E1566&lt;&gt;"",E1566&lt;&gt;0,H1566&lt;&gt;""),H1566/E1566,"")</f>
        <v/>
      </c>
      <c r="L1566">
        <f>IF(B1566="","",IFERROR(VALUE(TEXT(B1566,"[$-1170401]yyyy")),""))</f>
        <v/>
      </c>
      <c r="M1566">
        <f>IF(B1566="","",IFERROR(VALUE(TEXT(B1566,"[$-1170401]mm")),""))</f>
        <v/>
      </c>
    </row>
    <row r="1567">
      <c r="B1567" s="30" t="n"/>
      <c r="G1567" s="9">
        <f>IF(AND(E1567&lt;&gt;"",E1567&lt;&gt;0,H1567&lt;&gt;""),H1567/E1567,"")</f>
        <v/>
      </c>
      <c r="L1567">
        <f>IF(B1567="","",IFERROR(VALUE(TEXT(B1567,"[$-1170401]yyyy")),""))</f>
        <v/>
      </c>
      <c r="M1567">
        <f>IF(B1567="","",IFERROR(VALUE(TEXT(B1567,"[$-1170401]mm")),""))</f>
        <v/>
      </c>
    </row>
    <row r="1568">
      <c r="B1568" s="30" t="n"/>
      <c r="G1568" s="9">
        <f>IF(AND(E1568&lt;&gt;"",E1568&lt;&gt;0,H1568&lt;&gt;""),H1568/E1568,"")</f>
        <v/>
      </c>
      <c r="L1568">
        <f>IF(B1568="","",IFERROR(VALUE(TEXT(B1568,"[$-1170401]yyyy")),""))</f>
        <v/>
      </c>
      <c r="M1568">
        <f>IF(B1568="","",IFERROR(VALUE(TEXT(B1568,"[$-1170401]mm")),""))</f>
        <v/>
      </c>
    </row>
    <row r="1569">
      <c r="B1569" s="30" t="n"/>
      <c r="G1569" s="9">
        <f>IF(AND(E1569&lt;&gt;"",E1569&lt;&gt;0,H1569&lt;&gt;""),H1569/E1569,"")</f>
        <v/>
      </c>
      <c r="L1569">
        <f>IF(B1569="","",IFERROR(VALUE(TEXT(B1569,"[$-1170401]yyyy")),""))</f>
        <v/>
      </c>
      <c r="M1569">
        <f>IF(B1569="","",IFERROR(VALUE(TEXT(B1569,"[$-1170401]mm")),""))</f>
        <v/>
      </c>
    </row>
    <row r="1570">
      <c r="B1570" s="30" t="n"/>
      <c r="G1570" s="9">
        <f>IF(AND(E1570&lt;&gt;"",E1570&lt;&gt;0,H1570&lt;&gt;""),H1570/E1570,"")</f>
        <v/>
      </c>
      <c r="L1570">
        <f>IF(B1570="","",IFERROR(VALUE(TEXT(B1570,"[$-1170401]yyyy")),""))</f>
        <v/>
      </c>
      <c r="M1570">
        <f>IF(B1570="","",IFERROR(VALUE(TEXT(B1570,"[$-1170401]mm")),""))</f>
        <v/>
      </c>
    </row>
    <row r="1571">
      <c r="B1571" s="30" t="n"/>
      <c r="G1571" s="9">
        <f>IF(AND(E1571&lt;&gt;"",E1571&lt;&gt;0,H1571&lt;&gt;""),H1571/E1571,"")</f>
        <v/>
      </c>
      <c r="L1571">
        <f>IF(B1571="","",IFERROR(VALUE(TEXT(B1571,"[$-1170401]yyyy")),""))</f>
        <v/>
      </c>
      <c r="M1571">
        <f>IF(B1571="","",IFERROR(VALUE(TEXT(B1571,"[$-1170401]mm")),""))</f>
        <v/>
      </c>
    </row>
    <row r="1572">
      <c r="B1572" s="30" t="n"/>
      <c r="G1572" s="9">
        <f>IF(AND(E1572&lt;&gt;"",E1572&lt;&gt;0,H1572&lt;&gt;""),H1572/E1572,"")</f>
        <v/>
      </c>
      <c r="L1572">
        <f>IF(B1572="","",IFERROR(VALUE(TEXT(B1572,"[$-1170401]yyyy")),""))</f>
        <v/>
      </c>
      <c r="M1572">
        <f>IF(B1572="","",IFERROR(VALUE(TEXT(B1572,"[$-1170401]mm")),""))</f>
        <v/>
      </c>
    </row>
    <row r="1573">
      <c r="B1573" s="30" t="n"/>
      <c r="G1573" s="9">
        <f>IF(AND(E1573&lt;&gt;"",E1573&lt;&gt;0,H1573&lt;&gt;""),H1573/E1573,"")</f>
        <v/>
      </c>
      <c r="L1573">
        <f>IF(B1573="","",IFERROR(VALUE(TEXT(B1573,"[$-1170401]yyyy")),""))</f>
        <v/>
      </c>
      <c r="M1573">
        <f>IF(B1573="","",IFERROR(VALUE(TEXT(B1573,"[$-1170401]mm")),""))</f>
        <v/>
      </c>
    </row>
    <row r="1574">
      <c r="B1574" s="30" t="n"/>
      <c r="G1574" s="9">
        <f>IF(AND(E1574&lt;&gt;"",E1574&lt;&gt;0,H1574&lt;&gt;""),H1574/E1574,"")</f>
        <v/>
      </c>
      <c r="L1574">
        <f>IF(B1574="","",IFERROR(VALUE(TEXT(B1574,"[$-1170401]yyyy")),""))</f>
        <v/>
      </c>
      <c r="M1574">
        <f>IF(B1574="","",IFERROR(VALUE(TEXT(B1574,"[$-1170401]mm")),""))</f>
        <v/>
      </c>
    </row>
    <row r="1575">
      <c r="B1575" s="30" t="n"/>
      <c r="G1575" s="9">
        <f>IF(AND(E1575&lt;&gt;"",E1575&lt;&gt;0,H1575&lt;&gt;""),H1575/E1575,"")</f>
        <v/>
      </c>
      <c r="L1575">
        <f>IF(B1575="","",IFERROR(VALUE(TEXT(B1575,"[$-1170401]yyyy")),""))</f>
        <v/>
      </c>
      <c r="M1575">
        <f>IF(B1575="","",IFERROR(VALUE(TEXT(B1575,"[$-1170401]mm")),""))</f>
        <v/>
      </c>
    </row>
    <row r="1576">
      <c r="B1576" s="30" t="n"/>
      <c r="G1576" s="9">
        <f>IF(AND(E1576&lt;&gt;"",E1576&lt;&gt;0,H1576&lt;&gt;""),H1576/E1576,"")</f>
        <v/>
      </c>
      <c r="L1576">
        <f>IF(B1576="","",IFERROR(VALUE(TEXT(B1576,"[$-1170401]yyyy")),""))</f>
        <v/>
      </c>
      <c r="M1576">
        <f>IF(B1576="","",IFERROR(VALUE(TEXT(B1576,"[$-1170401]mm")),""))</f>
        <v/>
      </c>
    </row>
    <row r="1577">
      <c r="B1577" s="30" t="n"/>
      <c r="G1577" s="9">
        <f>IF(AND(E1577&lt;&gt;"",E1577&lt;&gt;0,H1577&lt;&gt;""),H1577/E1577,"")</f>
        <v/>
      </c>
      <c r="L1577">
        <f>IF(B1577="","",IFERROR(VALUE(TEXT(B1577,"[$-1170401]yyyy")),""))</f>
        <v/>
      </c>
      <c r="M1577">
        <f>IF(B1577="","",IFERROR(VALUE(TEXT(B1577,"[$-1170401]mm")),""))</f>
        <v/>
      </c>
    </row>
    <row r="1578">
      <c r="B1578" s="30" t="n"/>
      <c r="G1578" s="9">
        <f>IF(AND(E1578&lt;&gt;"",E1578&lt;&gt;0,H1578&lt;&gt;""),H1578/E1578,"")</f>
        <v/>
      </c>
      <c r="L1578">
        <f>IF(B1578="","",IFERROR(VALUE(TEXT(B1578,"[$-1170401]yyyy")),""))</f>
        <v/>
      </c>
      <c r="M1578">
        <f>IF(B1578="","",IFERROR(VALUE(TEXT(B1578,"[$-1170401]mm")),""))</f>
        <v/>
      </c>
    </row>
    <row r="1579">
      <c r="B1579" s="30" t="n"/>
      <c r="G1579" s="9">
        <f>IF(AND(E1579&lt;&gt;"",E1579&lt;&gt;0,H1579&lt;&gt;""),H1579/E1579,"")</f>
        <v/>
      </c>
      <c r="L1579">
        <f>IF(B1579="","",IFERROR(VALUE(TEXT(B1579,"[$-1170401]yyyy")),""))</f>
        <v/>
      </c>
      <c r="M1579">
        <f>IF(B1579="","",IFERROR(VALUE(TEXT(B1579,"[$-1170401]mm")),""))</f>
        <v/>
      </c>
    </row>
    <row r="1580">
      <c r="B1580" s="30" t="n"/>
      <c r="G1580" s="9">
        <f>IF(AND(E1580&lt;&gt;"",E1580&lt;&gt;0,H1580&lt;&gt;""),H1580/E1580,"")</f>
        <v/>
      </c>
      <c r="L1580">
        <f>IF(B1580="","",IFERROR(VALUE(TEXT(B1580,"[$-1170401]yyyy")),""))</f>
        <v/>
      </c>
      <c r="M1580">
        <f>IF(B1580="","",IFERROR(VALUE(TEXT(B1580,"[$-1170401]mm")),""))</f>
        <v/>
      </c>
    </row>
    <row r="1581">
      <c r="B1581" s="30" t="n"/>
      <c r="G1581" s="9">
        <f>IF(AND(E1581&lt;&gt;"",E1581&lt;&gt;0,H1581&lt;&gt;""),H1581/E1581,"")</f>
        <v/>
      </c>
      <c r="L1581">
        <f>IF(B1581="","",IFERROR(VALUE(TEXT(B1581,"[$-1170401]yyyy")),""))</f>
        <v/>
      </c>
      <c r="M1581">
        <f>IF(B1581="","",IFERROR(VALUE(TEXT(B1581,"[$-1170401]mm")),""))</f>
        <v/>
      </c>
    </row>
    <row r="1582">
      <c r="B1582" s="30" t="n"/>
      <c r="G1582" s="9">
        <f>IF(AND(E1582&lt;&gt;"",E1582&lt;&gt;0,H1582&lt;&gt;""),H1582/E1582,"")</f>
        <v/>
      </c>
      <c r="L1582">
        <f>IF(B1582="","",IFERROR(VALUE(TEXT(B1582,"[$-1170401]yyyy")),""))</f>
        <v/>
      </c>
      <c r="M1582">
        <f>IF(B1582="","",IFERROR(VALUE(TEXT(B1582,"[$-1170401]mm")),""))</f>
        <v/>
      </c>
    </row>
    <row r="1583">
      <c r="B1583" s="30" t="n"/>
      <c r="G1583" s="9">
        <f>IF(AND(E1583&lt;&gt;"",E1583&lt;&gt;0,H1583&lt;&gt;""),H1583/E1583,"")</f>
        <v/>
      </c>
      <c r="L1583">
        <f>IF(B1583="","",IFERROR(VALUE(TEXT(B1583,"[$-1170401]yyyy")),""))</f>
        <v/>
      </c>
      <c r="M1583">
        <f>IF(B1583="","",IFERROR(VALUE(TEXT(B1583,"[$-1170401]mm")),""))</f>
        <v/>
      </c>
    </row>
    <row r="1584">
      <c r="B1584" s="30" t="n"/>
      <c r="G1584" s="9">
        <f>IF(AND(E1584&lt;&gt;"",E1584&lt;&gt;0,H1584&lt;&gt;""),H1584/E1584,"")</f>
        <v/>
      </c>
      <c r="L1584">
        <f>IF(B1584="","",IFERROR(VALUE(TEXT(B1584,"[$-1170401]yyyy")),""))</f>
        <v/>
      </c>
      <c r="M1584">
        <f>IF(B1584="","",IFERROR(VALUE(TEXT(B1584,"[$-1170401]mm")),""))</f>
        <v/>
      </c>
    </row>
    <row r="1585">
      <c r="B1585" s="30" t="n"/>
      <c r="G1585" s="9">
        <f>IF(AND(E1585&lt;&gt;"",E1585&lt;&gt;0,H1585&lt;&gt;""),H1585/E1585,"")</f>
        <v/>
      </c>
      <c r="L1585">
        <f>IF(B1585="","",IFERROR(VALUE(TEXT(B1585,"[$-1170401]yyyy")),""))</f>
        <v/>
      </c>
      <c r="M1585">
        <f>IF(B1585="","",IFERROR(VALUE(TEXT(B1585,"[$-1170401]mm")),""))</f>
        <v/>
      </c>
    </row>
    <row r="1586">
      <c r="B1586" s="30" t="n"/>
      <c r="G1586" s="9">
        <f>IF(AND(E1586&lt;&gt;"",E1586&lt;&gt;0,H1586&lt;&gt;""),H1586/E1586,"")</f>
        <v/>
      </c>
      <c r="L1586">
        <f>IF(B1586="","",IFERROR(VALUE(TEXT(B1586,"[$-1170401]yyyy")),""))</f>
        <v/>
      </c>
      <c r="M1586">
        <f>IF(B1586="","",IFERROR(VALUE(TEXT(B1586,"[$-1170401]mm")),""))</f>
        <v/>
      </c>
    </row>
    <row r="1587">
      <c r="B1587" s="30" t="n"/>
      <c r="G1587" s="9">
        <f>IF(AND(E1587&lt;&gt;"",E1587&lt;&gt;0,H1587&lt;&gt;""),H1587/E1587,"")</f>
        <v/>
      </c>
      <c r="L1587">
        <f>IF(B1587="","",IFERROR(VALUE(TEXT(B1587,"[$-1170401]yyyy")),""))</f>
        <v/>
      </c>
      <c r="M1587">
        <f>IF(B1587="","",IFERROR(VALUE(TEXT(B1587,"[$-1170401]mm")),""))</f>
        <v/>
      </c>
    </row>
    <row r="1588">
      <c r="B1588" s="30" t="n"/>
      <c r="G1588" s="9">
        <f>IF(AND(E1588&lt;&gt;"",E1588&lt;&gt;0,H1588&lt;&gt;""),H1588/E1588,"")</f>
        <v/>
      </c>
      <c r="L1588">
        <f>IF(B1588="","",IFERROR(VALUE(TEXT(B1588,"[$-1170401]yyyy")),""))</f>
        <v/>
      </c>
      <c r="M1588">
        <f>IF(B1588="","",IFERROR(VALUE(TEXT(B1588,"[$-1170401]mm")),""))</f>
        <v/>
      </c>
    </row>
    <row r="1589">
      <c r="B1589" s="30" t="n"/>
      <c r="G1589" s="9">
        <f>IF(AND(E1589&lt;&gt;"",E1589&lt;&gt;0,H1589&lt;&gt;""),H1589/E1589,"")</f>
        <v/>
      </c>
      <c r="L1589">
        <f>IF(B1589="","",IFERROR(VALUE(TEXT(B1589,"[$-1170401]yyyy")),""))</f>
        <v/>
      </c>
      <c r="M1589">
        <f>IF(B1589="","",IFERROR(VALUE(TEXT(B1589,"[$-1170401]mm")),""))</f>
        <v/>
      </c>
    </row>
    <row r="1590">
      <c r="B1590" s="30" t="n"/>
      <c r="G1590" s="9">
        <f>IF(AND(E1590&lt;&gt;"",E1590&lt;&gt;0,H1590&lt;&gt;""),H1590/E1590,"")</f>
        <v/>
      </c>
      <c r="L1590">
        <f>IF(B1590="","",IFERROR(VALUE(TEXT(B1590,"[$-1170401]yyyy")),""))</f>
        <v/>
      </c>
      <c r="M1590">
        <f>IF(B1590="","",IFERROR(VALUE(TEXT(B1590,"[$-1170401]mm")),""))</f>
        <v/>
      </c>
    </row>
    <row r="1591">
      <c r="B1591" s="30" t="n"/>
      <c r="G1591" s="9">
        <f>IF(AND(E1591&lt;&gt;"",E1591&lt;&gt;0,H1591&lt;&gt;""),H1591/E1591,"")</f>
        <v/>
      </c>
      <c r="L1591">
        <f>IF(B1591="","",IFERROR(VALUE(TEXT(B1591,"[$-1170401]yyyy")),""))</f>
        <v/>
      </c>
      <c r="M1591">
        <f>IF(B1591="","",IFERROR(VALUE(TEXT(B1591,"[$-1170401]mm")),""))</f>
        <v/>
      </c>
    </row>
    <row r="1592">
      <c r="B1592" s="30" t="n"/>
      <c r="G1592" s="9">
        <f>IF(AND(E1592&lt;&gt;"",E1592&lt;&gt;0,H1592&lt;&gt;""),H1592/E1592,"")</f>
        <v/>
      </c>
      <c r="L1592">
        <f>IF(B1592="","",IFERROR(VALUE(TEXT(B1592,"[$-1170401]yyyy")),""))</f>
        <v/>
      </c>
      <c r="M1592">
        <f>IF(B1592="","",IFERROR(VALUE(TEXT(B1592,"[$-1170401]mm")),""))</f>
        <v/>
      </c>
    </row>
    <row r="1593">
      <c r="B1593" s="30" t="n"/>
      <c r="G1593" s="9">
        <f>IF(AND(E1593&lt;&gt;"",E1593&lt;&gt;0,H1593&lt;&gt;""),H1593/E1593,"")</f>
        <v/>
      </c>
      <c r="L1593">
        <f>IF(B1593="","",IFERROR(VALUE(TEXT(B1593,"[$-1170401]yyyy")),""))</f>
        <v/>
      </c>
      <c r="M1593">
        <f>IF(B1593="","",IFERROR(VALUE(TEXT(B1593,"[$-1170401]mm")),""))</f>
        <v/>
      </c>
    </row>
    <row r="1594">
      <c r="B1594" s="30" t="n"/>
      <c r="G1594" s="9">
        <f>IF(AND(E1594&lt;&gt;"",E1594&lt;&gt;0,H1594&lt;&gt;""),H1594/E1594,"")</f>
        <v/>
      </c>
      <c r="L1594">
        <f>IF(B1594="","",IFERROR(VALUE(TEXT(B1594,"[$-1170401]yyyy")),""))</f>
        <v/>
      </c>
      <c r="M1594">
        <f>IF(B1594="","",IFERROR(VALUE(TEXT(B1594,"[$-1170401]mm")),""))</f>
        <v/>
      </c>
    </row>
    <row r="1595">
      <c r="B1595" s="30" t="n"/>
      <c r="G1595" s="9">
        <f>IF(AND(E1595&lt;&gt;"",E1595&lt;&gt;0,H1595&lt;&gt;""),H1595/E1595,"")</f>
        <v/>
      </c>
      <c r="L1595">
        <f>IF(B1595="","",IFERROR(VALUE(TEXT(B1595,"[$-1170401]yyyy")),""))</f>
        <v/>
      </c>
      <c r="M1595">
        <f>IF(B1595="","",IFERROR(VALUE(TEXT(B1595,"[$-1170401]mm")),""))</f>
        <v/>
      </c>
    </row>
    <row r="1596">
      <c r="B1596" s="30" t="n"/>
      <c r="G1596" s="9">
        <f>IF(AND(E1596&lt;&gt;"",E1596&lt;&gt;0,H1596&lt;&gt;""),H1596/E1596,"")</f>
        <v/>
      </c>
      <c r="L1596">
        <f>IF(B1596="","",IFERROR(VALUE(TEXT(B1596,"[$-1170401]yyyy")),""))</f>
        <v/>
      </c>
      <c r="M1596">
        <f>IF(B1596="","",IFERROR(VALUE(TEXT(B1596,"[$-1170401]mm")),""))</f>
        <v/>
      </c>
    </row>
    <row r="1597">
      <c r="B1597" s="30" t="n"/>
      <c r="G1597" s="9">
        <f>IF(AND(E1597&lt;&gt;"",E1597&lt;&gt;0,H1597&lt;&gt;""),H1597/E1597,"")</f>
        <v/>
      </c>
      <c r="L1597">
        <f>IF(B1597="","",IFERROR(VALUE(TEXT(B1597,"[$-1170401]yyyy")),""))</f>
        <v/>
      </c>
      <c r="M1597">
        <f>IF(B1597="","",IFERROR(VALUE(TEXT(B1597,"[$-1170401]mm")),""))</f>
        <v/>
      </c>
    </row>
    <row r="1598">
      <c r="B1598" s="30" t="n"/>
      <c r="G1598" s="9">
        <f>IF(AND(E1598&lt;&gt;"",E1598&lt;&gt;0,H1598&lt;&gt;""),H1598/E1598,"")</f>
        <v/>
      </c>
      <c r="L1598">
        <f>IF(B1598="","",IFERROR(VALUE(TEXT(B1598,"[$-1170401]yyyy")),""))</f>
        <v/>
      </c>
      <c r="M1598">
        <f>IF(B1598="","",IFERROR(VALUE(TEXT(B1598,"[$-1170401]mm")),""))</f>
        <v/>
      </c>
    </row>
    <row r="1599">
      <c r="B1599" s="30" t="n"/>
      <c r="G1599" s="9">
        <f>IF(AND(E1599&lt;&gt;"",E1599&lt;&gt;0,H1599&lt;&gt;""),H1599/E1599,"")</f>
        <v/>
      </c>
      <c r="L1599">
        <f>IF(B1599="","",IFERROR(VALUE(TEXT(B1599,"[$-1170401]yyyy")),""))</f>
        <v/>
      </c>
      <c r="M1599">
        <f>IF(B1599="","",IFERROR(VALUE(TEXT(B1599,"[$-1170401]mm")),""))</f>
        <v/>
      </c>
    </row>
    <row r="1600">
      <c r="B1600" s="30" t="n"/>
      <c r="G1600" s="9">
        <f>IF(AND(E1600&lt;&gt;"",E1600&lt;&gt;0,H1600&lt;&gt;""),H1600/E1600,"")</f>
        <v/>
      </c>
      <c r="L1600">
        <f>IF(B1600="","",IFERROR(VALUE(TEXT(B1600,"[$-1170401]yyyy")),""))</f>
        <v/>
      </c>
      <c r="M1600">
        <f>IF(B1600="","",IFERROR(VALUE(TEXT(B1600,"[$-1170401]mm")),""))</f>
        <v/>
      </c>
    </row>
    <row r="1601">
      <c r="B1601" s="30" t="n"/>
      <c r="G1601" s="9">
        <f>IF(AND(E1601&lt;&gt;"",E1601&lt;&gt;0,H1601&lt;&gt;""),H1601/E1601,"")</f>
        <v/>
      </c>
      <c r="L1601">
        <f>IF(B1601="","",IFERROR(VALUE(TEXT(B1601,"[$-1170401]yyyy")),""))</f>
        <v/>
      </c>
      <c r="M1601">
        <f>IF(B1601="","",IFERROR(VALUE(TEXT(B1601,"[$-1170401]mm")),""))</f>
        <v/>
      </c>
    </row>
    <row r="1602">
      <c r="B1602" s="30" t="n"/>
      <c r="G1602" s="9">
        <f>IF(AND(E1602&lt;&gt;"",E1602&lt;&gt;0,H1602&lt;&gt;""),H1602/E1602,"")</f>
        <v/>
      </c>
      <c r="L1602">
        <f>IF(B1602="","",IFERROR(VALUE(TEXT(B1602,"[$-1170401]yyyy")),""))</f>
        <v/>
      </c>
      <c r="M1602">
        <f>IF(B1602="","",IFERROR(VALUE(TEXT(B1602,"[$-1170401]mm")),""))</f>
        <v/>
      </c>
    </row>
    <row r="1603">
      <c r="B1603" s="30" t="n"/>
      <c r="G1603" s="9">
        <f>IF(AND(E1603&lt;&gt;"",E1603&lt;&gt;0,H1603&lt;&gt;""),H1603/E1603,"")</f>
        <v/>
      </c>
      <c r="L1603">
        <f>IF(B1603="","",IFERROR(VALUE(TEXT(B1603,"[$-1170401]yyyy")),""))</f>
        <v/>
      </c>
      <c r="M1603">
        <f>IF(B1603="","",IFERROR(VALUE(TEXT(B1603,"[$-1170401]mm")),""))</f>
        <v/>
      </c>
    </row>
    <row r="1604">
      <c r="B1604" s="30" t="n"/>
      <c r="G1604" s="9">
        <f>IF(AND(E1604&lt;&gt;"",E1604&lt;&gt;0,H1604&lt;&gt;""),H1604/E1604,"")</f>
        <v/>
      </c>
      <c r="L1604">
        <f>IF(B1604="","",IFERROR(VALUE(TEXT(B1604,"[$-1170401]yyyy")),""))</f>
        <v/>
      </c>
      <c r="M1604">
        <f>IF(B1604="","",IFERROR(VALUE(TEXT(B1604,"[$-1170401]mm")),""))</f>
        <v/>
      </c>
    </row>
    <row r="1605">
      <c r="B1605" s="30" t="n"/>
      <c r="G1605" s="9">
        <f>IF(AND(E1605&lt;&gt;"",E1605&lt;&gt;0,H1605&lt;&gt;""),H1605/E1605,"")</f>
        <v/>
      </c>
      <c r="L1605">
        <f>IF(B1605="","",IFERROR(VALUE(TEXT(B1605,"[$-1170401]yyyy")),""))</f>
        <v/>
      </c>
      <c r="M1605">
        <f>IF(B1605="","",IFERROR(VALUE(TEXT(B1605,"[$-1170401]mm")),""))</f>
        <v/>
      </c>
    </row>
    <row r="1606">
      <c r="B1606" s="30" t="n"/>
      <c r="G1606" s="9">
        <f>IF(AND(E1606&lt;&gt;"",E1606&lt;&gt;0,H1606&lt;&gt;""),H1606/E1606,"")</f>
        <v/>
      </c>
      <c r="L1606">
        <f>IF(B1606="","",IFERROR(VALUE(TEXT(B1606,"[$-1170401]yyyy")),""))</f>
        <v/>
      </c>
      <c r="M1606">
        <f>IF(B1606="","",IFERROR(VALUE(TEXT(B1606,"[$-1170401]mm")),""))</f>
        <v/>
      </c>
    </row>
    <row r="1607">
      <c r="B1607" s="30" t="n"/>
      <c r="G1607" s="9">
        <f>IF(AND(E1607&lt;&gt;"",E1607&lt;&gt;0,H1607&lt;&gt;""),H1607/E1607,"")</f>
        <v/>
      </c>
      <c r="L1607">
        <f>IF(B1607="","",IFERROR(VALUE(TEXT(B1607,"[$-1170401]yyyy")),""))</f>
        <v/>
      </c>
      <c r="M1607">
        <f>IF(B1607="","",IFERROR(VALUE(TEXT(B1607,"[$-1170401]mm")),""))</f>
        <v/>
      </c>
    </row>
    <row r="1608">
      <c r="B1608" s="30" t="n"/>
      <c r="G1608" s="9">
        <f>IF(AND(E1608&lt;&gt;"",E1608&lt;&gt;0,H1608&lt;&gt;""),H1608/E1608,"")</f>
        <v/>
      </c>
      <c r="L1608">
        <f>IF(B1608="","",IFERROR(VALUE(TEXT(B1608,"[$-1170401]yyyy")),""))</f>
        <v/>
      </c>
      <c r="M1608">
        <f>IF(B1608="","",IFERROR(VALUE(TEXT(B1608,"[$-1170401]mm")),""))</f>
        <v/>
      </c>
    </row>
    <row r="1609">
      <c r="B1609" s="30" t="n"/>
      <c r="G1609" s="9">
        <f>IF(AND(E1609&lt;&gt;"",E1609&lt;&gt;0,H1609&lt;&gt;""),H1609/E1609,"")</f>
        <v/>
      </c>
      <c r="L1609">
        <f>IF(B1609="","",IFERROR(VALUE(TEXT(B1609,"[$-1170401]yyyy")),""))</f>
        <v/>
      </c>
      <c r="M1609">
        <f>IF(B1609="","",IFERROR(VALUE(TEXT(B1609,"[$-1170401]mm")),""))</f>
        <v/>
      </c>
    </row>
    <row r="1610">
      <c r="B1610" s="30" t="n"/>
      <c r="G1610" s="9">
        <f>IF(AND(E1610&lt;&gt;"",E1610&lt;&gt;0,H1610&lt;&gt;""),H1610/E1610,"")</f>
        <v/>
      </c>
      <c r="L1610">
        <f>IF(B1610="","",IFERROR(VALUE(TEXT(B1610,"[$-1170401]yyyy")),""))</f>
        <v/>
      </c>
      <c r="M1610">
        <f>IF(B1610="","",IFERROR(VALUE(TEXT(B1610,"[$-1170401]mm")),""))</f>
        <v/>
      </c>
    </row>
    <row r="1611">
      <c r="B1611" s="30" t="n"/>
      <c r="G1611" s="9">
        <f>IF(AND(E1611&lt;&gt;"",E1611&lt;&gt;0,H1611&lt;&gt;""),H1611/E1611,"")</f>
        <v/>
      </c>
      <c r="L1611">
        <f>IF(B1611="","",IFERROR(VALUE(TEXT(B1611,"[$-1170401]yyyy")),""))</f>
        <v/>
      </c>
      <c r="M1611">
        <f>IF(B1611="","",IFERROR(VALUE(TEXT(B1611,"[$-1170401]mm")),""))</f>
        <v/>
      </c>
    </row>
    <row r="1612">
      <c r="B1612" s="30" t="n"/>
      <c r="G1612" s="9">
        <f>IF(AND(E1612&lt;&gt;"",E1612&lt;&gt;0,H1612&lt;&gt;""),H1612/E1612,"")</f>
        <v/>
      </c>
      <c r="L1612">
        <f>IF(B1612="","",IFERROR(VALUE(TEXT(B1612,"[$-1170401]yyyy")),""))</f>
        <v/>
      </c>
      <c r="M1612">
        <f>IF(B1612="","",IFERROR(VALUE(TEXT(B1612,"[$-1170401]mm")),""))</f>
        <v/>
      </c>
    </row>
    <row r="1613">
      <c r="B1613" s="30" t="n"/>
      <c r="G1613" s="9">
        <f>IF(AND(E1613&lt;&gt;"",E1613&lt;&gt;0,H1613&lt;&gt;""),H1613/E1613,"")</f>
        <v/>
      </c>
      <c r="L1613">
        <f>IF(B1613="","",IFERROR(VALUE(TEXT(B1613,"[$-1170401]yyyy")),""))</f>
        <v/>
      </c>
      <c r="M1613">
        <f>IF(B1613="","",IFERROR(VALUE(TEXT(B1613,"[$-1170401]mm")),""))</f>
        <v/>
      </c>
    </row>
    <row r="1614">
      <c r="B1614" s="30" t="n"/>
      <c r="G1614" s="9">
        <f>IF(AND(E1614&lt;&gt;"",E1614&lt;&gt;0,H1614&lt;&gt;""),H1614/E1614,"")</f>
        <v/>
      </c>
      <c r="L1614">
        <f>IF(B1614="","",IFERROR(VALUE(TEXT(B1614,"[$-1170401]yyyy")),""))</f>
        <v/>
      </c>
      <c r="M1614">
        <f>IF(B1614="","",IFERROR(VALUE(TEXT(B1614,"[$-1170401]mm")),""))</f>
        <v/>
      </c>
    </row>
    <row r="1615">
      <c r="B1615" s="30" t="n"/>
      <c r="G1615" s="9">
        <f>IF(AND(E1615&lt;&gt;"",E1615&lt;&gt;0,H1615&lt;&gt;""),H1615/E1615,"")</f>
        <v/>
      </c>
      <c r="L1615">
        <f>IF(B1615="","",IFERROR(VALUE(TEXT(B1615,"[$-1170401]yyyy")),""))</f>
        <v/>
      </c>
      <c r="M1615">
        <f>IF(B1615="","",IFERROR(VALUE(TEXT(B1615,"[$-1170401]mm")),""))</f>
        <v/>
      </c>
    </row>
    <row r="1616">
      <c r="B1616" s="30" t="n"/>
      <c r="G1616" s="9">
        <f>IF(AND(E1616&lt;&gt;"",E1616&lt;&gt;0,H1616&lt;&gt;""),H1616/E1616,"")</f>
        <v/>
      </c>
      <c r="L1616">
        <f>IF(B1616="","",IFERROR(VALUE(TEXT(B1616,"[$-1170401]yyyy")),""))</f>
        <v/>
      </c>
      <c r="M1616">
        <f>IF(B1616="","",IFERROR(VALUE(TEXT(B1616,"[$-1170401]mm")),""))</f>
        <v/>
      </c>
    </row>
    <row r="1617">
      <c r="B1617" s="30" t="n"/>
      <c r="G1617" s="9">
        <f>IF(AND(E1617&lt;&gt;"",E1617&lt;&gt;0,H1617&lt;&gt;""),H1617/E1617,"")</f>
        <v/>
      </c>
      <c r="L1617">
        <f>IF(B1617="","",IFERROR(VALUE(TEXT(B1617,"[$-1170401]yyyy")),""))</f>
        <v/>
      </c>
      <c r="M1617">
        <f>IF(B1617="","",IFERROR(VALUE(TEXT(B1617,"[$-1170401]mm")),""))</f>
        <v/>
      </c>
    </row>
    <row r="1618">
      <c r="B1618" s="30" t="n"/>
      <c r="G1618" s="9">
        <f>IF(AND(E1618&lt;&gt;"",E1618&lt;&gt;0,H1618&lt;&gt;""),H1618/E1618,"")</f>
        <v/>
      </c>
      <c r="L1618">
        <f>IF(B1618="","",IFERROR(VALUE(TEXT(B1618,"[$-1170401]yyyy")),""))</f>
        <v/>
      </c>
      <c r="M1618">
        <f>IF(B1618="","",IFERROR(VALUE(TEXT(B1618,"[$-1170401]mm")),""))</f>
        <v/>
      </c>
    </row>
    <row r="1619">
      <c r="B1619" s="30" t="n"/>
      <c r="G1619" s="9">
        <f>IF(AND(E1619&lt;&gt;"",E1619&lt;&gt;0,H1619&lt;&gt;""),H1619/E1619,"")</f>
        <v/>
      </c>
      <c r="L1619">
        <f>IF(B1619="","",IFERROR(VALUE(TEXT(B1619,"[$-1170401]yyyy")),""))</f>
        <v/>
      </c>
      <c r="M1619">
        <f>IF(B1619="","",IFERROR(VALUE(TEXT(B1619,"[$-1170401]mm")),""))</f>
        <v/>
      </c>
    </row>
    <row r="1620">
      <c r="B1620" s="30" t="n"/>
      <c r="G1620" s="9">
        <f>IF(AND(E1620&lt;&gt;"",E1620&lt;&gt;0,H1620&lt;&gt;""),H1620/E1620,"")</f>
        <v/>
      </c>
      <c r="L1620">
        <f>IF(B1620="","",IFERROR(VALUE(TEXT(B1620,"[$-1170401]yyyy")),""))</f>
        <v/>
      </c>
      <c r="M1620">
        <f>IF(B1620="","",IFERROR(VALUE(TEXT(B1620,"[$-1170401]mm")),""))</f>
        <v/>
      </c>
    </row>
    <row r="1621">
      <c r="B1621" s="30" t="n"/>
      <c r="G1621" s="9">
        <f>IF(AND(E1621&lt;&gt;"",E1621&lt;&gt;0,H1621&lt;&gt;""),H1621/E1621,"")</f>
        <v/>
      </c>
      <c r="L1621">
        <f>IF(B1621="","",IFERROR(VALUE(TEXT(B1621,"[$-1170401]yyyy")),""))</f>
        <v/>
      </c>
      <c r="M1621">
        <f>IF(B1621="","",IFERROR(VALUE(TEXT(B1621,"[$-1170401]mm")),""))</f>
        <v/>
      </c>
    </row>
    <row r="1622">
      <c r="B1622" s="30" t="n"/>
      <c r="G1622" s="9">
        <f>IF(AND(E1622&lt;&gt;"",E1622&lt;&gt;0,H1622&lt;&gt;""),H1622/E1622,"")</f>
        <v/>
      </c>
      <c r="L1622">
        <f>IF(B1622="","",IFERROR(VALUE(TEXT(B1622,"[$-1170401]yyyy")),""))</f>
        <v/>
      </c>
      <c r="M1622">
        <f>IF(B1622="","",IFERROR(VALUE(TEXT(B1622,"[$-1170401]mm")),""))</f>
        <v/>
      </c>
    </row>
    <row r="1623">
      <c r="B1623" s="30" t="n"/>
      <c r="G1623" s="9">
        <f>IF(AND(E1623&lt;&gt;"",E1623&lt;&gt;0,H1623&lt;&gt;""),H1623/E1623,"")</f>
        <v/>
      </c>
      <c r="L1623">
        <f>IF(B1623="","",IFERROR(VALUE(TEXT(B1623,"[$-1170401]yyyy")),""))</f>
        <v/>
      </c>
      <c r="M1623">
        <f>IF(B1623="","",IFERROR(VALUE(TEXT(B1623,"[$-1170401]mm")),""))</f>
        <v/>
      </c>
    </row>
    <row r="1624">
      <c r="B1624" s="30" t="n"/>
      <c r="G1624" s="9">
        <f>IF(AND(E1624&lt;&gt;"",E1624&lt;&gt;0,H1624&lt;&gt;""),H1624/E1624,"")</f>
        <v/>
      </c>
      <c r="L1624">
        <f>IF(B1624="","",IFERROR(VALUE(TEXT(B1624,"[$-1170401]yyyy")),""))</f>
        <v/>
      </c>
      <c r="M1624">
        <f>IF(B1624="","",IFERROR(VALUE(TEXT(B1624,"[$-1170401]mm")),""))</f>
        <v/>
      </c>
    </row>
    <row r="1625">
      <c r="B1625" s="30" t="n"/>
      <c r="G1625" s="9">
        <f>IF(AND(E1625&lt;&gt;"",E1625&lt;&gt;0,H1625&lt;&gt;""),H1625/E1625,"")</f>
        <v/>
      </c>
      <c r="L1625">
        <f>IF(B1625="","",IFERROR(VALUE(TEXT(B1625,"[$-1170401]yyyy")),""))</f>
        <v/>
      </c>
      <c r="M1625">
        <f>IF(B1625="","",IFERROR(VALUE(TEXT(B1625,"[$-1170401]mm")),""))</f>
        <v/>
      </c>
    </row>
    <row r="1626">
      <c r="B1626" s="30" t="n"/>
      <c r="G1626" s="9">
        <f>IF(AND(E1626&lt;&gt;"",E1626&lt;&gt;0,H1626&lt;&gt;""),H1626/E1626,"")</f>
        <v/>
      </c>
      <c r="L1626">
        <f>IF(B1626="","",IFERROR(VALUE(TEXT(B1626,"[$-1170401]yyyy")),""))</f>
        <v/>
      </c>
      <c r="M1626">
        <f>IF(B1626="","",IFERROR(VALUE(TEXT(B1626,"[$-1170401]mm")),""))</f>
        <v/>
      </c>
    </row>
    <row r="1627">
      <c r="B1627" s="30" t="n"/>
      <c r="G1627" s="9">
        <f>IF(AND(E1627&lt;&gt;"",E1627&lt;&gt;0,H1627&lt;&gt;""),H1627/E1627,"")</f>
        <v/>
      </c>
      <c r="L1627">
        <f>IF(B1627="","",IFERROR(VALUE(TEXT(B1627,"[$-1170401]yyyy")),""))</f>
        <v/>
      </c>
      <c r="M1627">
        <f>IF(B1627="","",IFERROR(VALUE(TEXT(B1627,"[$-1170401]mm")),""))</f>
        <v/>
      </c>
    </row>
    <row r="1628">
      <c r="B1628" s="30" t="n"/>
      <c r="G1628" s="9">
        <f>IF(AND(E1628&lt;&gt;"",E1628&lt;&gt;0,H1628&lt;&gt;""),H1628/E1628,"")</f>
        <v/>
      </c>
      <c r="L1628">
        <f>IF(B1628="","",IFERROR(VALUE(TEXT(B1628,"[$-1170401]yyyy")),""))</f>
        <v/>
      </c>
      <c r="M1628">
        <f>IF(B1628="","",IFERROR(VALUE(TEXT(B1628,"[$-1170401]mm")),""))</f>
        <v/>
      </c>
    </row>
    <row r="1629">
      <c r="B1629" s="30" t="n"/>
      <c r="G1629" s="9">
        <f>IF(AND(E1629&lt;&gt;"",E1629&lt;&gt;0,H1629&lt;&gt;""),H1629/E1629,"")</f>
        <v/>
      </c>
      <c r="L1629">
        <f>IF(B1629="","",IFERROR(VALUE(TEXT(B1629,"[$-1170401]yyyy")),""))</f>
        <v/>
      </c>
      <c r="M1629">
        <f>IF(B1629="","",IFERROR(VALUE(TEXT(B1629,"[$-1170401]mm")),""))</f>
        <v/>
      </c>
    </row>
    <row r="1630">
      <c r="B1630" s="30" t="n"/>
      <c r="G1630" s="9">
        <f>IF(AND(E1630&lt;&gt;"",E1630&lt;&gt;0,H1630&lt;&gt;""),H1630/E1630,"")</f>
        <v/>
      </c>
      <c r="L1630">
        <f>IF(B1630="","",IFERROR(VALUE(TEXT(B1630,"[$-1170401]yyyy")),""))</f>
        <v/>
      </c>
      <c r="M1630">
        <f>IF(B1630="","",IFERROR(VALUE(TEXT(B1630,"[$-1170401]mm")),""))</f>
        <v/>
      </c>
    </row>
    <row r="1631">
      <c r="B1631" s="30" t="n"/>
      <c r="G1631" s="9">
        <f>IF(AND(E1631&lt;&gt;"",E1631&lt;&gt;0,H1631&lt;&gt;""),H1631/E1631,"")</f>
        <v/>
      </c>
      <c r="L1631">
        <f>IF(B1631="","",IFERROR(VALUE(TEXT(B1631,"[$-1170401]yyyy")),""))</f>
        <v/>
      </c>
      <c r="M1631">
        <f>IF(B1631="","",IFERROR(VALUE(TEXT(B1631,"[$-1170401]mm")),""))</f>
        <v/>
      </c>
    </row>
    <row r="1632">
      <c r="B1632" s="30" t="n"/>
      <c r="G1632" s="9">
        <f>IF(AND(E1632&lt;&gt;"",E1632&lt;&gt;0,H1632&lt;&gt;""),H1632/E1632,"")</f>
        <v/>
      </c>
      <c r="L1632">
        <f>IF(B1632="","",IFERROR(VALUE(TEXT(B1632,"[$-1170401]yyyy")),""))</f>
        <v/>
      </c>
      <c r="M1632">
        <f>IF(B1632="","",IFERROR(VALUE(TEXT(B1632,"[$-1170401]mm")),""))</f>
        <v/>
      </c>
    </row>
    <row r="1633">
      <c r="B1633" s="30" t="n"/>
      <c r="G1633" s="9">
        <f>IF(AND(E1633&lt;&gt;"",E1633&lt;&gt;0,H1633&lt;&gt;""),H1633/E1633,"")</f>
        <v/>
      </c>
      <c r="L1633">
        <f>IF(B1633="","",IFERROR(VALUE(TEXT(B1633,"[$-1170401]yyyy")),""))</f>
        <v/>
      </c>
      <c r="M1633">
        <f>IF(B1633="","",IFERROR(VALUE(TEXT(B1633,"[$-1170401]mm")),""))</f>
        <v/>
      </c>
    </row>
    <row r="1634">
      <c r="B1634" s="30" t="n"/>
      <c r="G1634" s="9">
        <f>IF(AND(E1634&lt;&gt;"",E1634&lt;&gt;0,H1634&lt;&gt;""),H1634/E1634,"")</f>
        <v/>
      </c>
      <c r="L1634">
        <f>IF(B1634="","",IFERROR(VALUE(TEXT(B1634,"[$-1170401]yyyy")),""))</f>
        <v/>
      </c>
      <c r="M1634">
        <f>IF(B1634="","",IFERROR(VALUE(TEXT(B1634,"[$-1170401]mm")),""))</f>
        <v/>
      </c>
    </row>
    <row r="1635">
      <c r="B1635" s="30" t="n"/>
      <c r="G1635" s="9">
        <f>IF(AND(E1635&lt;&gt;"",E1635&lt;&gt;0,H1635&lt;&gt;""),H1635/E1635,"")</f>
        <v/>
      </c>
      <c r="L1635">
        <f>IF(B1635="","",IFERROR(VALUE(TEXT(B1635,"[$-1170401]yyyy")),""))</f>
        <v/>
      </c>
      <c r="M1635">
        <f>IF(B1635="","",IFERROR(VALUE(TEXT(B1635,"[$-1170401]mm")),""))</f>
        <v/>
      </c>
    </row>
    <row r="1636">
      <c r="B1636" s="30" t="n"/>
      <c r="G1636" s="9">
        <f>IF(AND(E1636&lt;&gt;"",E1636&lt;&gt;0,H1636&lt;&gt;""),H1636/E1636,"")</f>
        <v/>
      </c>
      <c r="L1636">
        <f>IF(B1636="","",IFERROR(VALUE(TEXT(B1636,"[$-1170401]yyyy")),""))</f>
        <v/>
      </c>
      <c r="M1636">
        <f>IF(B1636="","",IFERROR(VALUE(TEXT(B1636,"[$-1170401]mm")),""))</f>
        <v/>
      </c>
    </row>
    <row r="1637">
      <c r="B1637" s="30" t="n"/>
      <c r="G1637" s="9">
        <f>IF(AND(E1637&lt;&gt;"",E1637&lt;&gt;0,H1637&lt;&gt;""),H1637/E1637,"")</f>
        <v/>
      </c>
      <c r="L1637">
        <f>IF(B1637="","",IFERROR(VALUE(TEXT(B1637,"[$-1170401]yyyy")),""))</f>
        <v/>
      </c>
      <c r="M1637">
        <f>IF(B1637="","",IFERROR(VALUE(TEXT(B1637,"[$-1170401]mm")),""))</f>
        <v/>
      </c>
    </row>
    <row r="1638">
      <c r="B1638" s="30" t="n"/>
      <c r="G1638" s="9">
        <f>IF(AND(E1638&lt;&gt;"",E1638&lt;&gt;0,H1638&lt;&gt;""),H1638/E1638,"")</f>
        <v/>
      </c>
      <c r="L1638">
        <f>IF(B1638="","",IFERROR(VALUE(TEXT(B1638,"[$-1170401]yyyy")),""))</f>
        <v/>
      </c>
      <c r="M1638">
        <f>IF(B1638="","",IFERROR(VALUE(TEXT(B1638,"[$-1170401]mm")),""))</f>
        <v/>
      </c>
    </row>
    <row r="1639">
      <c r="B1639" s="30" t="n"/>
      <c r="G1639" s="9">
        <f>IF(AND(E1639&lt;&gt;"",E1639&lt;&gt;0,H1639&lt;&gt;""),H1639/E1639,"")</f>
        <v/>
      </c>
      <c r="L1639">
        <f>IF(B1639="","",IFERROR(VALUE(TEXT(B1639,"[$-1170401]yyyy")),""))</f>
        <v/>
      </c>
      <c r="M1639">
        <f>IF(B1639="","",IFERROR(VALUE(TEXT(B1639,"[$-1170401]mm")),""))</f>
        <v/>
      </c>
    </row>
    <row r="1640">
      <c r="B1640" s="30" t="n"/>
      <c r="G1640" s="9">
        <f>IF(AND(E1640&lt;&gt;"",E1640&lt;&gt;0,H1640&lt;&gt;""),H1640/E1640,"")</f>
        <v/>
      </c>
      <c r="L1640">
        <f>IF(B1640="","",IFERROR(VALUE(TEXT(B1640,"[$-1170401]yyyy")),""))</f>
        <v/>
      </c>
      <c r="M1640">
        <f>IF(B1640="","",IFERROR(VALUE(TEXT(B1640,"[$-1170401]mm")),""))</f>
        <v/>
      </c>
    </row>
    <row r="1641">
      <c r="B1641" s="30" t="n"/>
      <c r="G1641" s="9">
        <f>IF(AND(E1641&lt;&gt;"",E1641&lt;&gt;0,H1641&lt;&gt;""),H1641/E1641,"")</f>
        <v/>
      </c>
      <c r="L1641">
        <f>IF(B1641="","",IFERROR(VALUE(TEXT(B1641,"[$-1170401]yyyy")),""))</f>
        <v/>
      </c>
      <c r="M1641">
        <f>IF(B1641="","",IFERROR(VALUE(TEXT(B1641,"[$-1170401]mm")),""))</f>
        <v/>
      </c>
    </row>
    <row r="1642">
      <c r="B1642" s="30" t="n"/>
      <c r="G1642" s="9">
        <f>IF(AND(E1642&lt;&gt;"",E1642&lt;&gt;0,H1642&lt;&gt;""),H1642/E1642,"")</f>
        <v/>
      </c>
      <c r="L1642">
        <f>IF(B1642="","",IFERROR(VALUE(TEXT(B1642,"[$-1170401]yyyy")),""))</f>
        <v/>
      </c>
      <c r="M1642">
        <f>IF(B1642="","",IFERROR(VALUE(TEXT(B1642,"[$-1170401]mm")),""))</f>
        <v/>
      </c>
    </row>
    <row r="1643">
      <c r="B1643" s="30" t="n"/>
      <c r="G1643" s="9">
        <f>IF(AND(E1643&lt;&gt;"",E1643&lt;&gt;0,H1643&lt;&gt;""),H1643/E1643,"")</f>
        <v/>
      </c>
      <c r="L1643">
        <f>IF(B1643="","",IFERROR(VALUE(TEXT(B1643,"[$-1170401]yyyy")),""))</f>
        <v/>
      </c>
      <c r="M1643">
        <f>IF(B1643="","",IFERROR(VALUE(TEXT(B1643,"[$-1170401]mm")),""))</f>
        <v/>
      </c>
    </row>
    <row r="1644">
      <c r="B1644" s="30" t="n"/>
      <c r="G1644" s="9">
        <f>IF(AND(E1644&lt;&gt;"",E1644&lt;&gt;0,H1644&lt;&gt;""),H1644/E1644,"")</f>
        <v/>
      </c>
      <c r="L1644">
        <f>IF(B1644="","",IFERROR(VALUE(TEXT(B1644,"[$-1170401]yyyy")),""))</f>
        <v/>
      </c>
      <c r="M1644">
        <f>IF(B1644="","",IFERROR(VALUE(TEXT(B1644,"[$-1170401]mm")),""))</f>
        <v/>
      </c>
    </row>
    <row r="1645">
      <c r="B1645" s="30" t="n"/>
      <c r="G1645" s="9">
        <f>IF(AND(E1645&lt;&gt;"",E1645&lt;&gt;0,H1645&lt;&gt;""),H1645/E1645,"")</f>
        <v/>
      </c>
      <c r="L1645">
        <f>IF(B1645="","",IFERROR(VALUE(TEXT(B1645,"[$-1170401]yyyy")),""))</f>
        <v/>
      </c>
      <c r="M1645">
        <f>IF(B1645="","",IFERROR(VALUE(TEXT(B1645,"[$-1170401]mm")),""))</f>
        <v/>
      </c>
    </row>
    <row r="1646">
      <c r="B1646" s="30" t="n"/>
      <c r="G1646" s="9">
        <f>IF(AND(E1646&lt;&gt;"",E1646&lt;&gt;0,H1646&lt;&gt;""),H1646/E1646,"")</f>
        <v/>
      </c>
      <c r="L1646">
        <f>IF(B1646="","",IFERROR(VALUE(TEXT(B1646,"[$-1170401]yyyy")),""))</f>
        <v/>
      </c>
      <c r="M1646">
        <f>IF(B1646="","",IFERROR(VALUE(TEXT(B1646,"[$-1170401]mm")),""))</f>
        <v/>
      </c>
    </row>
    <row r="1647">
      <c r="B1647" s="30" t="n"/>
      <c r="G1647" s="9">
        <f>IF(AND(E1647&lt;&gt;"",E1647&lt;&gt;0,H1647&lt;&gt;""),H1647/E1647,"")</f>
        <v/>
      </c>
      <c r="L1647">
        <f>IF(B1647="","",IFERROR(VALUE(TEXT(B1647,"[$-1170401]yyyy")),""))</f>
        <v/>
      </c>
      <c r="M1647">
        <f>IF(B1647="","",IFERROR(VALUE(TEXT(B1647,"[$-1170401]mm")),""))</f>
        <v/>
      </c>
    </row>
    <row r="1648">
      <c r="B1648" s="30" t="n"/>
      <c r="G1648" s="9">
        <f>IF(AND(E1648&lt;&gt;"",E1648&lt;&gt;0,H1648&lt;&gt;""),H1648/E1648,"")</f>
        <v/>
      </c>
      <c r="L1648">
        <f>IF(B1648="","",IFERROR(VALUE(TEXT(B1648,"[$-1170401]yyyy")),""))</f>
        <v/>
      </c>
      <c r="M1648">
        <f>IF(B1648="","",IFERROR(VALUE(TEXT(B1648,"[$-1170401]mm")),""))</f>
        <v/>
      </c>
    </row>
    <row r="1649">
      <c r="B1649" s="30" t="n"/>
      <c r="G1649" s="9">
        <f>IF(AND(E1649&lt;&gt;"",E1649&lt;&gt;0,H1649&lt;&gt;""),H1649/E1649,"")</f>
        <v/>
      </c>
      <c r="L1649">
        <f>IF(B1649="","",IFERROR(VALUE(TEXT(B1649,"[$-1170401]yyyy")),""))</f>
        <v/>
      </c>
      <c r="M1649">
        <f>IF(B1649="","",IFERROR(VALUE(TEXT(B1649,"[$-1170401]mm")),""))</f>
        <v/>
      </c>
    </row>
    <row r="1650">
      <c r="B1650" s="30" t="n"/>
      <c r="G1650" s="9">
        <f>IF(AND(E1650&lt;&gt;"",E1650&lt;&gt;0,H1650&lt;&gt;""),H1650/E1650,"")</f>
        <v/>
      </c>
      <c r="L1650">
        <f>IF(B1650="","",IFERROR(VALUE(TEXT(B1650,"[$-1170401]yyyy")),""))</f>
        <v/>
      </c>
      <c r="M1650">
        <f>IF(B1650="","",IFERROR(VALUE(TEXT(B1650,"[$-1170401]mm")),""))</f>
        <v/>
      </c>
    </row>
    <row r="1651">
      <c r="B1651" s="30" t="n"/>
      <c r="G1651" s="9">
        <f>IF(AND(E1651&lt;&gt;"",E1651&lt;&gt;0,H1651&lt;&gt;""),H1651/E1651,"")</f>
        <v/>
      </c>
      <c r="L1651">
        <f>IF(B1651="","",IFERROR(VALUE(TEXT(B1651,"[$-1170401]yyyy")),""))</f>
        <v/>
      </c>
      <c r="M1651">
        <f>IF(B1651="","",IFERROR(VALUE(TEXT(B1651,"[$-1170401]mm")),""))</f>
        <v/>
      </c>
    </row>
    <row r="1652">
      <c r="B1652" s="30" t="n"/>
      <c r="G1652" s="9">
        <f>IF(AND(E1652&lt;&gt;"",E1652&lt;&gt;0,H1652&lt;&gt;""),H1652/E1652,"")</f>
        <v/>
      </c>
      <c r="L1652">
        <f>IF(B1652="","",IFERROR(VALUE(TEXT(B1652,"[$-1170401]yyyy")),""))</f>
        <v/>
      </c>
      <c r="M1652">
        <f>IF(B1652="","",IFERROR(VALUE(TEXT(B1652,"[$-1170401]mm")),""))</f>
        <v/>
      </c>
    </row>
    <row r="1653">
      <c r="B1653" s="30" t="n"/>
      <c r="G1653" s="9">
        <f>IF(AND(E1653&lt;&gt;"",E1653&lt;&gt;0,H1653&lt;&gt;""),H1653/E1653,"")</f>
        <v/>
      </c>
      <c r="L1653">
        <f>IF(B1653="","",IFERROR(VALUE(TEXT(B1653,"[$-1170401]yyyy")),""))</f>
        <v/>
      </c>
      <c r="M1653">
        <f>IF(B1653="","",IFERROR(VALUE(TEXT(B1653,"[$-1170401]mm")),""))</f>
        <v/>
      </c>
    </row>
    <row r="1654">
      <c r="B1654" s="30" t="n"/>
      <c r="G1654" s="9">
        <f>IF(AND(E1654&lt;&gt;"",E1654&lt;&gt;0,H1654&lt;&gt;""),H1654/E1654,"")</f>
        <v/>
      </c>
      <c r="L1654">
        <f>IF(B1654="","",IFERROR(VALUE(TEXT(B1654,"[$-1170401]yyyy")),""))</f>
        <v/>
      </c>
      <c r="M1654">
        <f>IF(B1654="","",IFERROR(VALUE(TEXT(B1654,"[$-1170401]mm")),""))</f>
        <v/>
      </c>
    </row>
    <row r="1655">
      <c r="B1655" s="30" t="n"/>
      <c r="G1655" s="9">
        <f>IF(AND(E1655&lt;&gt;"",E1655&lt;&gt;0,H1655&lt;&gt;""),H1655/E1655,"")</f>
        <v/>
      </c>
      <c r="L1655">
        <f>IF(B1655="","",IFERROR(VALUE(TEXT(B1655,"[$-1170401]yyyy")),""))</f>
        <v/>
      </c>
      <c r="M1655">
        <f>IF(B1655="","",IFERROR(VALUE(TEXT(B1655,"[$-1170401]mm")),""))</f>
        <v/>
      </c>
    </row>
    <row r="1656">
      <c r="B1656" s="30" t="n"/>
      <c r="G1656" s="9">
        <f>IF(AND(E1656&lt;&gt;"",E1656&lt;&gt;0,H1656&lt;&gt;""),H1656/E1656,"")</f>
        <v/>
      </c>
      <c r="L1656">
        <f>IF(B1656="","",IFERROR(VALUE(TEXT(B1656,"[$-1170401]yyyy")),""))</f>
        <v/>
      </c>
      <c r="M1656">
        <f>IF(B1656="","",IFERROR(VALUE(TEXT(B1656,"[$-1170401]mm")),""))</f>
        <v/>
      </c>
    </row>
    <row r="1657">
      <c r="B1657" s="30" t="n"/>
      <c r="G1657" s="9">
        <f>IF(AND(E1657&lt;&gt;"",E1657&lt;&gt;0,H1657&lt;&gt;""),H1657/E1657,"")</f>
        <v/>
      </c>
      <c r="L1657">
        <f>IF(B1657="","",IFERROR(VALUE(TEXT(B1657,"[$-1170401]yyyy")),""))</f>
        <v/>
      </c>
      <c r="M1657">
        <f>IF(B1657="","",IFERROR(VALUE(TEXT(B1657,"[$-1170401]mm")),""))</f>
        <v/>
      </c>
    </row>
    <row r="1658">
      <c r="B1658" s="30" t="n"/>
      <c r="G1658" s="9">
        <f>IF(AND(E1658&lt;&gt;"",E1658&lt;&gt;0,H1658&lt;&gt;""),H1658/E1658,"")</f>
        <v/>
      </c>
      <c r="L1658">
        <f>IF(B1658="","",IFERROR(VALUE(TEXT(B1658,"[$-1170401]yyyy")),""))</f>
        <v/>
      </c>
      <c r="M1658">
        <f>IF(B1658="","",IFERROR(VALUE(TEXT(B1658,"[$-1170401]mm")),""))</f>
        <v/>
      </c>
    </row>
    <row r="1659">
      <c r="B1659" s="30" t="n"/>
      <c r="G1659" s="9">
        <f>IF(AND(E1659&lt;&gt;"",E1659&lt;&gt;0,H1659&lt;&gt;""),H1659/E1659,"")</f>
        <v/>
      </c>
      <c r="L1659">
        <f>IF(B1659="","",IFERROR(VALUE(TEXT(B1659,"[$-1170401]yyyy")),""))</f>
        <v/>
      </c>
      <c r="M1659">
        <f>IF(B1659="","",IFERROR(VALUE(TEXT(B1659,"[$-1170401]mm")),""))</f>
        <v/>
      </c>
    </row>
    <row r="1660">
      <c r="B1660" s="30" t="n"/>
      <c r="G1660" s="9">
        <f>IF(AND(E1660&lt;&gt;"",E1660&lt;&gt;0,H1660&lt;&gt;""),H1660/E1660,"")</f>
        <v/>
      </c>
      <c r="L1660">
        <f>IF(B1660="","",IFERROR(VALUE(TEXT(B1660,"[$-1170401]yyyy")),""))</f>
        <v/>
      </c>
      <c r="M1660">
        <f>IF(B1660="","",IFERROR(VALUE(TEXT(B1660,"[$-1170401]mm")),""))</f>
        <v/>
      </c>
    </row>
    <row r="1661">
      <c r="B1661" s="30" t="n"/>
      <c r="G1661" s="9">
        <f>IF(AND(E1661&lt;&gt;"",E1661&lt;&gt;0,H1661&lt;&gt;""),H1661/E1661,"")</f>
        <v/>
      </c>
      <c r="L1661">
        <f>IF(B1661="","",IFERROR(VALUE(TEXT(B1661,"[$-1170401]yyyy")),""))</f>
        <v/>
      </c>
      <c r="M1661">
        <f>IF(B1661="","",IFERROR(VALUE(TEXT(B1661,"[$-1170401]mm")),""))</f>
        <v/>
      </c>
    </row>
    <row r="1662">
      <c r="B1662" s="30" t="n"/>
      <c r="G1662" s="9">
        <f>IF(AND(E1662&lt;&gt;"",E1662&lt;&gt;0,H1662&lt;&gt;""),H1662/E1662,"")</f>
        <v/>
      </c>
      <c r="L1662">
        <f>IF(B1662="","",IFERROR(VALUE(TEXT(B1662,"[$-1170401]yyyy")),""))</f>
        <v/>
      </c>
      <c r="M1662">
        <f>IF(B1662="","",IFERROR(VALUE(TEXT(B1662,"[$-1170401]mm")),""))</f>
        <v/>
      </c>
    </row>
    <row r="1663">
      <c r="B1663" s="30" t="n"/>
      <c r="G1663" s="9">
        <f>IF(AND(E1663&lt;&gt;"",E1663&lt;&gt;0,H1663&lt;&gt;""),H1663/E1663,"")</f>
        <v/>
      </c>
      <c r="L1663">
        <f>IF(B1663="","",IFERROR(VALUE(TEXT(B1663,"[$-1170401]yyyy")),""))</f>
        <v/>
      </c>
      <c r="M1663">
        <f>IF(B1663="","",IFERROR(VALUE(TEXT(B1663,"[$-1170401]mm")),""))</f>
        <v/>
      </c>
    </row>
    <row r="1664">
      <c r="B1664" s="30" t="n"/>
      <c r="G1664" s="9">
        <f>IF(AND(E1664&lt;&gt;"",E1664&lt;&gt;0,H1664&lt;&gt;""),H1664/E1664,"")</f>
        <v/>
      </c>
      <c r="L1664">
        <f>IF(B1664="","",IFERROR(VALUE(TEXT(B1664,"[$-1170401]yyyy")),""))</f>
        <v/>
      </c>
      <c r="M1664">
        <f>IF(B1664="","",IFERROR(VALUE(TEXT(B1664,"[$-1170401]mm")),""))</f>
        <v/>
      </c>
    </row>
    <row r="1665">
      <c r="B1665" s="30" t="n"/>
      <c r="G1665" s="9">
        <f>IF(AND(E1665&lt;&gt;"",E1665&lt;&gt;0,H1665&lt;&gt;""),H1665/E1665,"")</f>
        <v/>
      </c>
      <c r="L1665">
        <f>IF(B1665="","",IFERROR(VALUE(TEXT(B1665,"[$-1170401]yyyy")),""))</f>
        <v/>
      </c>
      <c r="M1665">
        <f>IF(B1665="","",IFERROR(VALUE(TEXT(B1665,"[$-1170401]mm")),""))</f>
        <v/>
      </c>
    </row>
    <row r="1666">
      <c r="B1666" s="30" t="n"/>
      <c r="G1666" s="9">
        <f>IF(AND(E1666&lt;&gt;"",E1666&lt;&gt;0,H1666&lt;&gt;""),H1666/E1666,"")</f>
        <v/>
      </c>
      <c r="L1666">
        <f>IF(B1666="","",IFERROR(VALUE(TEXT(B1666,"[$-1170401]yyyy")),""))</f>
        <v/>
      </c>
      <c r="M1666">
        <f>IF(B1666="","",IFERROR(VALUE(TEXT(B1666,"[$-1170401]mm")),""))</f>
        <v/>
      </c>
    </row>
    <row r="1667">
      <c r="B1667" s="30" t="n"/>
      <c r="G1667" s="9">
        <f>IF(AND(E1667&lt;&gt;"",E1667&lt;&gt;0,H1667&lt;&gt;""),H1667/E1667,"")</f>
        <v/>
      </c>
      <c r="L1667">
        <f>IF(B1667="","",IFERROR(VALUE(TEXT(B1667,"[$-1170401]yyyy")),""))</f>
        <v/>
      </c>
      <c r="M1667">
        <f>IF(B1667="","",IFERROR(VALUE(TEXT(B1667,"[$-1170401]mm")),""))</f>
        <v/>
      </c>
    </row>
    <row r="1668">
      <c r="B1668" s="30" t="n"/>
      <c r="G1668" s="9">
        <f>IF(AND(E1668&lt;&gt;"",E1668&lt;&gt;0,H1668&lt;&gt;""),H1668/E1668,"")</f>
        <v/>
      </c>
      <c r="L1668">
        <f>IF(B1668="","",IFERROR(VALUE(TEXT(B1668,"[$-1170401]yyyy")),""))</f>
        <v/>
      </c>
      <c r="M1668">
        <f>IF(B1668="","",IFERROR(VALUE(TEXT(B1668,"[$-1170401]mm")),""))</f>
        <v/>
      </c>
    </row>
    <row r="1669">
      <c r="B1669" s="30" t="n"/>
      <c r="G1669" s="9">
        <f>IF(AND(E1669&lt;&gt;"",E1669&lt;&gt;0,H1669&lt;&gt;""),H1669/E1669,"")</f>
        <v/>
      </c>
      <c r="L1669">
        <f>IF(B1669="","",IFERROR(VALUE(TEXT(B1669,"[$-1170401]yyyy")),""))</f>
        <v/>
      </c>
      <c r="M1669">
        <f>IF(B1669="","",IFERROR(VALUE(TEXT(B1669,"[$-1170401]mm")),""))</f>
        <v/>
      </c>
    </row>
    <row r="1670">
      <c r="B1670" s="30" t="n"/>
      <c r="G1670" s="9">
        <f>IF(AND(E1670&lt;&gt;"",E1670&lt;&gt;0,H1670&lt;&gt;""),H1670/E1670,"")</f>
        <v/>
      </c>
      <c r="L1670">
        <f>IF(B1670="","",IFERROR(VALUE(TEXT(B1670,"[$-1170401]yyyy")),""))</f>
        <v/>
      </c>
      <c r="M1670">
        <f>IF(B1670="","",IFERROR(VALUE(TEXT(B1670,"[$-1170401]mm")),""))</f>
        <v/>
      </c>
    </row>
    <row r="1671">
      <c r="B1671" s="30" t="n"/>
      <c r="G1671" s="9">
        <f>IF(AND(E1671&lt;&gt;"",E1671&lt;&gt;0,H1671&lt;&gt;""),H1671/E1671,"")</f>
        <v/>
      </c>
      <c r="L1671">
        <f>IF(B1671="","",IFERROR(VALUE(TEXT(B1671,"[$-1170401]yyyy")),""))</f>
        <v/>
      </c>
      <c r="M1671">
        <f>IF(B1671="","",IFERROR(VALUE(TEXT(B1671,"[$-1170401]mm")),""))</f>
        <v/>
      </c>
    </row>
    <row r="1672">
      <c r="B1672" s="30" t="n"/>
      <c r="G1672" s="9">
        <f>IF(AND(E1672&lt;&gt;"",E1672&lt;&gt;0,H1672&lt;&gt;""),H1672/E1672,"")</f>
        <v/>
      </c>
      <c r="L1672">
        <f>IF(B1672="","",IFERROR(VALUE(TEXT(B1672,"[$-1170401]yyyy")),""))</f>
        <v/>
      </c>
      <c r="M1672">
        <f>IF(B1672="","",IFERROR(VALUE(TEXT(B1672,"[$-1170401]mm")),""))</f>
        <v/>
      </c>
    </row>
    <row r="1673">
      <c r="B1673" s="30" t="n"/>
      <c r="G1673" s="9">
        <f>IF(AND(E1673&lt;&gt;"",E1673&lt;&gt;0,H1673&lt;&gt;""),H1673/E1673,"")</f>
        <v/>
      </c>
      <c r="L1673">
        <f>IF(B1673="","",IFERROR(VALUE(TEXT(B1673,"[$-1170401]yyyy")),""))</f>
        <v/>
      </c>
      <c r="M1673">
        <f>IF(B1673="","",IFERROR(VALUE(TEXT(B1673,"[$-1170401]mm")),""))</f>
        <v/>
      </c>
    </row>
    <row r="1674">
      <c r="B1674" s="30" t="n"/>
      <c r="G1674" s="9">
        <f>IF(AND(E1674&lt;&gt;"",E1674&lt;&gt;0,H1674&lt;&gt;""),H1674/E1674,"")</f>
        <v/>
      </c>
      <c r="L1674">
        <f>IF(B1674="","",IFERROR(VALUE(TEXT(B1674,"[$-1170401]yyyy")),""))</f>
        <v/>
      </c>
      <c r="M1674">
        <f>IF(B1674="","",IFERROR(VALUE(TEXT(B1674,"[$-1170401]mm")),""))</f>
        <v/>
      </c>
    </row>
    <row r="1675">
      <c r="B1675" s="30" t="n"/>
      <c r="G1675" s="9">
        <f>IF(AND(E1675&lt;&gt;"",E1675&lt;&gt;0,H1675&lt;&gt;""),H1675/E1675,"")</f>
        <v/>
      </c>
      <c r="L1675">
        <f>IF(B1675="","",IFERROR(VALUE(TEXT(B1675,"[$-1170401]yyyy")),""))</f>
        <v/>
      </c>
      <c r="M1675">
        <f>IF(B1675="","",IFERROR(VALUE(TEXT(B1675,"[$-1170401]mm")),""))</f>
        <v/>
      </c>
    </row>
    <row r="1676">
      <c r="B1676" s="30" t="n"/>
      <c r="G1676" s="9">
        <f>IF(AND(E1676&lt;&gt;"",E1676&lt;&gt;0,H1676&lt;&gt;""),H1676/E1676,"")</f>
        <v/>
      </c>
      <c r="L1676">
        <f>IF(B1676="","",IFERROR(VALUE(TEXT(B1676,"[$-1170401]yyyy")),""))</f>
        <v/>
      </c>
      <c r="M1676">
        <f>IF(B1676="","",IFERROR(VALUE(TEXT(B1676,"[$-1170401]mm")),""))</f>
        <v/>
      </c>
    </row>
    <row r="1677">
      <c r="B1677" s="30" t="n"/>
      <c r="G1677" s="9">
        <f>IF(AND(E1677&lt;&gt;"",E1677&lt;&gt;0,H1677&lt;&gt;""),H1677/E1677,"")</f>
        <v/>
      </c>
      <c r="L1677">
        <f>IF(B1677="","",IFERROR(VALUE(TEXT(B1677,"[$-1170401]yyyy")),""))</f>
        <v/>
      </c>
      <c r="M1677">
        <f>IF(B1677="","",IFERROR(VALUE(TEXT(B1677,"[$-1170401]mm")),""))</f>
        <v/>
      </c>
    </row>
    <row r="1678">
      <c r="B1678" s="30" t="n"/>
      <c r="G1678" s="9">
        <f>IF(AND(E1678&lt;&gt;"",E1678&lt;&gt;0,H1678&lt;&gt;""),H1678/E1678,"")</f>
        <v/>
      </c>
      <c r="L1678">
        <f>IF(B1678="","",IFERROR(VALUE(TEXT(B1678,"[$-1170401]yyyy")),""))</f>
        <v/>
      </c>
      <c r="M1678">
        <f>IF(B1678="","",IFERROR(VALUE(TEXT(B1678,"[$-1170401]mm")),""))</f>
        <v/>
      </c>
    </row>
    <row r="1679">
      <c r="B1679" s="30" t="n"/>
      <c r="G1679" s="9">
        <f>IF(AND(E1679&lt;&gt;"",E1679&lt;&gt;0,H1679&lt;&gt;""),H1679/E1679,"")</f>
        <v/>
      </c>
      <c r="L1679">
        <f>IF(B1679="","",IFERROR(VALUE(TEXT(B1679,"[$-1170401]yyyy")),""))</f>
        <v/>
      </c>
      <c r="M1679">
        <f>IF(B1679="","",IFERROR(VALUE(TEXT(B1679,"[$-1170401]mm")),""))</f>
        <v/>
      </c>
    </row>
    <row r="1680">
      <c r="B1680" s="30" t="n"/>
      <c r="G1680" s="9">
        <f>IF(AND(E1680&lt;&gt;"",E1680&lt;&gt;0,H1680&lt;&gt;""),H1680/E1680,"")</f>
        <v/>
      </c>
      <c r="L1680">
        <f>IF(B1680="","",IFERROR(VALUE(TEXT(B1680,"[$-1170401]yyyy")),""))</f>
        <v/>
      </c>
      <c r="M1680">
        <f>IF(B1680="","",IFERROR(VALUE(TEXT(B1680,"[$-1170401]mm")),""))</f>
        <v/>
      </c>
    </row>
    <row r="1681">
      <c r="B1681" s="30" t="n"/>
      <c r="G1681" s="9">
        <f>IF(AND(E1681&lt;&gt;"",E1681&lt;&gt;0,H1681&lt;&gt;""),H1681/E1681,"")</f>
        <v/>
      </c>
      <c r="L1681">
        <f>IF(B1681="","",IFERROR(VALUE(TEXT(B1681,"[$-1170401]yyyy")),""))</f>
        <v/>
      </c>
      <c r="M1681">
        <f>IF(B1681="","",IFERROR(VALUE(TEXT(B1681,"[$-1170401]mm")),""))</f>
        <v/>
      </c>
    </row>
    <row r="1682">
      <c r="B1682" s="30" t="n"/>
      <c r="G1682" s="9">
        <f>IF(AND(E1682&lt;&gt;"",E1682&lt;&gt;0,H1682&lt;&gt;""),H1682/E1682,"")</f>
        <v/>
      </c>
      <c r="L1682">
        <f>IF(B1682="","",IFERROR(VALUE(TEXT(B1682,"[$-1170401]yyyy")),""))</f>
        <v/>
      </c>
      <c r="M1682">
        <f>IF(B1682="","",IFERROR(VALUE(TEXT(B1682,"[$-1170401]mm")),""))</f>
        <v/>
      </c>
    </row>
    <row r="1683">
      <c r="B1683" s="30" t="n"/>
      <c r="G1683" s="9">
        <f>IF(AND(E1683&lt;&gt;"",E1683&lt;&gt;0,H1683&lt;&gt;""),H1683/E1683,"")</f>
        <v/>
      </c>
      <c r="L1683">
        <f>IF(B1683="","",IFERROR(VALUE(TEXT(B1683,"[$-1170401]yyyy")),""))</f>
        <v/>
      </c>
      <c r="M1683">
        <f>IF(B1683="","",IFERROR(VALUE(TEXT(B1683,"[$-1170401]mm")),""))</f>
        <v/>
      </c>
    </row>
    <row r="1684">
      <c r="B1684" s="30" t="n"/>
      <c r="G1684" s="9">
        <f>IF(AND(E1684&lt;&gt;"",E1684&lt;&gt;0,H1684&lt;&gt;""),H1684/E1684,"")</f>
        <v/>
      </c>
      <c r="L1684">
        <f>IF(B1684="","",IFERROR(VALUE(TEXT(B1684,"[$-1170401]yyyy")),""))</f>
        <v/>
      </c>
      <c r="M1684">
        <f>IF(B1684="","",IFERROR(VALUE(TEXT(B1684,"[$-1170401]mm")),""))</f>
        <v/>
      </c>
    </row>
    <row r="1685">
      <c r="B1685" s="30" t="n"/>
      <c r="G1685" s="9">
        <f>IF(AND(E1685&lt;&gt;"",E1685&lt;&gt;0,H1685&lt;&gt;""),H1685/E1685,"")</f>
        <v/>
      </c>
      <c r="L1685">
        <f>IF(B1685="","",IFERROR(VALUE(TEXT(B1685,"[$-1170401]yyyy")),""))</f>
        <v/>
      </c>
      <c r="M1685">
        <f>IF(B1685="","",IFERROR(VALUE(TEXT(B1685,"[$-1170401]mm")),""))</f>
        <v/>
      </c>
    </row>
    <row r="1686">
      <c r="B1686" s="30" t="n"/>
      <c r="G1686" s="9">
        <f>IF(AND(E1686&lt;&gt;"",E1686&lt;&gt;0,H1686&lt;&gt;""),H1686/E1686,"")</f>
        <v/>
      </c>
      <c r="L1686">
        <f>IF(B1686="","",IFERROR(VALUE(TEXT(B1686,"[$-1170401]yyyy")),""))</f>
        <v/>
      </c>
      <c r="M1686">
        <f>IF(B1686="","",IFERROR(VALUE(TEXT(B1686,"[$-1170401]mm")),""))</f>
        <v/>
      </c>
    </row>
    <row r="1687">
      <c r="B1687" s="30" t="n"/>
      <c r="G1687" s="9">
        <f>IF(AND(E1687&lt;&gt;"",E1687&lt;&gt;0,H1687&lt;&gt;""),H1687/E1687,"")</f>
        <v/>
      </c>
      <c r="L1687">
        <f>IF(B1687="","",IFERROR(VALUE(TEXT(B1687,"[$-1170401]yyyy")),""))</f>
        <v/>
      </c>
      <c r="M1687">
        <f>IF(B1687="","",IFERROR(VALUE(TEXT(B1687,"[$-1170401]mm")),""))</f>
        <v/>
      </c>
    </row>
    <row r="1688">
      <c r="B1688" s="30" t="n"/>
      <c r="G1688" s="9">
        <f>IF(AND(E1688&lt;&gt;"",E1688&lt;&gt;0,H1688&lt;&gt;""),H1688/E1688,"")</f>
        <v/>
      </c>
      <c r="L1688">
        <f>IF(B1688="","",IFERROR(VALUE(TEXT(B1688,"[$-1170401]yyyy")),""))</f>
        <v/>
      </c>
      <c r="M1688">
        <f>IF(B1688="","",IFERROR(VALUE(TEXT(B1688,"[$-1170401]mm")),""))</f>
        <v/>
      </c>
    </row>
    <row r="1689">
      <c r="B1689" s="30" t="n"/>
      <c r="G1689" s="9">
        <f>IF(AND(E1689&lt;&gt;"",E1689&lt;&gt;0,H1689&lt;&gt;""),H1689/E1689,"")</f>
        <v/>
      </c>
      <c r="L1689">
        <f>IF(B1689="","",IFERROR(VALUE(TEXT(B1689,"[$-1170401]yyyy")),""))</f>
        <v/>
      </c>
      <c r="M1689">
        <f>IF(B1689="","",IFERROR(VALUE(TEXT(B1689,"[$-1170401]mm")),""))</f>
        <v/>
      </c>
    </row>
    <row r="1690">
      <c r="B1690" s="30" t="n"/>
      <c r="G1690" s="9">
        <f>IF(AND(E1690&lt;&gt;"",E1690&lt;&gt;0,H1690&lt;&gt;""),H1690/E1690,"")</f>
        <v/>
      </c>
      <c r="L1690">
        <f>IF(B1690="","",IFERROR(VALUE(TEXT(B1690,"[$-1170401]yyyy")),""))</f>
        <v/>
      </c>
      <c r="M1690">
        <f>IF(B1690="","",IFERROR(VALUE(TEXT(B1690,"[$-1170401]mm")),""))</f>
        <v/>
      </c>
    </row>
    <row r="1691">
      <c r="B1691" s="30" t="n"/>
      <c r="G1691" s="9">
        <f>IF(AND(E1691&lt;&gt;"",E1691&lt;&gt;0,H1691&lt;&gt;""),H1691/E1691,"")</f>
        <v/>
      </c>
      <c r="L1691">
        <f>IF(B1691="","",IFERROR(VALUE(TEXT(B1691,"[$-1170401]yyyy")),""))</f>
        <v/>
      </c>
      <c r="M1691">
        <f>IF(B1691="","",IFERROR(VALUE(TEXT(B1691,"[$-1170401]mm")),""))</f>
        <v/>
      </c>
    </row>
    <row r="1692">
      <c r="B1692" s="30" t="n"/>
      <c r="G1692" s="9">
        <f>IF(AND(E1692&lt;&gt;"",E1692&lt;&gt;0,H1692&lt;&gt;""),H1692/E1692,"")</f>
        <v/>
      </c>
      <c r="L1692">
        <f>IF(B1692="","",IFERROR(VALUE(TEXT(B1692,"[$-1170401]yyyy")),""))</f>
        <v/>
      </c>
      <c r="M1692">
        <f>IF(B1692="","",IFERROR(VALUE(TEXT(B1692,"[$-1170401]mm")),""))</f>
        <v/>
      </c>
    </row>
    <row r="1693">
      <c r="B1693" s="30" t="n"/>
      <c r="G1693" s="9">
        <f>IF(AND(E1693&lt;&gt;"",E1693&lt;&gt;0,H1693&lt;&gt;""),H1693/E1693,"")</f>
        <v/>
      </c>
      <c r="L1693">
        <f>IF(B1693="","",IFERROR(VALUE(TEXT(B1693,"[$-1170401]yyyy")),""))</f>
        <v/>
      </c>
      <c r="M1693">
        <f>IF(B1693="","",IFERROR(VALUE(TEXT(B1693,"[$-1170401]mm")),""))</f>
        <v/>
      </c>
    </row>
    <row r="1694">
      <c r="B1694" s="30" t="n"/>
      <c r="G1694" s="9">
        <f>IF(AND(E1694&lt;&gt;"",E1694&lt;&gt;0,H1694&lt;&gt;""),H1694/E1694,"")</f>
        <v/>
      </c>
      <c r="L1694">
        <f>IF(B1694="","",IFERROR(VALUE(TEXT(B1694,"[$-1170401]yyyy")),""))</f>
        <v/>
      </c>
      <c r="M1694">
        <f>IF(B1694="","",IFERROR(VALUE(TEXT(B1694,"[$-1170401]mm")),""))</f>
        <v/>
      </c>
    </row>
    <row r="1695">
      <c r="B1695" s="30" t="n"/>
      <c r="G1695" s="9">
        <f>IF(AND(E1695&lt;&gt;"",E1695&lt;&gt;0,H1695&lt;&gt;""),H1695/E1695,"")</f>
        <v/>
      </c>
      <c r="L1695">
        <f>IF(B1695="","",IFERROR(VALUE(TEXT(B1695,"[$-1170401]yyyy")),""))</f>
        <v/>
      </c>
      <c r="M1695">
        <f>IF(B1695="","",IFERROR(VALUE(TEXT(B1695,"[$-1170401]mm")),""))</f>
        <v/>
      </c>
    </row>
    <row r="1696">
      <c r="B1696" s="30" t="n"/>
      <c r="G1696" s="9">
        <f>IF(AND(E1696&lt;&gt;"",E1696&lt;&gt;0,H1696&lt;&gt;""),H1696/E1696,"")</f>
        <v/>
      </c>
      <c r="L1696">
        <f>IF(B1696="","",IFERROR(VALUE(TEXT(B1696,"[$-1170401]yyyy")),""))</f>
        <v/>
      </c>
      <c r="M1696">
        <f>IF(B1696="","",IFERROR(VALUE(TEXT(B1696,"[$-1170401]mm")),""))</f>
        <v/>
      </c>
    </row>
    <row r="1697">
      <c r="B1697" s="30" t="n"/>
      <c r="G1697" s="9">
        <f>IF(AND(E1697&lt;&gt;"",E1697&lt;&gt;0,H1697&lt;&gt;""),H1697/E1697,"")</f>
        <v/>
      </c>
      <c r="L1697">
        <f>IF(B1697="","",IFERROR(VALUE(TEXT(B1697,"[$-1170401]yyyy")),""))</f>
        <v/>
      </c>
      <c r="M1697">
        <f>IF(B1697="","",IFERROR(VALUE(TEXT(B1697,"[$-1170401]mm")),""))</f>
        <v/>
      </c>
    </row>
    <row r="1698">
      <c r="B1698" s="30" t="n"/>
      <c r="G1698" s="9">
        <f>IF(AND(E1698&lt;&gt;"",E1698&lt;&gt;0,H1698&lt;&gt;""),H1698/E1698,"")</f>
        <v/>
      </c>
      <c r="L1698">
        <f>IF(B1698="","",IFERROR(VALUE(TEXT(B1698,"[$-1170401]yyyy")),""))</f>
        <v/>
      </c>
      <c r="M1698">
        <f>IF(B1698="","",IFERROR(VALUE(TEXT(B1698,"[$-1170401]mm")),""))</f>
        <v/>
      </c>
    </row>
    <row r="1699">
      <c r="B1699" s="30" t="n"/>
      <c r="G1699" s="9">
        <f>IF(AND(E1699&lt;&gt;"",E1699&lt;&gt;0,H1699&lt;&gt;""),H1699/E1699,"")</f>
        <v/>
      </c>
      <c r="L1699">
        <f>IF(B1699="","",IFERROR(VALUE(TEXT(B1699,"[$-1170401]yyyy")),""))</f>
        <v/>
      </c>
      <c r="M1699">
        <f>IF(B1699="","",IFERROR(VALUE(TEXT(B1699,"[$-1170401]mm")),""))</f>
        <v/>
      </c>
    </row>
    <row r="1700">
      <c r="B1700" s="30" t="n"/>
      <c r="G1700" s="9">
        <f>IF(AND(E1700&lt;&gt;"",E1700&lt;&gt;0,H1700&lt;&gt;""),H1700/E1700,"")</f>
        <v/>
      </c>
      <c r="L1700">
        <f>IF(B1700="","",IFERROR(VALUE(TEXT(B1700,"[$-1170401]yyyy")),""))</f>
        <v/>
      </c>
      <c r="M1700">
        <f>IF(B1700="","",IFERROR(VALUE(TEXT(B1700,"[$-1170401]mm")),""))</f>
        <v/>
      </c>
    </row>
    <row r="1701">
      <c r="B1701" s="30" t="n"/>
      <c r="G1701" s="9">
        <f>IF(AND(E1701&lt;&gt;"",E1701&lt;&gt;0,H1701&lt;&gt;""),H1701/E1701,"")</f>
        <v/>
      </c>
      <c r="L1701">
        <f>IF(B1701="","",IFERROR(VALUE(TEXT(B1701,"[$-1170401]yyyy")),""))</f>
        <v/>
      </c>
      <c r="M1701">
        <f>IF(B1701="","",IFERROR(VALUE(TEXT(B1701,"[$-1170401]mm")),""))</f>
        <v/>
      </c>
    </row>
    <row r="1702">
      <c r="B1702" s="30" t="n"/>
      <c r="G1702" s="9">
        <f>IF(AND(E1702&lt;&gt;"",E1702&lt;&gt;0,H1702&lt;&gt;""),H1702/E1702,"")</f>
        <v/>
      </c>
      <c r="L1702">
        <f>IF(B1702="","",IFERROR(VALUE(TEXT(B1702,"[$-1170401]yyyy")),""))</f>
        <v/>
      </c>
      <c r="M1702">
        <f>IF(B1702="","",IFERROR(VALUE(TEXT(B1702,"[$-1170401]mm")),""))</f>
        <v/>
      </c>
    </row>
    <row r="1703">
      <c r="B1703" s="30" t="n"/>
      <c r="G1703" s="9">
        <f>IF(AND(E1703&lt;&gt;"",E1703&lt;&gt;0,H1703&lt;&gt;""),H1703/E1703,"")</f>
        <v/>
      </c>
      <c r="L1703">
        <f>IF(B1703="","",IFERROR(VALUE(TEXT(B1703,"[$-1170401]yyyy")),""))</f>
        <v/>
      </c>
      <c r="M1703">
        <f>IF(B1703="","",IFERROR(VALUE(TEXT(B1703,"[$-1170401]mm")),""))</f>
        <v/>
      </c>
    </row>
    <row r="1704">
      <c r="B1704" s="30" t="n"/>
      <c r="G1704" s="9">
        <f>IF(AND(E1704&lt;&gt;"",E1704&lt;&gt;0,H1704&lt;&gt;""),H1704/E1704,"")</f>
        <v/>
      </c>
      <c r="L1704">
        <f>IF(B1704="","",IFERROR(VALUE(TEXT(B1704,"[$-1170401]yyyy")),""))</f>
        <v/>
      </c>
      <c r="M1704">
        <f>IF(B1704="","",IFERROR(VALUE(TEXT(B1704,"[$-1170401]mm")),""))</f>
        <v/>
      </c>
    </row>
    <row r="1705">
      <c r="B1705" s="30" t="n"/>
      <c r="G1705" s="9">
        <f>IF(AND(E1705&lt;&gt;"",E1705&lt;&gt;0,H1705&lt;&gt;""),H1705/E1705,"")</f>
        <v/>
      </c>
      <c r="L1705">
        <f>IF(B1705="","",IFERROR(VALUE(TEXT(B1705,"[$-1170401]yyyy")),""))</f>
        <v/>
      </c>
      <c r="M1705">
        <f>IF(B1705="","",IFERROR(VALUE(TEXT(B1705,"[$-1170401]mm")),""))</f>
        <v/>
      </c>
    </row>
    <row r="1706">
      <c r="B1706" s="30" t="n"/>
      <c r="G1706" s="9">
        <f>IF(AND(E1706&lt;&gt;"",E1706&lt;&gt;0,H1706&lt;&gt;""),H1706/E1706,"")</f>
        <v/>
      </c>
      <c r="L1706">
        <f>IF(B1706="","",IFERROR(VALUE(TEXT(B1706,"[$-1170401]yyyy")),""))</f>
        <v/>
      </c>
      <c r="M1706">
        <f>IF(B1706="","",IFERROR(VALUE(TEXT(B1706,"[$-1170401]mm")),""))</f>
        <v/>
      </c>
    </row>
    <row r="1707">
      <c r="B1707" s="30" t="n"/>
      <c r="G1707" s="9">
        <f>IF(AND(E1707&lt;&gt;"",E1707&lt;&gt;0,H1707&lt;&gt;""),H1707/E1707,"")</f>
        <v/>
      </c>
      <c r="L1707">
        <f>IF(B1707="","",IFERROR(VALUE(TEXT(B1707,"[$-1170401]yyyy")),""))</f>
        <v/>
      </c>
      <c r="M1707">
        <f>IF(B1707="","",IFERROR(VALUE(TEXT(B1707,"[$-1170401]mm")),""))</f>
        <v/>
      </c>
    </row>
    <row r="1708">
      <c r="B1708" s="30" t="n"/>
      <c r="G1708" s="9">
        <f>IF(AND(E1708&lt;&gt;"",E1708&lt;&gt;0,H1708&lt;&gt;""),H1708/E1708,"")</f>
        <v/>
      </c>
      <c r="L1708">
        <f>IF(B1708="","",IFERROR(VALUE(TEXT(B1708,"[$-1170401]yyyy")),""))</f>
        <v/>
      </c>
      <c r="M1708">
        <f>IF(B1708="","",IFERROR(VALUE(TEXT(B1708,"[$-1170401]mm")),""))</f>
        <v/>
      </c>
    </row>
    <row r="1709">
      <c r="B1709" s="30" t="n"/>
      <c r="G1709" s="9">
        <f>IF(AND(E1709&lt;&gt;"",E1709&lt;&gt;0,H1709&lt;&gt;""),H1709/E1709,"")</f>
        <v/>
      </c>
      <c r="L1709">
        <f>IF(B1709="","",IFERROR(VALUE(TEXT(B1709,"[$-1170401]yyyy")),""))</f>
        <v/>
      </c>
      <c r="M1709">
        <f>IF(B1709="","",IFERROR(VALUE(TEXT(B1709,"[$-1170401]mm")),""))</f>
        <v/>
      </c>
    </row>
    <row r="1710">
      <c r="B1710" s="30" t="n"/>
      <c r="G1710" s="9">
        <f>IF(AND(E1710&lt;&gt;"",E1710&lt;&gt;0,H1710&lt;&gt;""),H1710/E1710,"")</f>
        <v/>
      </c>
      <c r="L1710">
        <f>IF(B1710="","",IFERROR(VALUE(TEXT(B1710,"[$-1170401]yyyy")),""))</f>
        <v/>
      </c>
      <c r="M1710">
        <f>IF(B1710="","",IFERROR(VALUE(TEXT(B1710,"[$-1170401]mm")),""))</f>
        <v/>
      </c>
    </row>
    <row r="1711">
      <c r="B1711" s="30" t="n"/>
      <c r="G1711" s="9">
        <f>IF(AND(E1711&lt;&gt;"",E1711&lt;&gt;0,H1711&lt;&gt;""),H1711/E1711,"")</f>
        <v/>
      </c>
      <c r="L1711">
        <f>IF(B1711="","",IFERROR(VALUE(TEXT(B1711,"[$-1170401]yyyy")),""))</f>
        <v/>
      </c>
      <c r="M1711">
        <f>IF(B1711="","",IFERROR(VALUE(TEXT(B1711,"[$-1170401]mm")),""))</f>
        <v/>
      </c>
    </row>
    <row r="1712">
      <c r="B1712" s="30" t="n"/>
      <c r="G1712" s="9">
        <f>IF(AND(E1712&lt;&gt;"",E1712&lt;&gt;0,H1712&lt;&gt;""),H1712/E1712,"")</f>
        <v/>
      </c>
      <c r="L1712">
        <f>IF(B1712="","",IFERROR(VALUE(TEXT(B1712,"[$-1170401]yyyy")),""))</f>
        <v/>
      </c>
      <c r="M1712">
        <f>IF(B1712="","",IFERROR(VALUE(TEXT(B1712,"[$-1170401]mm")),""))</f>
        <v/>
      </c>
    </row>
    <row r="1713">
      <c r="B1713" s="30" t="n"/>
      <c r="G1713" s="9">
        <f>IF(AND(E1713&lt;&gt;"",E1713&lt;&gt;0,H1713&lt;&gt;""),H1713/E1713,"")</f>
        <v/>
      </c>
      <c r="L1713">
        <f>IF(B1713="","",IFERROR(VALUE(TEXT(B1713,"[$-1170401]yyyy")),""))</f>
        <v/>
      </c>
      <c r="M1713">
        <f>IF(B1713="","",IFERROR(VALUE(TEXT(B1713,"[$-1170401]mm")),""))</f>
        <v/>
      </c>
    </row>
    <row r="1714">
      <c r="B1714" s="30" t="n"/>
      <c r="G1714" s="9">
        <f>IF(AND(E1714&lt;&gt;"",E1714&lt;&gt;0,H1714&lt;&gt;""),H1714/E1714,"")</f>
        <v/>
      </c>
      <c r="L1714">
        <f>IF(B1714="","",IFERROR(VALUE(TEXT(B1714,"[$-1170401]yyyy")),""))</f>
        <v/>
      </c>
      <c r="M1714">
        <f>IF(B1714="","",IFERROR(VALUE(TEXT(B1714,"[$-1170401]mm")),""))</f>
        <v/>
      </c>
    </row>
    <row r="1715">
      <c r="B1715" s="30" t="n"/>
      <c r="G1715" s="9">
        <f>IF(AND(E1715&lt;&gt;"",E1715&lt;&gt;0,H1715&lt;&gt;""),H1715/E1715,"")</f>
        <v/>
      </c>
      <c r="L1715">
        <f>IF(B1715="","",IFERROR(VALUE(TEXT(B1715,"[$-1170401]yyyy")),""))</f>
        <v/>
      </c>
      <c r="M1715">
        <f>IF(B1715="","",IFERROR(VALUE(TEXT(B1715,"[$-1170401]mm")),""))</f>
        <v/>
      </c>
    </row>
    <row r="1716">
      <c r="B1716" s="30" t="n"/>
      <c r="G1716" s="9">
        <f>IF(AND(E1716&lt;&gt;"",E1716&lt;&gt;0,H1716&lt;&gt;""),H1716/E1716,"")</f>
        <v/>
      </c>
      <c r="L1716">
        <f>IF(B1716="","",IFERROR(VALUE(TEXT(B1716,"[$-1170401]yyyy")),""))</f>
        <v/>
      </c>
      <c r="M1716">
        <f>IF(B1716="","",IFERROR(VALUE(TEXT(B1716,"[$-1170401]mm")),""))</f>
        <v/>
      </c>
    </row>
    <row r="1717">
      <c r="B1717" s="30" t="n"/>
      <c r="G1717" s="9">
        <f>IF(AND(E1717&lt;&gt;"",E1717&lt;&gt;0,H1717&lt;&gt;""),H1717/E1717,"")</f>
        <v/>
      </c>
      <c r="L1717">
        <f>IF(B1717="","",IFERROR(VALUE(TEXT(B1717,"[$-1170401]yyyy")),""))</f>
        <v/>
      </c>
      <c r="M1717">
        <f>IF(B1717="","",IFERROR(VALUE(TEXT(B1717,"[$-1170401]mm")),""))</f>
        <v/>
      </c>
    </row>
    <row r="1718">
      <c r="B1718" s="30" t="n"/>
      <c r="G1718" s="9">
        <f>IF(AND(E1718&lt;&gt;"",E1718&lt;&gt;0,H1718&lt;&gt;""),H1718/E1718,"")</f>
        <v/>
      </c>
      <c r="L1718">
        <f>IF(B1718="","",IFERROR(VALUE(TEXT(B1718,"[$-1170401]yyyy")),""))</f>
        <v/>
      </c>
      <c r="M1718">
        <f>IF(B1718="","",IFERROR(VALUE(TEXT(B1718,"[$-1170401]mm")),""))</f>
        <v/>
      </c>
    </row>
    <row r="1719">
      <c r="B1719" s="30" t="n"/>
      <c r="G1719" s="9">
        <f>IF(AND(E1719&lt;&gt;"",E1719&lt;&gt;0,H1719&lt;&gt;""),H1719/E1719,"")</f>
        <v/>
      </c>
      <c r="L1719">
        <f>IF(B1719="","",IFERROR(VALUE(TEXT(B1719,"[$-1170401]yyyy")),""))</f>
        <v/>
      </c>
      <c r="M1719">
        <f>IF(B1719="","",IFERROR(VALUE(TEXT(B1719,"[$-1170401]mm")),""))</f>
        <v/>
      </c>
    </row>
    <row r="1720">
      <c r="B1720" s="30" t="n"/>
      <c r="G1720" s="9">
        <f>IF(AND(E1720&lt;&gt;"",E1720&lt;&gt;0,H1720&lt;&gt;""),H1720/E1720,"")</f>
        <v/>
      </c>
      <c r="L1720">
        <f>IF(B1720="","",IFERROR(VALUE(TEXT(B1720,"[$-1170401]yyyy")),""))</f>
        <v/>
      </c>
      <c r="M1720">
        <f>IF(B1720="","",IFERROR(VALUE(TEXT(B1720,"[$-1170401]mm")),""))</f>
        <v/>
      </c>
    </row>
    <row r="1721">
      <c r="B1721" s="30" t="n"/>
      <c r="G1721" s="9">
        <f>IF(AND(E1721&lt;&gt;"",E1721&lt;&gt;0,H1721&lt;&gt;""),H1721/E1721,"")</f>
        <v/>
      </c>
      <c r="L1721">
        <f>IF(B1721="","",IFERROR(VALUE(TEXT(B1721,"[$-1170401]yyyy")),""))</f>
        <v/>
      </c>
      <c r="M1721">
        <f>IF(B1721="","",IFERROR(VALUE(TEXT(B1721,"[$-1170401]mm")),""))</f>
        <v/>
      </c>
    </row>
    <row r="1722">
      <c r="B1722" s="30" t="n"/>
      <c r="G1722" s="9">
        <f>IF(AND(E1722&lt;&gt;"",E1722&lt;&gt;0,H1722&lt;&gt;""),H1722/E1722,"")</f>
        <v/>
      </c>
      <c r="L1722">
        <f>IF(B1722="","",IFERROR(VALUE(TEXT(B1722,"[$-1170401]yyyy")),""))</f>
        <v/>
      </c>
      <c r="M1722">
        <f>IF(B1722="","",IFERROR(VALUE(TEXT(B1722,"[$-1170401]mm")),""))</f>
        <v/>
      </c>
    </row>
    <row r="1723">
      <c r="B1723" s="30" t="n"/>
      <c r="G1723" s="9">
        <f>IF(AND(E1723&lt;&gt;"",E1723&lt;&gt;0,H1723&lt;&gt;""),H1723/E1723,"")</f>
        <v/>
      </c>
      <c r="L1723">
        <f>IF(B1723="","",IFERROR(VALUE(TEXT(B1723,"[$-1170401]yyyy")),""))</f>
        <v/>
      </c>
      <c r="M1723">
        <f>IF(B1723="","",IFERROR(VALUE(TEXT(B1723,"[$-1170401]mm")),""))</f>
        <v/>
      </c>
    </row>
    <row r="1724">
      <c r="B1724" s="30" t="n"/>
      <c r="G1724" s="9">
        <f>IF(AND(E1724&lt;&gt;"",E1724&lt;&gt;0,H1724&lt;&gt;""),H1724/E1724,"")</f>
        <v/>
      </c>
      <c r="L1724">
        <f>IF(B1724="","",IFERROR(VALUE(TEXT(B1724,"[$-1170401]yyyy")),""))</f>
        <v/>
      </c>
      <c r="M1724">
        <f>IF(B1724="","",IFERROR(VALUE(TEXT(B1724,"[$-1170401]mm")),""))</f>
        <v/>
      </c>
    </row>
    <row r="1725">
      <c r="B1725" s="30" t="n"/>
      <c r="G1725" s="9">
        <f>IF(AND(E1725&lt;&gt;"",E1725&lt;&gt;0,H1725&lt;&gt;""),H1725/E1725,"")</f>
        <v/>
      </c>
      <c r="L1725">
        <f>IF(B1725="","",IFERROR(VALUE(TEXT(B1725,"[$-1170401]yyyy")),""))</f>
        <v/>
      </c>
      <c r="M1725">
        <f>IF(B1725="","",IFERROR(VALUE(TEXT(B1725,"[$-1170401]mm")),""))</f>
        <v/>
      </c>
    </row>
    <row r="1726">
      <c r="B1726" s="30" t="n"/>
      <c r="G1726" s="9">
        <f>IF(AND(E1726&lt;&gt;"",E1726&lt;&gt;0,H1726&lt;&gt;""),H1726/E1726,"")</f>
        <v/>
      </c>
      <c r="L1726">
        <f>IF(B1726="","",IFERROR(VALUE(TEXT(B1726,"[$-1170401]yyyy")),""))</f>
        <v/>
      </c>
      <c r="M1726">
        <f>IF(B1726="","",IFERROR(VALUE(TEXT(B1726,"[$-1170401]mm")),""))</f>
        <v/>
      </c>
    </row>
    <row r="1727">
      <c r="B1727" s="30" t="n"/>
      <c r="G1727" s="9">
        <f>IF(AND(E1727&lt;&gt;"",E1727&lt;&gt;0,H1727&lt;&gt;""),H1727/E1727,"")</f>
        <v/>
      </c>
      <c r="L1727">
        <f>IF(B1727="","",IFERROR(VALUE(TEXT(B1727,"[$-1170401]yyyy")),""))</f>
        <v/>
      </c>
      <c r="M1727">
        <f>IF(B1727="","",IFERROR(VALUE(TEXT(B1727,"[$-1170401]mm")),""))</f>
        <v/>
      </c>
    </row>
    <row r="1728">
      <c r="B1728" s="30" t="n"/>
      <c r="G1728" s="9">
        <f>IF(AND(E1728&lt;&gt;"",E1728&lt;&gt;0,H1728&lt;&gt;""),H1728/E1728,"")</f>
        <v/>
      </c>
      <c r="L1728">
        <f>IF(B1728="","",IFERROR(VALUE(TEXT(B1728,"[$-1170401]yyyy")),""))</f>
        <v/>
      </c>
      <c r="M1728">
        <f>IF(B1728="","",IFERROR(VALUE(TEXT(B1728,"[$-1170401]mm")),""))</f>
        <v/>
      </c>
    </row>
    <row r="1729">
      <c r="B1729" s="30" t="n"/>
      <c r="G1729" s="9">
        <f>IF(AND(E1729&lt;&gt;"",E1729&lt;&gt;0,H1729&lt;&gt;""),H1729/E1729,"")</f>
        <v/>
      </c>
      <c r="L1729">
        <f>IF(B1729="","",IFERROR(VALUE(TEXT(B1729,"[$-1170401]yyyy")),""))</f>
        <v/>
      </c>
      <c r="M1729">
        <f>IF(B1729="","",IFERROR(VALUE(TEXT(B1729,"[$-1170401]mm")),""))</f>
        <v/>
      </c>
    </row>
    <row r="1730">
      <c r="B1730" s="30" t="n"/>
      <c r="G1730" s="9">
        <f>IF(AND(E1730&lt;&gt;"",E1730&lt;&gt;0,H1730&lt;&gt;""),H1730/E1730,"")</f>
        <v/>
      </c>
      <c r="L1730">
        <f>IF(B1730="","",IFERROR(VALUE(TEXT(B1730,"[$-1170401]yyyy")),""))</f>
        <v/>
      </c>
      <c r="M1730">
        <f>IF(B1730="","",IFERROR(VALUE(TEXT(B1730,"[$-1170401]mm")),""))</f>
        <v/>
      </c>
    </row>
    <row r="1731">
      <c r="B1731" s="30" t="n"/>
      <c r="G1731" s="9">
        <f>IF(AND(E1731&lt;&gt;"",E1731&lt;&gt;0,H1731&lt;&gt;""),H1731/E1731,"")</f>
        <v/>
      </c>
      <c r="L1731">
        <f>IF(B1731="","",IFERROR(VALUE(TEXT(B1731,"[$-1170401]yyyy")),""))</f>
        <v/>
      </c>
      <c r="M1731">
        <f>IF(B1731="","",IFERROR(VALUE(TEXT(B1731,"[$-1170401]mm")),""))</f>
        <v/>
      </c>
    </row>
    <row r="1732">
      <c r="B1732" s="30" t="n"/>
      <c r="G1732" s="9">
        <f>IF(AND(E1732&lt;&gt;"",E1732&lt;&gt;0,H1732&lt;&gt;""),H1732/E1732,"")</f>
        <v/>
      </c>
      <c r="L1732">
        <f>IF(B1732="","",IFERROR(VALUE(TEXT(B1732,"[$-1170401]yyyy")),""))</f>
        <v/>
      </c>
      <c r="M1732">
        <f>IF(B1732="","",IFERROR(VALUE(TEXT(B1732,"[$-1170401]mm")),""))</f>
        <v/>
      </c>
    </row>
    <row r="1733">
      <c r="B1733" s="30" t="n"/>
      <c r="G1733" s="9">
        <f>IF(AND(E1733&lt;&gt;"",E1733&lt;&gt;0,H1733&lt;&gt;""),H1733/E1733,"")</f>
        <v/>
      </c>
      <c r="L1733">
        <f>IF(B1733="","",IFERROR(VALUE(TEXT(B1733,"[$-1170401]yyyy")),""))</f>
        <v/>
      </c>
      <c r="M1733">
        <f>IF(B1733="","",IFERROR(VALUE(TEXT(B1733,"[$-1170401]mm")),""))</f>
        <v/>
      </c>
    </row>
    <row r="1734">
      <c r="B1734" s="30" t="n"/>
      <c r="G1734" s="9">
        <f>IF(AND(E1734&lt;&gt;"",E1734&lt;&gt;0,H1734&lt;&gt;""),H1734/E1734,"")</f>
        <v/>
      </c>
      <c r="L1734">
        <f>IF(B1734="","",IFERROR(VALUE(TEXT(B1734,"[$-1170401]yyyy")),""))</f>
        <v/>
      </c>
      <c r="M1734">
        <f>IF(B1734="","",IFERROR(VALUE(TEXT(B1734,"[$-1170401]mm")),""))</f>
        <v/>
      </c>
    </row>
    <row r="1735">
      <c r="B1735" s="30" t="n"/>
      <c r="G1735" s="9">
        <f>IF(AND(E1735&lt;&gt;"",E1735&lt;&gt;0,H1735&lt;&gt;""),H1735/E1735,"")</f>
        <v/>
      </c>
      <c r="L1735">
        <f>IF(B1735="","",IFERROR(VALUE(TEXT(B1735,"[$-1170401]yyyy")),""))</f>
        <v/>
      </c>
      <c r="M1735">
        <f>IF(B1735="","",IFERROR(VALUE(TEXT(B1735,"[$-1170401]mm")),""))</f>
        <v/>
      </c>
    </row>
    <row r="1736">
      <c r="B1736" s="30" t="n"/>
      <c r="G1736" s="9">
        <f>IF(AND(E1736&lt;&gt;"",E1736&lt;&gt;0,H1736&lt;&gt;""),H1736/E1736,"")</f>
        <v/>
      </c>
      <c r="L1736">
        <f>IF(B1736="","",IFERROR(VALUE(TEXT(B1736,"[$-1170401]yyyy")),""))</f>
        <v/>
      </c>
      <c r="M1736">
        <f>IF(B1736="","",IFERROR(VALUE(TEXT(B1736,"[$-1170401]mm")),""))</f>
        <v/>
      </c>
    </row>
    <row r="1737">
      <c r="B1737" s="30" t="n"/>
      <c r="G1737" s="9">
        <f>IF(AND(E1737&lt;&gt;"",E1737&lt;&gt;0,H1737&lt;&gt;""),H1737/E1737,"")</f>
        <v/>
      </c>
      <c r="L1737">
        <f>IF(B1737="","",IFERROR(VALUE(TEXT(B1737,"[$-1170401]yyyy")),""))</f>
        <v/>
      </c>
      <c r="M1737">
        <f>IF(B1737="","",IFERROR(VALUE(TEXT(B1737,"[$-1170401]mm")),""))</f>
        <v/>
      </c>
    </row>
    <row r="1738">
      <c r="B1738" s="30" t="n"/>
      <c r="G1738" s="9">
        <f>IF(AND(E1738&lt;&gt;"",E1738&lt;&gt;0,H1738&lt;&gt;""),H1738/E1738,"")</f>
        <v/>
      </c>
      <c r="L1738">
        <f>IF(B1738="","",IFERROR(VALUE(TEXT(B1738,"[$-1170401]yyyy")),""))</f>
        <v/>
      </c>
      <c r="M1738">
        <f>IF(B1738="","",IFERROR(VALUE(TEXT(B1738,"[$-1170401]mm")),""))</f>
        <v/>
      </c>
    </row>
    <row r="1739">
      <c r="B1739" s="30" t="n"/>
      <c r="G1739" s="9">
        <f>IF(AND(E1739&lt;&gt;"",E1739&lt;&gt;0,H1739&lt;&gt;""),H1739/E1739,"")</f>
        <v/>
      </c>
      <c r="L1739">
        <f>IF(B1739="","",IFERROR(VALUE(TEXT(B1739,"[$-1170401]yyyy")),""))</f>
        <v/>
      </c>
      <c r="M1739">
        <f>IF(B1739="","",IFERROR(VALUE(TEXT(B1739,"[$-1170401]mm")),""))</f>
        <v/>
      </c>
    </row>
    <row r="1740">
      <c r="B1740" s="30" t="n"/>
      <c r="G1740" s="9">
        <f>IF(AND(E1740&lt;&gt;"",E1740&lt;&gt;0,H1740&lt;&gt;""),H1740/E1740,"")</f>
        <v/>
      </c>
      <c r="L1740">
        <f>IF(B1740="","",IFERROR(VALUE(TEXT(B1740,"[$-1170401]yyyy")),""))</f>
        <v/>
      </c>
      <c r="M1740">
        <f>IF(B1740="","",IFERROR(VALUE(TEXT(B1740,"[$-1170401]mm")),""))</f>
        <v/>
      </c>
    </row>
    <row r="1741">
      <c r="B1741" s="30" t="n"/>
      <c r="G1741" s="9">
        <f>IF(AND(E1741&lt;&gt;"",E1741&lt;&gt;0,H1741&lt;&gt;""),H1741/E1741,"")</f>
        <v/>
      </c>
      <c r="L1741">
        <f>IF(B1741="","",IFERROR(VALUE(TEXT(B1741,"[$-1170401]yyyy")),""))</f>
        <v/>
      </c>
      <c r="M1741">
        <f>IF(B1741="","",IFERROR(VALUE(TEXT(B1741,"[$-1170401]mm")),""))</f>
        <v/>
      </c>
    </row>
    <row r="1742">
      <c r="B1742" s="30" t="n"/>
      <c r="G1742" s="9">
        <f>IF(AND(E1742&lt;&gt;"",E1742&lt;&gt;0,H1742&lt;&gt;""),H1742/E1742,"")</f>
        <v/>
      </c>
      <c r="L1742">
        <f>IF(B1742="","",IFERROR(VALUE(TEXT(B1742,"[$-1170401]yyyy")),""))</f>
        <v/>
      </c>
      <c r="M1742">
        <f>IF(B1742="","",IFERROR(VALUE(TEXT(B1742,"[$-1170401]mm")),""))</f>
        <v/>
      </c>
    </row>
    <row r="1743">
      <c r="B1743" s="30" t="n"/>
      <c r="G1743" s="9">
        <f>IF(AND(E1743&lt;&gt;"",E1743&lt;&gt;0,H1743&lt;&gt;""),H1743/E1743,"")</f>
        <v/>
      </c>
      <c r="L1743">
        <f>IF(B1743="","",IFERROR(VALUE(TEXT(B1743,"[$-1170401]yyyy")),""))</f>
        <v/>
      </c>
      <c r="M1743">
        <f>IF(B1743="","",IFERROR(VALUE(TEXT(B1743,"[$-1170401]mm")),""))</f>
        <v/>
      </c>
    </row>
    <row r="1744">
      <c r="B1744" s="30" t="n"/>
      <c r="G1744" s="9">
        <f>IF(AND(E1744&lt;&gt;"",E1744&lt;&gt;0,H1744&lt;&gt;""),H1744/E1744,"")</f>
        <v/>
      </c>
      <c r="L1744">
        <f>IF(B1744="","",IFERROR(VALUE(TEXT(B1744,"[$-1170401]yyyy")),""))</f>
        <v/>
      </c>
      <c r="M1744">
        <f>IF(B1744="","",IFERROR(VALUE(TEXT(B1744,"[$-1170401]mm")),""))</f>
        <v/>
      </c>
    </row>
    <row r="1745">
      <c r="B1745" s="30" t="n"/>
      <c r="G1745" s="9">
        <f>IF(AND(E1745&lt;&gt;"",E1745&lt;&gt;0,H1745&lt;&gt;""),H1745/E1745,"")</f>
        <v/>
      </c>
      <c r="L1745">
        <f>IF(B1745="","",IFERROR(VALUE(TEXT(B1745,"[$-1170401]yyyy")),""))</f>
        <v/>
      </c>
      <c r="M1745">
        <f>IF(B1745="","",IFERROR(VALUE(TEXT(B1745,"[$-1170401]mm")),""))</f>
        <v/>
      </c>
    </row>
    <row r="1746">
      <c r="B1746" s="30" t="n"/>
      <c r="G1746" s="9">
        <f>IF(AND(E1746&lt;&gt;"",E1746&lt;&gt;0,H1746&lt;&gt;""),H1746/E1746,"")</f>
        <v/>
      </c>
      <c r="L1746">
        <f>IF(B1746="","",IFERROR(VALUE(TEXT(B1746,"[$-1170401]yyyy")),""))</f>
        <v/>
      </c>
      <c r="M1746">
        <f>IF(B1746="","",IFERROR(VALUE(TEXT(B1746,"[$-1170401]mm")),""))</f>
        <v/>
      </c>
    </row>
    <row r="1747">
      <c r="B1747" s="30" t="n"/>
      <c r="G1747" s="9">
        <f>IF(AND(E1747&lt;&gt;"",E1747&lt;&gt;0,H1747&lt;&gt;""),H1747/E1747,"")</f>
        <v/>
      </c>
      <c r="L1747">
        <f>IF(B1747="","",IFERROR(VALUE(TEXT(B1747,"[$-1170401]yyyy")),""))</f>
        <v/>
      </c>
      <c r="M1747">
        <f>IF(B1747="","",IFERROR(VALUE(TEXT(B1747,"[$-1170401]mm")),""))</f>
        <v/>
      </c>
    </row>
    <row r="1748">
      <c r="B1748" s="30" t="n"/>
      <c r="G1748" s="9">
        <f>IF(AND(E1748&lt;&gt;"",E1748&lt;&gt;0,H1748&lt;&gt;""),H1748/E1748,"")</f>
        <v/>
      </c>
      <c r="L1748">
        <f>IF(B1748="","",IFERROR(VALUE(TEXT(B1748,"[$-1170401]yyyy")),""))</f>
        <v/>
      </c>
      <c r="M1748">
        <f>IF(B1748="","",IFERROR(VALUE(TEXT(B1748,"[$-1170401]mm")),""))</f>
        <v/>
      </c>
    </row>
    <row r="1749">
      <c r="B1749" s="30" t="n"/>
      <c r="G1749" s="9">
        <f>IF(AND(E1749&lt;&gt;"",E1749&lt;&gt;0,H1749&lt;&gt;""),H1749/E1749,"")</f>
        <v/>
      </c>
      <c r="L1749">
        <f>IF(B1749="","",IFERROR(VALUE(TEXT(B1749,"[$-1170401]yyyy")),""))</f>
        <v/>
      </c>
      <c r="M1749">
        <f>IF(B1749="","",IFERROR(VALUE(TEXT(B1749,"[$-1170401]mm")),""))</f>
        <v/>
      </c>
    </row>
    <row r="1750">
      <c r="B1750" s="30" t="n"/>
      <c r="G1750" s="9">
        <f>IF(AND(E1750&lt;&gt;"",E1750&lt;&gt;0,H1750&lt;&gt;""),H1750/E1750,"")</f>
        <v/>
      </c>
      <c r="L1750">
        <f>IF(B1750="","",IFERROR(VALUE(TEXT(B1750,"[$-1170401]yyyy")),""))</f>
        <v/>
      </c>
      <c r="M1750">
        <f>IF(B1750="","",IFERROR(VALUE(TEXT(B1750,"[$-1170401]mm")),""))</f>
        <v/>
      </c>
    </row>
    <row r="1751">
      <c r="B1751" s="30" t="n"/>
      <c r="G1751" s="9">
        <f>IF(AND(E1751&lt;&gt;"",E1751&lt;&gt;0,H1751&lt;&gt;""),H1751/E1751,"")</f>
        <v/>
      </c>
      <c r="L1751">
        <f>IF(B1751="","",IFERROR(VALUE(TEXT(B1751,"[$-1170401]yyyy")),""))</f>
        <v/>
      </c>
      <c r="M1751">
        <f>IF(B1751="","",IFERROR(VALUE(TEXT(B1751,"[$-1170401]mm")),""))</f>
        <v/>
      </c>
    </row>
    <row r="1752">
      <c r="B1752" s="30" t="n"/>
      <c r="G1752" s="9">
        <f>IF(AND(E1752&lt;&gt;"",E1752&lt;&gt;0,H1752&lt;&gt;""),H1752/E1752,"")</f>
        <v/>
      </c>
      <c r="L1752">
        <f>IF(B1752="","",IFERROR(VALUE(TEXT(B1752,"[$-1170401]yyyy")),""))</f>
        <v/>
      </c>
      <c r="M1752">
        <f>IF(B1752="","",IFERROR(VALUE(TEXT(B1752,"[$-1170401]mm")),""))</f>
        <v/>
      </c>
    </row>
    <row r="1753">
      <c r="B1753" s="30" t="n"/>
      <c r="G1753" s="9">
        <f>IF(AND(E1753&lt;&gt;"",E1753&lt;&gt;0,H1753&lt;&gt;""),H1753/E1753,"")</f>
        <v/>
      </c>
      <c r="L1753">
        <f>IF(B1753="","",IFERROR(VALUE(TEXT(B1753,"[$-1170401]yyyy")),""))</f>
        <v/>
      </c>
      <c r="M1753">
        <f>IF(B1753="","",IFERROR(VALUE(TEXT(B1753,"[$-1170401]mm")),""))</f>
        <v/>
      </c>
    </row>
    <row r="1754">
      <c r="B1754" s="30" t="n"/>
      <c r="G1754" s="9">
        <f>IF(AND(E1754&lt;&gt;"",E1754&lt;&gt;0,H1754&lt;&gt;""),H1754/E1754,"")</f>
        <v/>
      </c>
      <c r="L1754">
        <f>IF(B1754="","",IFERROR(VALUE(TEXT(B1754,"[$-1170401]yyyy")),""))</f>
        <v/>
      </c>
      <c r="M1754">
        <f>IF(B1754="","",IFERROR(VALUE(TEXT(B1754,"[$-1170401]mm")),""))</f>
        <v/>
      </c>
    </row>
    <row r="1755">
      <c r="B1755" s="30" t="n"/>
      <c r="G1755" s="9">
        <f>IF(AND(E1755&lt;&gt;"",E1755&lt;&gt;0,H1755&lt;&gt;""),H1755/E1755,"")</f>
        <v/>
      </c>
      <c r="L1755">
        <f>IF(B1755="","",IFERROR(VALUE(TEXT(B1755,"[$-1170401]yyyy")),""))</f>
        <v/>
      </c>
      <c r="M1755">
        <f>IF(B1755="","",IFERROR(VALUE(TEXT(B1755,"[$-1170401]mm")),""))</f>
        <v/>
      </c>
    </row>
    <row r="1756">
      <c r="B1756" s="30" t="n"/>
      <c r="G1756" s="9">
        <f>IF(AND(E1756&lt;&gt;"",E1756&lt;&gt;0,H1756&lt;&gt;""),H1756/E1756,"")</f>
        <v/>
      </c>
      <c r="L1756">
        <f>IF(B1756="","",IFERROR(VALUE(TEXT(B1756,"[$-1170401]yyyy")),""))</f>
        <v/>
      </c>
      <c r="M1756">
        <f>IF(B1756="","",IFERROR(VALUE(TEXT(B1756,"[$-1170401]mm")),""))</f>
        <v/>
      </c>
    </row>
    <row r="1757">
      <c r="B1757" s="30" t="n"/>
      <c r="G1757" s="9">
        <f>IF(AND(E1757&lt;&gt;"",E1757&lt;&gt;0,H1757&lt;&gt;""),H1757/E1757,"")</f>
        <v/>
      </c>
      <c r="L1757">
        <f>IF(B1757="","",IFERROR(VALUE(TEXT(B1757,"[$-1170401]yyyy")),""))</f>
        <v/>
      </c>
      <c r="M1757">
        <f>IF(B1757="","",IFERROR(VALUE(TEXT(B1757,"[$-1170401]mm")),""))</f>
        <v/>
      </c>
    </row>
    <row r="1758">
      <c r="B1758" s="30" t="n"/>
      <c r="G1758" s="9">
        <f>IF(AND(E1758&lt;&gt;"",E1758&lt;&gt;0,H1758&lt;&gt;""),H1758/E1758,"")</f>
        <v/>
      </c>
      <c r="L1758">
        <f>IF(B1758="","",IFERROR(VALUE(TEXT(B1758,"[$-1170401]yyyy")),""))</f>
        <v/>
      </c>
      <c r="M1758">
        <f>IF(B1758="","",IFERROR(VALUE(TEXT(B1758,"[$-1170401]mm")),""))</f>
        <v/>
      </c>
    </row>
    <row r="1759">
      <c r="B1759" s="30" t="n"/>
      <c r="G1759" s="9">
        <f>IF(AND(E1759&lt;&gt;"",E1759&lt;&gt;0,H1759&lt;&gt;""),H1759/E1759,"")</f>
        <v/>
      </c>
      <c r="L1759">
        <f>IF(B1759="","",IFERROR(VALUE(TEXT(B1759,"[$-1170401]yyyy")),""))</f>
        <v/>
      </c>
      <c r="M1759">
        <f>IF(B1759="","",IFERROR(VALUE(TEXT(B1759,"[$-1170401]mm")),""))</f>
        <v/>
      </c>
    </row>
    <row r="1760">
      <c r="B1760" s="30" t="n"/>
      <c r="G1760" s="9">
        <f>IF(AND(E1760&lt;&gt;"",E1760&lt;&gt;0,H1760&lt;&gt;""),H1760/E1760,"")</f>
        <v/>
      </c>
      <c r="L1760">
        <f>IF(B1760="","",IFERROR(VALUE(TEXT(B1760,"[$-1170401]yyyy")),""))</f>
        <v/>
      </c>
      <c r="M1760">
        <f>IF(B1760="","",IFERROR(VALUE(TEXT(B1760,"[$-1170401]mm")),""))</f>
        <v/>
      </c>
    </row>
    <row r="1761">
      <c r="B1761" s="30" t="n"/>
      <c r="G1761" s="9">
        <f>IF(AND(E1761&lt;&gt;"",E1761&lt;&gt;0,H1761&lt;&gt;""),H1761/E1761,"")</f>
        <v/>
      </c>
      <c r="L1761">
        <f>IF(B1761="","",IFERROR(VALUE(TEXT(B1761,"[$-1170401]yyyy")),""))</f>
        <v/>
      </c>
      <c r="M1761">
        <f>IF(B1761="","",IFERROR(VALUE(TEXT(B1761,"[$-1170401]mm")),""))</f>
        <v/>
      </c>
    </row>
    <row r="1762">
      <c r="B1762" s="30" t="n"/>
      <c r="G1762" s="9">
        <f>IF(AND(E1762&lt;&gt;"",E1762&lt;&gt;0,H1762&lt;&gt;""),H1762/E1762,"")</f>
        <v/>
      </c>
      <c r="L1762">
        <f>IF(B1762="","",IFERROR(VALUE(TEXT(B1762,"[$-1170401]yyyy")),""))</f>
        <v/>
      </c>
      <c r="M1762">
        <f>IF(B1762="","",IFERROR(VALUE(TEXT(B1762,"[$-1170401]mm")),""))</f>
        <v/>
      </c>
    </row>
    <row r="1763">
      <c r="B1763" s="30" t="n"/>
      <c r="G1763" s="9">
        <f>IF(AND(E1763&lt;&gt;"",E1763&lt;&gt;0,H1763&lt;&gt;""),H1763/E1763,"")</f>
        <v/>
      </c>
      <c r="L1763">
        <f>IF(B1763="","",IFERROR(VALUE(TEXT(B1763,"[$-1170401]yyyy")),""))</f>
        <v/>
      </c>
      <c r="M1763">
        <f>IF(B1763="","",IFERROR(VALUE(TEXT(B1763,"[$-1170401]mm")),""))</f>
        <v/>
      </c>
    </row>
    <row r="1764">
      <c r="B1764" s="30" t="n"/>
      <c r="G1764" s="9">
        <f>IF(AND(E1764&lt;&gt;"",E1764&lt;&gt;0,H1764&lt;&gt;""),H1764/E1764,"")</f>
        <v/>
      </c>
      <c r="L1764">
        <f>IF(B1764="","",IFERROR(VALUE(TEXT(B1764,"[$-1170401]yyyy")),""))</f>
        <v/>
      </c>
      <c r="M1764">
        <f>IF(B1764="","",IFERROR(VALUE(TEXT(B1764,"[$-1170401]mm")),""))</f>
        <v/>
      </c>
    </row>
    <row r="1765">
      <c r="B1765" s="30" t="n"/>
      <c r="G1765" s="9">
        <f>IF(AND(E1765&lt;&gt;"",E1765&lt;&gt;0,H1765&lt;&gt;""),H1765/E1765,"")</f>
        <v/>
      </c>
      <c r="L1765">
        <f>IF(B1765="","",IFERROR(VALUE(TEXT(B1765,"[$-1170401]yyyy")),""))</f>
        <v/>
      </c>
      <c r="M1765">
        <f>IF(B1765="","",IFERROR(VALUE(TEXT(B1765,"[$-1170401]mm")),""))</f>
        <v/>
      </c>
    </row>
    <row r="1766">
      <c r="B1766" s="30" t="n"/>
      <c r="G1766" s="9">
        <f>IF(AND(E1766&lt;&gt;"",E1766&lt;&gt;0,H1766&lt;&gt;""),H1766/E1766,"")</f>
        <v/>
      </c>
      <c r="L1766">
        <f>IF(B1766="","",IFERROR(VALUE(TEXT(B1766,"[$-1170401]yyyy")),""))</f>
        <v/>
      </c>
      <c r="M1766">
        <f>IF(B1766="","",IFERROR(VALUE(TEXT(B1766,"[$-1170401]mm")),""))</f>
        <v/>
      </c>
    </row>
    <row r="1767">
      <c r="B1767" s="30" t="n"/>
      <c r="G1767" s="9">
        <f>IF(AND(E1767&lt;&gt;"",E1767&lt;&gt;0,H1767&lt;&gt;""),H1767/E1767,"")</f>
        <v/>
      </c>
      <c r="L1767">
        <f>IF(B1767="","",IFERROR(VALUE(TEXT(B1767,"[$-1170401]yyyy")),""))</f>
        <v/>
      </c>
      <c r="M1767">
        <f>IF(B1767="","",IFERROR(VALUE(TEXT(B1767,"[$-1170401]mm")),""))</f>
        <v/>
      </c>
    </row>
    <row r="1768">
      <c r="B1768" s="30" t="n"/>
      <c r="G1768" s="9">
        <f>IF(AND(E1768&lt;&gt;"",E1768&lt;&gt;0,H1768&lt;&gt;""),H1768/E1768,"")</f>
        <v/>
      </c>
      <c r="L1768">
        <f>IF(B1768="","",IFERROR(VALUE(TEXT(B1768,"[$-1170401]yyyy")),""))</f>
        <v/>
      </c>
      <c r="M1768">
        <f>IF(B1768="","",IFERROR(VALUE(TEXT(B1768,"[$-1170401]mm")),""))</f>
        <v/>
      </c>
    </row>
    <row r="1769">
      <c r="B1769" s="30" t="n"/>
      <c r="G1769" s="9">
        <f>IF(AND(E1769&lt;&gt;"",E1769&lt;&gt;0,H1769&lt;&gt;""),H1769/E1769,"")</f>
        <v/>
      </c>
      <c r="L1769">
        <f>IF(B1769="","",IFERROR(VALUE(TEXT(B1769,"[$-1170401]yyyy")),""))</f>
        <v/>
      </c>
      <c r="M1769">
        <f>IF(B1769="","",IFERROR(VALUE(TEXT(B1769,"[$-1170401]mm")),""))</f>
        <v/>
      </c>
    </row>
    <row r="1770">
      <c r="B1770" s="30" t="n"/>
      <c r="G1770" s="9">
        <f>IF(AND(E1770&lt;&gt;"",E1770&lt;&gt;0,H1770&lt;&gt;""),H1770/E1770,"")</f>
        <v/>
      </c>
      <c r="L1770">
        <f>IF(B1770="","",IFERROR(VALUE(TEXT(B1770,"[$-1170401]yyyy")),""))</f>
        <v/>
      </c>
      <c r="M1770">
        <f>IF(B1770="","",IFERROR(VALUE(TEXT(B1770,"[$-1170401]mm")),""))</f>
        <v/>
      </c>
    </row>
    <row r="1771">
      <c r="B1771" s="30" t="n"/>
      <c r="G1771" s="9">
        <f>IF(AND(E1771&lt;&gt;"",E1771&lt;&gt;0,H1771&lt;&gt;""),H1771/E1771,"")</f>
        <v/>
      </c>
      <c r="L1771">
        <f>IF(B1771="","",IFERROR(VALUE(TEXT(B1771,"[$-1170401]yyyy")),""))</f>
        <v/>
      </c>
      <c r="M1771">
        <f>IF(B1771="","",IFERROR(VALUE(TEXT(B1771,"[$-1170401]mm")),""))</f>
        <v/>
      </c>
    </row>
    <row r="1772">
      <c r="B1772" s="30" t="n"/>
      <c r="G1772" s="9">
        <f>IF(AND(E1772&lt;&gt;"",E1772&lt;&gt;0,H1772&lt;&gt;""),H1772/E1772,"")</f>
        <v/>
      </c>
      <c r="L1772">
        <f>IF(B1772="","",IFERROR(VALUE(TEXT(B1772,"[$-1170401]yyyy")),""))</f>
        <v/>
      </c>
      <c r="M1772">
        <f>IF(B1772="","",IFERROR(VALUE(TEXT(B1772,"[$-1170401]mm")),""))</f>
        <v/>
      </c>
    </row>
    <row r="1773">
      <c r="B1773" s="30" t="n"/>
      <c r="G1773" s="9">
        <f>IF(AND(E1773&lt;&gt;"",E1773&lt;&gt;0,H1773&lt;&gt;""),H1773/E1773,"")</f>
        <v/>
      </c>
      <c r="L1773">
        <f>IF(B1773="","",IFERROR(VALUE(TEXT(B1773,"[$-1170401]yyyy")),""))</f>
        <v/>
      </c>
      <c r="M1773">
        <f>IF(B1773="","",IFERROR(VALUE(TEXT(B1773,"[$-1170401]mm")),""))</f>
        <v/>
      </c>
    </row>
    <row r="1774">
      <c r="B1774" s="30" t="n"/>
      <c r="G1774" s="9">
        <f>IF(AND(E1774&lt;&gt;"",E1774&lt;&gt;0,H1774&lt;&gt;""),H1774/E1774,"")</f>
        <v/>
      </c>
      <c r="L1774">
        <f>IF(B1774="","",IFERROR(VALUE(TEXT(B1774,"[$-1170401]yyyy")),""))</f>
        <v/>
      </c>
      <c r="M1774">
        <f>IF(B1774="","",IFERROR(VALUE(TEXT(B1774,"[$-1170401]mm")),""))</f>
        <v/>
      </c>
    </row>
    <row r="1775">
      <c r="B1775" s="30" t="n"/>
      <c r="G1775" s="9">
        <f>IF(AND(E1775&lt;&gt;"",E1775&lt;&gt;0,H1775&lt;&gt;""),H1775/E1775,"")</f>
        <v/>
      </c>
      <c r="L1775">
        <f>IF(B1775="","",IFERROR(VALUE(TEXT(B1775,"[$-1170401]yyyy")),""))</f>
        <v/>
      </c>
      <c r="M1775">
        <f>IF(B1775="","",IFERROR(VALUE(TEXT(B1775,"[$-1170401]mm")),""))</f>
        <v/>
      </c>
    </row>
    <row r="1776">
      <c r="B1776" s="30" t="n"/>
      <c r="G1776" s="9">
        <f>IF(AND(E1776&lt;&gt;"",E1776&lt;&gt;0,H1776&lt;&gt;""),H1776/E1776,"")</f>
        <v/>
      </c>
      <c r="L1776">
        <f>IF(B1776="","",IFERROR(VALUE(TEXT(B1776,"[$-1170401]yyyy")),""))</f>
        <v/>
      </c>
      <c r="M1776">
        <f>IF(B1776="","",IFERROR(VALUE(TEXT(B1776,"[$-1170401]mm")),""))</f>
        <v/>
      </c>
    </row>
    <row r="1777">
      <c r="B1777" s="30" t="n"/>
      <c r="G1777" s="9">
        <f>IF(AND(E1777&lt;&gt;"",E1777&lt;&gt;0,H1777&lt;&gt;""),H1777/E1777,"")</f>
        <v/>
      </c>
      <c r="L1777">
        <f>IF(B1777="","",IFERROR(VALUE(TEXT(B1777,"[$-1170401]yyyy")),""))</f>
        <v/>
      </c>
      <c r="M1777">
        <f>IF(B1777="","",IFERROR(VALUE(TEXT(B1777,"[$-1170401]mm")),""))</f>
        <v/>
      </c>
    </row>
    <row r="1778">
      <c r="B1778" s="30" t="n"/>
      <c r="G1778" s="9">
        <f>IF(AND(E1778&lt;&gt;"",E1778&lt;&gt;0,H1778&lt;&gt;""),H1778/E1778,"")</f>
        <v/>
      </c>
      <c r="L1778">
        <f>IF(B1778="","",IFERROR(VALUE(TEXT(B1778,"[$-1170401]yyyy")),""))</f>
        <v/>
      </c>
      <c r="M1778">
        <f>IF(B1778="","",IFERROR(VALUE(TEXT(B1778,"[$-1170401]mm")),""))</f>
        <v/>
      </c>
    </row>
    <row r="1779">
      <c r="B1779" s="30" t="n"/>
      <c r="G1779" s="9">
        <f>IF(AND(E1779&lt;&gt;"",E1779&lt;&gt;0,H1779&lt;&gt;""),H1779/E1779,"")</f>
        <v/>
      </c>
      <c r="L1779">
        <f>IF(B1779="","",IFERROR(VALUE(TEXT(B1779,"[$-1170401]yyyy")),""))</f>
        <v/>
      </c>
      <c r="M1779">
        <f>IF(B1779="","",IFERROR(VALUE(TEXT(B1779,"[$-1170401]mm")),""))</f>
        <v/>
      </c>
    </row>
    <row r="1780">
      <c r="B1780" s="30" t="n"/>
      <c r="G1780" s="9">
        <f>IF(AND(E1780&lt;&gt;"",E1780&lt;&gt;0,H1780&lt;&gt;""),H1780/E1780,"")</f>
        <v/>
      </c>
      <c r="L1780">
        <f>IF(B1780="","",IFERROR(VALUE(TEXT(B1780,"[$-1170401]yyyy")),""))</f>
        <v/>
      </c>
      <c r="M1780">
        <f>IF(B1780="","",IFERROR(VALUE(TEXT(B1780,"[$-1170401]mm")),""))</f>
        <v/>
      </c>
    </row>
    <row r="1781">
      <c r="B1781" s="30" t="n"/>
      <c r="G1781" s="9">
        <f>IF(AND(E1781&lt;&gt;"",E1781&lt;&gt;0,H1781&lt;&gt;""),H1781/E1781,"")</f>
        <v/>
      </c>
      <c r="L1781">
        <f>IF(B1781="","",IFERROR(VALUE(TEXT(B1781,"[$-1170401]yyyy")),""))</f>
        <v/>
      </c>
      <c r="M1781">
        <f>IF(B1781="","",IFERROR(VALUE(TEXT(B1781,"[$-1170401]mm")),""))</f>
        <v/>
      </c>
    </row>
    <row r="1782">
      <c r="B1782" s="30" t="n"/>
      <c r="G1782" s="9">
        <f>IF(AND(E1782&lt;&gt;"",E1782&lt;&gt;0,H1782&lt;&gt;""),H1782/E1782,"")</f>
        <v/>
      </c>
      <c r="L1782">
        <f>IF(B1782="","",IFERROR(VALUE(TEXT(B1782,"[$-1170401]yyyy")),""))</f>
        <v/>
      </c>
      <c r="M1782">
        <f>IF(B1782="","",IFERROR(VALUE(TEXT(B1782,"[$-1170401]mm")),""))</f>
        <v/>
      </c>
    </row>
    <row r="1783">
      <c r="B1783" s="30" t="n"/>
      <c r="G1783" s="9">
        <f>IF(AND(E1783&lt;&gt;"",E1783&lt;&gt;0,H1783&lt;&gt;""),H1783/E1783,"")</f>
        <v/>
      </c>
      <c r="L1783">
        <f>IF(B1783="","",IFERROR(VALUE(TEXT(B1783,"[$-1170401]yyyy")),""))</f>
        <v/>
      </c>
      <c r="M1783">
        <f>IF(B1783="","",IFERROR(VALUE(TEXT(B1783,"[$-1170401]mm")),""))</f>
        <v/>
      </c>
    </row>
    <row r="1784">
      <c r="B1784" s="30" t="n"/>
      <c r="G1784" s="9">
        <f>IF(AND(E1784&lt;&gt;"",E1784&lt;&gt;0,H1784&lt;&gt;""),H1784/E1784,"")</f>
        <v/>
      </c>
      <c r="L1784">
        <f>IF(B1784="","",IFERROR(VALUE(TEXT(B1784,"[$-1170401]yyyy")),""))</f>
        <v/>
      </c>
      <c r="M1784">
        <f>IF(B1784="","",IFERROR(VALUE(TEXT(B1784,"[$-1170401]mm")),""))</f>
        <v/>
      </c>
    </row>
    <row r="1785">
      <c r="B1785" s="30" t="n"/>
      <c r="G1785" s="9">
        <f>IF(AND(E1785&lt;&gt;"",E1785&lt;&gt;0,H1785&lt;&gt;""),H1785/E1785,"")</f>
        <v/>
      </c>
      <c r="L1785">
        <f>IF(B1785="","",IFERROR(VALUE(TEXT(B1785,"[$-1170401]yyyy")),""))</f>
        <v/>
      </c>
      <c r="M1785">
        <f>IF(B1785="","",IFERROR(VALUE(TEXT(B1785,"[$-1170401]mm")),""))</f>
        <v/>
      </c>
    </row>
    <row r="1786">
      <c r="B1786" s="30" t="n"/>
      <c r="G1786" s="9">
        <f>IF(AND(E1786&lt;&gt;"",E1786&lt;&gt;0,H1786&lt;&gt;""),H1786/E1786,"")</f>
        <v/>
      </c>
      <c r="L1786">
        <f>IF(B1786="","",IFERROR(VALUE(TEXT(B1786,"[$-1170401]yyyy")),""))</f>
        <v/>
      </c>
      <c r="M1786">
        <f>IF(B1786="","",IFERROR(VALUE(TEXT(B1786,"[$-1170401]mm")),""))</f>
        <v/>
      </c>
    </row>
    <row r="1787">
      <c r="B1787" s="30" t="n"/>
      <c r="G1787" s="9">
        <f>IF(AND(E1787&lt;&gt;"",E1787&lt;&gt;0,H1787&lt;&gt;""),H1787/E1787,"")</f>
        <v/>
      </c>
      <c r="L1787">
        <f>IF(B1787="","",IFERROR(VALUE(TEXT(B1787,"[$-1170401]yyyy")),""))</f>
        <v/>
      </c>
      <c r="M1787">
        <f>IF(B1787="","",IFERROR(VALUE(TEXT(B1787,"[$-1170401]mm")),""))</f>
        <v/>
      </c>
    </row>
    <row r="1788">
      <c r="B1788" s="30" t="n"/>
      <c r="G1788" s="9">
        <f>IF(AND(E1788&lt;&gt;"",E1788&lt;&gt;0,H1788&lt;&gt;""),H1788/E1788,"")</f>
        <v/>
      </c>
      <c r="L1788">
        <f>IF(B1788="","",IFERROR(VALUE(TEXT(B1788,"[$-1170401]yyyy")),""))</f>
        <v/>
      </c>
      <c r="M1788">
        <f>IF(B1788="","",IFERROR(VALUE(TEXT(B1788,"[$-1170401]mm")),""))</f>
        <v/>
      </c>
    </row>
    <row r="1789">
      <c r="B1789" s="30" t="n"/>
      <c r="G1789" s="9">
        <f>IF(AND(E1789&lt;&gt;"",E1789&lt;&gt;0,H1789&lt;&gt;""),H1789/E1789,"")</f>
        <v/>
      </c>
      <c r="L1789">
        <f>IF(B1789="","",IFERROR(VALUE(TEXT(B1789,"[$-1170401]yyyy")),""))</f>
        <v/>
      </c>
      <c r="M1789">
        <f>IF(B1789="","",IFERROR(VALUE(TEXT(B1789,"[$-1170401]mm")),""))</f>
        <v/>
      </c>
    </row>
    <row r="1790">
      <c r="B1790" s="30" t="n"/>
      <c r="G1790" s="9">
        <f>IF(AND(E1790&lt;&gt;"",E1790&lt;&gt;0,H1790&lt;&gt;""),H1790/E1790,"")</f>
        <v/>
      </c>
      <c r="L1790">
        <f>IF(B1790="","",IFERROR(VALUE(TEXT(B1790,"[$-1170401]yyyy")),""))</f>
        <v/>
      </c>
      <c r="M1790">
        <f>IF(B1790="","",IFERROR(VALUE(TEXT(B1790,"[$-1170401]mm")),""))</f>
        <v/>
      </c>
    </row>
    <row r="1791">
      <c r="B1791" s="30" t="n"/>
      <c r="G1791" s="9">
        <f>IF(AND(E1791&lt;&gt;"",E1791&lt;&gt;0,H1791&lt;&gt;""),H1791/E1791,"")</f>
        <v/>
      </c>
      <c r="L1791">
        <f>IF(B1791="","",IFERROR(VALUE(TEXT(B1791,"[$-1170401]yyyy")),""))</f>
        <v/>
      </c>
      <c r="M1791">
        <f>IF(B1791="","",IFERROR(VALUE(TEXT(B1791,"[$-1170401]mm")),""))</f>
        <v/>
      </c>
    </row>
    <row r="1792">
      <c r="B1792" s="30" t="n"/>
      <c r="G1792" s="9">
        <f>IF(AND(E1792&lt;&gt;"",E1792&lt;&gt;0,H1792&lt;&gt;""),H1792/E1792,"")</f>
        <v/>
      </c>
      <c r="L1792">
        <f>IF(B1792="","",IFERROR(VALUE(TEXT(B1792,"[$-1170401]yyyy")),""))</f>
        <v/>
      </c>
      <c r="M1792">
        <f>IF(B1792="","",IFERROR(VALUE(TEXT(B1792,"[$-1170401]mm")),""))</f>
        <v/>
      </c>
    </row>
    <row r="1793">
      <c r="B1793" s="30" t="n"/>
      <c r="G1793" s="9">
        <f>IF(AND(E1793&lt;&gt;"",E1793&lt;&gt;0,H1793&lt;&gt;""),H1793/E1793,"")</f>
        <v/>
      </c>
      <c r="L1793">
        <f>IF(B1793="","",IFERROR(VALUE(TEXT(B1793,"[$-1170401]yyyy")),""))</f>
        <v/>
      </c>
      <c r="M1793">
        <f>IF(B1793="","",IFERROR(VALUE(TEXT(B1793,"[$-1170401]mm")),""))</f>
        <v/>
      </c>
    </row>
    <row r="1794">
      <c r="B1794" s="30" t="n"/>
      <c r="G1794" s="9">
        <f>IF(AND(E1794&lt;&gt;"",E1794&lt;&gt;0,H1794&lt;&gt;""),H1794/E1794,"")</f>
        <v/>
      </c>
      <c r="L1794">
        <f>IF(B1794="","",IFERROR(VALUE(TEXT(B1794,"[$-1170401]yyyy")),""))</f>
        <v/>
      </c>
      <c r="M1794">
        <f>IF(B1794="","",IFERROR(VALUE(TEXT(B1794,"[$-1170401]mm")),""))</f>
        <v/>
      </c>
    </row>
    <row r="1795">
      <c r="B1795" s="30" t="n"/>
      <c r="G1795" s="9">
        <f>IF(AND(E1795&lt;&gt;"",E1795&lt;&gt;0,H1795&lt;&gt;""),H1795/E1795,"")</f>
        <v/>
      </c>
      <c r="L1795">
        <f>IF(B1795="","",IFERROR(VALUE(TEXT(B1795,"[$-1170401]yyyy")),""))</f>
        <v/>
      </c>
      <c r="M1795">
        <f>IF(B1795="","",IFERROR(VALUE(TEXT(B1795,"[$-1170401]mm")),""))</f>
        <v/>
      </c>
    </row>
    <row r="1796">
      <c r="B1796" s="30" t="n"/>
      <c r="G1796" s="9">
        <f>IF(AND(E1796&lt;&gt;"",E1796&lt;&gt;0,H1796&lt;&gt;""),H1796/E1796,"")</f>
        <v/>
      </c>
      <c r="L1796">
        <f>IF(B1796="","",IFERROR(VALUE(TEXT(B1796,"[$-1170401]yyyy")),""))</f>
        <v/>
      </c>
      <c r="M1796">
        <f>IF(B1796="","",IFERROR(VALUE(TEXT(B1796,"[$-1170401]mm")),""))</f>
        <v/>
      </c>
    </row>
    <row r="1797">
      <c r="B1797" s="30" t="n"/>
      <c r="G1797" s="9">
        <f>IF(AND(E1797&lt;&gt;"",E1797&lt;&gt;0,H1797&lt;&gt;""),H1797/E1797,"")</f>
        <v/>
      </c>
      <c r="L1797">
        <f>IF(B1797="","",IFERROR(VALUE(TEXT(B1797,"[$-1170401]yyyy")),""))</f>
        <v/>
      </c>
      <c r="M1797">
        <f>IF(B1797="","",IFERROR(VALUE(TEXT(B1797,"[$-1170401]mm")),""))</f>
        <v/>
      </c>
    </row>
    <row r="1798">
      <c r="B1798" s="30" t="n"/>
      <c r="G1798" s="9">
        <f>IF(AND(E1798&lt;&gt;"",E1798&lt;&gt;0,H1798&lt;&gt;""),H1798/E1798,"")</f>
        <v/>
      </c>
      <c r="L1798">
        <f>IF(B1798="","",IFERROR(VALUE(TEXT(B1798,"[$-1170401]yyyy")),""))</f>
        <v/>
      </c>
      <c r="M1798">
        <f>IF(B1798="","",IFERROR(VALUE(TEXT(B1798,"[$-1170401]mm")),""))</f>
        <v/>
      </c>
    </row>
    <row r="1799">
      <c r="B1799" s="30" t="n"/>
      <c r="G1799" s="9">
        <f>IF(AND(E1799&lt;&gt;"",E1799&lt;&gt;0,H1799&lt;&gt;""),H1799/E1799,"")</f>
        <v/>
      </c>
      <c r="L1799">
        <f>IF(B1799="","",IFERROR(VALUE(TEXT(B1799,"[$-1170401]yyyy")),""))</f>
        <v/>
      </c>
      <c r="M1799">
        <f>IF(B1799="","",IFERROR(VALUE(TEXT(B1799,"[$-1170401]mm")),""))</f>
        <v/>
      </c>
    </row>
    <row r="1800">
      <c r="B1800" s="30" t="n"/>
      <c r="G1800" s="9">
        <f>IF(AND(E1800&lt;&gt;"",E1800&lt;&gt;0,H1800&lt;&gt;""),H1800/E1800,"")</f>
        <v/>
      </c>
      <c r="L1800">
        <f>IF(B1800="","",IFERROR(VALUE(TEXT(B1800,"[$-1170401]yyyy")),""))</f>
        <v/>
      </c>
      <c r="M1800">
        <f>IF(B1800="","",IFERROR(VALUE(TEXT(B1800,"[$-1170401]mm")),""))</f>
        <v/>
      </c>
    </row>
    <row r="1801">
      <c r="B1801" s="30" t="n"/>
      <c r="G1801" s="9">
        <f>IF(AND(E1801&lt;&gt;"",E1801&lt;&gt;0,H1801&lt;&gt;""),H1801/E1801,"")</f>
        <v/>
      </c>
      <c r="L1801">
        <f>IF(B1801="","",IFERROR(VALUE(TEXT(B1801,"[$-1170401]yyyy")),""))</f>
        <v/>
      </c>
      <c r="M1801">
        <f>IF(B1801="","",IFERROR(VALUE(TEXT(B1801,"[$-1170401]mm")),""))</f>
        <v/>
      </c>
    </row>
    <row r="1802">
      <c r="B1802" s="30" t="n"/>
      <c r="G1802" s="9">
        <f>IF(AND(E1802&lt;&gt;"",E1802&lt;&gt;0,H1802&lt;&gt;""),H1802/E1802,"")</f>
        <v/>
      </c>
      <c r="L1802">
        <f>IF(B1802="","",IFERROR(VALUE(TEXT(B1802,"[$-1170401]yyyy")),""))</f>
        <v/>
      </c>
      <c r="M1802">
        <f>IF(B1802="","",IFERROR(VALUE(TEXT(B1802,"[$-1170401]mm")),""))</f>
        <v/>
      </c>
    </row>
    <row r="1803">
      <c r="B1803" s="30" t="n"/>
      <c r="G1803" s="9">
        <f>IF(AND(E1803&lt;&gt;"",E1803&lt;&gt;0,H1803&lt;&gt;""),H1803/E1803,"")</f>
        <v/>
      </c>
      <c r="L1803">
        <f>IF(B1803="","",IFERROR(VALUE(TEXT(B1803,"[$-1170401]yyyy")),""))</f>
        <v/>
      </c>
      <c r="M1803">
        <f>IF(B1803="","",IFERROR(VALUE(TEXT(B1803,"[$-1170401]mm")),""))</f>
        <v/>
      </c>
    </row>
    <row r="1804">
      <c r="B1804" s="30" t="n"/>
      <c r="G1804" s="9">
        <f>IF(AND(E1804&lt;&gt;"",E1804&lt;&gt;0,H1804&lt;&gt;""),H1804/E1804,"")</f>
        <v/>
      </c>
      <c r="L1804">
        <f>IF(B1804="","",IFERROR(VALUE(TEXT(B1804,"[$-1170401]yyyy")),""))</f>
        <v/>
      </c>
      <c r="M1804">
        <f>IF(B1804="","",IFERROR(VALUE(TEXT(B1804,"[$-1170401]mm")),""))</f>
        <v/>
      </c>
    </row>
    <row r="1805">
      <c r="B1805" s="30" t="n"/>
      <c r="G1805" s="9">
        <f>IF(AND(E1805&lt;&gt;"",E1805&lt;&gt;0,H1805&lt;&gt;""),H1805/E1805,"")</f>
        <v/>
      </c>
      <c r="L1805">
        <f>IF(B1805="","",IFERROR(VALUE(TEXT(B1805,"[$-1170401]yyyy")),""))</f>
        <v/>
      </c>
      <c r="M1805">
        <f>IF(B1805="","",IFERROR(VALUE(TEXT(B1805,"[$-1170401]mm")),""))</f>
        <v/>
      </c>
    </row>
    <row r="1806">
      <c r="B1806" s="30" t="n"/>
      <c r="G1806" s="9">
        <f>IF(AND(E1806&lt;&gt;"",E1806&lt;&gt;0,H1806&lt;&gt;""),H1806/E1806,"")</f>
        <v/>
      </c>
      <c r="L1806">
        <f>IF(B1806="","",IFERROR(VALUE(TEXT(B1806,"[$-1170401]yyyy")),""))</f>
        <v/>
      </c>
      <c r="M1806">
        <f>IF(B1806="","",IFERROR(VALUE(TEXT(B1806,"[$-1170401]mm")),""))</f>
        <v/>
      </c>
    </row>
    <row r="1807">
      <c r="B1807" s="30" t="n"/>
      <c r="G1807" s="9">
        <f>IF(AND(E1807&lt;&gt;"",E1807&lt;&gt;0,H1807&lt;&gt;""),H1807/E1807,"")</f>
        <v/>
      </c>
      <c r="L1807">
        <f>IF(B1807="","",IFERROR(VALUE(TEXT(B1807,"[$-1170401]yyyy")),""))</f>
        <v/>
      </c>
      <c r="M1807">
        <f>IF(B1807="","",IFERROR(VALUE(TEXT(B1807,"[$-1170401]mm")),""))</f>
        <v/>
      </c>
    </row>
    <row r="1808">
      <c r="B1808" s="30" t="n"/>
      <c r="G1808" s="9">
        <f>IF(AND(E1808&lt;&gt;"",E1808&lt;&gt;0,H1808&lt;&gt;""),H1808/E1808,"")</f>
        <v/>
      </c>
      <c r="L1808">
        <f>IF(B1808="","",IFERROR(VALUE(TEXT(B1808,"[$-1170401]yyyy")),""))</f>
        <v/>
      </c>
      <c r="M1808">
        <f>IF(B1808="","",IFERROR(VALUE(TEXT(B1808,"[$-1170401]mm")),""))</f>
        <v/>
      </c>
    </row>
    <row r="1809">
      <c r="B1809" s="30" t="n"/>
      <c r="G1809" s="9">
        <f>IF(AND(E1809&lt;&gt;"",E1809&lt;&gt;0,H1809&lt;&gt;""),H1809/E1809,"")</f>
        <v/>
      </c>
      <c r="L1809">
        <f>IF(B1809="","",IFERROR(VALUE(TEXT(B1809,"[$-1170401]yyyy")),""))</f>
        <v/>
      </c>
      <c r="M1809">
        <f>IF(B1809="","",IFERROR(VALUE(TEXT(B1809,"[$-1170401]mm")),""))</f>
        <v/>
      </c>
    </row>
    <row r="1810">
      <c r="B1810" s="30" t="n"/>
      <c r="G1810" s="9">
        <f>IF(AND(E1810&lt;&gt;"",E1810&lt;&gt;0,H1810&lt;&gt;""),H1810/E1810,"")</f>
        <v/>
      </c>
      <c r="L1810">
        <f>IF(B1810="","",IFERROR(VALUE(TEXT(B1810,"[$-1170401]yyyy")),""))</f>
        <v/>
      </c>
      <c r="M1810">
        <f>IF(B1810="","",IFERROR(VALUE(TEXT(B1810,"[$-1170401]mm")),""))</f>
        <v/>
      </c>
    </row>
    <row r="1811">
      <c r="B1811" s="30" t="n"/>
      <c r="G1811" s="9">
        <f>IF(AND(E1811&lt;&gt;"",E1811&lt;&gt;0,H1811&lt;&gt;""),H1811/E1811,"")</f>
        <v/>
      </c>
      <c r="L1811">
        <f>IF(B1811="","",IFERROR(VALUE(TEXT(B1811,"[$-1170401]yyyy")),""))</f>
        <v/>
      </c>
      <c r="M1811">
        <f>IF(B1811="","",IFERROR(VALUE(TEXT(B1811,"[$-1170401]mm")),""))</f>
        <v/>
      </c>
    </row>
    <row r="1812">
      <c r="B1812" s="30" t="n"/>
      <c r="G1812" s="9">
        <f>IF(AND(E1812&lt;&gt;"",E1812&lt;&gt;0,H1812&lt;&gt;""),H1812/E1812,"")</f>
        <v/>
      </c>
      <c r="L1812">
        <f>IF(B1812="","",IFERROR(VALUE(TEXT(B1812,"[$-1170401]yyyy")),""))</f>
        <v/>
      </c>
      <c r="M1812">
        <f>IF(B1812="","",IFERROR(VALUE(TEXT(B1812,"[$-1170401]mm")),""))</f>
        <v/>
      </c>
    </row>
    <row r="1813">
      <c r="B1813" s="30" t="n"/>
      <c r="G1813" s="9">
        <f>IF(AND(E1813&lt;&gt;"",E1813&lt;&gt;0,H1813&lt;&gt;""),H1813/E1813,"")</f>
        <v/>
      </c>
      <c r="L1813">
        <f>IF(B1813="","",IFERROR(VALUE(TEXT(B1813,"[$-1170401]yyyy")),""))</f>
        <v/>
      </c>
      <c r="M1813">
        <f>IF(B1813="","",IFERROR(VALUE(TEXT(B1813,"[$-1170401]mm")),""))</f>
        <v/>
      </c>
    </row>
    <row r="1814">
      <c r="B1814" s="30" t="n"/>
      <c r="G1814" s="9">
        <f>IF(AND(E1814&lt;&gt;"",E1814&lt;&gt;0,H1814&lt;&gt;""),H1814/E1814,"")</f>
        <v/>
      </c>
      <c r="L1814">
        <f>IF(B1814="","",IFERROR(VALUE(TEXT(B1814,"[$-1170401]yyyy")),""))</f>
        <v/>
      </c>
      <c r="M1814">
        <f>IF(B1814="","",IFERROR(VALUE(TEXT(B1814,"[$-1170401]mm")),""))</f>
        <v/>
      </c>
    </row>
    <row r="1815">
      <c r="B1815" s="30" t="n"/>
      <c r="G1815" s="9">
        <f>IF(AND(E1815&lt;&gt;"",E1815&lt;&gt;0,H1815&lt;&gt;""),H1815/E1815,"")</f>
        <v/>
      </c>
      <c r="L1815">
        <f>IF(B1815="","",IFERROR(VALUE(TEXT(B1815,"[$-1170401]yyyy")),""))</f>
        <v/>
      </c>
      <c r="M1815">
        <f>IF(B1815="","",IFERROR(VALUE(TEXT(B1815,"[$-1170401]mm")),""))</f>
        <v/>
      </c>
    </row>
    <row r="1816">
      <c r="B1816" s="30" t="n"/>
      <c r="G1816" s="9">
        <f>IF(AND(E1816&lt;&gt;"",E1816&lt;&gt;0,H1816&lt;&gt;""),H1816/E1816,"")</f>
        <v/>
      </c>
      <c r="L1816">
        <f>IF(B1816="","",IFERROR(VALUE(TEXT(B1816,"[$-1170401]yyyy")),""))</f>
        <v/>
      </c>
      <c r="M1816">
        <f>IF(B1816="","",IFERROR(VALUE(TEXT(B1816,"[$-1170401]mm")),""))</f>
        <v/>
      </c>
    </row>
    <row r="1817">
      <c r="B1817" s="30" t="n"/>
      <c r="G1817" s="9">
        <f>IF(AND(E1817&lt;&gt;"",E1817&lt;&gt;0,H1817&lt;&gt;""),H1817/E1817,"")</f>
        <v/>
      </c>
      <c r="L1817">
        <f>IF(B1817="","",IFERROR(VALUE(TEXT(B1817,"[$-1170401]yyyy")),""))</f>
        <v/>
      </c>
      <c r="M1817">
        <f>IF(B1817="","",IFERROR(VALUE(TEXT(B1817,"[$-1170401]mm")),""))</f>
        <v/>
      </c>
    </row>
    <row r="1818">
      <c r="B1818" s="30" t="n"/>
      <c r="G1818" s="9">
        <f>IF(AND(E1818&lt;&gt;"",E1818&lt;&gt;0,H1818&lt;&gt;""),H1818/E1818,"")</f>
        <v/>
      </c>
      <c r="L1818">
        <f>IF(B1818="","",IFERROR(VALUE(TEXT(B1818,"[$-1170401]yyyy")),""))</f>
        <v/>
      </c>
      <c r="M1818">
        <f>IF(B1818="","",IFERROR(VALUE(TEXT(B1818,"[$-1170401]mm")),""))</f>
        <v/>
      </c>
    </row>
    <row r="1819">
      <c r="B1819" s="30" t="n"/>
      <c r="G1819" s="9">
        <f>IF(AND(E1819&lt;&gt;"",E1819&lt;&gt;0,H1819&lt;&gt;""),H1819/E1819,"")</f>
        <v/>
      </c>
      <c r="L1819">
        <f>IF(B1819="","",IFERROR(VALUE(TEXT(B1819,"[$-1170401]yyyy")),""))</f>
        <v/>
      </c>
      <c r="M1819">
        <f>IF(B1819="","",IFERROR(VALUE(TEXT(B1819,"[$-1170401]mm")),""))</f>
        <v/>
      </c>
    </row>
    <row r="1820">
      <c r="B1820" s="30" t="n"/>
      <c r="G1820" s="9">
        <f>IF(AND(E1820&lt;&gt;"",E1820&lt;&gt;0,H1820&lt;&gt;""),H1820/E1820,"")</f>
        <v/>
      </c>
      <c r="L1820">
        <f>IF(B1820="","",IFERROR(VALUE(TEXT(B1820,"[$-1170401]yyyy")),""))</f>
        <v/>
      </c>
      <c r="M1820">
        <f>IF(B1820="","",IFERROR(VALUE(TEXT(B1820,"[$-1170401]mm")),""))</f>
        <v/>
      </c>
    </row>
    <row r="1821">
      <c r="B1821" s="30" t="n"/>
      <c r="G1821" s="9">
        <f>IF(AND(E1821&lt;&gt;"",E1821&lt;&gt;0,H1821&lt;&gt;""),H1821/E1821,"")</f>
        <v/>
      </c>
      <c r="L1821">
        <f>IF(B1821="","",IFERROR(VALUE(TEXT(B1821,"[$-1170401]yyyy")),""))</f>
        <v/>
      </c>
      <c r="M1821">
        <f>IF(B1821="","",IFERROR(VALUE(TEXT(B1821,"[$-1170401]mm")),""))</f>
        <v/>
      </c>
    </row>
    <row r="1822">
      <c r="B1822" s="30" t="n"/>
      <c r="G1822" s="9">
        <f>IF(AND(E1822&lt;&gt;"",E1822&lt;&gt;0,H1822&lt;&gt;""),H1822/E1822,"")</f>
        <v/>
      </c>
      <c r="L1822">
        <f>IF(B1822="","",IFERROR(VALUE(TEXT(B1822,"[$-1170401]yyyy")),""))</f>
        <v/>
      </c>
      <c r="M1822">
        <f>IF(B1822="","",IFERROR(VALUE(TEXT(B1822,"[$-1170401]mm")),""))</f>
        <v/>
      </c>
    </row>
    <row r="1823">
      <c r="B1823" s="30" t="n"/>
      <c r="G1823" s="9">
        <f>IF(AND(E1823&lt;&gt;"",E1823&lt;&gt;0,H1823&lt;&gt;""),H1823/E1823,"")</f>
        <v/>
      </c>
      <c r="L1823">
        <f>IF(B1823="","",IFERROR(VALUE(TEXT(B1823,"[$-1170401]yyyy")),""))</f>
        <v/>
      </c>
      <c r="M1823">
        <f>IF(B1823="","",IFERROR(VALUE(TEXT(B1823,"[$-1170401]mm")),""))</f>
        <v/>
      </c>
    </row>
    <row r="1824">
      <c r="B1824" s="30" t="n"/>
      <c r="G1824" s="9">
        <f>IF(AND(E1824&lt;&gt;"",E1824&lt;&gt;0,H1824&lt;&gt;""),H1824/E1824,"")</f>
        <v/>
      </c>
      <c r="L1824">
        <f>IF(B1824="","",IFERROR(VALUE(TEXT(B1824,"[$-1170401]yyyy")),""))</f>
        <v/>
      </c>
      <c r="M1824">
        <f>IF(B1824="","",IFERROR(VALUE(TEXT(B1824,"[$-1170401]mm")),""))</f>
        <v/>
      </c>
    </row>
    <row r="1825">
      <c r="B1825" s="30" t="n"/>
      <c r="G1825" s="9">
        <f>IF(AND(E1825&lt;&gt;"",E1825&lt;&gt;0,H1825&lt;&gt;""),H1825/E1825,"")</f>
        <v/>
      </c>
      <c r="L1825">
        <f>IF(B1825="","",IFERROR(VALUE(TEXT(B1825,"[$-1170401]yyyy")),""))</f>
        <v/>
      </c>
      <c r="M1825">
        <f>IF(B1825="","",IFERROR(VALUE(TEXT(B1825,"[$-1170401]mm")),""))</f>
        <v/>
      </c>
    </row>
    <row r="1826">
      <c r="B1826" s="30" t="n"/>
      <c r="G1826" s="9">
        <f>IF(AND(E1826&lt;&gt;"",E1826&lt;&gt;0,H1826&lt;&gt;""),H1826/E1826,"")</f>
        <v/>
      </c>
      <c r="L1826">
        <f>IF(B1826="","",IFERROR(VALUE(TEXT(B1826,"[$-1170401]yyyy")),""))</f>
        <v/>
      </c>
      <c r="M1826">
        <f>IF(B1826="","",IFERROR(VALUE(TEXT(B1826,"[$-1170401]mm")),""))</f>
        <v/>
      </c>
    </row>
    <row r="1827">
      <c r="B1827" s="30" t="n"/>
      <c r="G1827" s="9">
        <f>IF(AND(E1827&lt;&gt;"",E1827&lt;&gt;0,H1827&lt;&gt;""),H1827/E1827,"")</f>
        <v/>
      </c>
      <c r="L1827">
        <f>IF(B1827="","",IFERROR(VALUE(TEXT(B1827,"[$-1170401]yyyy")),""))</f>
        <v/>
      </c>
      <c r="M1827">
        <f>IF(B1827="","",IFERROR(VALUE(TEXT(B1827,"[$-1170401]mm")),""))</f>
        <v/>
      </c>
    </row>
    <row r="1828">
      <c r="B1828" s="30" t="n"/>
      <c r="G1828" s="9">
        <f>IF(AND(E1828&lt;&gt;"",E1828&lt;&gt;0,H1828&lt;&gt;""),H1828/E1828,"")</f>
        <v/>
      </c>
      <c r="L1828">
        <f>IF(B1828="","",IFERROR(VALUE(TEXT(B1828,"[$-1170401]yyyy")),""))</f>
        <v/>
      </c>
      <c r="M1828">
        <f>IF(B1828="","",IFERROR(VALUE(TEXT(B1828,"[$-1170401]mm")),""))</f>
        <v/>
      </c>
    </row>
    <row r="1829">
      <c r="B1829" s="30" t="n"/>
      <c r="G1829" s="9">
        <f>IF(AND(E1829&lt;&gt;"",E1829&lt;&gt;0,H1829&lt;&gt;""),H1829/E1829,"")</f>
        <v/>
      </c>
      <c r="L1829">
        <f>IF(B1829="","",IFERROR(VALUE(TEXT(B1829,"[$-1170401]yyyy")),""))</f>
        <v/>
      </c>
      <c r="M1829">
        <f>IF(B1829="","",IFERROR(VALUE(TEXT(B1829,"[$-1170401]mm")),""))</f>
        <v/>
      </c>
    </row>
    <row r="1830">
      <c r="B1830" s="30" t="n"/>
      <c r="G1830" s="9">
        <f>IF(AND(E1830&lt;&gt;"",E1830&lt;&gt;0,H1830&lt;&gt;""),H1830/E1830,"")</f>
        <v/>
      </c>
      <c r="L1830">
        <f>IF(B1830="","",IFERROR(VALUE(TEXT(B1830,"[$-1170401]yyyy")),""))</f>
        <v/>
      </c>
      <c r="M1830">
        <f>IF(B1830="","",IFERROR(VALUE(TEXT(B1830,"[$-1170401]mm")),""))</f>
        <v/>
      </c>
    </row>
    <row r="1831">
      <c r="B1831" s="30" t="n"/>
      <c r="G1831" s="9">
        <f>IF(AND(E1831&lt;&gt;"",E1831&lt;&gt;0,H1831&lt;&gt;""),H1831/E1831,"")</f>
        <v/>
      </c>
      <c r="L1831">
        <f>IF(B1831="","",IFERROR(VALUE(TEXT(B1831,"[$-1170401]yyyy")),""))</f>
        <v/>
      </c>
      <c r="M1831">
        <f>IF(B1831="","",IFERROR(VALUE(TEXT(B1831,"[$-1170401]mm")),""))</f>
        <v/>
      </c>
    </row>
    <row r="1832">
      <c r="B1832" s="30" t="n"/>
      <c r="G1832" s="9">
        <f>IF(AND(E1832&lt;&gt;"",E1832&lt;&gt;0,H1832&lt;&gt;""),H1832/E1832,"")</f>
        <v/>
      </c>
      <c r="L1832">
        <f>IF(B1832="","",IFERROR(VALUE(TEXT(B1832,"[$-1170401]yyyy")),""))</f>
        <v/>
      </c>
      <c r="M1832">
        <f>IF(B1832="","",IFERROR(VALUE(TEXT(B1832,"[$-1170401]mm")),""))</f>
        <v/>
      </c>
    </row>
    <row r="1833">
      <c r="B1833" s="30" t="n"/>
      <c r="G1833" s="9">
        <f>IF(AND(E1833&lt;&gt;"",E1833&lt;&gt;0,H1833&lt;&gt;""),H1833/E1833,"")</f>
        <v/>
      </c>
      <c r="L1833">
        <f>IF(B1833="","",IFERROR(VALUE(TEXT(B1833,"[$-1170401]yyyy")),""))</f>
        <v/>
      </c>
      <c r="M1833">
        <f>IF(B1833="","",IFERROR(VALUE(TEXT(B1833,"[$-1170401]mm")),""))</f>
        <v/>
      </c>
    </row>
    <row r="1834">
      <c r="B1834" s="30" t="n"/>
      <c r="G1834" s="9">
        <f>IF(AND(E1834&lt;&gt;"",E1834&lt;&gt;0,H1834&lt;&gt;""),H1834/E1834,"")</f>
        <v/>
      </c>
      <c r="L1834">
        <f>IF(B1834="","",IFERROR(VALUE(TEXT(B1834,"[$-1170401]yyyy")),""))</f>
        <v/>
      </c>
      <c r="M1834">
        <f>IF(B1834="","",IFERROR(VALUE(TEXT(B1834,"[$-1170401]mm")),""))</f>
        <v/>
      </c>
    </row>
    <row r="1835">
      <c r="B1835" s="30" t="n"/>
      <c r="G1835" s="9">
        <f>IF(AND(E1835&lt;&gt;"",E1835&lt;&gt;0,H1835&lt;&gt;""),H1835/E1835,"")</f>
        <v/>
      </c>
      <c r="L1835">
        <f>IF(B1835="","",IFERROR(VALUE(TEXT(B1835,"[$-1170401]yyyy")),""))</f>
        <v/>
      </c>
      <c r="M1835">
        <f>IF(B1835="","",IFERROR(VALUE(TEXT(B1835,"[$-1170401]mm")),""))</f>
        <v/>
      </c>
    </row>
    <row r="1836">
      <c r="B1836" s="30" t="n"/>
      <c r="G1836" s="9">
        <f>IF(AND(E1836&lt;&gt;"",E1836&lt;&gt;0,H1836&lt;&gt;""),H1836/E1836,"")</f>
        <v/>
      </c>
      <c r="L1836">
        <f>IF(B1836="","",IFERROR(VALUE(TEXT(B1836,"[$-1170401]yyyy")),""))</f>
        <v/>
      </c>
      <c r="M1836">
        <f>IF(B1836="","",IFERROR(VALUE(TEXT(B1836,"[$-1170401]mm")),""))</f>
        <v/>
      </c>
    </row>
    <row r="1837">
      <c r="B1837" s="30" t="n"/>
      <c r="G1837" s="9">
        <f>IF(AND(E1837&lt;&gt;"",E1837&lt;&gt;0,H1837&lt;&gt;""),H1837/E1837,"")</f>
        <v/>
      </c>
      <c r="L1837">
        <f>IF(B1837="","",IFERROR(VALUE(TEXT(B1837,"[$-1170401]yyyy")),""))</f>
        <v/>
      </c>
      <c r="M1837">
        <f>IF(B1837="","",IFERROR(VALUE(TEXT(B1837,"[$-1170401]mm")),""))</f>
        <v/>
      </c>
    </row>
    <row r="1838">
      <c r="B1838" s="30" t="n"/>
      <c r="G1838" s="9">
        <f>IF(AND(E1838&lt;&gt;"",E1838&lt;&gt;0,H1838&lt;&gt;""),H1838/E1838,"")</f>
        <v/>
      </c>
      <c r="L1838">
        <f>IF(B1838="","",IFERROR(VALUE(TEXT(B1838,"[$-1170401]yyyy")),""))</f>
        <v/>
      </c>
      <c r="M1838">
        <f>IF(B1838="","",IFERROR(VALUE(TEXT(B1838,"[$-1170401]mm")),""))</f>
        <v/>
      </c>
    </row>
    <row r="1839">
      <c r="B1839" s="30" t="n"/>
      <c r="G1839" s="9">
        <f>IF(AND(E1839&lt;&gt;"",E1839&lt;&gt;0,H1839&lt;&gt;""),H1839/E1839,"")</f>
        <v/>
      </c>
      <c r="L1839">
        <f>IF(B1839="","",IFERROR(VALUE(TEXT(B1839,"[$-1170401]yyyy")),""))</f>
        <v/>
      </c>
      <c r="M1839">
        <f>IF(B1839="","",IFERROR(VALUE(TEXT(B1839,"[$-1170401]mm")),""))</f>
        <v/>
      </c>
    </row>
    <row r="1840">
      <c r="B1840" s="30" t="n"/>
      <c r="G1840" s="9">
        <f>IF(AND(E1840&lt;&gt;"",E1840&lt;&gt;0,H1840&lt;&gt;""),H1840/E1840,"")</f>
        <v/>
      </c>
      <c r="L1840">
        <f>IF(B1840="","",IFERROR(VALUE(TEXT(B1840,"[$-1170401]yyyy")),""))</f>
        <v/>
      </c>
      <c r="M1840">
        <f>IF(B1840="","",IFERROR(VALUE(TEXT(B1840,"[$-1170401]mm")),""))</f>
        <v/>
      </c>
    </row>
    <row r="1841">
      <c r="B1841" s="30" t="n"/>
      <c r="G1841" s="9">
        <f>IF(AND(E1841&lt;&gt;"",E1841&lt;&gt;0,H1841&lt;&gt;""),H1841/E1841,"")</f>
        <v/>
      </c>
      <c r="L1841">
        <f>IF(B1841="","",IFERROR(VALUE(TEXT(B1841,"[$-1170401]yyyy")),""))</f>
        <v/>
      </c>
      <c r="M1841">
        <f>IF(B1841="","",IFERROR(VALUE(TEXT(B1841,"[$-1170401]mm")),""))</f>
        <v/>
      </c>
    </row>
    <row r="1842">
      <c r="B1842" s="30" t="n"/>
      <c r="G1842" s="9">
        <f>IF(AND(E1842&lt;&gt;"",E1842&lt;&gt;0,H1842&lt;&gt;""),H1842/E1842,"")</f>
        <v/>
      </c>
      <c r="L1842">
        <f>IF(B1842="","",IFERROR(VALUE(TEXT(B1842,"[$-1170401]yyyy")),""))</f>
        <v/>
      </c>
      <c r="M1842">
        <f>IF(B1842="","",IFERROR(VALUE(TEXT(B1842,"[$-1170401]mm")),""))</f>
        <v/>
      </c>
    </row>
    <row r="1843">
      <c r="B1843" s="30" t="n"/>
      <c r="G1843" s="9">
        <f>IF(AND(E1843&lt;&gt;"",E1843&lt;&gt;0,H1843&lt;&gt;""),H1843/E1843,"")</f>
        <v/>
      </c>
      <c r="L1843">
        <f>IF(B1843="","",IFERROR(VALUE(TEXT(B1843,"[$-1170401]yyyy")),""))</f>
        <v/>
      </c>
      <c r="M1843">
        <f>IF(B1843="","",IFERROR(VALUE(TEXT(B1843,"[$-1170401]mm")),""))</f>
        <v/>
      </c>
    </row>
    <row r="1844">
      <c r="B1844" s="30" t="n"/>
      <c r="G1844" s="9">
        <f>IF(AND(E1844&lt;&gt;"",E1844&lt;&gt;0,H1844&lt;&gt;""),H1844/E1844,"")</f>
        <v/>
      </c>
      <c r="L1844">
        <f>IF(B1844="","",IFERROR(VALUE(TEXT(B1844,"[$-1170401]yyyy")),""))</f>
        <v/>
      </c>
      <c r="M1844">
        <f>IF(B1844="","",IFERROR(VALUE(TEXT(B1844,"[$-1170401]mm")),""))</f>
        <v/>
      </c>
    </row>
    <row r="1845">
      <c r="B1845" s="30" t="n"/>
      <c r="G1845" s="9">
        <f>IF(AND(E1845&lt;&gt;"",E1845&lt;&gt;0,H1845&lt;&gt;""),H1845/E1845,"")</f>
        <v/>
      </c>
      <c r="L1845">
        <f>IF(B1845="","",IFERROR(VALUE(TEXT(B1845,"[$-1170401]yyyy")),""))</f>
        <v/>
      </c>
      <c r="M1845">
        <f>IF(B1845="","",IFERROR(VALUE(TEXT(B1845,"[$-1170401]mm")),""))</f>
        <v/>
      </c>
    </row>
    <row r="1846">
      <c r="B1846" s="30" t="n"/>
      <c r="G1846" s="9">
        <f>IF(AND(E1846&lt;&gt;"",E1846&lt;&gt;0,H1846&lt;&gt;""),H1846/E1846,"")</f>
        <v/>
      </c>
      <c r="L1846">
        <f>IF(B1846="","",IFERROR(VALUE(TEXT(B1846,"[$-1170401]yyyy")),""))</f>
        <v/>
      </c>
      <c r="M1846">
        <f>IF(B1846="","",IFERROR(VALUE(TEXT(B1846,"[$-1170401]mm")),""))</f>
        <v/>
      </c>
    </row>
    <row r="1847">
      <c r="B1847" s="30" t="n"/>
      <c r="G1847" s="9">
        <f>IF(AND(E1847&lt;&gt;"",E1847&lt;&gt;0,H1847&lt;&gt;""),H1847/E1847,"")</f>
        <v/>
      </c>
      <c r="L1847">
        <f>IF(B1847="","",IFERROR(VALUE(TEXT(B1847,"[$-1170401]yyyy")),""))</f>
        <v/>
      </c>
      <c r="M1847">
        <f>IF(B1847="","",IFERROR(VALUE(TEXT(B1847,"[$-1170401]mm")),""))</f>
        <v/>
      </c>
    </row>
    <row r="1848">
      <c r="B1848" s="30" t="n"/>
      <c r="G1848" s="9">
        <f>IF(AND(E1848&lt;&gt;"",E1848&lt;&gt;0,H1848&lt;&gt;""),H1848/E1848,"")</f>
        <v/>
      </c>
      <c r="L1848">
        <f>IF(B1848="","",IFERROR(VALUE(TEXT(B1848,"[$-1170401]yyyy")),""))</f>
        <v/>
      </c>
      <c r="M1848">
        <f>IF(B1848="","",IFERROR(VALUE(TEXT(B1848,"[$-1170401]mm")),""))</f>
        <v/>
      </c>
    </row>
    <row r="1849">
      <c r="B1849" s="30" t="n"/>
      <c r="G1849" s="9">
        <f>IF(AND(E1849&lt;&gt;"",E1849&lt;&gt;0,H1849&lt;&gt;""),H1849/E1849,"")</f>
        <v/>
      </c>
      <c r="L1849">
        <f>IF(B1849="","",IFERROR(VALUE(TEXT(B1849,"[$-1170401]yyyy")),""))</f>
        <v/>
      </c>
      <c r="M1849">
        <f>IF(B1849="","",IFERROR(VALUE(TEXT(B1849,"[$-1170401]mm")),""))</f>
        <v/>
      </c>
    </row>
    <row r="1850">
      <c r="B1850" s="30" t="n"/>
      <c r="G1850" s="9">
        <f>IF(AND(E1850&lt;&gt;"",E1850&lt;&gt;0,H1850&lt;&gt;""),H1850/E1850,"")</f>
        <v/>
      </c>
      <c r="L1850">
        <f>IF(B1850="","",IFERROR(VALUE(TEXT(B1850,"[$-1170401]yyyy")),""))</f>
        <v/>
      </c>
      <c r="M1850">
        <f>IF(B1850="","",IFERROR(VALUE(TEXT(B1850,"[$-1170401]mm")),""))</f>
        <v/>
      </c>
    </row>
    <row r="1851">
      <c r="B1851" s="30" t="n"/>
      <c r="G1851" s="9">
        <f>IF(AND(E1851&lt;&gt;"",E1851&lt;&gt;0,H1851&lt;&gt;""),H1851/E1851,"")</f>
        <v/>
      </c>
      <c r="L1851">
        <f>IF(B1851="","",IFERROR(VALUE(TEXT(B1851,"[$-1170401]yyyy")),""))</f>
        <v/>
      </c>
      <c r="M1851">
        <f>IF(B1851="","",IFERROR(VALUE(TEXT(B1851,"[$-1170401]mm")),""))</f>
        <v/>
      </c>
    </row>
    <row r="1852">
      <c r="B1852" s="30" t="n"/>
      <c r="G1852" s="9">
        <f>IF(AND(E1852&lt;&gt;"",E1852&lt;&gt;0,H1852&lt;&gt;""),H1852/E1852,"")</f>
        <v/>
      </c>
      <c r="L1852">
        <f>IF(B1852="","",IFERROR(VALUE(TEXT(B1852,"[$-1170401]yyyy")),""))</f>
        <v/>
      </c>
      <c r="M1852">
        <f>IF(B1852="","",IFERROR(VALUE(TEXT(B1852,"[$-1170401]mm")),""))</f>
        <v/>
      </c>
    </row>
    <row r="1853">
      <c r="B1853" s="30" t="n"/>
      <c r="G1853" s="9">
        <f>IF(AND(E1853&lt;&gt;"",E1853&lt;&gt;0,H1853&lt;&gt;""),H1853/E1853,"")</f>
        <v/>
      </c>
      <c r="L1853">
        <f>IF(B1853="","",IFERROR(VALUE(TEXT(B1853,"[$-1170401]yyyy")),""))</f>
        <v/>
      </c>
      <c r="M1853">
        <f>IF(B1853="","",IFERROR(VALUE(TEXT(B1853,"[$-1170401]mm")),""))</f>
        <v/>
      </c>
    </row>
    <row r="1854">
      <c r="B1854" s="30" t="n"/>
      <c r="G1854" s="9">
        <f>IF(AND(E1854&lt;&gt;"",E1854&lt;&gt;0,H1854&lt;&gt;""),H1854/E1854,"")</f>
        <v/>
      </c>
      <c r="L1854">
        <f>IF(B1854="","",IFERROR(VALUE(TEXT(B1854,"[$-1170401]yyyy")),""))</f>
        <v/>
      </c>
      <c r="M1854">
        <f>IF(B1854="","",IFERROR(VALUE(TEXT(B1854,"[$-1170401]mm")),""))</f>
        <v/>
      </c>
    </row>
    <row r="1855">
      <c r="B1855" s="30" t="n"/>
      <c r="G1855" s="9">
        <f>IF(AND(E1855&lt;&gt;"",E1855&lt;&gt;0,H1855&lt;&gt;""),H1855/E1855,"")</f>
        <v/>
      </c>
      <c r="L1855">
        <f>IF(B1855="","",IFERROR(VALUE(TEXT(B1855,"[$-1170401]yyyy")),""))</f>
        <v/>
      </c>
      <c r="M1855">
        <f>IF(B1855="","",IFERROR(VALUE(TEXT(B1855,"[$-1170401]mm")),""))</f>
        <v/>
      </c>
    </row>
    <row r="1856">
      <c r="B1856" s="30" t="n"/>
      <c r="G1856" s="9">
        <f>IF(AND(E1856&lt;&gt;"",E1856&lt;&gt;0,H1856&lt;&gt;""),H1856/E1856,"")</f>
        <v/>
      </c>
      <c r="L1856">
        <f>IF(B1856="","",IFERROR(VALUE(TEXT(B1856,"[$-1170401]yyyy")),""))</f>
        <v/>
      </c>
      <c r="M1856">
        <f>IF(B1856="","",IFERROR(VALUE(TEXT(B1856,"[$-1170401]mm")),""))</f>
        <v/>
      </c>
    </row>
    <row r="1857">
      <c r="B1857" s="30" t="n"/>
      <c r="G1857" s="9">
        <f>IF(AND(E1857&lt;&gt;"",E1857&lt;&gt;0,H1857&lt;&gt;""),H1857/E1857,"")</f>
        <v/>
      </c>
      <c r="L1857">
        <f>IF(B1857="","",IFERROR(VALUE(TEXT(B1857,"[$-1170401]yyyy")),""))</f>
        <v/>
      </c>
      <c r="M1857">
        <f>IF(B1857="","",IFERROR(VALUE(TEXT(B1857,"[$-1170401]mm")),""))</f>
        <v/>
      </c>
    </row>
    <row r="1858">
      <c r="B1858" s="30" t="n"/>
      <c r="G1858" s="9">
        <f>IF(AND(E1858&lt;&gt;"",E1858&lt;&gt;0,H1858&lt;&gt;""),H1858/E1858,"")</f>
        <v/>
      </c>
      <c r="L1858">
        <f>IF(B1858="","",IFERROR(VALUE(TEXT(B1858,"[$-1170401]yyyy")),""))</f>
        <v/>
      </c>
      <c r="M1858">
        <f>IF(B1858="","",IFERROR(VALUE(TEXT(B1858,"[$-1170401]mm")),""))</f>
        <v/>
      </c>
    </row>
    <row r="1859">
      <c r="B1859" s="30" t="n"/>
      <c r="G1859" s="9">
        <f>IF(AND(E1859&lt;&gt;"",E1859&lt;&gt;0,H1859&lt;&gt;""),H1859/E1859,"")</f>
        <v/>
      </c>
      <c r="L1859">
        <f>IF(B1859="","",IFERROR(VALUE(TEXT(B1859,"[$-1170401]yyyy")),""))</f>
        <v/>
      </c>
      <c r="M1859">
        <f>IF(B1859="","",IFERROR(VALUE(TEXT(B1859,"[$-1170401]mm")),""))</f>
        <v/>
      </c>
    </row>
    <row r="1860">
      <c r="B1860" s="30" t="n"/>
      <c r="G1860" s="9">
        <f>IF(AND(E1860&lt;&gt;"",E1860&lt;&gt;0,H1860&lt;&gt;""),H1860/E1860,"")</f>
        <v/>
      </c>
      <c r="L1860">
        <f>IF(B1860="","",IFERROR(VALUE(TEXT(B1860,"[$-1170401]yyyy")),""))</f>
        <v/>
      </c>
      <c r="M1860">
        <f>IF(B1860="","",IFERROR(VALUE(TEXT(B1860,"[$-1170401]mm")),""))</f>
        <v/>
      </c>
    </row>
    <row r="1861">
      <c r="B1861" s="30" t="n"/>
      <c r="G1861" s="9">
        <f>IF(AND(E1861&lt;&gt;"",E1861&lt;&gt;0,H1861&lt;&gt;""),H1861/E1861,"")</f>
        <v/>
      </c>
      <c r="L1861">
        <f>IF(B1861="","",IFERROR(VALUE(TEXT(B1861,"[$-1170401]yyyy")),""))</f>
        <v/>
      </c>
      <c r="M1861">
        <f>IF(B1861="","",IFERROR(VALUE(TEXT(B1861,"[$-1170401]mm")),""))</f>
        <v/>
      </c>
    </row>
    <row r="1862">
      <c r="B1862" s="30" t="n"/>
      <c r="G1862" s="9">
        <f>IF(AND(E1862&lt;&gt;"",E1862&lt;&gt;0,H1862&lt;&gt;""),H1862/E1862,"")</f>
        <v/>
      </c>
      <c r="L1862">
        <f>IF(B1862="","",IFERROR(VALUE(TEXT(B1862,"[$-1170401]yyyy")),""))</f>
        <v/>
      </c>
      <c r="M1862">
        <f>IF(B1862="","",IFERROR(VALUE(TEXT(B1862,"[$-1170401]mm")),""))</f>
        <v/>
      </c>
    </row>
    <row r="1863">
      <c r="B1863" s="30" t="n"/>
      <c r="G1863" s="9">
        <f>IF(AND(E1863&lt;&gt;"",E1863&lt;&gt;0,H1863&lt;&gt;""),H1863/E1863,"")</f>
        <v/>
      </c>
      <c r="L1863">
        <f>IF(B1863="","",IFERROR(VALUE(TEXT(B1863,"[$-1170401]yyyy")),""))</f>
        <v/>
      </c>
      <c r="M1863">
        <f>IF(B1863="","",IFERROR(VALUE(TEXT(B1863,"[$-1170401]mm")),""))</f>
        <v/>
      </c>
    </row>
    <row r="1864">
      <c r="B1864" s="30" t="n"/>
      <c r="G1864" s="9">
        <f>IF(AND(E1864&lt;&gt;"",E1864&lt;&gt;0,H1864&lt;&gt;""),H1864/E1864,"")</f>
        <v/>
      </c>
      <c r="L1864">
        <f>IF(B1864="","",IFERROR(VALUE(TEXT(B1864,"[$-1170401]yyyy")),""))</f>
        <v/>
      </c>
      <c r="M1864">
        <f>IF(B1864="","",IFERROR(VALUE(TEXT(B1864,"[$-1170401]mm")),""))</f>
        <v/>
      </c>
    </row>
    <row r="1865">
      <c r="B1865" s="30" t="n"/>
      <c r="G1865" s="9">
        <f>IF(AND(E1865&lt;&gt;"",E1865&lt;&gt;0,H1865&lt;&gt;""),H1865/E1865,"")</f>
        <v/>
      </c>
      <c r="L1865">
        <f>IF(B1865="","",IFERROR(VALUE(TEXT(B1865,"[$-1170401]yyyy")),""))</f>
        <v/>
      </c>
      <c r="M1865">
        <f>IF(B1865="","",IFERROR(VALUE(TEXT(B1865,"[$-1170401]mm")),""))</f>
        <v/>
      </c>
    </row>
    <row r="1866">
      <c r="B1866" s="30" t="n"/>
      <c r="G1866" s="9">
        <f>IF(AND(E1866&lt;&gt;"",E1866&lt;&gt;0,H1866&lt;&gt;""),H1866/E1866,"")</f>
        <v/>
      </c>
      <c r="L1866">
        <f>IF(B1866="","",IFERROR(VALUE(TEXT(B1866,"[$-1170401]yyyy")),""))</f>
        <v/>
      </c>
      <c r="M1866">
        <f>IF(B1866="","",IFERROR(VALUE(TEXT(B1866,"[$-1170401]mm")),""))</f>
        <v/>
      </c>
    </row>
    <row r="1867">
      <c r="B1867" s="30" t="n"/>
      <c r="G1867" s="9">
        <f>IF(AND(E1867&lt;&gt;"",E1867&lt;&gt;0,H1867&lt;&gt;""),H1867/E1867,"")</f>
        <v/>
      </c>
      <c r="L1867">
        <f>IF(B1867="","",IFERROR(VALUE(TEXT(B1867,"[$-1170401]yyyy")),""))</f>
        <v/>
      </c>
      <c r="M1867">
        <f>IF(B1867="","",IFERROR(VALUE(TEXT(B1867,"[$-1170401]mm")),""))</f>
        <v/>
      </c>
    </row>
    <row r="1868">
      <c r="B1868" s="30" t="n"/>
      <c r="G1868" s="9">
        <f>IF(AND(E1868&lt;&gt;"",E1868&lt;&gt;0,H1868&lt;&gt;""),H1868/E1868,"")</f>
        <v/>
      </c>
      <c r="L1868">
        <f>IF(B1868="","",IFERROR(VALUE(TEXT(B1868,"[$-1170401]yyyy")),""))</f>
        <v/>
      </c>
      <c r="M1868">
        <f>IF(B1868="","",IFERROR(VALUE(TEXT(B1868,"[$-1170401]mm")),""))</f>
        <v/>
      </c>
    </row>
    <row r="1869">
      <c r="B1869" s="30" t="n"/>
      <c r="G1869" s="9">
        <f>IF(AND(E1869&lt;&gt;"",E1869&lt;&gt;0,H1869&lt;&gt;""),H1869/E1869,"")</f>
        <v/>
      </c>
      <c r="L1869">
        <f>IF(B1869="","",IFERROR(VALUE(TEXT(B1869,"[$-1170401]yyyy")),""))</f>
        <v/>
      </c>
      <c r="M1869">
        <f>IF(B1869="","",IFERROR(VALUE(TEXT(B1869,"[$-1170401]mm")),""))</f>
        <v/>
      </c>
    </row>
    <row r="1870">
      <c r="B1870" s="30" t="n"/>
      <c r="G1870" s="9">
        <f>IF(AND(E1870&lt;&gt;"",E1870&lt;&gt;0,H1870&lt;&gt;""),H1870/E1870,"")</f>
        <v/>
      </c>
      <c r="L1870">
        <f>IF(B1870="","",IFERROR(VALUE(TEXT(B1870,"[$-1170401]yyyy")),""))</f>
        <v/>
      </c>
      <c r="M1870">
        <f>IF(B1870="","",IFERROR(VALUE(TEXT(B1870,"[$-1170401]mm")),""))</f>
        <v/>
      </c>
    </row>
    <row r="1871">
      <c r="B1871" s="30" t="n"/>
      <c r="G1871" s="9">
        <f>IF(AND(E1871&lt;&gt;"",E1871&lt;&gt;0,H1871&lt;&gt;""),H1871/E1871,"")</f>
        <v/>
      </c>
      <c r="L1871">
        <f>IF(B1871="","",IFERROR(VALUE(TEXT(B1871,"[$-1170401]yyyy")),""))</f>
        <v/>
      </c>
      <c r="M1871">
        <f>IF(B1871="","",IFERROR(VALUE(TEXT(B1871,"[$-1170401]mm")),""))</f>
        <v/>
      </c>
    </row>
    <row r="1872">
      <c r="B1872" s="30" t="n"/>
      <c r="G1872" s="9">
        <f>IF(AND(E1872&lt;&gt;"",E1872&lt;&gt;0,H1872&lt;&gt;""),H1872/E1872,"")</f>
        <v/>
      </c>
      <c r="L1872">
        <f>IF(B1872="","",IFERROR(VALUE(TEXT(B1872,"[$-1170401]yyyy")),""))</f>
        <v/>
      </c>
      <c r="M1872">
        <f>IF(B1872="","",IFERROR(VALUE(TEXT(B1872,"[$-1170401]mm")),""))</f>
        <v/>
      </c>
    </row>
    <row r="1873">
      <c r="B1873" s="30" t="n"/>
      <c r="G1873" s="9">
        <f>IF(AND(E1873&lt;&gt;"",E1873&lt;&gt;0,H1873&lt;&gt;""),H1873/E1873,"")</f>
        <v/>
      </c>
      <c r="L1873">
        <f>IF(B1873="","",IFERROR(VALUE(TEXT(B1873,"[$-1170401]yyyy")),""))</f>
        <v/>
      </c>
      <c r="M1873">
        <f>IF(B1873="","",IFERROR(VALUE(TEXT(B1873,"[$-1170401]mm")),""))</f>
        <v/>
      </c>
    </row>
    <row r="1874">
      <c r="B1874" s="30" t="n"/>
      <c r="G1874" s="9">
        <f>IF(AND(E1874&lt;&gt;"",E1874&lt;&gt;0,H1874&lt;&gt;""),H1874/E1874,"")</f>
        <v/>
      </c>
      <c r="L1874">
        <f>IF(B1874="","",IFERROR(VALUE(TEXT(B1874,"[$-1170401]yyyy")),""))</f>
        <v/>
      </c>
      <c r="M1874">
        <f>IF(B1874="","",IFERROR(VALUE(TEXT(B1874,"[$-1170401]mm")),""))</f>
        <v/>
      </c>
    </row>
    <row r="1875">
      <c r="B1875" s="30" t="n"/>
      <c r="G1875" s="9">
        <f>IF(AND(E1875&lt;&gt;"",E1875&lt;&gt;0,H1875&lt;&gt;""),H1875/E1875,"")</f>
        <v/>
      </c>
      <c r="L1875">
        <f>IF(B1875="","",IFERROR(VALUE(TEXT(B1875,"[$-1170401]yyyy")),""))</f>
        <v/>
      </c>
      <c r="M1875">
        <f>IF(B1875="","",IFERROR(VALUE(TEXT(B1875,"[$-1170401]mm")),""))</f>
        <v/>
      </c>
    </row>
    <row r="1876">
      <c r="B1876" s="30" t="n"/>
      <c r="G1876" s="9">
        <f>IF(AND(E1876&lt;&gt;"",E1876&lt;&gt;0,H1876&lt;&gt;""),H1876/E1876,"")</f>
        <v/>
      </c>
      <c r="L1876">
        <f>IF(B1876="","",IFERROR(VALUE(TEXT(B1876,"[$-1170401]yyyy")),""))</f>
        <v/>
      </c>
      <c r="M1876">
        <f>IF(B1876="","",IFERROR(VALUE(TEXT(B1876,"[$-1170401]mm")),""))</f>
        <v/>
      </c>
    </row>
    <row r="1877">
      <c r="B1877" s="30" t="n"/>
      <c r="G1877" s="9">
        <f>IF(AND(E1877&lt;&gt;"",E1877&lt;&gt;0,H1877&lt;&gt;""),H1877/E1877,"")</f>
        <v/>
      </c>
      <c r="L1877">
        <f>IF(B1877="","",IFERROR(VALUE(TEXT(B1877,"[$-1170401]yyyy")),""))</f>
        <v/>
      </c>
      <c r="M1877">
        <f>IF(B1877="","",IFERROR(VALUE(TEXT(B1877,"[$-1170401]mm")),""))</f>
        <v/>
      </c>
    </row>
    <row r="1878">
      <c r="B1878" s="30" t="n"/>
      <c r="G1878" s="9">
        <f>IF(AND(E1878&lt;&gt;"",E1878&lt;&gt;0,H1878&lt;&gt;""),H1878/E1878,"")</f>
        <v/>
      </c>
      <c r="L1878">
        <f>IF(B1878="","",IFERROR(VALUE(TEXT(B1878,"[$-1170401]yyyy")),""))</f>
        <v/>
      </c>
      <c r="M1878">
        <f>IF(B1878="","",IFERROR(VALUE(TEXT(B1878,"[$-1170401]mm")),""))</f>
        <v/>
      </c>
    </row>
    <row r="1879">
      <c r="B1879" s="30" t="n"/>
      <c r="G1879" s="9">
        <f>IF(AND(E1879&lt;&gt;"",E1879&lt;&gt;0,H1879&lt;&gt;""),H1879/E1879,"")</f>
        <v/>
      </c>
      <c r="L1879">
        <f>IF(B1879="","",IFERROR(VALUE(TEXT(B1879,"[$-1170401]yyyy")),""))</f>
        <v/>
      </c>
      <c r="M1879">
        <f>IF(B1879="","",IFERROR(VALUE(TEXT(B1879,"[$-1170401]mm")),""))</f>
        <v/>
      </c>
    </row>
    <row r="1880">
      <c r="B1880" s="30" t="n"/>
      <c r="G1880" s="9">
        <f>IF(AND(E1880&lt;&gt;"",E1880&lt;&gt;0,H1880&lt;&gt;""),H1880/E1880,"")</f>
        <v/>
      </c>
      <c r="L1880">
        <f>IF(B1880="","",IFERROR(VALUE(TEXT(B1880,"[$-1170401]yyyy")),""))</f>
        <v/>
      </c>
      <c r="M1880">
        <f>IF(B1880="","",IFERROR(VALUE(TEXT(B1880,"[$-1170401]mm")),""))</f>
        <v/>
      </c>
    </row>
    <row r="1881">
      <c r="B1881" s="30" t="n"/>
      <c r="G1881" s="9">
        <f>IF(AND(E1881&lt;&gt;"",E1881&lt;&gt;0,H1881&lt;&gt;""),H1881/E1881,"")</f>
        <v/>
      </c>
      <c r="L1881">
        <f>IF(B1881="","",IFERROR(VALUE(TEXT(B1881,"[$-1170401]yyyy")),""))</f>
        <v/>
      </c>
      <c r="M1881">
        <f>IF(B1881="","",IFERROR(VALUE(TEXT(B1881,"[$-1170401]mm")),""))</f>
        <v/>
      </c>
    </row>
    <row r="1882">
      <c r="B1882" s="30" t="n"/>
      <c r="G1882" s="9">
        <f>IF(AND(E1882&lt;&gt;"",E1882&lt;&gt;0,H1882&lt;&gt;""),H1882/E1882,"")</f>
        <v/>
      </c>
      <c r="L1882">
        <f>IF(B1882="","",IFERROR(VALUE(TEXT(B1882,"[$-1170401]yyyy")),""))</f>
        <v/>
      </c>
      <c r="M1882">
        <f>IF(B1882="","",IFERROR(VALUE(TEXT(B1882,"[$-1170401]mm")),""))</f>
        <v/>
      </c>
    </row>
    <row r="1883">
      <c r="B1883" s="30" t="n"/>
      <c r="G1883" s="9">
        <f>IF(AND(E1883&lt;&gt;"",E1883&lt;&gt;0,H1883&lt;&gt;""),H1883/E1883,"")</f>
        <v/>
      </c>
      <c r="L1883">
        <f>IF(B1883="","",IFERROR(VALUE(TEXT(B1883,"[$-1170401]yyyy")),""))</f>
        <v/>
      </c>
      <c r="M1883">
        <f>IF(B1883="","",IFERROR(VALUE(TEXT(B1883,"[$-1170401]mm")),""))</f>
        <v/>
      </c>
    </row>
    <row r="1884">
      <c r="B1884" s="30" t="n"/>
      <c r="G1884" s="9">
        <f>IF(AND(E1884&lt;&gt;"",E1884&lt;&gt;0,H1884&lt;&gt;""),H1884/E1884,"")</f>
        <v/>
      </c>
      <c r="L1884">
        <f>IF(B1884="","",IFERROR(VALUE(TEXT(B1884,"[$-1170401]yyyy")),""))</f>
        <v/>
      </c>
      <c r="M1884">
        <f>IF(B1884="","",IFERROR(VALUE(TEXT(B1884,"[$-1170401]mm")),""))</f>
        <v/>
      </c>
    </row>
    <row r="1885">
      <c r="B1885" s="30" t="n"/>
      <c r="G1885" s="9">
        <f>IF(AND(E1885&lt;&gt;"",E1885&lt;&gt;0,H1885&lt;&gt;""),H1885/E1885,"")</f>
        <v/>
      </c>
      <c r="L1885">
        <f>IF(B1885="","",IFERROR(VALUE(TEXT(B1885,"[$-1170401]yyyy")),""))</f>
        <v/>
      </c>
      <c r="M1885">
        <f>IF(B1885="","",IFERROR(VALUE(TEXT(B1885,"[$-1170401]mm")),""))</f>
        <v/>
      </c>
    </row>
    <row r="1886">
      <c r="B1886" s="30" t="n"/>
      <c r="G1886" s="9">
        <f>IF(AND(E1886&lt;&gt;"",E1886&lt;&gt;0,H1886&lt;&gt;""),H1886/E1886,"")</f>
        <v/>
      </c>
      <c r="L1886">
        <f>IF(B1886="","",IFERROR(VALUE(TEXT(B1886,"[$-1170401]yyyy")),""))</f>
        <v/>
      </c>
      <c r="M1886">
        <f>IF(B1886="","",IFERROR(VALUE(TEXT(B1886,"[$-1170401]mm")),""))</f>
        <v/>
      </c>
    </row>
    <row r="1887">
      <c r="B1887" s="30" t="n"/>
      <c r="G1887" s="9">
        <f>IF(AND(E1887&lt;&gt;"",E1887&lt;&gt;0,H1887&lt;&gt;""),H1887/E1887,"")</f>
        <v/>
      </c>
      <c r="L1887">
        <f>IF(B1887="","",IFERROR(VALUE(TEXT(B1887,"[$-1170401]yyyy")),""))</f>
        <v/>
      </c>
      <c r="M1887">
        <f>IF(B1887="","",IFERROR(VALUE(TEXT(B1887,"[$-1170401]mm")),""))</f>
        <v/>
      </c>
    </row>
    <row r="1888">
      <c r="B1888" s="30" t="n"/>
      <c r="G1888" s="9">
        <f>IF(AND(E1888&lt;&gt;"",E1888&lt;&gt;0,H1888&lt;&gt;""),H1888/E1888,"")</f>
        <v/>
      </c>
      <c r="L1888">
        <f>IF(B1888="","",IFERROR(VALUE(TEXT(B1888,"[$-1170401]yyyy")),""))</f>
        <v/>
      </c>
      <c r="M1888">
        <f>IF(B1888="","",IFERROR(VALUE(TEXT(B1888,"[$-1170401]mm")),""))</f>
        <v/>
      </c>
    </row>
    <row r="1889">
      <c r="B1889" s="30" t="n"/>
      <c r="G1889" s="9">
        <f>IF(AND(E1889&lt;&gt;"",E1889&lt;&gt;0,H1889&lt;&gt;""),H1889/E1889,"")</f>
        <v/>
      </c>
      <c r="L1889">
        <f>IF(B1889="","",IFERROR(VALUE(TEXT(B1889,"[$-1170401]yyyy")),""))</f>
        <v/>
      </c>
      <c r="M1889">
        <f>IF(B1889="","",IFERROR(VALUE(TEXT(B1889,"[$-1170401]mm")),""))</f>
        <v/>
      </c>
    </row>
    <row r="1890">
      <c r="B1890" s="30" t="n"/>
      <c r="G1890" s="9">
        <f>IF(AND(E1890&lt;&gt;"",E1890&lt;&gt;0,H1890&lt;&gt;""),H1890/E1890,"")</f>
        <v/>
      </c>
      <c r="L1890">
        <f>IF(B1890="","",IFERROR(VALUE(TEXT(B1890,"[$-1170401]yyyy")),""))</f>
        <v/>
      </c>
      <c r="M1890">
        <f>IF(B1890="","",IFERROR(VALUE(TEXT(B1890,"[$-1170401]mm")),""))</f>
        <v/>
      </c>
    </row>
    <row r="1891">
      <c r="B1891" s="30" t="n"/>
      <c r="G1891" s="9">
        <f>IF(AND(E1891&lt;&gt;"",E1891&lt;&gt;0,H1891&lt;&gt;""),H1891/E1891,"")</f>
        <v/>
      </c>
      <c r="L1891">
        <f>IF(B1891="","",IFERROR(VALUE(TEXT(B1891,"[$-1170401]yyyy")),""))</f>
        <v/>
      </c>
      <c r="M1891">
        <f>IF(B1891="","",IFERROR(VALUE(TEXT(B1891,"[$-1170401]mm")),""))</f>
        <v/>
      </c>
    </row>
    <row r="1892">
      <c r="B1892" s="30" t="n"/>
      <c r="G1892" s="9">
        <f>IF(AND(E1892&lt;&gt;"",E1892&lt;&gt;0,H1892&lt;&gt;""),H1892/E1892,"")</f>
        <v/>
      </c>
      <c r="L1892">
        <f>IF(B1892="","",IFERROR(VALUE(TEXT(B1892,"[$-1170401]yyyy")),""))</f>
        <v/>
      </c>
      <c r="M1892">
        <f>IF(B1892="","",IFERROR(VALUE(TEXT(B1892,"[$-1170401]mm")),""))</f>
        <v/>
      </c>
    </row>
    <row r="1893">
      <c r="B1893" s="30" t="n"/>
      <c r="G1893" s="9">
        <f>IF(AND(E1893&lt;&gt;"",E1893&lt;&gt;0,H1893&lt;&gt;""),H1893/E1893,"")</f>
        <v/>
      </c>
      <c r="L1893">
        <f>IF(B1893="","",IFERROR(VALUE(TEXT(B1893,"[$-1170401]yyyy")),""))</f>
        <v/>
      </c>
      <c r="M1893">
        <f>IF(B1893="","",IFERROR(VALUE(TEXT(B1893,"[$-1170401]mm")),""))</f>
        <v/>
      </c>
    </row>
    <row r="1894">
      <c r="B1894" s="30" t="n"/>
      <c r="G1894" s="9">
        <f>IF(AND(E1894&lt;&gt;"",E1894&lt;&gt;0,H1894&lt;&gt;""),H1894/E1894,"")</f>
        <v/>
      </c>
      <c r="L1894">
        <f>IF(B1894="","",IFERROR(VALUE(TEXT(B1894,"[$-1170401]yyyy")),""))</f>
        <v/>
      </c>
      <c r="M1894">
        <f>IF(B1894="","",IFERROR(VALUE(TEXT(B1894,"[$-1170401]mm")),""))</f>
        <v/>
      </c>
    </row>
    <row r="1895">
      <c r="B1895" s="30" t="n"/>
      <c r="G1895" s="9">
        <f>IF(AND(E1895&lt;&gt;"",E1895&lt;&gt;0,H1895&lt;&gt;""),H1895/E1895,"")</f>
        <v/>
      </c>
      <c r="L1895">
        <f>IF(B1895="","",IFERROR(VALUE(TEXT(B1895,"[$-1170401]yyyy")),""))</f>
        <v/>
      </c>
      <c r="M1895">
        <f>IF(B1895="","",IFERROR(VALUE(TEXT(B1895,"[$-1170401]mm")),""))</f>
        <v/>
      </c>
    </row>
    <row r="1896">
      <c r="B1896" s="30" t="n"/>
      <c r="G1896" s="9">
        <f>IF(AND(E1896&lt;&gt;"",E1896&lt;&gt;0,H1896&lt;&gt;""),H1896/E1896,"")</f>
        <v/>
      </c>
      <c r="L1896">
        <f>IF(B1896="","",IFERROR(VALUE(TEXT(B1896,"[$-1170401]yyyy")),""))</f>
        <v/>
      </c>
      <c r="M1896">
        <f>IF(B1896="","",IFERROR(VALUE(TEXT(B1896,"[$-1170401]mm")),""))</f>
        <v/>
      </c>
    </row>
    <row r="1897">
      <c r="B1897" s="30" t="n"/>
      <c r="G1897" s="9">
        <f>IF(AND(E1897&lt;&gt;"",E1897&lt;&gt;0,H1897&lt;&gt;""),H1897/E1897,"")</f>
        <v/>
      </c>
      <c r="L1897">
        <f>IF(B1897="","",IFERROR(VALUE(TEXT(B1897,"[$-1170401]yyyy")),""))</f>
        <v/>
      </c>
      <c r="M1897">
        <f>IF(B1897="","",IFERROR(VALUE(TEXT(B1897,"[$-1170401]mm")),""))</f>
        <v/>
      </c>
    </row>
    <row r="1898">
      <c r="B1898" s="30" t="n"/>
      <c r="G1898" s="9">
        <f>IF(AND(E1898&lt;&gt;"",E1898&lt;&gt;0,H1898&lt;&gt;""),H1898/E1898,"")</f>
        <v/>
      </c>
      <c r="L1898">
        <f>IF(B1898="","",IFERROR(VALUE(TEXT(B1898,"[$-1170401]yyyy")),""))</f>
        <v/>
      </c>
      <c r="M1898">
        <f>IF(B1898="","",IFERROR(VALUE(TEXT(B1898,"[$-1170401]mm")),""))</f>
        <v/>
      </c>
    </row>
    <row r="1899">
      <c r="B1899" s="30" t="n"/>
      <c r="G1899" s="9">
        <f>IF(AND(E1899&lt;&gt;"",E1899&lt;&gt;0,H1899&lt;&gt;""),H1899/E1899,"")</f>
        <v/>
      </c>
      <c r="L1899">
        <f>IF(B1899="","",IFERROR(VALUE(TEXT(B1899,"[$-1170401]yyyy")),""))</f>
        <v/>
      </c>
      <c r="M1899">
        <f>IF(B1899="","",IFERROR(VALUE(TEXT(B1899,"[$-1170401]mm")),""))</f>
        <v/>
      </c>
    </row>
    <row r="1900">
      <c r="B1900" s="30" t="n"/>
      <c r="G1900" s="9">
        <f>IF(AND(E1900&lt;&gt;"",E1900&lt;&gt;0,H1900&lt;&gt;""),H1900/E1900,"")</f>
        <v/>
      </c>
      <c r="L1900">
        <f>IF(B1900="","",IFERROR(VALUE(TEXT(B1900,"[$-1170401]yyyy")),""))</f>
        <v/>
      </c>
      <c r="M1900">
        <f>IF(B1900="","",IFERROR(VALUE(TEXT(B1900,"[$-1170401]mm")),""))</f>
        <v/>
      </c>
    </row>
    <row r="1901">
      <c r="B1901" s="30" t="n"/>
      <c r="G1901" s="9">
        <f>IF(AND(E1901&lt;&gt;"",E1901&lt;&gt;0,H1901&lt;&gt;""),H1901/E1901,"")</f>
        <v/>
      </c>
      <c r="L1901">
        <f>IF(B1901="","",IFERROR(VALUE(TEXT(B1901,"[$-1170401]yyyy")),""))</f>
        <v/>
      </c>
      <c r="M1901">
        <f>IF(B1901="","",IFERROR(VALUE(TEXT(B1901,"[$-1170401]mm")),""))</f>
        <v/>
      </c>
    </row>
    <row r="1902">
      <c r="B1902" s="30" t="n"/>
      <c r="G1902" s="9">
        <f>IF(AND(E1902&lt;&gt;"",E1902&lt;&gt;0,H1902&lt;&gt;""),H1902/E1902,"")</f>
        <v/>
      </c>
      <c r="L1902">
        <f>IF(B1902="","",IFERROR(VALUE(TEXT(B1902,"[$-1170401]yyyy")),""))</f>
        <v/>
      </c>
      <c r="M1902">
        <f>IF(B1902="","",IFERROR(VALUE(TEXT(B1902,"[$-1170401]mm")),""))</f>
        <v/>
      </c>
    </row>
    <row r="1903">
      <c r="B1903" s="30" t="n"/>
      <c r="G1903" s="9">
        <f>IF(AND(E1903&lt;&gt;"",E1903&lt;&gt;0,H1903&lt;&gt;""),H1903/E1903,"")</f>
        <v/>
      </c>
      <c r="L1903">
        <f>IF(B1903="","",IFERROR(VALUE(TEXT(B1903,"[$-1170401]yyyy")),""))</f>
        <v/>
      </c>
      <c r="M1903">
        <f>IF(B1903="","",IFERROR(VALUE(TEXT(B1903,"[$-1170401]mm")),""))</f>
        <v/>
      </c>
    </row>
    <row r="1904">
      <c r="B1904" s="30" t="n"/>
      <c r="G1904" s="9">
        <f>IF(AND(E1904&lt;&gt;"",E1904&lt;&gt;0,H1904&lt;&gt;""),H1904/E1904,"")</f>
        <v/>
      </c>
      <c r="L1904">
        <f>IF(B1904="","",IFERROR(VALUE(TEXT(B1904,"[$-1170401]yyyy")),""))</f>
        <v/>
      </c>
      <c r="M1904">
        <f>IF(B1904="","",IFERROR(VALUE(TEXT(B1904,"[$-1170401]mm")),""))</f>
        <v/>
      </c>
    </row>
    <row r="1905">
      <c r="B1905" s="30" t="n"/>
      <c r="G1905" s="9">
        <f>IF(AND(E1905&lt;&gt;"",E1905&lt;&gt;0,H1905&lt;&gt;""),H1905/E1905,"")</f>
        <v/>
      </c>
      <c r="L1905">
        <f>IF(B1905="","",IFERROR(VALUE(TEXT(B1905,"[$-1170401]yyyy")),""))</f>
        <v/>
      </c>
      <c r="M1905">
        <f>IF(B1905="","",IFERROR(VALUE(TEXT(B1905,"[$-1170401]mm")),""))</f>
        <v/>
      </c>
    </row>
    <row r="1906">
      <c r="B1906" s="30" t="n"/>
      <c r="G1906" s="9">
        <f>IF(AND(E1906&lt;&gt;"",E1906&lt;&gt;0,H1906&lt;&gt;""),H1906/E1906,"")</f>
        <v/>
      </c>
      <c r="L1906">
        <f>IF(B1906="","",IFERROR(VALUE(TEXT(B1906,"[$-1170401]yyyy")),""))</f>
        <v/>
      </c>
      <c r="M1906">
        <f>IF(B1906="","",IFERROR(VALUE(TEXT(B1906,"[$-1170401]mm")),""))</f>
        <v/>
      </c>
    </row>
    <row r="1907">
      <c r="B1907" s="30" t="n"/>
      <c r="G1907" s="9">
        <f>IF(AND(E1907&lt;&gt;"",E1907&lt;&gt;0,H1907&lt;&gt;""),H1907/E1907,"")</f>
        <v/>
      </c>
      <c r="L1907">
        <f>IF(B1907="","",IFERROR(VALUE(TEXT(B1907,"[$-1170401]yyyy")),""))</f>
        <v/>
      </c>
      <c r="M1907">
        <f>IF(B1907="","",IFERROR(VALUE(TEXT(B1907,"[$-1170401]mm")),""))</f>
        <v/>
      </c>
    </row>
    <row r="1908">
      <c r="B1908" s="30" t="n"/>
      <c r="G1908" s="9">
        <f>IF(AND(E1908&lt;&gt;"",E1908&lt;&gt;0,H1908&lt;&gt;""),H1908/E1908,"")</f>
        <v/>
      </c>
      <c r="L1908">
        <f>IF(B1908="","",IFERROR(VALUE(TEXT(B1908,"[$-1170401]yyyy")),""))</f>
        <v/>
      </c>
      <c r="M1908">
        <f>IF(B1908="","",IFERROR(VALUE(TEXT(B1908,"[$-1170401]mm")),""))</f>
        <v/>
      </c>
    </row>
    <row r="1909">
      <c r="B1909" s="30" t="n"/>
      <c r="G1909" s="9">
        <f>IF(AND(E1909&lt;&gt;"",E1909&lt;&gt;0,H1909&lt;&gt;""),H1909/E1909,"")</f>
        <v/>
      </c>
      <c r="L1909">
        <f>IF(B1909="","",IFERROR(VALUE(TEXT(B1909,"[$-1170401]yyyy")),""))</f>
        <v/>
      </c>
      <c r="M1909">
        <f>IF(B1909="","",IFERROR(VALUE(TEXT(B1909,"[$-1170401]mm")),""))</f>
        <v/>
      </c>
    </row>
    <row r="1910">
      <c r="B1910" s="30" t="n"/>
      <c r="G1910" s="9">
        <f>IF(AND(E1910&lt;&gt;"",E1910&lt;&gt;0,H1910&lt;&gt;""),H1910/E1910,"")</f>
        <v/>
      </c>
      <c r="L1910">
        <f>IF(B1910="","",IFERROR(VALUE(TEXT(B1910,"[$-1170401]yyyy")),""))</f>
        <v/>
      </c>
      <c r="M1910">
        <f>IF(B1910="","",IFERROR(VALUE(TEXT(B1910,"[$-1170401]mm")),""))</f>
        <v/>
      </c>
    </row>
    <row r="1911">
      <c r="B1911" s="30" t="n"/>
      <c r="G1911" s="9">
        <f>IF(AND(E1911&lt;&gt;"",E1911&lt;&gt;0,H1911&lt;&gt;""),H1911/E1911,"")</f>
        <v/>
      </c>
      <c r="L1911">
        <f>IF(B1911="","",IFERROR(VALUE(TEXT(B1911,"[$-1170401]yyyy")),""))</f>
        <v/>
      </c>
      <c r="M1911">
        <f>IF(B1911="","",IFERROR(VALUE(TEXT(B1911,"[$-1170401]mm")),""))</f>
        <v/>
      </c>
    </row>
    <row r="1912">
      <c r="B1912" s="30" t="n"/>
      <c r="G1912" s="9">
        <f>IF(AND(E1912&lt;&gt;"",E1912&lt;&gt;0,H1912&lt;&gt;""),H1912/E1912,"")</f>
        <v/>
      </c>
      <c r="L1912">
        <f>IF(B1912="","",IFERROR(VALUE(TEXT(B1912,"[$-1170401]yyyy")),""))</f>
        <v/>
      </c>
      <c r="M1912">
        <f>IF(B1912="","",IFERROR(VALUE(TEXT(B1912,"[$-1170401]mm")),""))</f>
        <v/>
      </c>
    </row>
    <row r="1913">
      <c r="B1913" s="30" t="n"/>
      <c r="G1913" s="9">
        <f>IF(AND(E1913&lt;&gt;"",E1913&lt;&gt;0,H1913&lt;&gt;""),H1913/E1913,"")</f>
        <v/>
      </c>
      <c r="L1913">
        <f>IF(B1913="","",IFERROR(VALUE(TEXT(B1913,"[$-1170401]yyyy")),""))</f>
        <v/>
      </c>
      <c r="M1913">
        <f>IF(B1913="","",IFERROR(VALUE(TEXT(B1913,"[$-1170401]mm")),""))</f>
        <v/>
      </c>
    </row>
    <row r="1914">
      <c r="B1914" s="30" t="n"/>
      <c r="G1914" s="9">
        <f>IF(AND(E1914&lt;&gt;"",E1914&lt;&gt;0,H1914&lt;&gt;""),H1914/E1914,"")</f>
        <v/>
      </c>
      <c r="L1914">
        <f>IF(B1914="","",IFERROR(VALUE(TEXT(B1914,"[$-1170401]yyyy")),""))</f>
        <v/>
      </c>
      <c r="M1914">
        <f>IF(B1914="","",IFERROR(VALUE(TEXT(B1914,"[$-1170401]mm")),""))</f>
        <v/>
      </c>
    </row>
    <row r="1915">
      <c r="B1915" s="30" t="n"/>
      <c r="G1915" s="9">
        <f>IF(AND(E1915&lt;&gt;"",E1915&lt;&gt;0,H1915&lt;&gt;""),H1915/E1915,"")</f>
        <v/>
      </c>
      <c r="L1915">
        <f>IF(B1915="","",IFERROR(VALUE(TEXT(B1915,"[$-1170401]yyyy")),""))</f>
        <v/>
      </c>
      <c r="M1915">
        <f>IF(B1915="","",IFERROR(VALUE(TEXT(B1915,"[$-1170401]mm")),""))</f>
        <v/>
      </c>
    </row>
    <row r="1916">
      <c r="B1916" s="30" t="n"/>
      <c r="G1916" s="9">
        <f>IF(AND(E1916&lt;&gt;"",E1916&lt;&gt;0,H1916&lt;&gt;""),H1916/E1916,"")</f>
        <v/>
      </c>
      <c r="L1916">
        <f>IF(B1916="","",IFERROR(VALUE(TEXT(B1916,"[$-1170401]yyyy")),""))</f>
        <v/>
      </c>
      <c r="M1916">
        <f>IF(B1916="","",IFERROR(VALUE(TEXT(B1916,"[$-1170401]mm")),""))</f>
        <v/>
      </c>
    </row>
    <row r="1917">
      <c r="B1917" s="30" t="n"/>
      <c r="G1917" s="9">
        <f>IF(AND(E1917&lt;&gt;"",E1917&lt;&gt;0,H1917&lt;&gt;""),H1917/E1917,"")</f>
        <v/>
      </c>
      <c r="L1917">
        <f>IF(B1917="","",IFERROR(VALUE(TEXT(B1917,"[$-1170401]yyyy")),""))</f>
        <v/>
      </c>
      <c r="M1917">
        <f>IF(B1917="","",IFERROR(VALUE(TEXT(B1917,"[$-1170401]mm")),""))</f>
        <v/>
      </c>
    </row>
    <row r="1918">
      <c r="B1918" s="30" t="n"/>
      <c r="G1918" s="9">
        <f>IF(AND(E1918&lt;&gt;"",E1918&lt;&gt;0,H1918&lt;&gt;""),H1918/E1918,"")</f>
        <v/>
      </c>
      <c r="L1918">
        <f>IF(B1918="","",IFERROR(VALUE(TEXT(B1918,"[$-1170401]yyyy")),""))</f>
        <v/>
      </c>
      <c r="M1918">
        <f>IF(B1918="","",IFERROR(VALUE(TEXT(B1918,"[$-1170401]mm")),""))</f>
        <v/>
      </c>
    </row>
    <row r="1919">
      <c r="B1919" s="30" t="n"/>
      <c r="G1919" s="9">
        <f>IF(AND(E1919&lt;&gt;"",E1919&lt;&gt;0,H1919&lt;&gt;""),H1919/E1919,"")</f>
        <v/>
      </c>
      <c r="L1919">
        <f>IF(B1919="","",IFERROR(VALUE(TEXT(B1919,"[$-1170401]yyyy")),""))</f>
        <v/>
      </c>
      <c r="M1919">
        <f>IF(B1919="","",IFERROR(VALUE(TEXT(B1919,"[$-1170401]mm")),""))</f>
        <v/>
      </c>
    </row>
    <row r="1920">
      <c r="B1920" s="30" t="n"/>
      <c r="G1920" s="9">
        <f>IF(AND(E1920&lt;&gt;"",E1920&lt;&gt;0,H1920&lt;&gt;""),H1920/E1920,"")</f>
        <v/>
      </c>
      <c r="L1920">
        <f>IF(B1920="","",IFERROR(VALUE(TEXT(B1920,"[$-1170401]yyyy")),""))</f>
        <v/>
      </c>
      <c r="M1920">
        <f>IF(B1920="","",IFERROR(VALUE(TEXT(B1920,"[$-1170401]mm")),""))</f>
        <v/>
      </c>
    </row>
    <row r="1921">
      <c r="B1921" s="30" t="n"/>
      <c r="G1921" s="9">
        <f>IF(AND(E1921&lt;&gt;"",E1921&lt;&gt;0,H1921&lt;&gt;""),H1921/E1921,"")</f>
        <v/>
      </c>
      <c r="L1921">
        <f>IF(B1921="","",IFERROR(VALUE(TEXT(B1921,"[$-1170401]yyyy")),""))</f>
        <v/>
      </c>
      <c r="M1921">
        <f>IF(B1921="","",IFERROR(VALUE(TEXT(B1921,"[$-1170401]mm")),""))</f>
        <v/>
      </c>
    </row>
    <row r="1922">
      <c r="B1922" s="30" t="n"/>
      <c r="G1922" s="9">
        <f>IF(AND(E1922&lt;&gt;"",E1922&lt;&gt;0,H1922&lt;&gt;""),H1922/E1922,"")</f>
        <v/>
      </c>
      <c r="L1922">
        <f>IF(B1922="","",IFERROR(VALUE(TEXT(B1922,"[$-1170401]yyyy")),""))</f>
        <v/>
      </c>
      <c r="M1922">
        <f>IF(B1922="","",IFERROR(VALUE(TEXT(B1922,"[$-1170401]mm")),""))</f>
        <v/>
      </c>
    </row>
    <row r="1923">
      <c r="B1923" s="30" t="n"/>
      <c r="G1923" s="9">
        <f>IF(AND(E1923&lt;&gt;"",E1923&lt;&gt;0,H1923&lt;&gt;""),H1923/E1923,"")</f>
        <v/>
      </c>
      <c r="L1923">
        <f>IF(B1923="","",IFERROR(VALUE(TEXT(B1923,"[$-1170401]yyyy")),""))</f>
        <v/>
      </c>
      <c r="M1923">
        <f>IF(B1923="","",IFERROR(VALUE(TEXT(B1923,"[$-1170401]mm")),""))</f>
        <v/>
      </c>
    </row>
    <row r="1924">
      <c r="B1924" s="30" t="n"/>
      <c r="G1924" s="9">
        <f>IF(AND(E1924&lt;&gt;"",E1924&lt;&gt;0,H1924&lt;&gt;""),H1924/E1924,"")</f>
        <v/>
      </c>
      <c r="L1924">
        <f>IF(B1924="","",IFERROR(VALUE(TEXT(B1924,"[$-1170401]yyyy")),""))</f>
        <v/>
      </c>
      <c r="M1924">
        <f>IF(B1924="","",IFERROR(VALUE(TEXT(B1924,"[$-1170401]mm")),""))</f>
        <v/>
      </c>
    </row>
    <row r="1925">
      <c r="B1925" s="30" t="n"/>
      <c r="G1925" s="9">
        <f>IF(AND(E1925&lt;&gt;"",E1925&lt;&gt;0,H1925&lt;&gt;""),H1925/E1925,"")</f>
        <v/>
      </c>
      <c r="L1925">
        <f>IF(B1925="","",IFERROR(VALUE(TEXT(B1925,"[$-1170401]yyyy")),""))</f>
        <v/>
      </c>
      <c r="M1925">
        <f>IF(B1925="","",IFERROR(VALUE(TEXT(B1925,"[$-1170401]mm")),""))</f>
        <v/>
      </c>
    </row>
    <row r="1926">
      <c r="B1926" s="30" t="n"/>
      <c r="G1926" s="9">
        <f>IF(AND(E1926&lt;&gt;"",E1926&lt;&gt;0,H1926&lt;&gt;""),H1926/E1926,"")</f>
        <v/>
      </c>
      <c r="L1926">
        <f>IF(B1926="","",IFERROR(VALUE(TEXT(B1926,"[$-1170401]yyyy")),""))</f>
        <v/>
      </c>
      <c r="M1926">
        <f>IF(B1926="","",IFERROR(VALUE(TEXT(B1926,"[$-1170401]mm")),""))</f>
        <v/>
      </c>
    </row>
    <row r="1927">
      <c r="B1927" s="30" t="n"/>
      <c r="G1927" s="9">
        <f>IF(AND(E1927&lt;&gt;"",E1927&lt;&gt;0,H1927&lt;&gt;""),H1927/E1927,"")</f>
        <v/>
      </c>
      <c r="L1927">
        <f>IF(B1927="","",IFERROR(VALUE(TEXT(B1927,"[$-1170401]yyyy")),""))</f>
        <v/>
      </c>
      <c r="M1927">
        <f>IF(B1927="","",IFERROR(VALUE(TEXT(B1927,"[$-1170401]mm")),""))</f>
        <v/>
      </c>
    </row>
    <row r="1928">
      <c r="B1928" s="30" t="n"/>
      <c r="G1928" s="9">
        <f>IF(AND(E1928&lt;&gt;"",E1928&lt;&gt;0,H1928&lt;&gt;""),H1928/E1928,"")</f>
        <v/>
      </c>
      <c r="L1928">
        <f>IF(B1928="","",IFERROR(VALUE(TEXT(B1928,"[$-1170401]yyyy")),""))</f>
        <v/>
      </c>
      <c r="M1928">
        <f>IF(B1928="","",IFERROR(VALUE(TEXT(B1928,"[$-1170401]mm")),""))</f>
        <v/>
      </c>
    </row>
    <row r="1929">
      <c r="B1929" s="30" t="n"/>
      <c r="G1929" s="9">
        <f>IF(AND(E1929&lt;&gt;"",E1929&lt;&gt;0,H1929&lt;&gt;""),H1929/E1929,"")</f>
        <v/>
      </c>
      <c r="L1929">
        <f>IF(B1929="","",IFERROR(VALUE(TEXT(B1929,"[$-1170401]yyyy")),""))</f>
        <v/>
      </c>
      <c r="M1929">
        <f>IF(B1929="","",IFERROR(VALUE(TEXT(B1929,"[$-1170401]mm")),""))</f>
        <v/>
      </c>
    </row>
    <row r="1930">
      <c r="B1930" s="30" t="n"/>
      <c r="G1930" s="9">
        <f>IF(AND(E1930&lt;&gt;"",E1930&lt;&gt;0,H1930&lt;&gt;""),H1930/E1930,"")</f>
        <v/>
      </c>
      <c r="L1930">
        <f>IF(B1930="","",IFERROR(VALUE(TEXT(B1930,"[$-1170401]yyyy")),""))</f>
        <v/>
      </c>
      <c r="M1930">
        <f>IF(B1930="","",IFERROR(VALUE(TEXT(B1930,"[$-1170401]mm")),""))</f>
        <v/>
      </c>
    </row>
    <row r="1931">
      <c r="B1931" s="30" t="n"/>
      <c r="G1931" s="9">
        <f>IF(AND(E1931&lt;&gt;"",E1931&lt;&gt;0,H1931&lt;&gt;""),H1931/E1931,"")</f>
        <v/>
      </c>
      <c r="L1931">
        <f>IF(B1931="","",IFERROR(VALUE(TEXT(B1931,"[$-1170401]yyyy")),""))</f>
        <v/>
      </c>
      <c r="M1931">
        <f>IF(B1931="","",IFERROR(VALUE(TEXT(B1931,"[$-1170401]mm")),""))</f>
        <v/>
      </c>
    </row>
    <row r="1932">
      <c r="B1932" s="30" t="n"/>
      <c r="G1932" s="9">
        <f>IF(AND(E1932&lt;&gt;"",E1932&lt;&gt;0,H1932&lt;&gt;""),H1932/E1932,"")</f>
        <v/>
      </c>
      <c r="L1932">
        <f>IF(B1932="","",IFERROR(VALUE(TEXT(B1932,"[$-1170401]yyyy")),""))</f>
        <v/>
      </c>
      <c r="M1932">
        <f>IF(B1932="","",IFERROR(VALUE(TEXT(B1932,"[$-1170401]mm")),""))</f>
        <v/>
      </c>
    </row>
    <row r="1933">
      <c r="B1933" s="30" t="n"/>
      <c r="G1933" s="9">
        <f>IF(AND(E1933&lt;&gt;"",E1933&lt;&gt;0,H1933&lt;&gt;""),H1933/E1933,"")</f>
        <v/>
      </c>
      <c r="L1933">
        <f>IF(B1933="","",IFERROR(VALUE(TEXT(B1933,"[$-1170401]yyyy")),""))</f>
        <v/>
      </c>
      <c r="M1933">
        <f>IF(B1933="","",IFERROR(VALUE(TEXT(B1933,"[$-1170401]mm")),""))</f>
        <v/>
      </c>
    </row>
    <row r="1934">
      <c r="B1934" s="30" t="n"/>
      <c r="G1934" s="9">
        <f>IF(AND(E1934&lt;&gt;"",E1934&lt;&gt;0,H1934&lt;&gt;""),H1934/E1934,"")</f>
        <v/>
      </c>
      <c r="L1934">
        <f>IF(B1934="","",IFERROR(VALUE(TEXT(B1934,"[$-1170401]yyyy")),""))</f>
        <v/>
      </c>
      <c r="M1934">
        <f>IF(B1934="","",IFERROR(VALUE(TEXT(B1934,"[$-1170401]mm")),""))</f>
        <v/>
      </c>
    </row>
    <row r="1935">
      <c r="B1935" s="30" t="n"/>
      <c r="G1935" s="9">
        <f>IF(AND(E1935&lt;&gt;"",E1935&lt;&gt;0,H1935&lt;&gt;""),H1935/E1935,"")</f>
        <v/>
      </c>
      <c r="L1935">
        <f>IF(B1935="","",IFERROR(VALUE(TEXT(B1935,"[$-1170401]yyyy")),""))</f>
        <v/>
      </c>
      <c r="M1935">
        <f>IF(B1935="","",IFERROR(VALUE(TEXT(B1935,"[$-1170401]mm")),""))</f>
        <v/>
      </c>
    </row>
    <row r="1936">
      <c r="B1936" s="30" t="n"/>
      <c r="G1936" s="9">
        <f>IF(AND(E1936&lt;&gt;"",E1936&lt;&gt;0,H1936&lt;&gt;""),H1936/E1936,"")</f>
        <v/>
      </c>
      <c r="L1936">
        <f>IF(B1936="","",IFERROR(VALUE(TEXT(B1936,"[$-1170401]yyyy")),""))</f>
        <v/>
      </c>
      <c r="M1936">
        <f>IF(B1936="","",IFERROR(VALUE(TEXT(B1936,"[$-1170401]mm")),""))</f>
        <v/>
      </c>
    </row>
    <row r="1937">
      <c r="B1937" s="30" t="n"/>
      <c r="G1937" s="9">
        <f>IF(AND(E1937&lt;&gt;"",E1937&lt;&gt;0,H1937&lt;&gt;""),H1937/E1937,"")</f>
        <v/>
      </c>
      <c r="L1937">
        <f>IF(B1937="","",IFERROR(VALUE(TEXT(B1937,"[$-1170401]yyyy")),""))</f>
        <v/>
      </c>
      <c r="M1937">
        <f>IF(B1937="","",IFERROR(VALUE(TEXT(B1937,"[$-1170401]mm")),""))</f>
        <v/>
      </c>
    </row>
    <row r="1938">
      <c r="B1938" s="30" t="n"/>
      <c r="G1938" s="9">
        <f>IF(AND(E1938&lt;&gt;"",E1938&lt;&gt;0,H1938&lt;&gt;""),H1938/E1938,"")</f>
        <v/>
      </c>
      <c r="L1938">
        <f>IF(B1938="","",IFERROR(VALUE(TEXT(B1938,"[$-1170401]yyyy")),""))</f>
        <v/>
      </c>
      <c r="M1938">
        <f>IF(B1938="","",IFERROR(VALUE(TEXT(B1938,"[$-1170401]mm")),""))</f>
        <v/>
      </c>
    </row>
    <row r="1939">
      <c r="B1939" s="30" t="n"/>
      <c r="G1939" s="9">
        <f>IF(AND(E1939&lt;&gt;"",E1939&lt;&gt;0,H1939&lt;&gt;""),H1939/E1939,"")</f>
        <v/>
      </c>
      <c r="L1939">
        <f>IF(B1939="","",IFERROR(VALUE(TEXT(B1939,"[$-1170401]yyyy")),""))</f>
        <v/>
      </c>
      <c r="M1939">
        <f>IF(B1939="","",IFERROR(VALUE(TEXT(B1939,"[$-1170401]mm")),""))</f>
        <v/>
      </c>
    </row>
    <row r="1940">
      <c r="B1940" s="30" t="n"/>
      <c r="G1940" s="9">
        <f>IF(AND(E1940&lt;&gt;"",E1940&lt;&gt;0,H1940&lt;&gt;""),H1940/E1940,"")</f>
        <v/>
      </c>
      <c r="L1940">
        <f>IF(B1940="","",IFERROR(VALUE(TEXT(B1940,"[$-1170401]yyyy")),""))</f>
        <v/>
      </c>
      <c r="M1940">
        <f>IF(B1940="","",IFERROR(VALUE(TEXT(B1940,"[$-1170401]mm")),""))</f>
        <v/>
      </c>
    </row>
    <row r="1941">
      <c r="B1941" s="30" t="n"/>
      <c r="G1941" s="9">
        <f>IF(AND(E1941&lt;&gt;"",E1941&lt;&gt;0,H1941&lt;&gt;""),H1941/E1941,"")</f>
        <v/>
      </c>
      <c r="L1941">
        <f>IF(B1941="","",IFERROR(VALUE(TEXT(B1941,"[$-1170401]yyyy")),""))</f>
        <v/>
      </c>
      <c r="M1941">
        <f>IF(B1941="","",IFERROR(VALUE(TEXT(B1941,"[$-1170401]mm")),""))</f>
        <v/>
      </c>
    </row>
    <row r="1942">
      <c r="B1942" s="30" t="n"/>
      <c r="G1942" s="9">
        <f>IF(AND(E1942&lt;&gt;"",E1942&lt;&gt;0,H1942&lt;&gt;""),H1942/E1942,"")</f>
        <v/>
      </c>
      <c r="L1942">
        <f>IF(B1942="","",IFERROR(VALUE(TEXT(B1942,"[$-1170401]yyyy")),""))</f>
        <v/>
      </c>
      <c r="M1942">
        <f>IF(B1942="","",IFERROR(VALUE(TEXT(B1942,"[$-1170401]mm")),""))</f>
        <v/>
      </c>
    </row>
    <row r="1943">
      <c r="B1943" s="30" t="n"/>
      <c r="G1943" s="9">
        <f>IF(AND(E1943&lt;&gt;"",E1943&lt;&gt;0,H1943&lt;&gt;""),H1943/E1943,"")</f>
        <v/>
      </c>
      <c r="L1943">
        <f>IF(B1943="","",IFERROR(VALUE(TEXT(B1943,"[$-1170401]yyyy")),""))</f>
        <v/>
      </c>
      <c r="M1943">
        <f>IF(B1943="","",IFERROR(VALUE(TEXT(B1943,"[$-1170401]mm")),""))</f>
        <v/>
      </c>
    </row>
    <row r="1944">
      <c r="B1944" s="30" t="n"/>
      <c r="G1944" s="9">
        <f>IF(AND(E1944&lt;&gt;"",E1944&lt;&gt;0,H1944&lt;&gt;""),H1944/E1944,"")</f>
        <v/>
      </c>
      <c r="L1944">
        <f>IF(B1944="","",IFERROR(VALUE(TEXT(B1944,"[$-1170401]yyyy")),""))</f>
        <v/>
      </c>
      <c r="M1944">
        <f>IF(B1944="","",IFERROR(VALUE(TEXT(B1944,"[$-1170401]mm")),""))</f>
        <v/>
      </c>
    </row>
    <row r="1945">
      <c r="B1945" s="30" t="n"/>
      <c r="G1945" s="9">
        <f>IF(AND(E1945&lt;&gt;"",E1945&lt;&gt;0,H1945&lt;&gt;""),H1945/E1945,"")</f>
        <v/>
      </c>
      <c r="L1945">
        <f>IF(B1945="","",IFERROR(VALUE(TEXT(B1945,"[$-1170401]yyyy")),""))</f>
        <v/>
      </c>
      <c r="M1945">
        <f>IF(B1945="","",IFERROR(VALUE(TEXT(B1945,"[$-1170401]mm")),""))</f>
        <v/>
      </c>
    </row>
    <row r="1946">
      <c r="B1946" s="30" t="n"/>
      <c r="G1946" s="9">
        <f>IF(AND(E1946&lt;&gt;"",E1946&lt;&gt;0,H1946&lt;&gt;""),H1946/E1946,"")</f>
        <v/>
      </c>
      <c r="L1946">
        <f>IF(B1946="","",IFERROR(VALUE(TEXT(B1946,"[$-1170401]yyyy")),""))</f>
        <v/>
      </c>
      <c r="M1946">
        <f>IF(B1946="","",IFERROR(VALUE(TEXT(B1946,"[$-1170401]mm")),""))</f>
        <v/>
      </c>
    </row>
    <row r="1947">
      <c r="B1947" s="30" t="n"/>
      <c r="G1947" s="9">
        <f>IF(AND(E1947&lt;&gt;"",E1947&lt;&gt;0,H1947&lt;&gt;""),H1947/E1947,"")</f>
        <v/>
      </c>
      <c r="L1947">
        <f>IF(B1947="","",IFERROR(VALUE(TEXT(B1947,"[$-1170401]yyyy")),""))</f>
        <v/>
      </c>
      <c r="M1947">
        <f>IF(B1947="","",IFERROR(VALUE(TEXT(B1947,"[$-1170401]mm")),""))</f>
        <v/>
      </c>
    </row>
    <row r="1948">
      <c r="B1948" s="30" t="n"/>
      <c r="G1948" s="9">
        <f>IF(AND(E1948&lt;&gt;"",E1948&lt;&gt;0,H1948&lt;&gt;""),H1948/E1948,"")</f>
        <v/>
      </c>
      <c r="L1948">
        <f>IF(B1948="","",IFERROR(VALUE(TEXT(B1948,"[$-1170401]yyyy")),""))</f>
        <v/>
      </c>
      <c r="M1948">
        <f>IF(B1948="","",IFERROR(VALUE(TEXT(B1948,"[$-1170401]mm")),""))</f>
        <v/>
      </c>
    </row>
    <row r="1949">
      <c r="B1949" s="30" t="n"/>
      <c r="G1949" s="9">
        <f>IF(AND(E1949&lt;&gt;"",E1949&lt;&gt;0,H1949&lt;&gt;""),H1949/E1949,"")</f>
        <v/>
      </c>
      <c r="L1949">
        <f>IF(B1949="","",IFERROR(VALUE(TEXT(B1949,"[$-1170401]yyyy")),""))</f>
        <v/>
      </c>
      <c r="M1949">
        <f>IF(B1949="","",IFERROR(VALUE(TEXT(B1949,"[$-1170401]mm")),""))</f>
        <v/>
      </c>
    </row>
    <row r="1950">
      <c r="B1950" s="30" t="n"/>
      <c r="G1950" s="9">
        <f>IF(AND(E1950&lt;&gt;"",E1950&lt;&gt;0,H1950&lt;&gt;""),H1950/E1950,"")</f>
        <v/>
      </c>
      <c r="L1950">
        <f>IF(B1950="","",IFERROR(VALUE(TEXT(B1950,"[$-1170401]yyyy")),""))</f>
        <v/>
      </c>
      <c r="M1950">
        <f>IF(B1950="","",IFERROR(VALUE(TEXT(B1950,"[$-1170401]mm")),""))</f>
        <v/>
      </c>
    </row>
    <row r="1951">
      <c r="B1951" s="30" t="n"/>
      <c r="G1951" s="9">
        <f>IF(AND(E1951&lt;&gt;"",E1951&lt;&gt;0,H1951&lt;&gt;""),H1951/E1951,"")</f>
        <v/>
      </c>
      <c r="L1951">
        <f>IF(B1951="","",IFERROR(VALUE(TEXT(B1951,"[$-1170401]yyyy")),""))</f>
        <v/>
      </c>
      <c r="M1951">
        <f>IF(B1951="","",IFERROR(VALUE(TEXT(B1951,"[$-1170401]mm")),""))</f>
        <v/>
      </c>
    </row>
    <row r="1952">
      <c r="B1952" s="30" t="n"/>
      <c r="G1952" s="9">
        <f>IF(AND(E1952&lt;&gt;"",E1952&lt;&gt;0,H1952&lt;&gt;""),H1952/E1952,"")</f>
        <v/>
      </c>
      <c r="L1952">
        <f>IF(B1952="","",IFERROR(VALUE(TEXT(B1952,"[$-1170401]yyyy")),""))</f>
        <v/>
      </c>
      <c r="M1952">
        <f>IF(B1952="","",IFERROR(VALUE(TEXT(B1952,"[$-1170401]mm")),""))</f>
        <v/>
      </c>
    </row>
    <row r="1953">
      <c r="B1953" s="30" t="n"/>
      <c r="G1953" s="9">
        <f>IF(AND(E1953&lt;&gt;"",E1953&lt;&gt;0,H1953&lt;&gt;""),H1953/E1953,"")</f>
        <v/>
      </c>
      <c r="L1953">
        <f>IF(B1953="","",IFERROR(VALUE(TEXT(B1953,"[$-1170401]yyyy")),""))</f>
        <v/>
      </c>
      <c r="M1953">
        <f>IF(B1953="","",IFERROR(VALUE(TEXT(B1953,"[$-1170401]mm")),""))</f>
        <v/>
      </c>
    </row>
    <row r="1954">
      <c r="B1954" s="30" t="n"/>
      <c r="G1954" s="9">
        <f>IF(AND(E1954&lt;&gt;"",E1954&lt;&gt;0,H1954&lt;&gt;""),H1954/E1954,"")</f>
        <v/>
      </c>
      <c r="L1954">
        <f>IF(B1954="","",IFERROR(VALUE(TEXT(B1954,"[$-1170401]yyyy")),""))</f>
        <v/>
      </c>
      <c r="M1954">
        <f>IF(B1954="","",IFERROR(VALUE(TEXT(B1954,"[$-1170401]mm")),""))</f>
        <v/>
      </c>
    </row>
    <row r="1955">
      <c r="B1955" s="30" t="n"/>
      <c r="G1955" s="9">
        <f>IF(AND(E1955&lt;&gt;"",E1955&lt;&gt;0,H1955&lt;&gt;""),H1955/E1955,"")</f>
        <v/>
      </c>
      <c r="L1955">
        <f>IF(B1955="","",IFERROR(VALUE(TEXT(B1955,"[$-1170401]yyyy")),""))</f>
        <v/>
      </c>
      <c r="M1955">
        <f>IF(B1955="","",IFERROR(VALUE(TEXT(B1955,"[$-1170401]mm")),""))</f>
        <v/>
      </c>
    </row>
    <row r="1956">
      <c r="B1956" s="30" t="n"/>
      <c r="G1956" s="9">
        <f>IF(AND(E1956&lt;&gt;"",E1956&lt;&gt;0,H1956&lt;&gt;""),H1956/E1956,"")</f>
        <v/>
      </c>
      <c r="L1956">
        <f>IF(B1956="","",IFERROR(VALUE(TEXT(B1956,"[$-1170401]yyyy")),""))</f>
        <v/>
      </c>
      <c r="M1956">
        <f>IF(B1956="","",IFERROR(VALUE(TEXT(B1956,"[$-1170401]mm")),""))</f>
        <v/>
      </c>
    </row>
    <row r="1957">
      <c r="B1957" s="30" t="n"/>
      <c r="G1957" s="9">
        <f>IF(AND(E1957&lt;&gt;"",E1957&lt;&gt;0,H1957&lt;&gt;""),H1957/E1957,"")</f>
        <v/>
      </c>
      <c r="L1957">
        <f>IF(B1957="","",IFERROR(VALUE(TEXT(B1957,"[$-1170401]yyyy")),""))</f>
        <v/>
      </c>
      <c r="M1957">
        <f>IF(B1957="","",IFERROR(VALUE(TEXT(B1957,"[$-1170401]mm")),""))</f>
        <v/>
      </c>
    </row>
    <row r="1958">
      <c r="B1958" s="30" t="n"/>
      <c r="G1958" s="9">
        <f>IF(AND(E1958&lt;&gt;"",E1958&lt;&gt;0,H1958&lt;&gt;""),H1958/E1958,"")</f>
        <v/>
      </c>
      <c r="L1958">
        <f>IF(B1958="","",IFERROR(VALUE(TEXT(B1958,"[$-1170401]yyyy")),""))</f>
        <v/>
      </c>
      <c r="M1958">
        <f>IF(B1958="","",IFERROR(VALUE(TEXT(B1958,"[$-1170401]mm")),""))</f>
        <v/>
      </c>
    </row>
    <row r="1959">
      <c r="B1959" s="30" t="n"/>
      <c r="G1959" s="9">
        <f>IF(AND(E1959&lt;&gt;"",E1959&lt;&gt;0,H1959&lt;&gt;""),H1959/E1959,"")</f>
        <v/>
      </c>
      <c r="L1959">
        <f>IF(B1959="","",IFERROR(VALUE(TEXT(B1959,"[$-1170401]yyyy")),""))</f>
        <v/>
      </c>
      <c r="M1959">
        <f>IF(B1959="","",IFERROR(VALUE(TEXT(B1959,"[$-1170401]mm")),""))</f>
        <v/>
      </c>
    </row>
    <row r="1960">
      <c r="B1960" s="30" t="n"/>
      <c r="G1960" s="9">
        <f>IF(AND(E1960&lt;&gt;"",E1960&lt;&gt;0,H1960&lt;&gt;""),H1960/E1960,"")</f>
        <v/>
      </c>
      <c r="L1960">
        <f>IF(B1960="","",IFERROR(VALUE(TEXT(B1960,"[$-1170401]yyyy")),""))</f>
        <v/>
      </c>
      <c r="M1960">
        <f>IF(B1960="","",IFERROR(VALUE(TEXT(B1960,"[$-1170401]mm")),""))</f>
        <v/>
      </c>
    </row>
    <row r="1961">
      <c r="B1961" s="30" t="n"/>
      <c r="G1961" s="9">
        <f>IF(AND(E1961&lt;&gt;"",E1961&lt;&gt;0,H1961&lt;&gt;""),H1961/E1961,"")</f>
        <v/>
      </c>
      <c r="L1961">
        <f>IF(B1961="","",IFERROR(VALUE(TEXT(B1961,"[$-1170401]yyyy")),""))</f>
        <v/>
      </c>
      <c r="M1961">
        <f>IF(B1961="","",IFERROR(VALUE(TEXT(B1961,"[$-1170401]mm")),""))</f>
        <v/>
      </c>
    </row>
    <row r="1962">
      <c r="B1962" s="30" t="n"/>
      <c r="G1962" s="9">
        <f>IF(AND(E1962&lt;&gt;"",E1962&lt;&gt;0,H1962&lt;&gt;""),H1962/E1962,"")</f>
        <v/>
      </c>
      <c r="L1962">
        <f>IF(B1962="","",IFERROR(VALUE(TEXT(B1962,"[$-1170401]yyyy")),""))</f>
        <v/>
      </c>
      <c r="M1962">
        <f>IF(B1962="","",IFERROR(VALUE(TEXT(B1962,"[$-1170401]mm")),""))</f>
        <v/>
      </c>
    </row>
    <row r="1963">
      <c r="B1963" s="30" t="n"/>
      <c r="G1963" s="9">
        <f>IF(AND(E1963&lt;&gt;"",E1963&lt;&gt;0,H1963&lt;&gt;""),H1963/E1963,"")</f>
        <v/>
      </c>
      <c r="L1963">
        <f>IF(B1963="","",IFERROR(VALUE(TEXT(B1963,"[$-1170401]yyyy")),""))</f>
        <v/>
      </c>
      <c r="M1963">
        <f>IF(B1963="","",IFERROR(VALUE(TEXT(B1963,"[$-1170401]mm")),""))</f>
        <v/>
      </c>
    </row>
    <row r="1964">
      <c r="B1964" s="30" t="n"/>
      <c r="G1964" s="9">
        <f>IF(AND(E1964&lt;&gt;"",E1964&lt;&gt;0,H1964&lt;&gt;""),H1964/E1964,"")</f>
        <v/>
      </c>
      <c r="L1964">
        <f>IF(B1964="","",IFERROR(VALUE(TEXT(B1964,"[$-1170401]yyyy")),""))</f>
        <v/>
      </c>
      <c r="M1964">
        <f>IF(B1964="","",IFERROR(VALUE(TEXT(B1964,"[$-1170401]mm")),""))</f>
        <v/>
      </c>
    </row>
    <row r="1965">
      <c r="B1965" s="30" t="n"/>
      <c r="G1965" s="9">
        <f>IF(AND(E1965&lt;&gt;"",E1965&lt;&gt;0,H1965&lt;&gt;""),H1965/E1965,"")</f>
        <v/>
      </c>
      <c r="L1965">
        <f>IF(B1965="","",IFERROR(VALUE(TEXT(B1965,"[$-1170401]yyyy")),""))</f>
        <v/>
      </c>
      <c r="M1965">
        <f>IF(B1965="","",IFERROR(VALUE(TEXT(B1965,"[$-1170401]mm")),""))</f>
        <v/>
      </c>
    </row>
    <row r="1966">
      <c r="B1966" s="30" t="n"/>
      <c r="G1966" s="9">
        <f>IF(AND(E1966&lt;&gt;"",E1966&lt;&gt;0,H1966&lt;&gt;""),H1966/E1966,"")</f>
        <v/>
      </c>
      <c r="L1966">
        <f>IF(B1966="","",IFERROR(VALUE(TEXT(B1966,"[$-1170401]yyyy")),""))</f>
        <v/>
      </c>
      <c r="M1966">
        <f>IF(B1966="","",IFERROR(VALUE(TEXT(B1966,"[$-1170401]mm")),""))</f>
        <v/>
      </c>
    </row>
    <row r="1967">
      <c r="B1967" s="30" t="n"/>
      <c r="G1967" s="9">
        <f>IF(AND(E1967&lt;&gt;"",E1967&lt;&gt;0,H1967&lt;&gt;""),H1967/E1967,"")</f>
        <v/>
      </c>
      <c r="L1967">
        <f>IF(B1967="","",IFERROR(VALUE(TEXT(B1967,"[$-1170401]yyyy")),""))</f>
        <v/>
      </c>
      <c r="M1967">
        <f>IF(B1967="","",IFERROR(VALUE(TEXT(B1967,"[$-1170401]mm")),""))</f>
        <v/>
      </c>
    </row>
    <row r="1968">
      <c r="B1968" s="30" t="n"/>
      <c r="G1968" s="9">
        <f>IF(AND(E1968&lt;&gt;"",E1968&lt;&gt;0,H1968&lt;&gt;""),H1968/E1968,"")</f>
        <v/>
      </c>
      <c r="L1968">
        <f>IF(B1968="","",IFERROR(VALUE(TEXT(B1968,"[$-1170401]yyyy")),""))</f>
        <v/>
      </c>
      <c r="M1968">
        <f>IF(B1968="","",IFERROR(VALUE(TEXT(B1968,"[$-1170401]mm")),""))</f>
        <v/>
      </c>
    </row>
    <row r="1969">
      <c r="B1969" s="30" t="n"/>
      <c r="G1969" s="9">
        <f>IF(AND(E1969&lt;&gt;"",E1969&lt;&gt;0,H1969&lt;&gt;""),H1969/E1969,"")</f>
        <v/>
      </c>
      <c r="L1969">
        <f>IF(B1969="","",IFERROR(VALUE(TEXT(B1969,"[$-1170401]yyyy")),""))</f>
        <v/>
      </c>
      <c r="M1969">
        <f>IF(B1969="","",IFERROR(VALUE(TEXT(B1969,"[$-1170401]mm")),""))</f>
        <v/>
      </c>
    </row>
    <row r="1970">
      <c r="B1970" s="30" t="n"/>
      <c r="G1970" s="9">
        <f>IF(AND(E1970&lt;&gt;"",E1970&lt;&gt;0,H1970&lt;&gt;""),H1970/E1970,"")</f>
        <v/>
      </c>
      <c r="L1970">
        <f>IF(B1970="","",IFERROR(VALUE(TEXT(B1970,"[$-1170401]yyyy")),""))</f>
        <v/>
      </c>
      <c r="M1970">
        <f>IF(B1970="","",IFERROR(VALUE(TEXT(B1970,"[$-1170401]mm")),""))</f>
        <v/>
      </c>
    </row>
    <row r="1971">
      <c r="B1971" s="30" t="n"/>
      <c r="G1971" s="9">
        <f>IF(AND(E1971&lt;&gt;"",E1971&lt;&gt;0,H1971&lt;&gt;""),H1971/E1971,"")</f>
        <v/>
      </c>
      <c r="L1971">
        <f>IF(B1971="","",IFERROR(VALUE(TEXT(B1971,"[$-1170401]yyyy")),""))</f>
        <v/>
      </c>
      <c r="M1971">
        <f>IF(B1971="","",IFERROR(VALUE(TEXT(B1971,"[$-1170401]mm")),""))</f>
        <v/>
      </c>
    </row>
    <row r="1972">
      <c r="B1972" s="30" t="n"/>
      <c r="G1972" s="9">
        <f>IF(AND(E1972&lt;&gt;"",E1972&lt;&gt;0,H1972&lt;&gt;""),H1972/E1972,"")</f>
        <v/>
      </c>
      <c r="L1972">
        <f>IF(B1972="","",IFERROR(VALUE(TEXT(B1972,"[$-1170401]yyyy")),""))</f>
        <v/>
      </c>
      <c r="M1972">
        <f>IF(B1972="","",IFERROR(VALUE(TEXT(B1972,"[$-1170401]mm")),""))</f>
        <v/>
      </c>
    </row>
    <row r="1973">
      <c r="B1973" s="30" t="n"/>
      <c r="G1973" s="9">
        <f>IF(AND(E1973&lt;&gt;"",E1973&lt;&gt;0,H1973&lt;&gt;""),H1973/E1973,"")</f>
        <v/>
      </c>
      <c r="L1973">
        <f>IF(B1973="","",IFERROR(VALUE(TEXT(B1973,"[$-1170401]yyyy")),""))</f>
        <v/>
      </c>
      <c r="M1973">
        <f>IF(B1973="","",IFERROR(VALUE(TEXT(B1973,"[$-1170401]mm")),""))</f>
        <v/>
      </c>
    </row>
    <row r="1974">
      <c r="B1974" s="30" t="n"/>
      <c r="G1974" s="9">
        <f>IF(AND(E1974&lt;&gt;"",E1974&lt;&gt;0,H1974&lt;&gt;""),H1974/E1974,"")</f>
        <v/>
      </c>
      <c r="L1974">
        <f>IF(B1974="","",IFERROR(VALUE(TEXT(B1974,"[$-1170401]yyyy")),""))</f>
        <v/>
      </c>
      <c r="M1974">
        <f>IF(B1974="","",IFERROR(VALUE(TEXT(B1974,"[$-1170401]mm")),""))</f>
        <v/>
      </c>
    </row>
    <row r="1975">
      <c r="B1975" s="30" t="n"/>
      <c r="G1975" s="9">
        <f>IF(AND(E1975&lt;&gt;"",E1975&lt;&gt;0,H1975&lt;&gt;""),H1975/E1975,"")</f>
        <v/>
      </c>
      <c r="L1975">
        <f>IF(B1975="","",IFERROR(VALUE(TEXT(B1975,"[$-1170401]yyyy")),""))</f>
        <v/>
      </c>
      <c r="M1975">
        <f>IF(B1975="","",IFERROR(VALUE(TEXT(B1975,"[$-1170401]mm")),""))</f>
        <v/>
      </c>
    </row>
    <row r="1976">
      <c r="B1976" s="30" t="n"/>
      <c r="G1976" s="9">
        <f>IF(AND(E1976&lt;&gt;"",E1976&lt;&gt;0,H1976&lt;&gt;""),H1976/E1976,"")</f>
        <v/>
      </c>
      <c r="L1976">
        <f>IF(B1976="","",IFERROR(VALUE(TEXT(B1976,"[$-1170401]yyyy")),""))</f>
        <v/>
      </c>
      <c r="M1976">
        <f>IF(B1976="","",IFERROR(VALUE(TEXT(B1976,"[$-1170401]mm")),""))</f>
        <v/>
      </c>
    </row>
    <row r="1977">
      <c r="B1977" s="30" t="n"/>
      <c r="G1977" s="9">
        <f>IF(AND(E1977&lt;&gt;"",E1977&lt;&gt;0,H1977&lt;&gt;""),H1977/E1977,"")</f>
        <v/>
      </c>
      <c r="L1977">
        <f>IF(B1977="","",IFERROR(VALUE(TEXT(B1977,"[$-1170401]yyyy")),""))</f>
        <v/>
      </c>
      <c r="M1977">
        <f>IF(B1977="","",IFERROR(VALUE(TEXT(B1977,"[$-1170401]mm")),""))</f>
        <v/>
      </c>
    </row>
    <row r="1978">
      <c r="B1978" s="30" t="n"/>
      <c r="G1978" s="9">
        <f>IF(AND(E1978&lt;&gt;"",E1978&lt;&gt;0,H1978&lt;&gt;""),H1978/E1978,"")</f>
        <v/>
      </c>
      <c r="L1978">
        <f>IF(B1978="","",IFERROR(VALUE(TEXT(B1978,"[$-1170401]yyyy")),""))</f>
        <v/>
      </c>
      <c r="M1978">
        <f>IF(B1978="","",IFERROR(VALUE(TEXT(B1978,"[$-1170401]mm")),""))</f>
        <v/>
      </c>
    </row>
    <row r="1979">
      <c r="B1979" s="30" t="n"/>
      <c r="G1979" s="9">
        <f>IF(AND(E1979&lt;&gt;"",E1979&lt;&gt;0,H1979&lt;&gt;""),H1979/E1979,"")</f>
        <v/>
      </c>
      <c r="L1979">
        <f>IF(B1979="","",IFERROR(VALUE(TEXT(B1979,"[$-1170401]yyyy")),""))</f>
        <v/>
      </c>
      <c r="M1979">
        <f>IF(B1979="","",IFERROR(VALUE(TEXT(B1979,"[$-1170401]mm")),""))</f>
        <v/>
      </c>
    </row>
    <row r="1980">
      <c r="B1980" s="30" t="n"/>
      <c r="G1980" s="9">
        <f>IF(AND(E1980&lt;&gt;"",E1980&lt;&gt;0,H1980&lt;&gt;""),H1980/E1980,"")</f>
        <v/>
      </c>
      <c r="L1980">
        <f>IF(B1980="","",IFERROR(VALUE(TEXT(B1980,"[$-1170401]yyyy")),""))</f>
        <v/>
      </c>
      <c r="M1980">
        <f>IF(B1980="","",IFERROR(VALUE(TEXT(B1980,"[$-1170401]mm")),""))</f>
        <v/>
      </c>
    </row>
    <row r="1981">
      <c r="B1981" s="30" t="n"/>
      <c r="G1981" s="9">
        <f>IF(AND(E1981&lt;&gt;"",E1981&lt;&gt;0,H1981&lt;&gt;""),H1981/E1981,"")</f>
        <v/>
      </c>
      <c r="L1981">
        <f>IF(B1981="","",IFERROR(VALUE(TEXT(B1981,"[$-1170401]yyyy")),""))</f>
        <v/>
      </c>
      <c r="M1981">
        <f>IF(B1981="","",IFERROR(VALUE(TEXT(B1981,"[$-1170401]mm")),""))</f>
        <v/>
      </c>
    </row>
    <row r="1982">
      <c r="B1982" s="30" t="n"/>
      <c r="G1982" s="9">
        <f>IF(AND(E1982&lt;&gt;"",E1982&lt;&gt;0,H1982&lt;&gt;""),H1982/E1982,"")</f>
        <v/>
      </c>
      <c r="L1982">
        <f>IF(B1982="","",IFERROR(VALUE(TEXT(B1982,"[$-1170401]yyyy")),""))</f>
        <v/>
      </c>
      <c r="M1982">
        <f>IF(B1982="","",IFERROR(VALUE(TEXT(B1982,"[$-1170401]mm")),""))</f>
        <v/>
      </c>
    </row>
    <row r="1983">
      <c r="B1983" s="30" t="n"/>
      <c r="G1983" s="9">
        <f>IF(AND(E1983&lt;&gt;"",E1983&lt;&gt;0,H1983&lt;&gt;""),H1983/E1983,"")</f>
        <v/>
      </c>
      <c r="L1983">
        <f>IF(B1983="","",IFERROR(VALUE(TEXT(B1983,"[$-1170401]yyyy")),""))</f>
        <v/>
      </c>
      <c r="M1983">
        <f>IF(B1983="","",IFERROR(VALUE(TEXT(B1983,"[$-1170401]mm")),""))</f>
        <v/>
      </c>
    </row>
    <row r="1984">
      <c r="B1984" s="30" t="n"/>
      <c r="G1984" s="9">
        <f>IF(AND(E1984&lt;&gt;"",E1984&lt;&gt;0,H1984&lt;&gt;""),H1984/E1984,"")</f>
        <v/>
      </c>
      <c r="L1984">
        <f>IF(B1984="","",IFERROR(VALUE(TEXT(B1984,"[$-1170401]yyyy")),""))</f>
        <v/>
      </c>
      <c r="M1984">
        <f>IF(B1984="","",IFERROR(VALUE(TEXT(B1984,"[$-1170401]mm")),""))</f>
        <v/>
      </c>
    </row>
    <row r="1985">
      <c r="B1985" s="30" t="n"/>
      <c r="G1985" s="9">
        <f>IF(AND(E1985&lt;&gt;"",E1985&lt;&gt;0,H1985&lt;&gt;""),H1985/E1985,"")</f>
        <v/>
      </c>
      <c r="L1985">
        <f>IF(B1985="","",IFERROR(VALUE(TEXT(B1985,"[$-1170401]yyyy")),""))</f>
        <v/>
      </c>
      <c r="M1985">
        <f>IF(B1985="","",IFERROR(VALUE(TEXT(B1985,"[$-1170401]mm")),""))</f>
        <v/>
      </c>
    </row>
    <row r="1986">
      <c r="B1986" s="30" t="n"/>
      <c r="G1986" s="9">
        <f>IF(AND(E1986&lt;&gt;"",E1986&lt;&gt;0,H1986&lt;&gt;""),H1986/E1986,"")</f>
        <v/>
      </c>
      <c r="L1986">
        <f>IF(B1986="","",IFERROR(VALUE(TEXT(B1986,"[$-1170401]yyyy")),""))</f>
        <v/>
      </c>
      <c r="M1986">
        <f>IF(B1986="","",IFERROR(VALUE(TEXT(B1986,"[$-1170401]mm")),""))</f>
        <v/>
      </c>
    </row>
    <row r="1987">
      <c r="B1987" s="30" t="n"/>
      <c r="G1987" s="9">
        <f>IF(AND(E1987&lt;&gt;"",E1987&lt;&gt;0,H1987&lt;&gt;""),H1987/E1987,"")</f>
        <v/>
      </c>
      <c r="L1987">
        <f>IF(B1987="","",IFERROR(VALUE(TEXT(B1987,"[$-1170401]yyyy")),""))</f>
        <v/>
      </c>
      <c r="M1987">
        <f>IF(B1987="","",IFERROR(VALUE(TEXT(B1987,"[$-1170401]mm")),""))</f>
        <v/>
      </c>
    </row>
    <row r="1988">
      <c r="B1988" s="30" t="n"/>
      <c r="G1988" s="9">
        <f>IF(AND(E1988&lt;&gt;"",E1988&lt;&gt;0,H1988&lt;&gt;""),H1988/E1988,"")</f>
        <v/>
      </c>
      <c r="L1988">
        <f>IF(B1988="","",IFERROR(VALUE(TEXT(B1988,"[$-1170401]yyyy")),""))</f>
        <v/>
      </c>
      <c r="M1988">
        <f>IF(B1988="","",IFERROR(VALUE(TEXT(B1988,"[$-1170401]mm")),""))</f>
        <v/>
      </c>
    </row>
    <row r="1989">
      <c r="B1989" s="30" t="n"/>
      <c r="G1989" s="9">
        <f>IF(AND(E1989&lt;&gt;"",E1989&lt;&gt;0,H1989&lt;&gt;""),H1989/E1989,"")</f>
        <v/>
      </c>
      <c r="L1989">
        <f>IF(B1989="","",IFERROR(VALUE(TEXT(B1989,"[$-1170401]yyyy")),""))</f>
        <v/>
      </c>
      <c r="M1989">
        <f>IF(B1989="","",IFERROR(VALUE(TEXT(B1989,"[$-1170401]mm")),""))</f>
        <v/>
      </c>
    </row>
    <row r="1990">
      <c r="B1990" s="30" t="n"/>
      <c r="G1990" s="9">
        <f>IF(AND(E1990&lt;&gt;"",E1990&lt;&gt;0,H1990&lt;&gt;""),H1990/E1990,"")</f>
        <v/>
      </c>
      <c r="L1990">
        <f>IF(B1990="","",IFERROR(VALUE(TEXT(B1990,"[$-1170401]yyyy")),""))</f>
        <v/>
      </c>
      <c r="M1990">
        <f>IF(B1990="","",IFERROR(VALUE(TEXT(B1990,"[$-1170401]mm")),""))</f>
        <v/>
      </c>
    </row>
    <row r="1991">
      <c r="B1991" s="30" t="n"/>
      <c r="G1991" s="9">
        <f>IF(AND(E1991&lt;&gt;"",E1991&lt;&gt;0,H1991&lt;&gt;""),H1991/E1991,"")</f>
        <v/>
      </c>
      <c r="L1991">
        <f>IF(B1991="","",IFERROR(VALUE(TEXT(B1991,"[$-1170401]yyyy")),""))</f>
        <v/>
      </c>
      <c r="M1991">
        <f>IF(B1991="","",IFERROR(VALUE(TEXT(B1991,"[$-1170401]mm")),""))</f>
        <v/>
      </c>
    </row>
    <row r="1992">
      <c r="B1992" s="30" t="n"/>
      <c r="G1992" s="9">
        <f>IF(AND(E1992&lt;&gt;"",E1992&lt;&gt;0,H1992&lt;&gt;""),H1992/E1992,"")</f>
        <v/>
      </c>
      <c r="L1992">
        <f>IF(B1992="","",IFERROR(VALUE(TEXT(B1992,"[$-1170401]yyyy")),""))</f>
        <v/>
      </c>
      <c r="M1992">
        <f>IF(B1992="","",IFERROR(VALUE(TEXT(B1992,"[$-1170401]mm")),""))</f>
        <v/>
      </c>
    </row>
    <row r="1993">
      <c r="B1993" s="30" t="n"/>
      <c r="G1993" s="9">
        <f>IF(AND(E1993&lt;&gt;"",E1993&lt;&gt;0,H1993&lt;&gt;""),H1993/E1993,"")</f>
        <v/>
      </c>
      <c r="L1993">
        <f>IF(B1993="","",IFERROR(VALUE(TEXT(B1993,"[$-1170401]yyyy")),""))</f>
        <v/>
      </c>
      <c r="M1993">
        <f>IF(B1993="","",IFERROR(VALUE(TEXT(B1993,"[$-1170401]mm")),""))</f>
        <v/>
      </c>
    </row>
    <row r="1994">
      <c r="B1994" s="30" t="n"/>
      <c r="G1994" s="9">
        <f>IF(AND(E1994&lt;&gt;"",E1994&lt;&gt;0,H1994&lt;&gt;""),H1994/E1994,"")</f>
        <v/>
      </c>
      <c r="L1994">
        <f>IF(B1994="","",IFERROR(VALUE(TEXT(B1994,"[$-1170401]yyyy")),""))</f>
        <v/>
      </c>
      <c r="M1994">
        <f>IF(B1994="","",IFERROR(VALUE(TEXT(B1994,"[$-1170401]mm")),""))</f>
        <v/>
      </c>
    </row>
    <row r="1995">
      <c r="B1995" s="30" t="n"/>
      <c r="G1995" s="9">
        <f>IF(AND(E1995&lt;&gt;"",E1995&lt;&gt;0,H1995&lt;&gt;""),H1995/E1995,"")</f>
        <v/>
      </c>
      <c r="L1995">
        <f>IF(B1995="","",IFERROR(VALUE(TEXT(B1995,"[$-1170401]yyyy")),""))</f>
        <v/>
      </c>
      <c r="M1995">
        <f>IF(B1995="","",IFERROR(VALUE(TEXT(B1995,"[$-1170401]mm")),""))</f>
        <v/>
      </c>
    </row>
    <row r="1996">
      <c r="B1996" s="30" t="n"/>
      <c r="G1996" s="9">
        <f>IF(AND(E1996&lt;&gt;"",E1996&lt;&gt;0,H1996&lt;&gt;""),H1996/E1996,"")</f>
        <v/>
      </c>
      <c r="L1996">
        <f>IF(B1996="","",IFERROR(VALUE(TEXT(B1996,"[$-1170401]yyyy")),""))</f>
        <v/>
      </c>
      <c r="M1996">
        <f>IF(B1996="","",IFERROR(VALUE(TEXT(B1996,"[$-1170401]mm")),""))</f>
        <v/>
      </c>
    </row>
    <row r="1997">
      <c r="B1997" s="30" t="n"/>
      <c r="G1997" s="9">
        <f>IF(AND(E1997&lt;&gt;"",E1997&lt;&gt;0,H1997&lt;&gt;""),H1997/E1997,"")</f>
        <v/>
      </c>
      <c r="L1997">
        <f>IF(B1997="","",IFERROR(VALUE(TEXT(B1997,"[$-1170401]yyyy")),""))</f>
        <v/>
      </c>
      <c r="M1997">
        <f>IF(B1997="","",IFERROR(VALUE(TEXT(B1997,"[$-1170401]mm")),""))</f>
        <v/>
      </c>
    </row>
    <row r="1998">
      <c r="B1998" s="30" t="n"/>
      <c r="G1998" s="9">
        <f>IF(AND(E1998&lt;&gt;"",E1998&lt;&gt;0,H1998&lt;&gt;""),H1998/E1998,"")</f>
        <v/>
      </c>
      <c r="L1998">
        <f>IF(B1998="","",IFERROR(VALUE(TEXT(B1998,"[$-1170401]yyyy")),""))</f>
        <v/>
      </c>
      <c r="M1998">
        <f>IF(B1998="","",IFERROR(VALUE(TEXT(B1998,"[$-1170401]mm")),""))</f>
        <v/>
      </c>
    </row>
    <row r="1999">
      <c r="B1999" s="30" t="n"/>
      <c r="G1999" s="9">
        <f>IF(AND(E1999&lt;&gt;"",E1999&lt;&gt;0,H1999&lt;&gt;""),H1999/E1999,"")</f>
        <v/>
      </c>
      <c r="L1999">
        <f>IF(B1999="","",IFERROR(VALUE(TEXT(B1999,"[$-1170401]yyyy")),""))</f>
        <v/>
      </c>
      <c r="M1999">
        <f>IF(B1999="","",IFERROR(VALUE(TEXT(B1999,"[$-1170401]mm")),""))</f>
        <v/>
      </c>
    </row>
    <row r="2000">
      <c r="B2000" s="30" t="n"/>
      <c r="G2000" s="9">
        <f>IF(AND(E2000&lt;&gt;"",E2000&lt;&gt;0,H2000&lt;&gt;""),H2000/E2000,"")</f>
        <v/>
      </c>
      <c r="L2000">
        <f>IF(B2000="","",IFERROR(VALUE(TEXT(B2000,"[$-1170401]yyyy")),""))</f>
        <v/>
      </c>
      <c r="M2000">
        <f>IF(B2000="","",IFERROR(VALUE(TEXT(B2000,"[$-1170401]mm")),""))</f>
        <v/>
      </c>
    </row>
    <row r="2001">
      <c r="B2001" s="30" t="n"/>
      <c r="G2001" s="9">
        <f>IF(AND(E2001&lt;&gt;"",E2001&lt;&gt;0,H2001&lt;&gt;""),H2001/E2001,"")</f>
        <v/>
      </c>
      <c r="L2001">
        <f>IF(B2001="","",IFERROR(VALUE(TEXT(B2001,"[$-1170401]yyyy")),""))</f>
        <v/>
      </c>
      <c r="M2001">
        <f>IF(B2001="","",IFERROR(VALUE(TEXT(B2001,"[$-1170401]mm")),""))</f>
        <v/>
      </c>
    </row>
    <row r="2002">
      <c r="B2002" s="30" t="n"/>
      <c r="G2002" s="9">
        <f>IF(AND(E2002&lt;&gt;"",E2002&lt;&gt;0,H2002&lt;&gt;""),H2002/E2002,"")</f>
        <v/>
      </c>
      <c r="L2002">
        <f>IF(B2002="","",IFERROR(VALUE(TEXT(B2002,"[$-1170401]yyyy")),""))</f>
        <v/>
      </c>
      <c r="M2002">
        <f>IF(B2002="","",IFERROR(VALUE(TEXT(B2002,"[$-1170401]mm")),""))</f>
        <v/>
      </c>
    </row>
    <row r="2003">
      <c r="B2003" s="30" t="n"/>
      <c r="G2003" s="9">
        <f>IF(AND(E2003&lt;&gt;"",E2003&lt;&gt;0,H2003&lt;&gt;""),H2003/E2003,"")</f>
        <v/>
      </c>
      <c r="L2003">
        <f>IF(B2003="","",IFERROR(VALUE(TEXT(B2003,"[$-1170401]yyyy")),""))</f>
        <v/>
      </c>
      <c r="M2003">
        <f>IF(B2003="","",IFERROR(VALUE(TEXT(B2003,"[$-1170401]mm")),""))</f>
        <v/>
      </c>
    </row>
    <row r="2004">
      <c r="B2004" s="30" t="n"/>
      <c r="G2004" s="9">
        <f>IF(AND(E2004&lt;&gt;"",E2004&lt;&gt;0,H2004&lt;&gt;""),H2004/E2004,"")</f>
        <v/>
      </c>
      <c r="L2004">
        <f>IF(B2004="","",IFERROR(VALUE(TEXT(B2004,"[$-1170401]yyyy")),""))</f>
        <v/>
      </c>
      <c r="M2004">
        <f>IF(B2004="","",IFERROR(VALUE(TEXT(B2004,"[$-1170401]mm")),""))</f>
        <v/>
      </c>
    </row>
    <row r="2005">
      <c r="B2005" s="30" t="n"/>
      <c r="G2005" s="9">
        <f>IF(AND(E2005&lt;&gt;"",E2005&lt;&gt;0,H2005&lt;&gt;""),H2005/E2005,"")</f>
        <v/>
      </c>
      <c r="L2005">
        <f>IF(B2005="","",IFERROR(VALUE(TEXT(B2005,"[$-1170401]yyyy")),""))</f>
        <v/>
      </c>
      <c r="M2005">
        <f>IF(B2005="","",IFERROR(VALUE(TEXT(B2005,"[$-1170401]mm")),""))</f>
        <v/>
      </c>
    </row>
    <row r="2006">
      <c r="B2006" s="30" t="n"/>
      <c r="G2006" s="9">
        <f>IF(AND(E2006&lt;&gt;"",E2006&lt;&gt;0,H2006&lt;&gt;""),H2006/E2006,"")</f>
        <v/>
      </c>
      <c r="L2006">
        <f>IF(B2006="","",IFERROR(VALUE(TEXT(B2006,"[$-1170401]yyyy")),""))</f>
        <v/>
      </c>
      <c r="M2006">
        <f>IF(B2006="","",IFERROR(VALUE(TEXT(B2006,"[$-1170401]mm")),""))</f>
        <v/>
      </c>
    </row>
    <row r="2007">
      <c r="B2007" s="30" t="n"/>
      <c r="G2007" s="9">
        <f>IF(AND(E2007&lt;&gt;"",E2007&lt;&gt;0,H2007&lt;&gt;""),H2007/E2007,"")</f>
        <v/>
      </c>
      <c r="L2007">
        <f>IF(B2007="","",IFERROR(VALUE(TEXT(B2007,"[$-1170401]yyyy")),""))</f>
        <v/>
      </c>
      <c r="M2007">
        <f>IF(B2007="","",IFERROR(VALUE(TEXT(B2007,"[$-1170401]mm")),""))</f>
        <v/>
      </c>
    </row>
    <row r="2008">
      <c r="B2008" s="30" t="n"/>
      <c r="G2008" s="9">
        <f>IF(AND(E2008&lt;&gt;"",E2008&lt;&gt;0,H2008&lt;&gt;""),H2008/E2008,"")</f>
        <v/>
      </c>
      <c r="L2008">
        <f>IF(B2008="","",IFERROR(VALUE(TEXT(B2008,"[$-1170401]yyyy")),""))</f>
        <v/>
      </c>
      <c r="M2008">
        <f>IF(B2008="","",IFERROR(VALUE(TEXT(B2008,"[$-1170401]mm")),""))</f>
        <v/>
      </c>
    </row>
    <row r="2009">
      <c r="B2009" s="30" t="n"/>
      <c r="G2009" s="9">
        <f>IF(AND(E2009&lt;&gt;"",E2009&lt;&gt;0,H2009&lt;&gt;""),H2009/E2009,"")</f>
        <v/>
      </c>
      <c r="L2009">
        <f>IF(B2009="","",IFERROR(VALUE(TEXT(B2009,"[$-1170401]yyyy")),""))</f>
        <v/>
      </c>
      <c r="M2009">
        <f>IF(B2009="","",IFERROR(VALUE(TEXT(B2009,"[$-1170401]mm")),""))</f>
        <v/>
      </c>
    </row>
    <row r="2010">
      <c r="B2010" s="30" t="n"/>
      <c r="G2010" s="9">
        <f>IF(AND(E2010&lt;&gt;"",E2010&lt;&gt;0,H2010&lt;&gt;""),H2010/E2010,"")</f>
        <v/>
      </c>
      <c r="L2010">
        <f>IF(B2010="","",IFERROR(VALUE(TEXT(B2010,"[$-1170401]yyyy")),""))</f>
        <v/>
      </c>
      <c r="M2010">
        <f>IF(B2010="","",IFERROR(VALUE(TEXT(B2010,"[$-1170401]mm")),""))</f>
        <v/>
      </c>
    </row>
    <row r="2011">
      <c r="B2011" s="30" t="n"/>
      <c r="G2011" s="9">
        <f>IF(AND(E2011&lt;&gt;"",E2011&lt;&gt;0,H2011&lt;&gt;""),H2011/E2011,"")</f>
        <v/>
      </c>
      <c r="L2011">
        <f>IF(B2011="","",IFERROR(VALUE(TEXT(B2011,"[$-1170401]yyyy")),""))</f>
        <v/>
      </c>
      <c r="M2011">
        <f>IF(B2011="","",IFERROR(VALUE(TEXT(B2011,"[$-1170401]mm")),""))</f>
        <v/>
      </c>
    </row>
    <row r="2012">
      <c r="B2012" s="30" t="n"/>
      <c r="G2012" s="9">
        <f>IF(AND(E2012&lt;&gt;"",E2012&lt;&gt;0,H2012&lt;&gt;""),H2012/E2012,"")</f>
        <v/>
      </c>
      <c r="L2012">
        <f>IF(B2012="","",IFERROR(VALUE(TEXT(B2012,"[$-1170401]yyyy")),""))</f>
        <v/>
      </c>
      <c r="M2012">
        <f>IF(B2012="","",IFERROR(VALUE(TEXT(B2012,"[$-1170401]mm")),""))</f>
        <v/>
      </c>
    </row>
    <row r="2013">
      <c r="B2013" s="30" t="n"/>
      <c r="G2013" s="9">
        <f>IF(AND(E2013&lt;&gt;"",E2013&lt;&gt;0,H2013&lt;&gt;""),H2013/E2013,"")</f>
        <v/>
      </c>
      <c r="L2013">
        <f>IF(B2013="","",IFERROR(VALUE(TEXT(B2013,"[$-1170401]yyyy")),""))</f>
        <v/>
      </c>
      <c r="M2013">
        <f>IF(B2013="","",IFERROR(VALUE(TEXT(B2013,"[$-1170401]mm")),""))</f>
        <v/>
      </c>
    </row>
    <row r="2014">
      <c r="B2014" s="30" t="n"/>
      <c r="G2014" s="9">
        <f>IF(AND(E2014&lt;&gt;"",E2014&lt;&gt;0,H2014&lt;&gt;""),H2014/E2014,"")</f>
        <v/>
      </c>
      <c r="L2014">
        <f>IF(B2014="","",IFERROR(VALUE(TEXT(B2014,"[$-1170401]yyyy")),""))</f>
        <v/>
      </c>
      <c r="M2014">
        <f>IF(B2014="","",IFERROR(VALUE(TEXT(B2014,"[$-1170401]mm")),""))</f>
        <v/>
      </c>
    </row>
    <row r="2015">
      <c r="B2015" s="30" t="n"/>
      <c r="G2015" s="9">
        <f>IF(AND(E2015&lt;&gt;"",E2015&lt;&gt;0,H2015&lt;&gt;""),H2015/E2015,"")</f>
        <v/>
      </c>
      <c r="L2015">
        <f>IF(B2015="","",IFERROR(VALUE(TEXT(B2015,"[$-1170401]yyyy")),""))</f>
        <v/>
      </c>
      <c r="M2015">
        <f>IF(B2015="","",IFERROR(VALUE(TEXT(B2015,"[$-1170401]mm")),""))</f>
        <v/>
      </c>
    </row>
    <row r="2016">
      <c r="B2016" s="30" t="n"/>
      <c r="G2016" s="9">
        <f>IF(AND(E2016&lt;&gt;"",E2016&lt;&gt;0,H2016&lt;&gt;""),H2016/E2016,"")</f>
        <v/>
      </c>
      <c r="L2016">
        <f>IF(B2016="","",IFERROR(VALUE(TEXT(B2016,"[$-1170401]yyyy")),""))</f>
        <v/>
      </c>
      <c r="M2016">
        <f>IF(B2016="","",IFERROR(VALUE(TEXT(B2016,"[$-1170401]mm")),""))</f>
        <v/>
      </c>
    </row>
    <row r="2017">
      <c r="B2017" s="30" t="n"/>
      <c r="G2017" s="9">
        <f>IF(AND(E2017&lt;&gt;"",E2017&lt;&gt;0,H2017&lt;&gt;""),H2017/E2017,"")</f>
        <v/>
      </c>
      <c r="L2017">
        <f>IF(B2017="","",IFERROR(VALUE(TEXT(B2017,"[$-1170401]yyyy")),""))</f>
        <v/>
      </c>
      <c r="M2017">
        <f>IF(B2017="","",IFERROR(VALUE(TEXT(B2017,"[$-1170401]mm")),""))</f>
        <v/>
      </c>
    </row>
    <row r="2018">
      <c r="B2018" s="30" t="n"/>
      <c r="G2018" s="9">
        <f>IF(AND(E2018&lt;&gt;"",E2018&lt;&gt;0,H2018&lt;&gt;""),H2018/E2018,"")</f>
        <v/>
      </c>
      <c r="L2018">
        <f>IF(B2018="","",IFERROR(VALUE(TEXT(B2018,"[$-1170401]yyyy")),""))</f>
        <v/>
      </c>
      <c r="M2018">
        <f>IF(B2018="","",IFERROR(VALUE(TEXT(B2018,"[$-1170401]mm")),""))</f>
        <v/>
      </c>
    </row>
    <row r="2019">
      <c r="B2019" s="30" t="n"/>
      <c r="G2019" s="9">
        <f>IF(AND(E2019&lt;&gt;"",E2019&lt;&gt;0,H2019&lt;&gt;""),H2019/E2019,"")</f>
        <v/>
      </c>
      <c r="L2019">
        <f>IF(B2019="","",IFERROR(VALUE(TEXT(B2019,"[$-1170401]yyyy")),""))</f>
        <v/>
      </c>
      <c r="M2019">
        <f>IF(B2019="","",IFERROR(VALUE(TEXT(B2019,"[$-1170401]mm")),""))</f>
        <v/>
      </c>
    </row>
    <row r="2020">
      <c r="B2020" s="30" t="n"/>
      <c r="G2020" s="9">
        <f>IF(AND(E2020&lt;&gt;"",E2020&lt;&gt;0,H2020&lt;&gt;""),H2020/E2020,"")</f>
        <v/>
      </c>
      <c r="L2020">
        <f>IF(B2020="","",IFERROR(VALUE(TEXT(B2020,"[$-1170401]yyyy")),""))</f>
        <v/>
      </c>
      <c r="M2020">
        <f>IF(B2020="","",IFERROR(VALUE(TEXT(B2020,"[$-1170401]mm")),""))</f>
        <v/>
      </c>
    </row>
    <row r="2021">
      <c r="B2021" s="30" t="n"/>
      <c r="G2021" s="9">
        <f>IF(AND(E2021&lt;&gt;"",E2021&lt;&gt;0,H2021&lt;&gt;""),H2021/E2021,"")</f>
        <v/>
      </c>
      <c r="L2021">
        <f>IF(B2021="","",IFERROR(VALUE(TEXT(B2021,"[$-1170401]yyyy")),""))</f>
        <v/>
      </c>
      <c r="M2021">
        <f>IF(B2021="","",IFERROR(VALUE(TEXT(B2021,"[$-1170401]mm")),""))</f>
        <v/>
      </c>
    </row>
    <row r="2022">
      <c r="B2022" s="30" t="n"/>
      <c r="G2022" s="9">
        <f>IF(AND(E2022&lt;&gt;"",E2022&lt;&gt;0,H2022&lt;&gt;""),H2022/E2022,"")</f>
        <v/>
      </c>
      <c r="L2022">
        <f>IF(B2022="","",IFERROR(VALUE(TEXT(B2022,"[$-1170401]yyyy")),""))</f>
        <v/>
      </c>
      <c r="M2022">
        <f>IF(B2022="","",IFERROR(VALUE(TEXT(B2022,"[$-1170401]mm")),""))</f>
        <v/>
      </c>
    </row>
    <row r="2023">
      <c r="B2023" s="30" t="n"/>
      <c r="G2023" s="9">
        <f>IF(AND(E2023&lt;&gt;"",E2023&lt;&gt;0,H2023&lt;&gt;""),H2023/E2023,"")</f>
        <v/>
      </c>
      <c r="L2023">
        <f>IF(B2023="","",IFERROR(VALUE(TEXT(B2023,"[$-1170401]yyyy")),""))</f>
        <v/>
      </c>
      <c r="M2023">
        <f>IF(B2023="","",IFERROR(VALUE(TEXT(B2023,"[$-1170401]mm")),""))</f>
        <v/>
      </c>
    </row>
    <row r="2024">
      <c r="B2024" s="30" t="n"/>
      <c r="G2024" s="9">
        <f>IF(AND(E2024&lt;&gt;"",E2024&lt;&gt;0,H2024&lt;&gt;""),H2024/E2024,"")</f>
        <v/>
      </c>
      <c r="L2024">
        <f>IF(B2024="","",IFERROR(VALUE(TEXT(B2024,"[$-1170401]yyyy")),""))</f>
        <v/>
      </c>
      <c r="M2024">
        <f>IF(B2024="","",IFERROR(VALUE(TEXT(B2024,"[$-1170401]mm")),""))</f>
        <v/>
      </c>
    </row>
    <row r="2025">
      <c r="B2025" s="30" t="n"/>
      <c r="G2025" s="9">
        <f>IF(AND(E2025&lt;&gt;"",E2025&lt;&gt;0,H2025&lt;&gt;""),H2025/E2025,"")</f>
        <v/>
      </c>
      <c r="L2025">
        <f>IF(B2025="","",IFERROR(VALUE(TEXT(B2025,"[$-1170401]yyyy")),""))</f>
        <v/>
      </c>
      <c r="M2025">
        <f>IF(B2025="","",IFERROR(VALUE(TEXT(B2025,"[$-1170401]mm")),""))</f>
        <v/>
      </c>
    </row>
    <row r="2026">
      <c r="B2026" s="30" t="n"/>
      <c r="G2026" s="9">
        <f>IF(AND(E2026&lt;&gt;"",E2026&lt;&gt;0,H2026&lt;&gt;""),H2026/E2026,"")</f>
        <v/>
      </c>
      <c r="L2026">
        <f>IF(B2026="","",IFERROR(VALUE(TEXT(B2026,"[$-1170401]yyyy")),""))</f>
        <v/>
      </c>
      <c r="M2026">
        <f>IF(B2026="","",IFERROR(VALUE(TEXT(B2026,"[$-1170401]mm")),""))</f>
        <v/>
      </c>
    </row>
    <row r="2027">
      <c r="B2027" s="30" t="n"/>
      <c r="G2027" s="9">
        <f>IF(AND(E2027&lt;&gt;"",E2027&lt;&gt;0,H2027&lt;&gt;""),H2027/E2027,"")</f>
        <v/>
      </c>
      <c r="L2027">
        <f>IF(B2027="","",IFERROR(VALUE(TEXT(B2027,"[$-1170401]yyyy")),""))</f>
        <v/>
      </c>
      <c r="M2027">
        <f>IF(B2027="","",IFERROR(VALUE(TEXT(B2027,"[$-1170401]mm")),""))</f>
        <v/>
      </c>
    </row>
    <row r="2028">
      <c r="B2028" s="30" t="n"/>
      <c r="G2028" s="9">
        <f>IF(AND(E2028&lt;&gt;"",E2028&lt;&gt;0,H2028&lt;&gt;""),H2028/E2028,"")</f>
        <v/>
      </c>
      <c r="L2028">
        <f>IF(B2028="","",IFERROR(VALUE(TEXT(B2028,"[$-1170401]yyyy")),""))</f>
        <v/>
      </c>
      <c r="M2028">
        <f>IF(B2028="","",IFERROR(VALUE(TEXT(B2028,"[$-1170401]mm")),""))</f>
        <v/>
      </c>
    </row>
    <row r="2029">
      <c r="B2029" s="30" t="n"/>
      <c r="G2029" s="9">
        <f>IF(AND(E2029&lt;&gt;"",E2029&lt;&gt;0,H2029&lt;&gt;""),H2029/E2029,"")</f>
        <v/>
      </c>
      <c r="L2029">
        <f>IF(B2029="","",IFERROR(VALUE(TEXT(B2029,"[$-1170401]yyyy")),""))</f>
        <v/>
      </c>
      <c r="M2029">
        <f>IF(B2029="","",IFERROR(VALUE(TEXT(B2029,"[$-1170401]mm")),""))</f>
        <v/>
      </c>
    </row>
    <row r="2030">
      <c r="B2030" s="30" t="n"/>
      <c r="G2030" s="9">
        <f>IF(AND(E2030&lt;&gt;"",E2030&lt;&gt;0,H2030&lt;&gt;""),H2030/E2030,"")</f>
        <v/>
      </c>
      <c r="L2030">
        <f>IF(B2030="","",IFERROR(VALUE(TEXT(B2030,"[$-1170401]yyyy")),""))</f>
        <v/>
      </c>
      <c r="M2030">
        <f>IF(B2030="","",IFERROR(VALUE(TEXT(B2030,"[$-1170401]mm")),""))</f>
        <v/>
      </c>
    </row>
    <row r="2031">
      <c r="B2031" s="30" t="n"/>
      <c r="G2031" s="9">
        <f>IF(AND(E2031&lt;&gt;"",E2031&lt;&gt;0,H2031&lt;&gt;""),H2031/E2031,"")</f>
        <v/>
      </c>
      <c r="L2031">
        <f>IF(B2031="","",IFERROR(VALUE(TEXT(B2031,"[$-1170401]yyyy")),""))</f>
        <v/>
      </c>
      <c r="M2031">
        <f>IF(B2031="","",IFERROR(VALUE(TEXT(B2031,"[$-1170401]mm")),""))</f>
        <v/>
      </c>
    </row>
    <row r="2032">
      <c r="B2032" s="30" t="n"/>
      <c r="G2032" s="9">
        <f>IF(AND(E2032&lt;&gt;"",E2032&lt;&gt;0,H2032&lt;&gt;""),H2032/E2032,"")</f>
        <v/>
      </c>
      <c r="L2032">
        <f>IF(B2032="","",IFERROR(VALUE(TEXT(B2032,"[$-1170401]yyyy")),""))</f>
        <v/>
      </c>
      <c r="M2032">
        <f>IF(B2032="","",IFERROR(VALUE(TEXT(B2032,"[$-1170401]mm")),""))</f>
        <v/>
      </c>
    </row>
    <row r="2033">
      <c r="B2033" s="30" t="n"/>
      <c r="G2033" s="9">
        <f>IF(AND(E2033&lt;&gt;"",E2033&lt;&gt;0,H2033&lt;&gt;""),H2033/E2033,"")</f>
        <v/>
      </c>
      <c r="L2033">
        <f>IF(B2033="","",IFERROR(VALUE(TEXT(B2033,"[$-1170401]yyyy")),""))</f>
        <v/>
      </c>
      <c r="M2033">
        <f>IF(B2033="","",IFERROR(VALUE(TEXT(B2033,"[$-1170401]mm")),""))</f>
        <v/>
      </c>
    </row>
    <row r="2034">
      <c r="B2034" s="30" t="n"/>
      <c r="G2034" s="9">
        <f>IF(AND(E2034&lt;&gt;"",E2034&lt;&gt;0,H2034&lt;&gt;""),H2034/E2034,"")</f>
        <v/>
      </c>
      <c r="L2034">
        <f>IF(B2034="","",IFERROR(VALUE(TEXT(B2034,"[$-1170401]yyyy")),""))</f>
        <v/>
      </c>
      <c r="M2034">
        <f>IF(B2034="","",IFERROR(VALUE(TEXT(B2034,"[$-1170401]mm")),""))</f>
        <v/>
      </c>
    </row>
    <row r="2035">
      <c r="B2035" s="30" t="n"/>
      <c r="G2035" s="9">
        <f>IF(AND(E2035&lt;&gt;"",E2035&lt;&gt;0,H2035&lt;&gt;""),H2035/E2035,"")</f>
        <v/>
      </c>
      <c r="L2035">
        <f>IF(B2035="","",IFERROR(VALUE(TEXT(B2035,"[$-1170401]yyyy")),""))</f>
        <v/>
      </c>
      <c r="M2035">
        <f>IF(B2035="","",IFERROR(VALUE(TEXT(B2035,"[$-1170401]mm")),""))</f>
        <v/>
      </c>
    </row>
    <row r="2036">
      <c r="B2036" s="30" t="n"/>
      <c r="G2036" s="9">
        <f>IF(AND(E2036&lt;&gt;"",E2036&lt;&gt;0,H2036&lt;&gt;""),H2036/E2036,"")</f>
        <v/>
      </c>
      <c r="L2036">
        <f>IF(B2036="","",IFERROR(VALUE(TEXT(B2036,"[$-1170401]yyyy")),""))</f>
        <v/>
      </c>
      <c r="M2036">
        <f>IF(B2036="","",IFERROR(VALUE(TEXT(B2036,"[$-1170401]mm")),""))</f>
        <v/>
      </c>
    </row>
    <row r="2037">
      <c r="B2037" s="30" t="n"/>
      <c r="G2037" s="9">
        <f>IF(AND(E2037&lt;&gt;"",E2037&lt;&gt;0,H2037&lt;&gt;""),H2037/E2037,"")</f>
        <v/>
      </c>
      <c r="L2037">
        <f>IF(B2037="","",IFERROR(VALUE(TEXT(B2037,"[$-1170401]yyyy")),""))</f>
        <v/>
      </c>
      <c r="M2037">
        <f>IF(B2037="","",IFERROR(VALUE(TEXT(B2037,"[$-1170401]mm")),""))</f>
        <v/>
      </c>
    </row>
    <row r="2038">
      <c r="B2038" s="30" t="n"/>
      <c r="G2038" s="9">
        <f>IF(AND(E2038&lt;&gt;"",E2038&lt;&gt;0,H2038&lt;&gt;""),H2038/E2038,"")</f>
        <v/>
      </c>
      <c r="L2038">
        <f>IF(B2038="","",IFERROR(VALUE(TEXT(B2038,"[$-1170401]yyyy")),""))</f>
        <v/>
      </c>
      <c r="M2038">
        <f>IF(B2038="","",IFERROR(VALUE(TEXT(B2038,"[$-1170401]mm")),""))</f>
        <v/>
      </c>
    </row>
    <row r="2039">
      <c r="B2039" s="30" t="n"/>
      <c r="G2039" s="9">
        <f>IF(AND(E2039&lt;&gt;"",E2039&lt;&gt;0,H2039&lt;&gt;""),H2039/E2039,"")</f>
        <v/>
      </c>
      <c r="L2039">
        <f>IF(B2039="","",IFERROR(VALUE(TEXT(B2039,"[$-1170401]yyyy")),""))</f>
        <v/>
      </c>
      <c r="M2039">
        <f>IF(B2039="","",IFERROR(VALUE(TEXT(B2039,"[$-1170401]mm")),""))</f>
        <v/>
      </c>
    </row>
    <row r="2040">
      <c r="B2040" s="30" t="n"/>
      <c r="G2040" s="9">
        <f>IF(AND(E2040&lt;&gt;"",E2040&lt;&gt;0,H2040&lt;&gt;""),H2040/E2040,"")</f>
        <v/>
      </c>
      <c r="L2040">
        <f>IF(B2040="","",IFERROR(VALUE(TEXT(B2040,"[$-1170401]yyyy")),""))</f>
        <v/>
      </c>
      <c r="M2040">
        <f>IF(B2040="","",IFERROR(VALUE(TEXT(B2040,"[$-1170401]mm")),""))</f>
        <v/>
      </c>
    </row>
    <row r="2041">
      <c r="B2041" s="30" t="n"/>
      <c r="G2041" s="9">
        <f>IF(AND(E2041&lt;&gt;"",E2041&lt;&gt;0,H2041&lt;&gt;""),H2041/E2041,"")</f>
        <v/>
      </c>
      <c r="L2041">
        <f>IF(B2041="","",IFERROR(VALUE(TEXT(B2041,"[$-1170401]yyyy")),""))</f>
        <v/>
      </c>
      <c r="M2041">
        <f>IF(B2041="","",IFERROR(VALUE(TEXT(B2041,"[$-1170401]mm")),""))</f>
        <v/>
      </c>
    </row>
    <row r="2042">
      <c r="B2042" s="30" t="n"/>
      <c r="G2042" s="9">
        <f>IF(AND(E2042&lt;&gt;"",E2042&lt;&gt;0,H2042&lt;&gt;""),H2042/E2042,"")</f>
        <v/>
      </c>
      <c r="L2042">
        <f>IF(B2042="","",IFERROR(VALUE(TEXT(B2042,"[$-1170401]yyyy")),""))</f>
        <v/>
      </c>
      <c r="M2042">
        <f>IF(B2042="","",IFERROR(VALUE(TEXT(B2042,"[$-1170401]mm")),""))</f>
        <v/>
      </c>
    </row>
    <row r="2043">
      <c r="B2043" s="30" t="n"/>
      <c r="G2043" s="9">
        <f>IF(AND(E2043&lt;&gt;"",E2043&lt;&gt;0,H2043&lt;&gt;""),H2043/E2043,"")</f>
        <v/>
      </c>
      <c r="L2043">
        <f>IF(B2043="","",IFERROR(VALUE(TEXT(B2043,"[$-1170401]yyyy")),""))</f>
        <v/>
      </c>
      <c r="M2043">
        <f>IF(B2043="","",IFERROR(VALUE(TEXT(B2043,"[$-1170401]mm")),""))</f>
        <v/>
      </c>
    </row>
    <row r="2044">
      <c r="B2044" s="30" t="n"/>
      <c r="G2044" s="9">
        <f>IF(AND(E2044&lt;&gt;"",E2044&lt;&gt;0,H2044&lt;&gt;""),H2044/E2044,"")</f>
        <v/>
      </c>
      <c r="L2044">
        <f>IF(B2044="","",IFERROR(VALUE(TEXT(B2044,"[$-1170401]yyyy")),""))</f>
        <v/>
      </c>
      <c r="M2044">
        <f>IF(B2044="","",IFERROR(VALUE(TEXT(B2044,"[$-1170401]mm")),""))</f>
        <v/>
      </c>
    </row>
    <row r="2045">
      <c r="B2045" s="30" t="n"/>
      <c r="G2045" s="9">
        <f>IF(AND(E2045&lt;&gt;"",E2045&lt;&gt;0,H2045&lt;&gt;""),H2045/E2045,"")</f>
        <v/>
      </c>
      <c r="L2045">
        <f>IF(B2045="","",IFERROR(VALUE(TEXT(B2045,"[$-1170401]yyyy")),""))</f>
        <v/>
      </c>
      <c r="M2045">
        <f>IF(B2045="","",IFERROR(VALUE(TEXT(B2045,"[$-1170401]mm")),""))</f>
        <v/>
      </c>
    </row>
    <row r="2046">
      <c r="B2046" s="30" t="n"/>
      <c r="G2046" s="9">
        <f>IF(AND(E2046&lt;&gt;"",E2046&lt;&gt;0,H2046&lt;&gt;""),H2046/E2046,"")</f>
        <v/>
      </c>
      <c r="L2046">
        <f>IF(B2046="","",IFERROR(VALUE(TEXT(B2046,"[$-1170401]yyyy")),""))</f>
        <v/>
      </c>
      <c r="M2046">
        <f>IF(B2046="","",IFERROR(VALUE(TEXT(B2046,"[$-1170401]mm")),""))</f>
        <v/>
      </c>
    </row>
    <row r="2047">
      <c r="B2047" s="30" t="n"/>
      <c r="G2047" s="9">
        <f>IF(AND(E2047&lt;&gt;"",E2047&lt;&gt;0,H2047&lt;&gt;""),H2047/E2047,"")</f>
        <v/>
      </c>
      <c r="L2047">
        <f>IF(B2047="","",IFERROR(VALUE(TEXT(B2047,"[$-1170401]yyyy")),""))</f>
        <v/>
      </c>
      <c r="M2047">
        <f>IF(B2047="","",IFERROR(VALUE(TEXT(B2047,"[$-1170401]mm")),""))</f>
        <v/>
      </c>
    </row>
    <row r="2048">
      <c r="B2048" s="30" t="n"/>
      <c r="G2048" s="9">
        <f>IF(AND(E2048&lt;&gt;"",E2048&lt;&gt;0,H2048&lt;&gt;""),H2048/E2048,"")</f>
        <v/>
      </c>
      <c r="L2048">
        <f>IF(B2048="","",IFERROR(VALUE(TEXT(B2048,"[$-1170401]yyyy")),""))</f>
        <v/>
      </c>
      <c r="M2048">
        <f>IF(B2048="","",IFERROR(VALUE(TEXT(B2048,"[$-1170401]mm")),""))</f>
        <v/>
      </c>
    </row>
    <row r="2049">
      <c r="B2049" s="30" t="n"/>
      <c r="G2049" s="9">
        <f>IF(AND(E2049&lt;&gt;"",E2049&lt;&gt;0,H2049&lt;&gt;""),H2049/E2049,"")</f>
        <v/>
      </c>
      <c r="L2049">
        <f>IF(B2049="","",IFERROR(VALUE(TEXT(B2049,"[$-1170401]yyyy")),""))</f>
        <v/>
      </c>
      <c r="M2049">
        <f>IF(B2049="","",IFERROR(VALUE(TEXT(B2049,"[$-1170401]mm")),""))</f>
        <v/>
      </c>
    </row>
    <row r="2050">
      <c r="B2050" s="30" t="n"/>
      <c r="G2050" s="9">
        <f>IF(AND(E2050&lt;&gt;"",E2050&lt;&gt;0,H2050&lt;&gt;""),H2050/E2050,"")</f>
        <v/>
      </c>
      <c r="L2050">
        <f>IF(B2050="","",IFERROR(VALUE(TEXT(B2050,"[$-1170401]yyyy")),""))</f>
        <v/>
      </c>
      <c r="M2050">
        <f>IF(B2050="","",IFERROR(VALUE(TEXT(B2050,"[$-1170401]mm")),""))</f>
        <v/>
      </c>
    </row>
    <row r="2051">
      <c r="B2051" s="30" t="n"/>
      <c r="G2051" s="9">
        <f>IF(AND(E2051&lt;&gt;"",E2051&lt;&gt;0,H2051&lt;&gt;""),H2051/E2051,"")</f>
        <v/>
      </c>
      <c r="L2051">
        <f>IF(B2051="","",IFERROR(VALUE(TEXT(B2051,"[$-1170401]yyyy")),""))</f>
        <v/>
      </c>
      <c r="M2051">
        <f>IF(B2051="","",IFERROR(VALUE(TEXT(B2051,"[$-1170401]mm")),""))</f>
        <v/>
      </c>
    </row>
    <row r="2052">
      <c r="B2052" s="30" t="n"/>
      <c r="G2052" s="9">
        <f>IF(AND(E2052&lt;&gt;"",E2052&lt;&gt;0,H2052&lt;&gt;""),H2052/E2052,"")</f>
        <v/>
      </c>
      <c r="L2052">
        <f>IF(B2052="","",IFERROR(VALUE(TEXT(B2052,"[$-1170401]yyyy")),""))</f>
        <v/>
      </c>
      <c r="M2052">
        <f>IF(B2052="","",IFERROR(VALUE(TEXT(B2052,"[$-1170401]mm")),""))</f>
        <v/>
      </c>
    </row>
    <row r="2053">
      <c r="B2053" s="30" t="n"/>
      <c r="G2053" s="9">
        <f>IF(AND(E2053&lt;&gt;"",E2053&lt;&gt;0,H2053&lt;&gt;""),H2053/E2053,"")</f>
        <v/>
      </c>
      <c r="L2053">
        <f>IF(B2053="","",IFERROR(VALUE(TEXT(B2053,"[$-1170401]yyyy")),""))</f>
        <v/>
      </c>
      <c r="M2053">
        <f>IF(B2053="","",IFERROR(VALUE(TEXT(B2053,"[$-1170401]mm")),""))</f>
        <v/>
      </c>
    </row>
    <row r="2054">
      <c r="B2054" s="30" t="n"/>
      <c r="G2054" s="9">
        <f>IF(AND(E2054&lt;&gt;"",E2054&lt;&gt;0,H2054&lt;&gt;""),H2054/E2054,"")</f>
        <v/>
      </c>
      <c r="L2054">
        <f>IF(B2054="","",IFERROR(VALUE(TEXT(B2054,"[$-1170401]yyyy")),""))</f>
        <v/>
      </c>
      <c r="M2054">
        <f>IF(B2054="","",IFERROR(VALUE(TEXT(B2054,"[$-1170401]mm")),""))</f>
        <v/>
      </c>
    </row>
    <row r="2055">
      <c r="B2055" s="30" t="n"/>
      <c r="G2055" s="9">
        <f>IF(AND(E2055&lt;&gt;"",E2055&lt;&gt;0,H2055&lt;&gt;""),H2055/E2055,"")</f>
        <v/>
      </c>
      <c r="L2055">
        <f>IF(B2055="","",IFERROR(VALUE(TEXT(B2055,"[$-1170401]yyyy")),""))</f>
        <v/>
      </c>
      <c r="M2055">
        <f>IF(B2055="","",IFERROR(VALUE(TEXT(B2055,"[$-1170401]mm")),""))</f>
        <v/>
      </c>
    </row>
    <row r="2056">
      <c r="B2056" s="30" t="n"/>
      <c r="G2056" s="9">
        <f>IF(AND(E2056&lt;&gt;"",E2056&lt;&gt;0,H2056&lt;&gt;""),H2056/E2056,"")</f>
        <v/>
      </c>
      <c r="L2056">
        <f>IF(B2056="","",IFERROR(VALUE(TEXT(B2056,"[$-1170401]yyyy")),""))</f>
        <v/>
      </c>
      <c r="M2056">
        <f>IF(B2056="","",IFERROR(VALUE(TEXT(B2056,"[$-1170401]mm")),""))</f>
        <v/>
      </c>
    </row>
    <row r="2057">
      <c r="B2057" s="30" t="n"/>
      <c r="G2057" s="9">
        <f>IF(AND(E2057&lt;&gt;"",E2057&lt;&gt;0,H2057&lt;&gt;""),H2057/E2057,"")</f>
        <v/>
      </c>
      <c r="L2057">
        <f>IF(B2057="","",IFERROR(VALUE(TEXT(B2057,"[$-1170401]yyyy")),""))</f>
        <v/>
      </c>
      <c r="M2057">
        <f>IF(B2057="","",IFERROR(VALUE(TEXT(B2057,"[$-1170401]mm")),""))</f>
        <v/>
      </c>
    </row>
    <row r="2058">
      <c r="B2058" s="30" t="n"/>
      <c r="G2058" s="9">
        <f>IF(AND(E2058&lt;&gt;"",E2058&lt;&gt;0,H2058&lt;&gt;""),H2058/E2058,"")</f>
        <v/>
      </c>
      <c r="L2058">
        <f>IF(B2058="","",IFERROR(VALUE(TEXT(B2058,"[$-1170401]yyyy")),""))</f>
        <v/>
      </c>
      <c r="M2058">
        <f>IF(B2058="","",IFERROR(VALUE(TEXT(B2058,"[$-1170401]mm")),""))</f>
        <v/>
      </c>
    </row>
    <row r="2059">
      <c r="B2059" s="30" t="n"/>
      <c r="G2059" s="9">
        <f>IF(AND(E2059&lt;&gt;"",E2059&lt;&gt;0,H2059&lt;&gt;""),H2059/E2059,"")</f>
        <v/>
      </c>
      <c r="L2059">
        <f>IF(B2059="","",IFERROR(VALUE(TEXT(B2059,"[$-1170401]yyyy")),""))</f>
        <v/>
      </c>
      <c r="M2059">
        <f>IF(B2059="","",IFERROR(VALUE(TEXT(B2059,"[$-1170401]mm")),""))</f>
        <v/>
      </c>
    </row>
    <row r="2060">
      <c r="B2060" s="30" t="n"/>
      <c r="G2060" s="9">
        <f>IF(AND(E2060&lt;&gt;"",E2060&lt;&gt;0,H2060&lt;&gt;""),H2060/E2060,"")</f>
        <v/>
      </c>
      <c r="L2060">
        <f>IF(B2060="","",IFERROR(VALUE(TEXT(B2060,"[$-1170401]yyyy")),""))</f>
        <v/>
      </c>
      <c r="M2060">
        <f>IF(B2060="","",IFERROR(VALUE(TEXT(B2060,"[$-1170401]mm")),""))</f>
        <v/>
      </c>
    </row>
    <row r="2061">
      <c r="B2061" s="30" t="n"/>
      <c r="G2061" s="9">
        <f>IF(AND(E2061&lt;&gt;"",E2061&lt;&gt;0,H2061&lt;&gt;""),H2061/E2061,"")</f>
        <v/>
      </c>
      <c r="L2061">
        <f>IF(B2061="","",IFERROR(VALUE(TEXT(B2061,"[$-1170401]yyyy")),""))</f>
        <v/>
      </c>
      <c r="M2061">
        <f>IF(B2061="","",IFERROR(VALUE(TEXT(B2061,"[$-1170401]mm")),""))</f>
        <v/>
      </c>
    </row>
    <row r="2062">
      <c r="B2062" s="30" t="n"/>
      <c r="G2062" s="9">
        <f>IF(AND(E2062&lt;&gt;"",E2062&lt;&gt;0,H2062&lt;&gt;""),H2062/E2062,"")</f>
        <v/>
      </c>
      <c r="L2062">
        <f>IF(B2062="","",IFERROR(VALUE(TEXT(B2062,"[$-1170401]yyyy")),""))</f>
        <v/>
      </c>
      <c r="M2062">
        <f>IF(B2062="","",IFERROR(VALUE(TEXT(B2062,"[$-1170401]mm")),""))</f>
        <v/>
      </c>
    </row>
    <row r="2063">
      <c r="B2063" s="30" t="n"/>
      <c r="G2063" s="9">
        <f>IF(AND(E2063&lt;&gt;"",E2063&lt;&gt;0,H2063&lt;&gt;""),H2063/E2063,"")</f>
        <v/>
      </c>
      <c r="L2063">
        <f>IF(B2063="","",IFERROR(VALUE(TEXT(B2063,"[$-1170401]yyyy")),""))</f>
        <v/>
      </c>
      <c r="M2063">
        <f>IF(B2063="","",IFERROR(VALUE(TEXT(B2063,"[$-1170401]mm")),""))</f>
        <v/>
      </c>
    </row>
    <row r="2064">
      <c r="B2064" s="30" t="n"/>
      <c r="G2064" s="9">
        <f>IF(AND(E2064&lt;&gt;"",E2064&lt;&gt;0,H2064&lt;&gt;""),H2064/E2064,"")</f>
        <v/>
      </c>
      <c r="L2064">
        <f>IF(B2064="","",IFERROR(VALUE(TEXT(B2064,"[$-1170401]yyyy")),""))</f>
        <v/>
      </c>
      <c r="M2064">
        <f>IF(B2064="","",IFERROR(VALUE(TEXT(B2064,"[$-1170401]mm")),""))</f>
        <v/>
      </c>
    </row>
    <row r="2065">
      <c r="B2065" s="30" t="n"/>
      <c r="G2065" s="9">
        <f>IF(AND(E2065&lt;&gt;"",E2065&lt;&gt;0,H2065&lt;&gt;""),H2065/E2065,"")</f>
        <v/>
      </c>
      <c r="L2065">
        <f>IF(B2065="","",IFERROR(VALUE(TEXT(B2065,"[$-1170401]yyyy")),""))</f>
        <v/>
      </c>
      <c r="M2065">
        <f>IF(B2065="","",IFERROR(VALUE(TEXT(B2065,"[$-1170401]mm")),""))</f>
        <v/>
      </c>
    </row>
    <row r="2066">
      <c r="B2066" s="30" t="n"/>
      <c r="G2066" s="9">
        <f>IF(AND(E2066&lt;&gt;"",E2066&lt;&gt;0,H2066&lt;&gt;""),H2066/E2066,"")</f>
        <v/>
      </c>
      <c r="L2066">
        <f>IF(B2066="","",IFERROR(VALUE(TEXT(B2066,"[$-1170401]yyyy")),""))</f>
        <v/>
      </c>
      <c r="M2066">
        <f>IF(B2066="","",IFERROR(VALUE(TEXT(B2066,"[$-1170401]mm")),""))</f>
        <v/>
      </c>
    </row>
    <row r="2067">
      <c r="B2067" s="30" t="n"/>
      <c r="G2067" s="9">
        <f>IF(AND(E2067&lt;&gt;"",E2067&lt;&gt;0,H2067&lt;&gt;""),H2067/E2067,"")</f>
        <v/>
      </c>
      <c r="L2067">
        <f>IF(B2067="","",IFERROR(VALUE(TEXT(B2067,"[$-1170401]yyyy")),""))</f>
        <v/>
      </c>
      <c r="M2067">
        <f>IF(B2067="","",IFERROR(VALUE(TEXT(B2067,"[$-1170401]mm")),""))</f>
        <v/>
      </c>
    </row>
    <row r="2068">
      <c r="B2068" s="30" t="n"/>
      <c r="G2068" s="9">
        <f>IF(AND(E2068&lt;&gt;"",E2068&lt;&gt;0,H2068&lt;&gt;""),H2068/E2068,"")</f>
        <v/>
      </c>
      <c r="L2068">
        <f>IF(B2068="","",IFERROR(VALUE(TEXT(B2068,"[$-1170401]yyyy")),""))</f>
        <v/>
      </c>
      <c r="M2068">
        <f>IF(B2068="","",IFERROR(VALUE(TEXT(B2068,"[$-1170401]mm")),""))</f>
        <v/>
      </c>
    </row>
    <row r="2069">
      <c r="B2069" s="30" t="n"/>
      <c r="G2069" s="9">
        <f>IF(AND(E2069&lt;&gt;"",E2069&lt;&gt;0,H2069&lt;&gt;""),H2069/E2069,"")</f>
        <v/>
      </c>
      <c r="L2069">
        <f>IF(B2069="","",IFERROR(VALUE(TEXT(B2069,"[$-1170401]yyyy")),""))</f>
        <v/>
      </c>
      <c r="M2069">
        <f>IF(B2069="","",IFERROR(VALUE(TEXT(B2069,"[$-1170401]mm")),""))</f>
        <v/>
      </c>
    </row>
    <row r="2070">
      <c r="B2070" s="30" t="n"/>
      <c r="G2070" s="9">
        <f>IF(AND(E2070&lt;&gt;"",E2070&lt;&gt;0,H2070&lt;&gt;""),H2070/E2070,"")</f>
        <v/>
      </c>
      <c r="L2070">
        <f>IF(B2070="","",IFERROR(VALUE(TEXT(B2070,"[$-1170401]yyyy")),""))</f>
        <v/>
      </c>
      <c r="M2070">
        <f>IF(B2070="","",IFERROR(VALUE(TEXT(B2070,"[$-1170401]mm")),""))</f>
        <v/>
      </c>
    </row>
    <row r="2071">
      <c r="B2071" s="30" t="n"/>
      <c r="G2071" s="9">
        <f>IF(AND(E2071&lt;&gt;"",E2071&lt;&gt;0,H2071&lt;&gt;""),H2071/E2071,"")</f>
        <v/>
      </c>
      <c r="L2071">
        <f>IF(B2071="","",IFERROR(VALUE(TEXT(B2071,"[$-1170401]yyyy")),""))</f>
        <v/>
      </c>
      <c r="M2071">
        <f>IF(B2071="","",IFERROR(VALUE(TEXT(B2071,"[$-1170401]mm")),""))</f>
        <v/>
      </c>
    </row>
    <row r="2072">
      <c r="B2072" s="30" t="n"/>
      <c r="G2072" s="9">
        <f>IF(AND(E2072&lt;&gt;"",E2072&lt;&gt;0,H2072&lt;&gt;""),H2072/E2072,"")</f>
        <v/>
      </c>
      <c r="L2072">
        <f>IF(B2072="","",IFERROR(VALUE(TEXT(B2072,"[$-1170401]yyyy")),""))</f>
        <v/>
      </c>
      <c r="M2072">
        <f>IF(B2072="","",IFERROR(VALUE(TEXT(B2072,"[$-1170401]mm")),""))</f>
        <v/>
      </c>
    </row>
    <row r="2073">
      <c r="B2073" s="30" t="n"/>
      <c r="G2073" s="9">
        <f>IF(AND(E2073&lt;&gt;"",E2073&lt;&gt;0,H2073&lt;&gt;""),H2073/E2073,"")</f>
        <v/>
      </c>
      <c r="L2073">
        <f>IF(B2073="","",IFERROR(VALUE(TEXT(B2073,"[$-1170401]yyyy")),""))</f>
        <v/>
      </c>
      <c r="M2073">
        <f>IF(B2073="","",IFERROR(VALUE(TEXT(B2073,"[$-1170401]mm")),""))</f>
        <v/>
      </c>
    </row>
    <row r="2074">
      <c r="B2074" s="30" t="n"/>
      <c r="G2074" s="9">
        <f>IF(AND(E2074&lt;&gt;"",E2074&lt;&gt;0,H2074&lt;&gt;""),H2074/E2074,"")</f>
        <v/>
      </c>
      <c r="L2074">
        <f>IF(B2074="","",IFERROR(VALUE(TEXT(B2074,"[$-1170401]yyyy")),""))</f>
        <v/>
      </c>
      <c r="M2074">
        <f>IF(B2074="","",IFERROR(VALUE(TEXT(B2074,"[$-1170401]mm")),""))</f>
        <v/>
      </c>
    </row>
    <row r="2075">
      <c r="B2075" s="30" t="n"/>
      <c r="G2075" s="9">
        <f>IF(AND(E2075&lt;&gt;"",E2075&lt;&gt;0,H2075&lt;&gt;""),H2075/E2075,"")</f>
        <v/>
      </c>
      <c r="L2075">
        <f>IF(B2075="","",IFERROR(VALUE(TEXT(B2075,"[$-1170401]yyyy")),""))</f>
        <v/>
      </c>
      <c r="M2075">
        <f>IF(B2075="","",IFERROR(VALUE(TEXT(B2075,"[$-1170401]mm")),""))</f>
        <v/>
      </c>
    </row>
    <row r="2076">
      <c r="B2076" s="30" t="n"/>
      <c r="G2076" s="9">
        <f>IF(AND(E2076&lt;&gt;"",E2076&lt;&gt;0,H2076&lt;&gt;""),H2076/E2076,"")</f>
        <v/>
      </c>
      <c r="L2076">
        <f>IF(B2076="","",IFERROR(VALUE(TEXT(B2076,"[$-1170401]yyyy")),""))</f>
        <v/>
      </c>
      <c r="M2076">
        <f>IF(B2076="","",IFERROR(VALUE(TEXT(B2076,"[$-1170401]mm")),""))</f>
        <v/>
      </c>
    </row>
    <row r="2077">
      <c r="B2077" s="30" t="n"/>
      <c r="G2077" s="9">
        <f>IF(AND(E2077&lt;&gt;"",E2077&lt;&gt;0,H2077&lt;&gt;""),H2077/E2077,"")</f>
        <v/>
      </c>
      <c r="L2077">
        <f>IF(B2077="","",IFERROR(VALUE(TEXT(B2077,"[$-1170401]yyyy")),""))</f>
        <v/>
      </c>
      <c r="M2077">
        <f>IF(B2077="","",IFERROR(VALUE(TEXT(B2077,"[$-1170401]mm")),""))</f>
        <v/>
      </c>
    </row>
    <row r="2078">
      <c r="B2078" s="30" t="n"/>
      <c r="G2078" s="9">
        <f>IF(AND(E2078&lt;&gt;"",E2078&lt;&gt;0,H2078&lt;&gt;""),H2078/E2078,"")</f>
        <v/>
      </c>
      <c r="L2078">
        <f>IF(B2078="","",IFERROR(VALUE(TEXT(B2078,"[$-1170401]yyyy")),""))</f>
        <v/>
      </c>
      <c r="M2078">
        <f>IF(B2078="","",IFERROR(VALUE(TEXT(B2078,"[$-1170401]mm")),""))</f>
        <v/>
      </c>
    </row>
    <row r="2079">
      <c r="B2079" s="30" t="n"/>
      <c r="G2079" s="9">
        <f>IF(AND(E2079&lt;&gt;"",E2079&lt;&gt;0,H2079&lt;&gt;""),H2079/E2079,"")</f>
        <v/>
      </c>
      <c r="L2079">
        <f>IF(B2079="","",IFERROR(VALUE(TEXT(B2079,"[$-1170401]yyyy")),""))</f>
        <v/>
      </c>
      <c r="M2079">
        <f>IF(B2079="","",IFERROR(VALUE(TEXT(B2079,"[$-1170401]mm")),""))</f>
        <v/>
      </c>
    </row>
    <row r="2080">
      <c r="B2080" s="30" t="n"/>
      <c r="G2080" s="9">
        <f>IF(AND(E2080&lt;&gt;"",E2080&lt;&gt;0,H2080&lt;&gt;""),H2080/E2080,"")</f>
        <v/>
      </c>
      <c r="L2080">
        <f>IF(B2080="","",IFERROR(VALUE(TEXT(B2080,"[$-1170401]yyyy")),""))</f>
        <v/>
      </c>
      <c r="M2080">
        <f>IF(B2080="","",IFERROR(VALUE(TEXT(B2080,"[$-1170401]mm")),""))</f>
        <v/>
      </c>
    </row>
    <row r="2081">
      <c r="B2081" s="30" t="n"/>
      <c r="G2081" s="9">
        <f>IF(AND(E2081&lt;&gt;"",E2081&lt;&gt;0,H2081&lt;&gt;""),H2081/E2081,"")</f>
        <v/>
      </c>
      <c r="L2081">
        <f>IF(B2081="","",IFERROR(VALUE(TEXT(B2081,"[$-1170401]yyyy")),""))</f>
        <v/>
      </c>
      <c r="M2081">
        <f>IF(B2081="","",IFERROR(VALUE(TEXT(B2081,"[$-1170401]mm")),""))</f>
        <v/>
      </c>
    </row>
    <row r="2082">
      <c r="B2082" s="30" t="n"/>
      <c r="G2082" s="9">
        <f>IF(AND(E2082&lt;&gt;"",E2082&lt;&gt;0,H2082&lt;&gt;""),H2082/E2082,"")</f>
        <v/>
      </c>
      <c r="L2082">
        <f>IF(B2082="","",IFERROR(VALUE(TEXT(B2082,"[$-1170401]yyyy")),""))</f>
        <v/>
      </c>
      <c r="M2082">
        <f>IF(B2082="","",IFERROR(VALUE(TEXT(B2082,"[$-1170401]mm")),""))</f>
        <v/>
      </c>
    </row>
    <row r="2083">
      <c r="B2083" s="30" t="n"/>
      <c r="G2083" s="9">
        <f>IF(AND(E2083&lt;&gt;"",E2083&lt;&gt;0,H2083&lt;&gt;""),H2083/E2083,"")</f>
        <v/>
      </c>
      <c r="L2083">
        <f>IF(B2083="","",IFERROR(VALUE(TEXT(B2083,"[$-1170401]yyyy")),""))</f>
        <v/>
      </c>
      <c r="M2083">
        <f>IF(B2083="","",IFERROR(VALUE(TEXT(B2083,"[$-1170401]mm")),""))</f>
        <v/>
      </c>
    </row>
    <row r="2084">
      <c r="B2084" s="30" t="n"/>
      <c r="G2084" s="9">
        <f>IF(AND(E2084&lt;&gt;"",E2084&lt;&gt;0,H2084&lt;&gt;""),H2084/E2084,"")</f>
        <v/>
      </c>
      <c r="L2084">
        <f>IF(B2084="","",IFERROR(VALUE(TEXT(B2084,"[$-1170401]yyyy")),""))</f>
        <v/>
      </c>
      <c r="M2084">
        <f>IF(B2084="","",IFERROR(VALUE(TEXT(B2084,"[$-1170401]mm")),""))</f>
        <v/>
      </c>
    </row>
    <row r="2085">
      <c r="B2085" s="30" t="n"/>
      <c r="G2085" s="9">
        <f>IF(AND(E2085&lt;&gt;"",E2085&lt;&gt;0,H2085&lt;&gt;""),H2085/E2085,"")</f>
        <v/>
      </c>
      <c r="L2085">
        <f>IF(B2085="","",IFERROR(VALUE(TEXT(B2085,"[$-1170401]yyyy")),""))</f>
        <v/>
      </c>
      <c r="M2085">
        <f>IF(B2085="","",IFERROR(VALUE(TEXT(B2085,"[$-1170401]mm")),""))</f>
        <v/>
      </c>
    </row>
    <row r="2086">
      <c r="B2086" s="30" t="n"/>
      <c r="G2086" s="9">
        <f>IF(AND(E2086&lt;&gt;"",E2086&lt;&gt;0,H2086&lt;&gt;""),H2086/E2086,"")</f>
        <v/>
      </c>
      <c r="L2086">
        <f>IF(B2086="","",IFERROR(VALUE(TEXT(B2086,"[$-1170401]yyyy")),""))</f>
        <v/>
      </c>
      <c r="M2086">
        <f>IF(B2086="","",IFERROR(VALUE(TEXT(B2086,"[$-1170401]mm")),""))</f>
        <v/>
      </c>
    </row>
    <row r="2087">
      <c r="B2087" s="30" t="n"/>
      <c r="G2087" s="9">
        <f>IF(AND(E2087&lt;&gt;"",E2087&lt;&gt;0,H2087&lt;&gt;""),H2087/E2087,"")</f>
        <v/>
      </c>
      <c r="L2087">
        <f>IF(B2087="","",IFERROR(VALUE(TEXT(B2087,"[$-1170401]yyyy")),""))</f>
        <v/>
      </c>
      <c r="M2087">
        <f>IF(B2087="","",IFERROR(VALUE(TEXT(B2087,"[$-1170401]mm")),""))</f>
        <v/>
      </c>
    </row>
    <row r="2088">
      <c r="B2088" s="30" t="n"/>
      <c r="G2088" s="9">
        <f>IF(AND(E2088&lt;&gt;"",E2088&lt;&gt;0,H2088&lt;&gt;""),H2088/E2088,"")</f>
        <v/>
      </c>
      <c r="L2088">
        <f>IF(B2088="","",IFERROR(VALUE(TEXT(B2088,"[$-1170401]yyyy")),""))</f>
        <v/>
      </c>
      <c r="M2088">
        <f>IF(B2088="","",IFERROR(VALUE(TEXT(B2088,"[$-1170401]mm")),""))</f>
        <v/>
      </c>
    </row>
    <row r="2089">
      <c r="B2089" s="30" t="n"/>
      <c r="G2089" s="9">
        <f>IF(AND(E2089&lt;&gt;"",E2089&lt;&gt;0,H2089&lt;&gt;""),H2089/E2089,"")</f>
        <v/>
      </c>
      <c r="L2089">
        <f>IF(B2089="","",IFERROR(VALUE(TEXT(B2089,"[$-1170401]yyyy")),""))</f>
        <v/>
      </c>
      <c r="M2089">
        <f>IF(B2089="","",IFERROR(VALUE(TEXT(B2089,"[$-1170401]mm")),""))</f>
        <v/>
      </c>
    </row>
    <row r="2090">
      <c r="B2090" s="30" t="n"/>
      <c r="G2090" s="9">
        <f>IF(AND(E2090&lt;&gt;"",E2090&lt;&gt;0,H2090&lt;&gt;""),H2090/E2090,"")</f>
        <v/>
      </c>
      <c r="L2090">
        <f>IF(B2090="","",IFERROR(VALUE(TEXT(B2090,"[$-1170401]yyyy")),""))</f>
        <v/>
      </c>
      <c r="M2090">
        <f>IF(B2090="","",IFERROR(VALUE(TEXT(B2090,"[$-1170401]mm")),""))</f>
        <v/>
      </c>
    </row>
    <row r="2091">
      <c r="B2091" s="30" t="n"/>
      <c r="G2091" s="9">
        <f>IF(AND(E2091&lt;&gt;"",E2091&lt;&gt;0,H2091&lt;&gt;""),H2091/E2091,"")</f>
        <v/>
      </c>
      <c r="L2091">
        <f>IF(B2091="","",IFERROR(VALUE(TEXT(B2091,"[$-1170401]yyyy")),""))</f>
        <v/>
      </c>
      <c r="M2091">
        <f>IF(B2091="","",IFERROR(VALUE(TEXT(B2091,"[$-1170401]mm")),""))</f>
        <v/>
      </c>
    </row>
    <row r="2092">
      <c r="B2092" s="30" t="n"/>
      <c r="G2092" s="9">
        <f>IF(AND(E2092&lt;&gt;"",E2092&lt;&gt;0,H2092&lt;&gt;""),H2092/E2092,"")</f>
        <v/>
      </c>
      <c r="L2092">
        <f>IF(B2092="","",IFERROR(VALUE(TEXT(B2092,"[$-1170401]yyyy")),""))</f>
        <v/>
      </c>
      <c r="M2092">
        <f>IF(B2092="","",IFERROR(VALUE(TEXT(B2092,"[$-1170401]mm")),""))</f>
        <v/>
      </c>
    </row>
    <row r="2093">
      <c r="B2093" s="30" t="n"/>
      <c r="G2093" s="9">
        <f>IF(AND(E2093&lt;&gt;"",E2093&lt;&gt;0,H2093&lt;&gt;""),H2093/E2093,"")</f>
        <v/>
      </c>
      <c r="L2093">
        <f>IF(B2093="","",IFERROR(VALUE(TEXT(B2093,"[$-1170401]yyyy")),""))</f>
        <v/>
      </c>
      <c r="M2093">
        <f>IF(B2093="","",IFERROR(VALUE(TEXT(B2093,"[$-1170401]mm")),""))</f>
        <v/>
      </c>
    </row>
    <row r="2094">
      <c r="B2094" s="30" t="n"/>
      <c r="G2094" s="9">
        <f>IF(AND(E2094&lt;&gt;"",E2094&lt;&gt;0,H2094&lt;&gt;""),H2094/E2094,"")</f>
        <v/>
      </c>
      <c r="L2094">
        <f>IF(B2094="","",IFERROR(VALUE(TEXT(B2094,"[$-1170401]yyyy")),""))</f>
        <v/>
      </c>
      <c r="M2094">
        <f>IF(B2094="","",IFERROR(VALUE(TEXT(B2094,"[$-1170401]mm")),""))</f>
        <v/>
      </c>
    </row>
    <row r="2095">
      <c r="B2095" s="30" t="n"/>
      <c r="G2095" s="9">
        <f>IF(AND(E2095&lt;&gt;"",E2095&lt;&gt;0,H2095&lt;&gt;""),H2095/E2095,"")</f>
        <v/>
      </c>
      <c r="L2095">
        <f>IF(B2095="","",IFERROR(VALUE(TEXT(B2095,"[$-1170401]yyyy")),""))</f>
        <v/>
      </c>
      <c r="M2095">
        <f>IF(B2095="","",IFERROR(VALUE(TEXT(B2095,"[$-1170401]mm")),""))</f>
        <v/>
      </c>
    </row>
    <row r="2096">
      <c r="B2096" s="30" t="n"/>
      <c r="G2096" s="9">
        <f>IF(AND(E2096&lt;&gt;"",E2096&lt;&gt;0,H2096&lt;&gt;""),H2096/E2096,"")</f>
        <v/>
      </c>
      <c r="L2096">
        <f>IF(B2096="","",IFERROR(VALUE(TEXT(B2096,"[$-1170401]yyyy")),""))</f>
        <v/>
      </c>
      <c r="M2096">
        <f>IF(B2096="","",IFERROR(VALUE(TEXT(B2096,"[$-1170401]mm")),""))</f>
        <v/>
      </c>
    </row>
    <row r="2097">
      <c r="B2097" s="30" t="n"/>
      <c r="G2097" s="9">
        <f>IF(AND(E2097&lt;&gt;"",E2097&lt;&gt;0,H2097&lt;&gt;""),H2097/E2097,"")</f>
        <v/>
      </c>
      <c r="L2097">
        <f>IF(B2097="","",IFERROR(VALUE(TEXT(B2097,"[$-1170401]yyyy")),""))</f>
        <v/>
      </c>
      <c r="M2097">
        <f>IF(B2097="","",IFERROR(VALUE(TEXT(B2097,"[$-1170401]mm")),""))</f>
        <v/>
      </c>
    </row>
    <row r="2098">
      <c r="B2098" s="30" t="n"/>
      <c r="G2098" s="9">
        <f>IF(AND(E2098&lt;&gt;"",E2098&lt;&gt;0,H2098&lt;&gt;""),H2098/E2098,"")</f>
        <v/>
      </c>
      <c r="L2098">
        <f>IF(B2098="","",IFERROR(VALUE(TEXT(B2098,"[$-1170401]yyyy")),""))</f>
        <v/>
      </c>
      <c r="M2098">
        <f>IF(B2098="","",IFERROR(VALUE(TEXT(B2098,"[$-1170401]mm")),""))</f>
        <v/>
      </c>
    </row>
    <row r="2099">
      <c r="B2099" s="30" t="n"/>
      <c r="G2099" s="9">
        <f>IF(AND(E2099&lt;&gt;"",E2099&lt;&gt;0,H2099&lt;&gt;""),H2099/E2099,"")</f>
        <v/>
      </c>
      <c r="L2099">
        <f>IF(B2099="","",IFERROR(VALUE(TEXT(B2099,"[$-1170401]yyyy")),""))</f>
        <v/>
      </c>
      <c r="M2099">
        <f>IF(B2099="","",IFERROR(VALUE(TEXT(B2099,"[$-1170401]mm")),""))</f>
        <v/>
      </c>
    </row>
    <row r="2100">
      <c r="B2100" s="30" t="n"/>
      <c r="G2100" s="9">
        <f>IF(AND(E2100&lt;&gt;"",E2100&lt;&gt;0,H2100&lt;&gt;""),H2100/E2100,"")</f>
        <v/>
      </c>
      <c r="L2100">
        <f>IF(B2100="","",IFERROR(VALUE(TEXT(B2100,"[$-1170401]yyyy")),""))</f>
        <v/>
      </c>
      <c r="M2100">
        <f>IF(B2100="","",IFERROR(VALUE(TEXT(B2100,"[$-1170401]mm")),""))</f>
        <v/>
      </c>
    </row>
    <row r="2101">
      <c r="B2101" s="30" t="n"/>
      <c r="G2101" s="9">
        <f>IF(AND(E2101&lt;&gt;"",E2101&lt;&gt;0,H2101&lt;&gt;""),H2101/E2101,"")</f>
        <v/>
      </c>
      <c r="L2101">
        <f>IF(B2101="","",IFERROR(VALUE(TEXT(B2101,"[$-1170401]yyyy")),""))</f>
        <v/>
      </c>
      <c r="M2101">
        <f>IF(B2101="","",IFERROR(VALUE(TEXT(B2101,"[$-1170401]mm")),""))</f>
        <v/>
      </c>
    </row>
    <row r="2102">
      <c r="B2102" s="30" t="n"/>
      <c r="G2102" s="9">
        <f>IF(AND(E2102&lt;&gt;"",E2102&lt;&gt;0,H2102&lt;&gt;""),H2102/E2102,"")</f>
        <v/>
      </c>
      <c r="L2102">
        <f>IF(B2102="","",IFERROR(VALUE(TEXT(B2102,"[$-1170401]yyyy")),""))</f>
        <v/>
      </c>
      <c r="M2102">
        <f>IF(B2102="","",IFERROR(VALUE(TEXT(B2102,"[$-1170401]mm")),""))</f>
        <v/>
      </c>
    </row>
    <row r="2103">
      <c r="B2103" s="30" t="n"/>
      <c r="G2103" s="9">
        <f>IF(AND(E2103&lt;&gt;"",E2103&lt;&gt;0,H2103&lt;&gt;""),H2103/E2103,"")</f>
        <v/>
      </c>
      <c r="L2103">
        <f>IF(B2103="","",IFERROR(VALUE(TEXT(B2103,"[$-1170401]yyyy")),""))</f>
        <v/>
      </c>
      <c r="M2103">
        <f>IF(B2103="","",IFERROR(VALUE(TEXT(B2103,"[$-1170401]mm")),""))</f>
        <v/>
      </c>
    </row>
    <row r="2104">
      <c r="B2104" s="30" t="n"/>
      <c r="G2104" s="9">
        <f>IF(AND(E2104&lt;&gt;"",E2104&lt;&gt;0,H2104&lt;&gt;""),H2104/E2104,"")</f>
        <v/>
      </c>
      <c r="L2104">
        <f>IF(B2104="","",IFERROR(VALUE(TEXT(B2104,"[$-1170401]yyyy")),""))</f>
        <v/>
      </c>
      <c r="M2104">
        <f>IF(B2104="","",IFERROR(VALUE(TEXT(B2104,"[$-1170401]mm")),""))</f>
        <v/>
      </c>
    </row>
    <row r="2105">
      <c r="B2105" s="30" t="n"/>
      <c r="G2105" s="9">
        <f>IF(AND(E2105&lt;&gt;"",E2105&lt;&gt;0,H2105&lt;&gt;""),H2105/E2105,"")</f>
        <v/>
      </c>
      <c r="L2105">
        <f>IF(B2105="","",IFERROR(VALUE(TEXT(B2105,"[$-1170401]yyyy")),""))</f>
        <v/>
      </c>
      <c r="M2105">
        <f>IF(B2105="","",IFERROR(VALUE(TEXT(B2105,"[$-1170401]mm")),""))</f>
        <v/>
      </c>
    </row>
    <row r="2106">
      <c r="B2106" s="30" t="n"/>
      <c r="G2106" s="9">
        <f>IF(AND(E2106&lt;&gt;"",E2106&lt;&gt;0,H2106&lt;&gt;""),H2106/E2106,"")</f>
        <v/>
      </c>
      <c r="L2106">
        <f>IF(B2106="","",IFERROR(VALUE(TEXT(B2106,"[$-1170401]yyyy")),""))</f>
        <v/>
      </c>
      <c r="M2106">
        <f>IF(B2106="","",IFERROR(VALUE(TEXT(B2106,"[$-1170401]mm")),""))</f>
        <v/>
      </c>
    </row>
    <row r="2107">
      <c r="B2107" s="30" t="n"/>
      <c r="G2107" s="9">
        <f>IF(AND(E2107&lt;&gt;"",E2107&lt;&gt;0,H2107&lt;&gt;""),H2107/E2107,"")</f>
        <v/>
      </c>
      <c r="L2107">
        <f>IF(B2107="","",IFERROR(VALUE(TEXT(B2107,"[$-1170401]yyyy")),""))</f>
        <v/>
      </c>
      <c r="M2107">
        <f>IF(B2107="","",IFERROR(VALUE(TEXT(B2107,"[$-1170401]mm")),""))</f>
        <v/>
      </c>
    </row>
    <row r="2108">
      <c r="B2108" s="30" t="n"/>
      <c r="G2108" s="9">
        <f>IF(AND(E2108&lt;&gt;"",E2108&lt;&gt;0,H2108&lt;&gt;""),H2108/E2108,"")</f>
        <v/>
      </c>
      <c r="L2108">
        <f>IF(B2108="","",IFERROR(VALUE(TEXT(B2108,"[$-1170401]yyyy")),""))</f>
        <v/>
      </c>
      <c r="M2108">
        <f>IF(B2108="","",IFERROR(VALUE(TEXT(B2108,"[$-1170401]mm")),""))</f>
        <v/>
      </c>
    </row>
    <row r="2109">
      <c r="B2109" s="30" t="n"/>
      <c r="G2109" s="9">
        <f>IF(AND(E2109&lt;&gt;"",E2109&lt;&gt;0,H2109&lt;&gt;""),H2109/E2109,"")</f>
        <v/>
      </c>
      <c r="L2109">
        <f>IF(B2109="","",IFERROR(VALUE(TEXT(B2109,"[$-1170401]yyyy")),""))</f>
        <v/>
      </c>
      <c r="M2109">
        <f>IF(B2109="","",IFERROR(VALUE(TEXT(B2109,"[$-1170401]mm")),""))</f>
        <v/>
      </c>
    </row>
    <row r="2110">
      <c r="B2110" s="30" t="n"/>
      <c r="G2110" s="9">
        <f>IF(AND(E2110&lt;&gt;"",E2110&lt;&gt;0,H2110&lt;&gt;""),H2110/E2110,"")</f>
        <v/>
      </c>
      <c r="L2110">
        <f>IF(B2110="","",IFERROR(VALUE(TEXT(B2110,"[$-1170401]yyyy")),""))</f>
        <v/>
      </c>
      <c r="M2110">
        <f>IF(B2110="","",IFERROR(VALUE(TEXT(B2110,"[$-1170401]mm")),""))</f>
        <v/>
      </c>
    </row>
    <row r="2111">
      <c r="B2111" s="30" t="n"/>
      <c r="G2111" s="9">
        <f>IF(AND(E2111&lt;&gt;"",E2111&lt;&gt;0,H2111&lt;&gt;""),H2111/E2111,"")</f>
        <v/>
      </c>
      <c r="L2111">
        <f>IF(B2111="","",IFERROR(VALUE(TEXT(B2111,"[$-1170401]yyyy")),""))</f>
        <v/>
      </c>
      <c r="M2111">
        <f>IF(B2111="","",IFERROR(VALUE(TEXT(B2111,"[$-1170401]mm")),""))</f>
        <v/>
      </c>
    </row>
    <row r="2112">
      <c r="B2112" s="30" t="n"/>
      <c r="G2112" s="9">
        <f>IF(AND(E2112&lt;&gt;"",E2112&lt;&gt;0,H2112&lt;&gt;""),H2112/E2112,"")</f>
        <v/>
      </c>
      <c r="L2112">
        <f>IF(B2112="","",IFERROR(VALUE(TEXT(B2112,"[$-1170401]yyyy")),""))</f>
        <v/>
      </c>
      <c r="M2112">
        <f>IF(B2112="","",IFERROR(VALUE(TEXT(B2112,"[$-1170401]mm")),""))</f>
        <v/>
      </c>
    </row>
    <row r="2113">
      <c r="B2113" s="30" t="n"/>
      <c r="G2113" s="9">
        <f>IF(AND(E2113&lt;&gt;"",E2113&lt;&gt;0,H2113&lt;&gt;""),H2113/E2113,"")</f>
        <v/>
      </c>
      <c r="L2113">
        <f>IF(B2113="","",IFERROR(VALUE(TEXT(B2113,"[$-1170401]yyyy")),""))</f>
        <v/>
      </c>
      <c r="M2113">
        <f>IF(B2113="","",IFERROR(VALUE(TEXT(B2113,"[$-1170401]mm")),""))</f>
        <v/>
      </c>
    </row>
    <row r="2114">
      <c r="B2114" s="30" t="n"/>
      <c r="G2114" s="9">
        <f>IF(AND(E2114&lt;&gt;"",E2114&lt;&gt;0,H2114&lt;&gt;""),H2114/E2114,"")</f>
        <v/>
      </c>
      <c r="L2114">
        <f>IF(B2114="","",IFERROR(VALUE(TEXT(B2114,"[$-1170401]yyyy")),""))</f>
        <v/>
      </c>
      <c r="M2114">
        <f>IF(B2114="","",IFERROR(VALUE(TEXT(B2114,"[$-1170401]mm")),""))</f>
        <v/>
      </c>
    </row>
    <row r="2115">
      <c r="B2115" s="30" t="n"/>
      <c r="G2115" s="9">
        <f>IF(AND(E2115&lt;&gt;"",E2115&lt;&gt;0,H2115&lt;&gt;""),H2115/E2115,"")</f>
        <v/>
      </c>
      <c r="L2115">
        <f>IF(B2115="","",IFERROR(VALUE(TEXT(B2115,"[$-1170401]yyyy")),""))</f>
        <v/>
      </c>
      <c r="M2115">
        <f>IF(B2115="","",IFERROR(VALUE(TEXT(B2115,"[$-1170401]mm")),""))</f>
        <v/>
      </c>
    </row>
    <row r="2116">
      <c r="B2116" s="30" t="n"/>
      <c r="G2116" s="9">
        <f>IF(AND(E2116&lt;&gt;"",E2116&lt;&gt;0,H2116&lt;&gt;""),H2116/E2116,"")</f>
        <v/>
      </c>
      <c r="L2116">
        <f>IF(B2116="","",IFERROR(VALUE(TEXT(B2116,"[$-1170401]yyyy")),""))</f>
        <v/>
      </c>
      <c r="M2116">
        <f>IF(B2116="","",IFERROR(VALUE(TEXT(B2116,"[$-1170401]mm")),""))</f>
        <v/>
      </c>
    </row>
    <row r="2117">
      <c r="B2117" s="30" t="n"/>
      <c r="G2117" s="9">
        <f>IF(AND(E2117&lt;&gt;"",E2117&lt;&gt;0,H2117&lt;&gt;""),H2117/E2117,"")</f>
        <v/>
      </c>
      <c r="L2117">
        <f>IF(B2117="","",IFERROR(VALUE(TEXT(B2117,"[$-1170401]yyyy")),""))</f>
        <v/>
      </c>
      <c r="M2117">
        <f>IF(B2117="","",IFERROR(VALUE(TEXT(B2117,"[$-1170401]mm")),""))</f>
        <v/>
      </c>
    </row>
    <row r="2118">
      <c r="B2118" s="30" t="n"/>
      <c r="G2118" s="9">
        <f>IF(AND(E2118&lt;&gt;"",E2118&lt;&gt;0,H2118&lt;&gt;""),H2118/E2118,"")</f>
        <v/>
      </c>
      <c r="L2118">
        <f>IF(B2118="","",IFERROR(VALUE(TEXT(B2118,"[$-1170401]yyyy")),""))</f>
        <v/>
      </c>
      <c r="M2118">
        <f>IF(B2118="","",IFERROR(VALUE(TEXT(B2118,"[$-1170401]mm")),""))</f>
        <v/>
      </c>
    </row>
    <row r="2119">
      <c r="B2119" s="30" t="n"/>
      <c r="G2119" s="9">
        <f>IF(AND(E2119&lt;&gt;"",E2119&lt;&gt;0,H2119&lt;&gt;""),H2119/E2119,"")</f>
        <v/>
      </c>
      <c r="L2119">
        <f>IF(B2119="","",IFERROR(VALUE(TEXT(B2119,"[$-1170401]yyyy")),""))</f>
        <v/>
      </c>
      <c r="M2119">
        <f>IF(B2119="","",IFERROR(VALUE(TEXT(B2119,"[$-1170401]mm")),""))</f>
        <v/>
      </c>
    </row>
    <row r="2120">
      <c r="B2120" s="30" t="n"/>
      <c r="G2120" s="9">
        <f>IF(AND(E2120&lt;&gt;"",E2120&lt;&gt;0,H2120&lt;&gt;""),H2120/E2120,"")</f>
        <v/>
      </c>
      <c r="L2120">
        <f>IF(B2120="","",IFERROR(VALUE(TEXT(B2120,"[$-1170401]yyyy")),""))</f>
        <v/>
      </c>
      <c r="M2120">
        <f>IF(B2120="","",IFERROR(VALUE(TEXT(B2120,"[$-1170401]mm")),""))</f>
        <v/>
      </c>
    </row>
    <row r="2121">
      <c r="B2121" s="30" t="n"/>
      <c r="G2121" s="9">
        <f>IF(AND(E2121&lt;&gt;"",E2121&lt;&gt;0,H2121&lt;&gt;""),H2121/E2121,"")</f>
        <v/>
      </c>
      <c r="L2121">
        <f>IF(B2121="","",IFERROR(VALUE(TEXT(B2121,"[$-1170401]yyyy")),""))</f>
        <v/>
      </c>
      <c r="M2121">
        <f>IF(B2121="","",IFERROR(VALUE(TEXT(B2121,"[$-1170401]mm")),""))</f>
        <v/>
      </c>
    </row>
    <row r="2122">
      <c r="B2122" s="30" t="n"/>
      <c r="G2122" s="9">
        <f>IF(AND(E2122&lt;&gt;"",E2122&lt;&gt;0,H2122&lt;&gt;""),H2122/E2122,"")</f>
        <v/>
      </c>
      <c r="L2122">
        <f>IF(B2122="","",IFERROR(VALUE(TEXT(B2122,"[$-1170401]yyyy")),""))</f>
        <v/>
      </c>
      <c r="M2122">
        <f>IF(B2122="","",IFERROR(VALUE(TEXT(B2122,"[$-1170401]mm")),""))</f>
        <v/>
      </c>
    </row>
    <row r="2123">
      <c r="B2123" s="30" t="n"/>
      <c r="G2123" s="9">
        <f>IF(AND(E2123&lt;&gt;"",E2123&lt;&gt;0,H2123&lt;&gt;""),H2123/E2123,"")</f>
        <v/>
      </c>
      <c r="L2123">
        <f>IF(B2123="","",IFERROR(VALUE(TEXT(B2123,"[$-1170401]yyyy")),""))</f>
        <v/>
      </c>
      <c r="M2123">
        <f>IF(B2123="","",IFERROR(VALUE(TEXT(B2123,"[$-1170401]mm")),""))</f>
        <v/>
      </c>
    </row>
    <row r="2124">
      <c r="B2124" s="30" t="n"/>
      <c r="G2124" s="9">
        <f>IF(AND(E2124&lt;&gt;"",E2124&lt;&gt;0,H2124&lt;&gt;""),H2124/E2124,"")</f>
        <v/>
      </c>
      <c r="L2124">
        <f>IF(B2124="","",IFERROR(VALUE(TEXT(B2124,"[$-1170401]yyyy")),""))</f>
        <v/>
      </c>
      <c r="M2124">
        <f>IF(B2124="","",IFERROR(VALUE(TEXT(B2124,"[$-1170401]mm")),""))</f>
        <v/>
      </c>
    </row>
    <row r="2125">
      <c r="B2125" s="30" t="n"/>
      <c r="G2125" s="9">
        <f>IF(AND(E2125&lt;&gt;"",E2125&lt;&gt;0,H2125&lt;&gt;""),H2125/E2125,"")</f>
        <v/>
      </c>
      <c r="L2125">
        <f>IF(B2125="","",IFERROR(VALUE(TEXT(B2125,"[$-1170401]yyyy")),""))</f>
        <v/>
      </c>
      <c r="M2125">
        <f>IF(B2125="","",IFERROR(VALUE(TEXT(B2125,"[$-1170401]mm")),""))</f>
        <v/>
      </c>
    </row>
    <row r="2126">
      <c r="B2126" s="30" t="n"/>
      <c r="G2126" s="9">
        <f>IF(AND(E2126&lt;&gt;"",E2126&lt;&gt;0,H2126&lt;&gt;""),H2126/E2126,"")</f>
        <v/>
      </c>
      <c r="L2126">
        <f>IF(B2126="","",IFERROR(VALUE(TEXT(B2126,"[$-1170401]yyyy")),""))</f>
        <v/>
      </c>
      <c r="M2126">
        <f>IF(B2126="","",IFERROR(VALUE(TEXT(B2126,"[$-1170401]mm")),""))</f>
        <v/>
      </c>
    </row>
    <row r="2127">
      <c r="B2127" s="30" t="n"/>
      <c r="G2127" s="9">
        <f>IF(AND(E2127&lt;&gt;"",E2127&lt;&gt;0,H2127&lt;&gt;""),H2127/E2127,"")</f>
        <v/>
      </c>
      <c r="L2127">
        <f>IF(B2127="","",IFERROR(VALUE(TEXT(B2127,"[$-1170401]yyyy")),""))</f>
        <v/>
      </c>
      <c r="M2127">
        <f>IF(B2127="","",IFERROR(VALUE(TEXT(B2127,"[$-1170401]mm")),""))</f>
        <v/>
      </c>
    </row>
    <row r="2128">
      <c r="B2128" s="30" t="n"/>
      <c r="G2128" s="9">
        <f>IF(AND(E2128&lt;&gt;"",E2128&lt;&gt;0,H2128&lt;&gt;""),H2128/E2128,"")</f>
        <v/>
      </c>
      <c r="L2128">
        <f>IF(B2128="","",IFERROR(VALUE(TEXT(B2128,"[$-1170401]yyyy")),""))</f>
        <v/>
      </c>
      <c r="M2128">
        <f>IF(B2128="","",IFERROR(VALUE(TEXT(B2128,"[$-1170401]mm")),""))</f>
        <v/>
      </c>
    </row>
    <row r="2129">
      <c r="B2129" s="30" t="n"/>
      <c r="G2129" s="9">
        <f>IF(AND(E2129&lt;&gt;"",E2129&lt;&gt;0,H2129&lt;&gt;""),H2129/E2129,"")</f>
        <v/>
      </c>
      <c r="L2129">
        <f>IF(B2129="","",IFERROR(VALUE(TEXT(B2129,"[$-1170401]yyyy")),""))</f>
        <v/>
      </c>
      <c r="M2129">
        <f>IF(B2129="","",IFERROR(VALUE(TEXT(B2129,"[$-1170401]mm")),""))</f>
        <v/>
      </c>
    </row>
    <row r="2130">
      <c r="B2130" s="30" t="n"/>
      <c r="G2130" s="9">
        <f>IF(AND(E2130&lt;&gt;"",E2130&lt;&gt;0,H2130&lt;&gt;""),H2130/E2130,"")</f>
        <v/>
      </c>
      <c r="L2130">
        <f>IF(B2130="","",IFERROR(VALUE(TEXT(B2130,"[$-1170401]yyyy")),""))</f>
        <v/>
      </c>
      <c r="M2130">
        <f>IF(B2130="","",IFERROR(VALUE(TEXT(B2130,"[$-1170401]mm")),""))</f>
        <v/>
      </c>
    </row>
    <row r="2131">
      <c r="B2131" s="30" t="n"/>
      <c r="G2131" s="9">
        <f>IF(AND(E2131&lt;&gt;"",E2131&lt;&gt;0,H2131&lt;&gt;""),H2131/E2131,"")</f>
        <v/>
      </c>
      <c r="L2131">
        <f>IF(B2131="","",IFERROR(VALUE(TEXT(B2131,"[$-1170401]yyyy")),""))</f>
        <v/>
      </c>
      <c r="M2131">
        <f>IF(B2131="","",IFERROR(VALUE(TEXT(B2131,"[$-1170401]mm")),""))</f>
        <v/>
      </c>
    </row>
    <row r="2132">
      <c r="B2132" s="30" t="n"/>
      <c r="G2132" s="9">
        <f>IF(AND(E2132&lt;&gt;"",E2132&lt;&gt;0,H2132&lt;&gt;""),H2132/E2132,"")</f>
        <v/>
      </c>
      <c r="L2132">
        <f>IF(B2132="","",IFERROR(VALUE(TEXT(B2132,"[$-1170401]yyyy")),""))</f>
        <v/>
      </c>
      <c r="M2132">
        <f>IF(B2132="","",IFERROR(VALUE(TEXT(B2132,"[$-1170401]mm")),""))</f>
        <v/>
      </c>
    </row>
    <row r="2133">
      <c r="B2133" s="30" t="n"/>
      <c r="G2133" s="9">
        <f>IF(AND(E2133&lt;&gt;"",E2133&lt;&gt;0,H2133&lt;&gt;""),H2133/E2133,"")</f>
        <v/>
      </c>
      <c r="L2133">
        <f>IF(B2133="","",IFERROR(VALUE(TEXT(B2133,"[$-1170401]yyyy")),""))</f>
        <v/>
      </c>
      <c r="M2133">
        <f>IF(B2133="","",IFERROR(VALUE(TEXT(B2133,"[$-1170401]mm")),""))</f>
        <v/>
      </c>
    </row>
    <row r="2134">
      <c r="B2134" s="30" t="n"/>
      <c r="G2134" s="9">
        <f>IF(AND(E2134&lt;&gt;"",E2134&lt;&gt;0,H2134&lt;&gt;""),H2134/E2134,"")</f>
        <v/>
      </c>
      <c r="L2134">
        <f>IF(B2134="","",IFERROR(VALUE(TEXT(B2134,"[$-1170401]yyyy")),""))</f>
        <v/>
      </c>
      <c r="M2134">
        <f>IF(B2134="","",IFERROR(VALUE(TEXT(B2134,"[$-1170401]mm")),""))</f>
        <v/>
      </c>
    </row>
    <row r="2135">
      <c r="B2135" s="30" t="n"/>
      <c r="G2135" s="9">
        <f>IF(AND(E2135&lt;&gt;"",E2135&lt;&gt;0,H2135&lt;&gt;""),H2135/E2135,"")</f>
        <v/>
      </c>
      <c r="L2135">
        <f>IF(B2135="","",IFERROR(VALUE(TEXT(B2135,"[$-1170401]yyyy")),""))</f>
        <v/>
      </c>
      <c r="M2135">
        <f>IF(B2135="","",IFERROR(VALUE(TEXT(B2135,"[$-1170401]mm")),""))</f>
        <v/>
      </c>
    </row>
    <row r="2136">
      <c r="B2136" s="30" t="n"/>
      <c r="G2136" s="9">
        <f>IF(AND(E2136&lt;&gt;"",E2136&lt;&gt;0,H2136&lt;&gt;""),H2136/E2136,"")</f>
        <v/>
      </c>
      <c r="L2136">
        <f>IF(B2136="","",IFERROR(VALUE(TEXT(B2136,"[$-1170401]yyyy")),""))</f>
        <v/>
      </c>
      <c r="M2136">
        <f>IF(B2136="","",IFERROR(VALUE(TEXT(B2136,"[$-1170401]mm")),""))</f>
        <v/>
      </c>
    </row>
    <row r="2137">
      <c r="B2137" s="30" t="n"/>
      <c r="G2137" s="9">
        <f>IF(AND(E2137&lt;&gt;"",E2137&lt;&gt;0,H2137&lt;&gt;""),H2137/E2137,"")</f>
        <v/>
      </c>
      <c r="L2137">
        <f>IF(B2137="","",IFERROR(VALUE(TEXT(B2137,"[$-1170401]yyyy")),""))</f>
        <v/>
      </c>
      <c r="M2137">
        <f>IF(B2137="","",IFERROR(VALUE(TEXT(B2137,"[$-1170401]mm")),""))</f>
        <v/>
      </c>
    </row>
    <row r="2138">
      <c r="B2138" s="30" t="n"/>
      <c r="G2138" s="9">
        <f>IF(AND(E2138&lt;&gt;"",E2138&lt;&gt;0,H2138&lt;&gt;""),H2138/E2138,"")</f>
        <v/>
      </c>
      <c r="L2138">
        <f>IF(B2138="","",IFERROR(VALUE(TEXT(B2138,"[$-1170401]yyyy")),""))</f>
        <v/>
      </c>
      <c r="M2138">
        <f>IF(B2138="","",IFERROR(VALUE(TEXT(B2138,"[$-1170401]mm")),""))</f>
        <v/>
      </c>
    </row>
    <row r="2139">
      <c r="B2139" s="30" t="n"/>
      <c r="G2139" s="9">
        <f>IF(AND(E2139&lt;&gt;"",E2139&lt;&gt;0,H2139&lt;&gt;""),H2139/E2139,"")</f>
        <v/>
      </c>
      <c r="L2139">
        <f>IF(B2139="","",IFERROR(VALUE(TEXT(B2139,"[$-1170401]yyyy")),""))</f>
        <v/>
      </c>
      <c r="M2139">
        <f>IF(B2139="","",IFERROR(VALUE(TEXT(B2139,"[$-1170401]mm")),""))</f>
        <v/>
      </c>
    </row>
    <row r="2140">
      <c r="B2140" s="30" t="n"/>
      <c r="G2140" s="9">
        <f>IF(AND(E2140&lt;&gt;"",E2140&lt;&gt;0,H2140&lt;&gt;""),H2140/E2140,"")</f>
        <v/>
      </c>
      <c r="L2140">
        <f>IF(B2140="","",IFERROR(VALUE(TEXT(B2140,"[$-1170401]yyyy")),""))</f>
        <v/>
      </c>
      <c r="M2140">
        <f>IF(B2140="","",IFERROR(VALUE(TEXT(B2140,"[$-1170401]mm")),""))</f>
        <v/>
      </c>
    </row>
    <row r="2141">
      <c r="B2141" s="30" t="n"/>
      <c r="G2141" s="9">
        <f>IF(AND(E2141&lt;&gt;"",E2141&lt;&gt;0,H2141&lt;&gt;""),H2141/E2141,"")</f>
        <v/>
      </c>
      <c r="L2141">
        <f>IF(B2141="","",IFERROR(VALUE(TEXT(B2141,"[$-1170401]yyyy")),""))</f>
        <v/>
      </c>
      <c r="M2141">
        <f>IF(B2141="","",IFERROR(VALUE(TEXT(B2141,"[$-1170401]mm")),""))</f>
        <v/>
      </c>
    </row>
    <row r="2142">
      <c r="B2142" s="30" t="n"/>
      <c r="G2142" s="9">
        <f>IF(AND(E2142&lt;&gt;"",E2142&lt;&gt;0,H2142&lt;&gt;""),H2142/E2142,"")</f>
        <v/>
      </c>
      <c r="L2142">
        <f>IF(B2142="","",IFERROR(VALUE(TEXT(B2142,"[$-1170401]yyyy")),""))</f>
        <v/>
      </c>
      <c r="M2142">
        <f>IF(B2142="","",IFERROR(VALUE(TEXT(B2142,"[$-1170401]mm")),""))</f>
        <v/>
      </c>
    </row>
    <row r="2143">
      <c r="B2143" s="30" t="n"/>
      <c r="G2143" s="9">
        <f>IF(AND(E2143&lt;&gt;"",E2143&lt;&gt;0,H2143&lt;&gt;""),H2143/E2143,"")</f>
        <v/>
      </c>
      <c r="L2143">
        <f>IF(B2143="","",IFERROR(VALUE(TEXT(B2143,"[$-1170401]yyyy")),""))</f>
        <v/>
      </c>
      <c r="M2143">
        <f>IF(B2143="","",IFERROR(VALUE(TEXT(B2143,"[$-1170401]mm")),""))</f>
        <v/>
      </c>
    </row>
    <row r="2144">
      <c r="B2144" s="30" t="n"/>
      <c r="G2144" s="9">
        <f>IF(AND(E2144&lt;&gt;"",E2144&lt;&gt;0,H2144&lt;&gt;""),H2144/E2144,"")</f>
        <v/>
      </c>
      <c r="L2144">
        <f>IF(B2144="","",IFERROR(VALUE(TEXT(B2144,"[$-1170401]yyyy")),""))</f>
        <v/>
      </c>
      <c r="M2144">
        <f>IF(B2144="","",IFERROR(VALUE(TEXT(B2144,"[$-1170401]mm")),""))</f>
        <v/>
      </c>
    </row>
    <row r="2145">
      <c r="B2145" s="30" t="n"/>
      <c r="G2145" s="9">
        <f>IF(AND(E2145&lt;&gt;"",E2145&lt;&gt;0,H2145&lt;&gt;""),H2145/E2145,"")</f>
        <v/>
      </c>
      <c r="L2145">
        <f>IF(B2145="","",IFERROR(VALUE(TEXT(B2145,"[$-1170401]yyyy")),""))</f>
        <v/>
      </c>
      <c r="M2145">
        <f>IF(B2145="","",IFERROR(VALUE(TEXT(B2145,"[$-1170401]mm")),""))</f>
        <v/>
      </c>
    </row>
    <row r="2146">
      <c r="B2146" s="30" t="n"/>
      <c r="G2146" s="9">
        <f>IF(AND(E2146&lt;&gt;"",E2146&lt;&gt;0,H2146&lt;&gt;""),H2146/E2146,"")</f>
        <v/>
      </c>
      <c r="L2146">
        <f>IF(B2146="","",IFERROR(VALUE(TEXT(B2146,"[$-1170401]yyyy")),""))</f>
        <v/>
      </c>
      <c r="M2146">
        <f>IF(B2146="","",IFERROR(VALUE(TEXT(B2146,"[$-1170401]mm")),""))</f>
        <v/>
      </c>
    </row>
    <row r="2147">
      <c r="B2147" s="30" t="n"/>
      <c r="G2147" s="9">
        <f>IF(AND(E2147&lt;&gt;"",E2147&lt;&gt;0,H2147&lt;&gt;""),H2147/E2147,"")</f>
        <v/>
      </c>
      <c r="L2147">
        <f>IF(B2147="","",IFERROR(VALUE(TEXT(B2147,"[$-1170401]yyyy")),""))</f>
        <v/>
      </c>
      <c r="M2147">
        <f>IF(B2147="","",IFERROR(VALUE(TEXT(B2147,"[$-1170401]mm")),""))</f>
        <v/>
      </c>
    </row>
    <row r="2148">
      <c r="B2148" s="30" t="n"/>
      <c r="G2148" s="9">
        <f>IF(AND(E2148&lt;&gt;"",E2148&lt;&gt;0,H2148&lt;&gt;""),H2148/E2148,"")</f>
        <v/>
      </c>
      <c r="L2148">
        <f>IF(B2148="","",IFERROR(VALUE(TEXT(B2148,"[$-1170401]yyyy")),""))</f>
        <v/>
      </c>
      <c r="M2148">
        <f>IF(B2148="","",IFERROR(VALUE(TEXT(B2148,"[$-1170401]mm")),""))</f>
        <v/>
      </c>
    </row>
    <row r="2149">
      <c r="B2149" s="30" t="n"/>
      <c r="G2149" s="9">
        <f>IF(AND(E2149&lt;&gt;"",E2149&lt;&gt;0,H2149&lt;&gt;""),H2149/E2149,"")</f>
        <v/>
      </c>
      <c r="L2149">
        <f>IF(B2149="","",IFERROR(VALUE(TEXT(B2149,"[$-1170401]yyyy")),""))</f>
        <v/>
      </c>
      <c r="M2149">
        <f>IF(B2149="","",IFERROR(VALUE(TEXT(B2149,"[$-1170401]mm")),""))</f>
        <v/>
      </c>
    </row>
    <row r="2150">
      <c r="B2150" s="30" t="n"/>
      <c r="G2150" s="9">
        <f>IF(AND(E2150&lt;&gt;"",E2150&lt;&gt;0,H2150&lt;&gt;""),H2150/E2150,"")</f>
        <v/>
      </c>
      <c r="L2150">
        <f>IF(B2150="","",IFERROR(VALUE(TEXT(B2150,"[$-1170401]yyyy")),""))</f>
        <v/>
      </c>
      <c r="M2150">
        <f>IF(B2150="","",IFERROR(VALUE(TEXT(B2150,"[$-1170401]mm")),""))</f>
        <v/>
      </c>
    </row>
    <row r="2151">
      <c r="B2151" s="30" t="n"/>
      <c r="G2151" s="9">
        <f>IF(AND(E2151&lt;&gt;"",E2151&lt;&gt;0,H2151&lt;&gt;""),H2151/E2151,"")</f>
        <v/>
      </c>
      <c r="L2151">
        <f>IF(B2151="","",IFERROR(VALUE(TEXT(B2151,"[$-1170401]yyyy")),""))</f>
        <v/>
      </c>
      <c r="M2151">
        <f>IF(B2151="","",IFERROR(VALUE(TEXT(B2151,"[$-1170401]mm")),""))</f>
        <v/>
      </c>
    </row>
    <row r="2152">
      <c r="B2152" s="30" t="n"/>
      <c r="G2152" s="9">
        <f>IF(AND(E2152&lt;&gt;"",E2152&lt;&gt;0,H2152&lt;&gt;""),H2152/E2152,"")</f>
        <v/>
      </c>
      <c r="L2152">
        <f>IF(B2152="","",IFERROR(VALUE(TEXT(B2152,"[$-1170401]yyyy")),""))</f>
        <v/>
      </c>
      <c r="M2152">
        <f>IF(B2152="","",IFERROR(VALUE(TEXT(B2152,"[$-1170401]mm")),""))</f>
        <v/>
      </c>
    </row>
    <row r="2153">
      <c r="B2153" s="30" t="n"/>
      <c r="G2153" s="9">
        <f>IF(AND(E2153&lt;&gt;"",E2153&lt;&gt;0,H2153&lt;&gt;""),H2153/E2153,"")</f>
        <v/>
      </c>
      <c r="L2153">
        <f>IF(B2153="","",IFERROR(VALUE(TEXT(B2153,"[$-1170401]yyyy")),""))</f>
        <v/>
      </c>
      <c r="M2153">
        <f>IF(B2153="","",IFERROR(VALUE(TEXT(B2153,"[$-1170401]mm")),""))</f>
        <v/>
      </c>
    </row>
    <row r="2154">
      <c r="B2154" s="30" t="n"/>
      <c r="G2154" s="9">
        <f>IF(AND(E2154&lt;&gt;"",E2154&lt;&gt;0,H2154&lt;&gt;""),H2154/E2154,"")</f>
        <v/>
      </c>
      <c r="L2154">
        <f>IF(B2154="","",IFERROR(VALUE(TEXT(B2154,"[$-1170401]yyyy")),""))</f>
        <v/>
      </c>
      <c r="M2154">
        <f>IF(B2154="","",IFERROR(VALUE(TEXT(B2154,"[$-1170401]mm")),""))</f>
        <v/>
      </c>
    </row>
    <row r="2155">
      <c r="B2155" s="30" t="n"/>
      <c r="G2155" s="9">
        <f>IF(AND(E2155&lt;&gt;"",E2155&lt;&gt;0,H2155&lt;&gt;""),H2155/E2155,"")</f>
        <v/>
      </c>
      <c r="L2155">
        <f>IF(B2155="","",IFERROR(VALUE(TEXT(B2155,"[$-1170401]yyyy")),""))</f>
        <v/>
      </c>
      <c r="M2155">
        <f>IF(B2155="","",IFERROR(VALUE(TEXT(B2155,"[$-1170401]mm")),""))</f>
        <v/>
      </c>
    </row>
    <row r="2156">
      <c r="B2156" s="30" t="n"/>
      <c r="G2156" s="9">
        <f>IF(AND(E2156&lt;&gt;"",E2156&lt;&gt;0,H2156&lt;&gt;""),H2156/E2156,"")</f>
        <v/>
      </c>
      <c r="L2156">
        <f>IF(B2156="","",IFERROR(VALUE(TEXT(B2156,"[$-1170401]yyyy")),""))</f>
        <v/>
      </c>
      <c r="M2156">
        <f>IF(B2156="","",IFERROR(VALUE(TEXT(B2156,"[$-1170401]mm")),""))</f>
        <v/>
      </c>
    </row>
    <row r="2157">
      <c r="B2157" s="30" t="n"/>
      <c r="G2157" s="9">
        <f>IF(AND(E2157&lt;&gt;"",E2157&lt;&gt;0,H2157&lt;&gt;""),H2157/E2157,"")</f>
        <v/>
      </c>
      <c r="L2157">
        <f>IF(B2157="","",IFERROR(VALUE(TEXT(B2157,"[$-1170401]yyyy")),""))</f>
        <v/>
      </c>
      <c r="M2157">
        <f>IF(B2157="","",IFERROR(VALUE(TEXT(B2157,"[$-1170401]mm")),""))</f>
        <v/>
      </c>
    </row>
    <row r="2158">
      <c r="B2158" s="30" t="n"/>
      <c r="G2158" s="9">
        <f>IF(AND(E2158&lt;&gt;"",E2158&lt;&gt;0,H2158&lt;&gt;""),H2158/E2158,"")</f>
        <v/>
      </c>
      <c r="L2158">
        <f>IF(B2158="","",IFERROR(VALUE(TEXT(B2158,"[$-1170401]yyyy")),""))</f>
        <v/>
      </c>
      <c r="M2158">
        <f>IF(B2158="","",IFERROR(VALUE(TEXT(B2158,"[$-1170401]mm")),""))</f>
        <v/>
      </c>
    </row>
    <row r="2159">
      <c r="B2159" s="30" t="n"/>
      <c r="G2159" s="9">
        <f>IF(AND(E2159&lt;&gt;"",E2159&lt;&gt;0,H2159&lt;&gt;""),H2159/E2159,"")</f>
        <v/>
      </c>
      <c r="L2159">
        <f>IF(B2159="","",IFERROR(VALUE(TEXT(B2159,"[$-1170401]yyyy")),""))</f>
        <v/>
      </c>
      <c r="M2159">
        <f>IF(B2159="","",IFERROR(VALUE(TEXT(B2159,"[$-1170401]mm")),""))</f>
        <v/>
      </c>
    </row>
    <row r="2160">
      <c r="B2160" s="30" t="n"/>
      <c r="G2160" s="9">
        <f>IF(AND(E2160&lt;&gt;"",E2160&lt;&gt;0,H2160&lt;&gt;""),H2160/E2160,"")</f>
        <v/>
      </c>
      <c r="L2160">
        <f>IF(B2160="","",IFERROR(VALUE(TEXT(B2160,"[$-1170401]yyyy")),""))</f>
        <v/>
      </c>
      <c r="M2160">
        <f>IF(B2160="","",IFERROR(VALUE(TEXT(B2160,"[$-1170401]mm")),""))</f>
        <v/>
      </c>
    </row>
    <row r="2161">
      <c r="B2161" s="30" t="n"/>
      <c r="G2161" s="9">
        <f>IF(AND(E2161&lt;&gt;"",E2161&lt;&gt;0,H2161&lt;&gt;""),H2161/E2161,"")</f>
        <v/>
      </c>
      <c r="L2161">
        <f>IF(B2161="","",IFERROR(VALUE(TEXT(B2161,"[$-1170401]yyyy")),""))</f>
        <v/>
      </c>
      <c r="M2161">
        <f>IF(B2161="","",IFERROR(VALUE(TEXT(B2161,"[$-1170401]mm")),""))</f>
        <v/>
      </c>
    </row>
    <row r="2162">
      <c r="B2162" s="30" t="n"/>
      <c r="G2162" s="9">
        <f>IF(AND(E2162&lt;&gt;"",E2162&lt;&gt;0,H2162&lt;&gt;""),H2162/E2162,"")</f>
        <v/>
      </c>
      <c r="L2162">
        <f>IF(B2162="","",IFERROR(VALUE(TEXT(B2162,"[$-1170401]yyyy")),""))</f>
        <v/>
      </c>
      <c r="M2162">
        <f>IF(B2162="","",IFERROR(VALUE(TEXT(B2162,"[$-1170401]mm")),""))</f>
        <v/>
      </c>
    </row>
    <row r="2163">
      <c r="B2163" s="30" t="n"/>
      <c r="G2163" s="9">
        <f>IF(AND(E2163&lt;&gt;"",E2163&lt;&gt;0,H2163&lt;&gt;""),H2163/E2163,"")</f>
        <v/>
      </c>
      <c r="L2163">
        <f>IF(B2163="","",IFERROR(VALUE(TEXT(B2163,"[$-1170401]yyyy")),""))</f>
        <v/>
      </c>
      <c r="M2163">
        <f>IF(B2163="","",IFERROR(VALUE(TEXT(B2163,"[$-1170401]mm")),""))</f>
        <v/>
      </c>
    </row>
    <row r="2164">
      <c r="B2164" s="30" t="n"/>
      <c r="G2164" s="9">
        <f>IF(AND(E2164&lt;&gt;"",E2164&lt;&gt;0,H2164&lt;&gt;""),H2164/E2164,"")</f>
        <v/>
      </c>
      <c r="L2164">
        <f>IF(B2164="","",IFERROR(VALUE(TEXT(B2164,"[$-1170401]yyyy")),""))</f>
        <v/>
      </c>
      <c r="M2164">
        <f>IF(B2164="","",IFERROR(VALUE(TEXT(B2164,"[$-1170401]mm")),""))</f>
        <v/>
      </c>
    </row>
    <row r="2165">
      <c r="B2165" s="30" t="n"/>
      <c r="G2165" s="9">
        <f>IF(AND(E2165&lt;&gt;"",E2165&lt;&gt;0,H2165&lt;&gt;""),H2165/E2165,"")</f>
        <v/>
      </c>
      <c r="L2165">
        <f>IF(B2165="","",IFERROR(VALUE(TEXT(B2165,"[$-1170401]yyyy")),""))</f>
        <v/>
      </c>
      <c r="M2165">
        <f>IF(B2165="","",IFERROR(VALUE(TEXT(B2165,"[$-1170401]mm")),""))</f>
        <v/>
      </c>
    </row>
    <row r="2166">
      <c r="B2166" s="30" t="n"/>
      <c r="G2166" s="9">
        <f>IF(AND(E2166&lt;&gt;"",E2166&lt;&gt;0,H2166&lt;&gt;""),H2166/E2166,"")</f>
        <v/>
      </c>
      <c r="L2166">
        <f>IF(B2166="","",IFERROR(VALUE(TEXT(B2166,"[$-1170401]yyyy")),""))</f>
        <v/>
      </c>
      <c r="M2166">
        <f>IF(B2166="","",IFERROR(VALUE(TEXT(B2166,"[$-1170401]mm")),""))</f>
        <v/>
      </c>
    </row>
    <row r="2167">
      <c r="B2167" s="30" t="n"/>
      <c r="G2167" s="9">
        <f>IF(AND(E2167&lt;&gt;"",E2167&lt;&gt;0,H2167&lt;&gt;""),H2167/E2167,"")</f>
        <v/>
      </c>
      <c r="L2167">
        <f>IF(B2167="","",IFERROR(VALUE(TEXT(B2167,"[$-1170401]yyyy")),""))</f>
        <v/>
      </c>
      <c r="M2167">
        <f>IF(B2167="","",IFERROR(VALUE(TEXT(B2167,"[$-1170401]mm")),""))</f>
        <v/>
      </c>
    </row>
    <row r="2168">
      <c r="B2168" s="30" t="n"/>
      <c r="G2168" s="9">
        <f>IF(AND(E2168&lt;&gt;"",E2168&lt;&gt;0,H2168&lt;&gt;""),H2168/E2168,"")</f>
        <v/>
      </c>
      <c r="L2168">
        <f>IF(B2168="","",IFERROR(VALUE(TEXT(B2168,"[$-1170401]yyyy")),""))</f>
        <v/>
      </c>
      <c r="M2168">
        <f>IF(B2168="","",IFERROR(VALUE(TEXT(B2168,"[$-1170401]mm")),""))</f>
        <v/>
      </c>
    </row>
    <row r="2169">
      <c r="B2169" s="30" t="n"/>
      <c r="G2169" s="9">
        <f>IF(AND(E2169&lt;&gt;"",E2169&lt;&gt;0,H2169&lt;&gt;""),H2169/E2169,"")</f>
        <v/>
      </c>
      <c r="L2169">
        <f>IF(B2169="","",IFERROR(VALUE(TEXT(B2169,"[$-1170401]yyyy")),""))</f>
        <v/>
      </c>
      <c r="M2169">
        <f>IF(B2169="","",IFERROR(VALUE(TEXT(B2169,"[$-1170401]mm")),""))</f>
        <v/>
      </c>
    </row>
    <row r="2170">
      <c r="B2170" s="30" t="n"/>
      <c r="G2170" s="9">
        <f>IF(AND(E2170&lt;&gt;"",E2170&lt;&gt;0,H2170&lt;&gt;""),H2170/E2170,"")</f>
        <v/>
      </c>
      <c r="L2170">
        <f>IF(B2170="","",IFERROR(VALUE(TEXT(B2170,"[$-1170401]yyyy")),""))</f>
        <v/>
      </c>
      <c r="M2170">
        <f>IF(B2170="","",IFERROR(VALUE(TEXT(B2170,"[$-1170401]mm")),""))</f>
        <v/>
      </c>
    </row>
    <row r="2171">
      <c r="B2171" s="30" t="n"/>
      <c r="G2171" s="9">
        <f>IF(AND(E2171&lt;&gt;"",E2171&lt;&gt;0,H2171&lt;&gt;""),H2171/E2171,"")</f>
        <v/>
      </c>
      <c r="L2171">
        <f>IF(B2171="","",IFERROR(VALUE(TEXT(B2171,"[$-1170401]yyyy")),""))</f>
        <v/>
      </c>
      <c r="M2171">
        <f>IF(B2171="","",IFERROR(VALUE(TEXT(B2171,"[$-1170401]mm")),""))</f>
        <v/>
      </c>
    </row>
    <row r="2172">
      <c r="B2172" s="30" t="n"/>
      <c r="G2172" s="9">
        <f>IF(AND(E2172&lt;&gt;"",E2172&lt;&gt;0,H2172&lt;&gt;""),H2172/E2172,"")</f>
        <v/>
      </c>
      <c r="L2172">
        <f>IF(B2172="","",IFERROR(VALUE(TEXT(B2172,"[$-1170401]yyyy")),""))</f>
        <v/>
      </c>
      <c r="M2172">
        <f>IF(B2172="","",IFERROR(VALUE(TEXT(B2172,"[$-1170401]mm")),""))</f>
        <v/>
      </c>
    </row>
    <row r="2173">
      <c r="B2173" s="30" t="n"/>
      <c r="G2173" s="9">
        <f>IF(AND(E2173&lt;&gt;"",E2173&lt;&gt;0,H2173&lt;&gt;""),H2173/E2173,"")</f>
        <v/>
      </c>
      <c r="L2173">
        <f>IF(B2173="","",IFERROR(VALUE(TEXT(B2173,"[$-1170401]yyyy")),""))</f>
        <v/>
      </c>
      <c r="M2173">
        <f>IF(B2173="","",IFERROR(VALUE(TEXT(B2173,"[$-1170401]mm")),""))</f>
        <v/>
      </c>
    </row>
    <row r="2174">
      <c r="B2174" s="30" t="n"/>
      <c r="G2174" s="9">
        <f>IF(AND(E2174&lt;&gt;"",E2174&lt;&gt;0,H2174&lt;&gt;""),H2174/E2174,"")</f>
        <v/>
      </c>
      <c r="L2174">
        <f>IF(B2174="","",IFERROR(VALUE(TEXT(B2174,"[$-1170401]yyyy")),""))</f>
        <v/>
      </c>
      <c r="M2174">
        <f>IF(B2174="","",IFERROR(VALUE(TEXT(B2174,"[$-1170401]mm")),""))</f>
        <v/>
      </c>
    </row>
    <row r="2175">
      <c r="B2175" s="30" t="n"/>
      <c r="G2175" s="9">
        <f>IF(AND(E2175&lt;&gt;"",E2175&lt;&gt;0,H2175&lt;&gt;""),H2175/E2175,"")</f>
        <v/>
      </c>
      <c r="L2175">
        <f>IF(B2175="","",IFERROR(VALUE(TEXT(B2175,"[$-1170401]yyyy")),""))</f>
        <v/>
      </c>
      <c r="M2175">
        <f>IF(B2175="","",IFERROR(VALUE(TEXT(B2175,"[$-1170401]mm")),""))</f>
        <v/>
      </c>
    </row>
    <row r="2176">
      <c r="B2176" s="30" t="n"/>
      <c r="G2176" s="9">
        <f>IF(AND(E2176&lt;&gt;"",E2176&lt;&gt;0,H2176&lt;&gt;""),H2176/E2176,"")</f>
        <v/>
      </c>
      <c r="L2176">
        <f>IF(B2176="","",IFERROR(VALUE(TEXT(B2176,"[$-1170401]yyyy")),""))</f>
        <v/>
      </c>
      <c r="M2176">
        <f>IF(B2176="","",IFERROR(VALUE(TEXT(B2176,"[$-1170401]mm")),""))</f>
        <v/>
      </c>
    </row>
    <row r="2177">
      <c r="B2177" s="30" t="n"/>
      <c r="G2177" s="9">
        <f>IF(AND(E2177&lt;&gt;"",E2177&lt;&gt;0,H2177&lt;&gt;""),H2177/E2177,"")</f>
        <v/>
      </c>
      <c r="L2177">
        <f>IF(B2177="","",IFERROR(VALUE(TEXT(B2177,"[$-1170401]yyyy")),""))</f>
        <v/>
      </c>
      <c r="M2177">
        <f>IF(B2177="","",IFERROR(VALUE(TEXT(B2177,"[$-1170401]mm")),""))</f>
        <v/>
      </c>
    </row>
    <row r="2178">
      <c r="B2178" s="30" t="n"/>
      <c r="G2178" s="9">
        <f>IF(AND(E2178&lt;&gt;"",E2178&lt;&gt;0,H2178&lt;&gt;""),H2178/E2178,"")</f>
        <v/>
      </c>
      <c r="L2178">
        <f>IF(B2178="","",IFERROR(VALUE(TEXT(B2178,"[$-1170401]yyyy")),""))</f>
        <v/>
      </c>
      <c r="M2178">
        <f>IF(B2178="","",IFERROR(VALUE(TEXT(B2178,"[$-1170401]mm")),""))</f>
        <v/>
      </c>
    </row>
    <row r="2179">
      <c r="B2179" s="30" t="n"/>
      <c r="G2179" s="9">
        <f>IF(AND(E2179&lt;&gt;"",E2179&lt;&gt;0,H2179&lt;&gt;""),H2179/E2179,"")</f>
        <v/>
      </c>
      <c r="L2179">
        <f>IF(B2179="","",IFERROR(VALUE(TEXT(B2179,"[$-1170401]yyyy")),""))</f>
        <v/>
      </c>
      <c r="M2179">
        <f>IF(B2179="","",IFERROR(VALUE(TEXT(B2179,"[$-1170401]mm")),""))</f>
        <v/>
      </c>
    </row>
    <row r="2180">
      <c r="B2180" s="30" t="n"/>
      <c r="G2180" s="9">
        <f>IF(AND(E2180&lt;&gt;"",E2180&lt;&gt;0,H2180&lt;&gt;""),H2180/E2180,"")</f>
        <v/>
      </c>
      <c r="L2180">
        <f>IF(B2180="","",IFERROR(VALUE(TEXT(B2180,"[$-1170401]yyyy")),""))</f>
        <v/>
      </c>
      <c r="M2180">
        <f>IF(B2180="","",IFERROR(VALUE(TEXT(B2180,"[$-1170401]mm")),""))</f>
        <v/>
      </c>
    </row>
    <row r="2181">
      <c r="B2181" s="30" t="n"/>
      <c r="G2181" s="9">
        <f>IF(AND(E2181&lt;&gt;"",E2181&lt;&gt;0,H2181&lt;&gt;""),H2181/E2181,"")</f>
        <v/>
      </c>
      <c r="L2181">
        <f>IF(B2181="","",IFERROR(VALUE(TEXT(B2181,"[$-1170401]yyyy")),""))</f>
        <v/>
      </c>
      <c r="M2181">
        <f>IF(B2181="","",IFERROR(VALUE(TEXT(B2181,"[$-1170401]mm")),""))</f>
        <v/>
      </c>
    </row>
    <row r="2182">
      <c r="B2182" s="30" t="n"/>
      <c r="G2182" s="9">
        <f>IF(AND(E2182&lt;&gt;"",E2182&lt;&gt;0,H2182&lt;&gt;""),H2182/E2182,"")</f>
        <v/>
      </c>
      <c r="L2182">
        <f>IF(B2182="","",IFERROR(VALUE(TEXT(B2182,"[$-1170401]yyyy")),""))</f>
        <v/>
      </c>
      <c r="M2182">
        <f>IF(B2182="","",IFERROR(VALUE(TEXT(B2182,"[$-1170401]mm")),""))</f>
        <v/>
      </c>
    </row>
    <row r="2183">
      <c r="B2183" s="30" t="n"/>
      <c r="G2183" s="9">
        <f>IF(AND(E2183&lt;&gt;"",E2183&lt;&gt;0,H2183&lt;&gt;""),H2183/E2183,"")</f>
        <v/>
      </c>
      <c r="L2183">
        <f>IF(B2183="","",IFERROR(VALUE(TEXT(B2183,"[$-1170401]yyyy")),""))</f>
        <v/>
      </c>
      <c r="M2183">
        <f>IF(B2183="","",IFERROR(VALUE(TEXT(B2183,"[$-1170401]mm")),""))</f>
        <v/>
      </c>
    </row>
    <row r="2184">
      <c r="B2184" s="30" t="n"/>
      <c r="G2184" s="9">
        <f>IF(AND(E2184&lt;&gt;"",E2184&lt;&gt;0,H2184&lt;&gt;""),H2184/E2184,"")</f>
        <v/>
      </c>
      <c r="L2184">
        <f>IF(B2184="","",IFERROR(VALUE(TEXT(B2184,"[$-1170401]yyyy")),""))</f>
        <v/>
      </c>
      <c r="M2184">
        <f>IF(B2184="","",IFERROR(VALUE(TEXT(B2184,"[$-1170401]mm")),""))</f>
        <v/>
      </c>
    </row>
    <row r="2185">
      <c r="B2185" s="30" t="n"/>
      <c r="G2185" s="9">
        <f>IF(AND(E2185&lt;&gt;"",E2185&lt;&gt;0,H2185&lt;&gt;""),H2185/E2185,"")</f>
        <v/>
      </c>
      <c r="L2185">
        <f>IF(B2185="","",IFERROR(VALUE(TEXT(B2185,"[$-1170401]yyyy")),""))</f>
        <v/>
      </c>
      <c r="M2185">
        <f>IF(B2185="","",IFERROR(VALUE(TEXT(B2185,"[$-1170401]mm")),""))</f>
        <v/>
      </c>
    </row>
    <row r="2186">
      <c r="B2186" s="30" t="n"/>
      <c r="G2186" s="9">
        <f>IF(AND(E2186&lt;&gt;"",E2186&lt;&gt;0,H2186&lt;&gt;""),H2186/E2186,"")</f>
        <v/>
      </c>
      <c r="L2186">
        <f>IF(B2186="","",IFERROR(VALUE(TEXT(B2186,"[$-1170401]yyyy")),""))</f>
        <v/>
      </c>
      <c r="M2186">
        <f>IF(B2186="","",IFERROR(VALUE(TEXT(B2186,"[$-1170401]mm")),""))</f>
        <v/>
      </c>
    </row>
    <row r="2187">
      <c r="B2187" s="30" t="n"/>
      <c r="G2187" s="9">
        <f>IF(AND(E2187&lt;&gt;"",E2187&lt;&gt;0,H2187&lt;&gt;""),H2187/E2187,"")</f>
        <v/>
      </c>
      <c r="L2187">
        <f>IF(B2187="","",IFERROR(VALUE(TEXT(B2187,"[$-1170401]yyyy")),""))</f>
        <v/>
      </c>
      <c r="M2187">
        <f>IF(B2187="","",IFERROR(VALUE(TEXT(B2187,"[$-1170401]mm")),""))</f>
        <v/>
      </c>
    </row>
    <row r="2188">
      <c r="B2188" s="30" t="n"/>
      <c r="G2188" s="9">
        <f>IF(AND(E2188&lt;&gt;"",E2188&lt;&gt;0,H2188&lt;&gt;""),H2188/E2188,"")</f>
        <v/>
      </c>
      <c r="L2188">
        <f>IF(B2188="","",IFERROR(VALUE(TEXT(B2188,"[$-1170401]yyyy")),""))</f>
        <v/>
      </c>
      <c r="M2188">
        <f>IF(B2188="","",IFERROR(VALUE(TEXT(B2188,"[$-1170401]mm")),""))</f>
        <v/>
      </c>
    </row>
    <row r="2189">
      <c r="B2189" s="30" t="n"/>
      <c r="G2189" s="9">
        <f>IF(AND(E2189&lt;&gt;"",E2189&lt;&gt;0,H2189&lt;&gt;""),H2189/E2189,"")</f>
        <v/>
      </c>
      <c r="L2189">
        <f>IF(B2189="","",IFERROR(VALUE(TEXT(B2189,"[$-1170401]yyyy")),""))</f>
        <v/>
      </c>
      <c r="M2189">
        <f>IF(B2189="","",IFERROR(VALUE(TEXT(B2189,"[$-1170401]mm")),""))</f>
        <v/>
      </c>
    </row>
    <row r="2190">
      <c r="B2190" s="30" t="n"/>
      <c r="G2190" s="9">
        <f>IF(AND(E2190&lt;&gt;"",E2190&lt;&gt;0,H2190&lt;&gt;""),H2190/E2190,"")</f>
        <v/>
      </c>
      <c r="L2190">
        <f>IF(B2190="","",IFERROR(VALUE(TEXT(B2190,"[$-1170401]yyyy")),""))</f>
        <v/>
      </c>
      <c r="M2190">
        <f>IF(B2190="","",IFERROR(VALUE(TEXT(B2190,"[$-1170401]mm")),""))</f>
        <v/>
      </c>
    </row>
    <row r="2191">
      <c r="B2191" s="30" t="n"/>
      <c r="G2191" s="9">
        <f>IF(AND(E2191&lt;&gt;"",E2191&lt;&gt;0,H2191&lt;&gt;""),H2191/E2191,"")</f>
        <v/>
      </c>
      <c r="L2191">
        <f>IF(B2191="","",IFERROR(VALUE(TEXT(B2191,"[$-1170401]yyyy")),""))</f>
        <v/>
      </c>
      <c r="M2191">
        <f>IF(B2191="","",IFERROR(VALUE(TEXT(B2191,"[$-1170401]mm")),""))</f>
        <v/>
      </c>
    </row>
    <row r="2192">
      <c r="B2192" s="30" t="n"/>
      <c r="G2192" s="9">
        <f>IF(AND(E2192&lt;&gt;"",E2192&lt;&gt;0,H2192&lt;&gt;""),H2192/E2192,"")</f>
        <v/>
      </c>
      <c r="L2192">
        <f>IF(B2192="","",IFERROR(VALUE(TEXT(B2192,"[$-1170401]yyyy")),""))</f>
        <v/>
      </c>
      <c r="M2192">
        <f>IF(B2192="","",IFERROR(VALUE(TEXT(B2192,"[$-1170401]mm")),""))</f>
        <v/>
      </c>
    </row>
    <row r="2193">
      <c r="B2193" s="30" t="n"/>
      <c r="G2193" s="9">
        <f>IF(AND(E2193&lt;&gt;"",E2193&lt;&gt;0,H2193&lt;&gt;""),H2193/E2193,"")</f>
        <v/>
      </c>
      <c r="L2193">
        <f>IF(B2193="","",IFERROR(VALUE(TEXT(B2193,"[$-1170401]yyyy")),""))</f>
        <v/>
      </c>
      <c r="M2193">
        <f>IF(B2193="","",IFERROR(VALUE(TEXT(B2193,"[$-1170401]mm")),""))</f>
        <v/>
      </c>
    </row>
    <row r="2194">
      <c r="B2194" s="30" t="n"/>
      <c r="G2194" s="9">
        <f>IF(AND(E2194&lt;&gt;"",E2194&lt;&gt;0,H2194&lt;&gt;""),H2194/E2194,"")</f>
        <v/>
      </c>
      <c r="L2194">
        <f>IF(B2194="","",IFERROR(VALUE(TEXT(B2194,"[$-1170401]yyyy")),""))</f>
        <v/>
      </c>
      <c r="M2194">
        <f>IF(B2194="","",IFERROR(VALUE(TEXT(B2194,"[$-1170401]mm")),""))</f>
        <v/>
      </c>
    </row>
    <row r="2195">
      <c r="B2195" s="30" t="n"/>
      <c r="G2195" s="9">
        <f>IF(AND(E2195&lt;&gt;"",E2195&lt;&gt;0,H2195&lt;&gt;""),H2195/E2195,"")</f>
        <v/>
      </c>
      <c r="L2195">
        <f>IF(B2195="","",IFERROR(VALUE(TEXT(B2195,"[$-1170401]yyyy")),""))</f>
        <v/>
      </c>
      <c r="M2195">
        <f>IF(B2195="","",IFERROR(VALUE(TEXT(B2195,"[$-1170401]mm")),""))</f>
        <v/>
      </c>
    </row>
    <row r="2196">
      <c r="B2196" s="30" t="n"/>
      <c r="G2196" s="9">
        <f>IF(AND(E2196&lt;&gt;"",E2196&lt;&gt;0,H2196&lt;&gt;""),H2196/E2196,"")</f>
        <v/>
      </c>
      <c r="L2196">
        <f>IF(B2196="","",IFERROR(VALUE(TEXT(B2196,"[$-1170401]yyyy")),""))</f>
        <v/>
      </c>
      <c r="M2196">
        <f>IF(B2196="","",IFERROR(VALUE(TEXT(B2196,"[$-1170401]mm")),""))</f>
        <v/>
      </c>
    </row>
    <row r="2197">
      <c r="B2197" s="30" t="n"/>
      <c r="G2197" s="9">
        <f>IF(AND(E2197&lt;&gt;"",E2197&lt;&gt;0,H2197&lt;&gt;""),H2197/E2197,"")</f>
        <v/>
      </c>
      <c r="L2197">
        <f>IF(B2197="","",IFERROR(VALUE(TEXT(B2197,"[$-1170401]yyyy")),""))</f>
        <v/>
      </c>
      <c r="M2197">
        <f>IF(B2197="","",IFERROR(VALUE(TEXT(B2197,"[$-1170401]mm")),""))</f>
        <v/>
      </c>
    </row>
    <row r="2198">
      <c r="B2198" s="30" t="n"/>
      <c r="G2198" s="9">
        <f>IF(AND(E2198&lt;&gt;"",E2198&lt;&gt;0,H2198&lt;&gt;""),H2198/E2198,"")</f>
        <v/>
      </c>
      <c r="L2198">
        <f>IF(B2198="","",IFERROR(VALUE(TEXT(B2198,"[$-1170401]yyyy")),""))</f>
        <v/>
      </c>
      <c r="M2198">
        <f>IF(B2198="","",IFERROR(VALUE(TEXT(B2198,"[$-1170401]mm")),""))</f>
        <v/>
      </c>
    </row>
    <row r="2199">
      <c r="B2199" s="30" t="n"/>
      <c r="G2199" s="9">
        <f>IF(AND(E2199&lt;&gt;"",E2199&lt;&gt;0,H2199&lt;&gt;""),H2199/E2199,"")</f>
        <v/>
      </c>
      <c r="L2199">
        <f>IF(B2199="","",IFERROR(VALUE(TEXT(B2199,"[$-1170401]yyyy")),""))</f>
        <v/>
      </c>
      <c r="M2199">
        <f>IF(B2199="","",IFERROR(VALUE(TEXT(B2199,"[$-1170401]mm")),""))</f>
        <v/>
      </c>
    </row>
    <row r="2200">
      <c r="B2200" s="30" t="n"/>
      <c r="G2200" s="9">
        <f>IF(AND(E2200&lt;&gt;"",E2200&lt;&gt;0,H2200&lt;&gt;""),H2200/E2200,"")</f>
        <v/>
      </c>
      <c r="L2200">
        <f>IF(B2200="","",IFERROR(VALUE(TEXT(B2200,"[$-1170401]yyyy")),""))</f>
        <v/>
      </c>
      <c r="M2200">
        <f>IF(B2200="","",IFERROR(VALUE(TEXT(B2200,"[$-1170401]mm")),""))</f>
        <v/>
      </c>
    </row>
    <row r="2201">
      <c r="B2201" s="30" t="n"/>
      <c r="G2201" s="9">
        <f>IF(AND(E2201&lt;&gt;"",E2201&lt;&gt;0,H2201&lt;&gt;""),H2201/E2201,"")</f>
        <v/>
      </c>
      <c r="L2201">
        <f>IF(B2201="","",IFERROR(VALUE(TEXT(B2201,"[$-1170401]yyyy")),""))</f>
        <v/>
      </c>
      <c r="M2201">
        <f>IF(B2201="","",IFERROR(VALUE(TEXT(B2201,"[$-1170401]mm")),""))</f>
        <v/>
      </c>
    </row>
    <row r="2202">
      <c r="B2202" s="30" t="n"/>
      <c r="G2202" s="9">
        <f>IF(AND(E2202&lt;&gt;"",E2202&lt;&gt;0,H2202&lt;&gt;""),H2202/E2202,"")</f>
        <v/>
      </c>
      <c r="L2202">
        <f>IF(B2202="","",IFERROR(VALUE(TEXT(B2202,"[$-1170401]yyyy")),""))</f>
        <v/>
      </c>
      <c r="M2202">
        <f>IF(B2202="","",IFERROR(VALUE(TEXT(B2202,"[$-1170401]mm")),""))</f>
        <v/>
      </c>
    </row>
    <row r="2203">
      <c r="B2203" s="30" t="n"/>
      <c r="G2203" s="9">
        <f>IF(AND(E2203&lt;&gt;"",E2203&lt;&gt;0,H2203&lt;&gt;""),H2203/E2203,"")</f>
        <v/>
      </c>
      <c r="L2203">
        <f>IF(B2203="","",IFERROR(VALUE(TEXT(B2203,"[$-1170401]yyyy")),""))</f>
        <v/>
      </c>
      <c r="M2203">
        <f>IF(B2203="","",IFERROR(VALUE(TEXT(B2203,"[$-1170401]mm")),""))</f>
        <v/>
      </c>
    </row>
    <row r="2204">
      <c r="B2204" s="30" t="n"/>
      <c r="G2204" s="9">
        <f>IF(AND(E2204&lt;&gt;"",E2204&lt;&gt;0,H2204&lt;&gt;""),H2204/E2204,"")</f>
        <v/>
      </c>
      <c r="L2204">
        <f>IF(B2204="","",IFERROR(VALUE(TEXT(B2204,"[$-1170401]yyyy")),""))</f>
        <v/>
      </c>
      <c r="M2204">
        <f>IF(B2204="","",IFERROR(VALUE(TEXT(B2204,"[$-1170401]mm")),""))</f>
        <v/>
      </c>
    </row>
    <row r="2205">
      <c r="B2205" s="30" t="n"/>
      <c r="G2205" s="9">
        <f>IF(AND(E2205&lt;&gt;"",E2205&lt;&gt;0,H2205&lt;&gt;""),H2205/E2205,"")</f>
        <v/>
      </c>
      <c r="L2205">
        <f>IF(B2205="","",IFERROR(VALUE(TEXT(B2205,"[$-1170401]yyyy")),""))</f>
        <v/>
      </c>
      <c r="M2205">
        <f>IF(B2205="","",IFERROR(VALUE(TEXT(B2205,"[$-1170401]mm")),""))</f>
        <v/>
      </c>
    </row>
    <row r="2206">
      <c r="B2206" s="30" t="n"/>
      <c r="G2206" s="9">
        <f>IF(AND(E2206&lt;&gt;"",E2206&lt;&gt;0,H2206&lt;&gt;""),H2206/E2206,"")</f>
        <v/>
      </c>
      <c r="L2206">
        <f>IF(B2206="","",IFERROR(VALUE(TEXT(B2206,"[$-1170401]yyyy")),""))</f>
        <v/>
      </c>
      <c r="M2206">
        <f>IF(B2206="","",IFERROR(VALUE(TEXT(B2206,"[$-1170401]mm")),""))</f>
        <v/>
      </c>
    </row>
    <row r="2207">
      <c r="B2207" s="30" t="n"/>
      <c r="G2207" s="9">
        <f>IF(AND(E2207&lt;&gt;"",E2207&lt;&gt;0,H2207&lt;&gt;""),H2207/E2207,"")</f>
        <v/>
      </c>
      <c r="L2207">
        <f>IF(B2207="","",IFERROR(VALUE(TEXT(B2207,"[$-1170401]yyyy")),""))</f>
        <v/>
      </c>
      <c r="M2207">
        <f>IF(B2207="","",IFERROR(VALUE(TEXT(B2207,"[$-1170401]mm")),""))</f>
        <v/>
      </c>
    </row>
    <row r="2208">
      <c r="B2208" s="30" t="n"/>
      <c r="G2208" s="9">
        <f>IF(AND(E2208&lt;&gt;"",E2208&lt;&gt;0,H2208&lt;&gt;""),H2208/E2208,"")</f>
        <v/>
      </c>
      <c r="L2208">
        <f>IF(B2208="","",IFERROR(VALUE(TEXT(B2208,"[$-1170401]yyyy")),""))</f>
        <v/>
      </c>
      <c r="M2208">
        <f>IF(B2208="","",IFERROR(VALUE(TEXT(B2208,"[$-1170401]mm")),""))</f>
        <v/>
      </c>
    </row>
    <row r="2209">
      <c r="B2209" s="30" t="n"/>
      <c r="G2209" s="9">
        <f>IF(AND(E2209&lt;&gt;"",E2209&lt;&gt;0,H2209&lt;&gt;""),H2209/E2209,"")</f>
        <v/>
      </c>
      <c r="L2209">
        <f>IF(B2209="","",IFERROR(VALUE(TEXT(B2209,"[$-1170401]yyyy")),""))</f>
        <v/>
      </c>
      <c r="M2209">
        <f>IF(B2209="","",IFERROR(VALUE(TEXT(B2209,"[$-1170401]mm")),""))</f>
        <v/>
      </c>
    </row>
    <row r="2210">
      <c r="B2210" s="30" t="n"/>
      <c r="G2210" s="9">
        <f>IF(AND(E2210&lt;&gt;"",E2210&lt;&gt;0,H2210&lt;&gt;""),H2210/E2210,"")</f>
        <v/>
      </c>
      <c r="L2210">
        <f>IF(B2210="","",IFERROR(VALUE(TEXT(B2210,"[$-1170401]yyyy")),""))</f>
        <v/>
      </c>
      <c r="M2210">
        <f>IF(B2210="","",IFERROR(VALUE(TEXT(B2210,"[$-1170401]mm")),""))</f>
        <v/>
      </c>
    </row>
    <row r="2211">
      <c r="B2211" s="30" t="n"/>
      <c r="G2211" s="9">
        <f>IF(AND(E2211&lt;&gt;"",E2211&lt;&gt;0,H2211&lt;&gt;""),H2211/E2211,"")</f>
        <v/>
      </c>
      <c r="L2211">
        <f>IF(B2211="","",IFERROR(VALUE(TEXT(B2211,"[$-1170401]yyyy")),""))</f>
        <v/>
      </c>
      <c r="M2211">
        <f>IF(B2211="","",IFERROR(VALUE(TEXT(B2211,"[$-1170401]mm")),""))</f>
        <v/>
      </c>
    </row>
    <row r="2212">
      <c r="B2212" s="30" t="n"/>
      <c r="G2212" s="9">
        <f>IF(AND(E2212&lt;&gt;"",E2212&lt;&gt;0,H2212&lt;&gt;""),H2212/E2212,"")</f>
        <v/>
      </c>
      <c r="L2212">
        <f>IF(B2212="","",IFERROR(VALUE(TEXT(B2212,"[$-1170401]yyyy")),""))</f>
        <v/>
      </c>
      <c r="M2212">
        <f>IF(B2212="","",IFERROR(VALUE(TEXT(B2212,"[$-1170401]mm")),""))</f>
        <v/>
      </c>
    </row>
    <row r="2213">
      <c r="B2213" s="30" t="n"/>
      <c r="G2213" s="9">
        <f>IF(AND(E2213&lt;&gt;"",E2213&lt;&gt;0,H2213&lt;&gt;""),H2213/E2213,"")</f>
        <v/>
      </c>
      <c r="L2213">
        <f>IF(B2213="","",IFERROR(VALUE(TEXT(B2213,"[$-1170401]yyyy")),""))</f>
        <v/>
      </c>
      <c r="M2213">
        <f>IF(B2213="","",IFERROR(VALUE(TEXT(B2213,"[$-1170401]mm")),""))</f>
        <v/>
      </c>
    </row>
    <row r="2214">
      <c r="B2214" s="30" t="n"/>
      <c r="G2214" s="9">
        <f>IF(AND(E2214&lt;&gt;"",E2214&lt;&gt;0,H2214&lt;&gt;""),H2214/E2214,"")</f>
        <v/>
      </c>
      <c r="L2214">
        <f>IF(B2214="","",IFERROR(VALUE(TEXT(B2214,"[$-1170401]yyyy")),""))</f>
        <v/>
      </c>
      <c r="M2214">
        <f>IF(B2214="","",IFERROR(VALUE(TEXT(B2214,"[$-1170401]mm")),""))</f>
        <v/>
      </c>
    </row>
    <row r="2215">
      <c r="B2215" s="30" t="n"/>
      <c r="G2215" s="9">
        <f>IF(AND(E2215&lt;&gt;"",E2215&lt;&gt;0,H2215&lt;&gt;""),H2215/E2215,"")</f>
        <v/>
      </c>
      <c r="L2215">
        <f>IF(B2215="","",IFERROR(VALUE(TEXT(B2215,"[$-1170401]yyyy")),""))</f>
        <v/>
      </c>
      <c r="M2215">
        <f>IF(B2215="","",IFERROR(VALUE(TEXT(B2215,"[$-1170401]mm")),""))</f>
        <v/>
      </c>
    </row>
    <row r="2216">
      <c r="B2216" s="30" t="n"/>
      <c r="G2216" s="9">
        <f>IF(AND(E2216&lt;&gt;"",E2216&lt;&gt;0,H2216&lt;&gt;""),H2216/E2216,"")</f>
        <v/>
      </c>
      <c r="L2216">
        <f>IF(B2216="","",IFERROR(VALUE(TEXT(B2216,"[$-1170401]yyyy")),""))</f>
        <v/>
      </c>
      <c r="M2216">
        <f>IF(B2216="","",IFERROR(VALUE(TEXT(B2216,"[$-1170401]mm")),""))</f>
        <v/>
      </c>
    </row>
    <row r="2217">
      <c r="B2217" s="30" t="n"/>
      <c r="G2217" s="9">
        <f>IF(AND(E2217&lt;&gt;"",E2217&lt;&gt;0,H2217&lt;&gt;""),H2217/E2217,"")</f>
        <v/>
      </c>
      <c r="L2217">
        <f>IF(B2217="","",IFERROR(VALUE(TEXT(B2217,"[$-1170401]yyyy")),""))</f>
        <v/>
      </c>
      <c r="M2217">
        <f>IF(B2217="","",IFERROR(VALUE(TEXT(B2217,"[$-1170401]mm")),""))</f>
        <v/>
      </c>
    </row>
    <row r="2218">
      <c r="B2218" s="30" t="n"/>
      <c r="G2218" s="9">
        <f>IF(AND(E2218&lt;&gt;"",E2218&lt;&gt;0,H2218&lt;&gt;""),H2218/E2218,"")</f>
        <v/>
      </c>
      <c r="L2218">
        <f>IF(B2218="","",IFERROR(VALUE(TEXT(B2218,"[$-1170401]yyyy")),""))</f>
        <v/>
      </c>
      <c r="M2218">
        <f>IF(B2218="","",IFERROR(VALUE(TEXT(B2218,"[$-1170401]mm")),""))</f>
        <v/>
      </c>
    </row>
    <row r="2219">
      <c r="B2219" s="30" t="n"/>
      <c r="G2219" s="9">
        <f>IF(AND(E2219&lt;&gt;"",E2219&lt;&gt;0,H2219&lt;&gt;""),H2219/E2219,"")</f>
        <v/>
      </c>
      <c r="L2219">
        <f>IF(B2219="","",IFERROR(VALUE(TEXT(B2219,"[$-1170401]yyyy")),""))</f>
        <v/>
      </c>
      <c r="M2219">
        <f>IF(B2219="","",IFERROR(VALUE(TEXT(B2219,"[$-1170401]mm")),""))</f>
        <v/>
      </c>
    </row>
    <row r="2220">
      <c r="B2220" s="30" t="n"/>
      <c r="G2220" s="9">
        <f>IF(AND(E2220&lt;&gt;"",E2220&lt;&gt;0,H2220&lt;&gt;""),H2220/E2220,"")</f>
        <v/>
      </c>
      <c r="L2220">
        <f>IF(B2220="","",IFERROR(VALUE(TEXT(B2220,"[$-1170401]yyyy")),""))</f>
        <v/>
      </c>
      <c r="M2220">
        <f>IF(B2220="","",IFERROR(VALUE(TEXT(B2220,"[$-1170401]mm")),""))</f>
        <v/>
      </c>
    </row>
    <row r="2221">
      <c r="B2221" s="30" t="n"/>
      <c r="G2221" s="9">
        <f>IF(AND(E2221&lt;&gt;"",E2221&lt;&gt;0,H2221&lt;&gt;""),H2221/E2221,"")</f>
        <v/>
      </c>
      <c r="L2221">
        <f>IF(B2221="","",IFERROR(VALUE(TEXT(B2221,"[$-1170401]yyyy")),""))</f>
        <v/>
      </c>
      <c r="M2221">
        <f>IF(B2221="","",IFERROR(VALUE(TEXT(B2221,"[$-1170401]mm")),""))</f>
        <v/>
      </c>
    </row>
    <row r="2222">
      <c r="B2222" s="30" t="n"/>
      <c r="G2222" s="9">
        <f>IF(AND(E2222&lt;&gt;"",E2222&lt;&gt;0,H2222&lt;&gt;""),H2222/E2222,"")</f>
        <v/>
      </c>
      <c r="L2222">
        <f>IF(B2222="","",IFERROR(VALUE(TEXT(B2222,"[$-1170401]yyyy")),""))</f>
        <v/>
      </c>
      <c r="M2222">
        <f>IF(B2222="","",IFERROR(VALUE(TEXT(B2222,"[$-1170401]mm")),""))</f>
        <v/>
      </c>
    </row>
    <row r="2223">
      <c r="B2223" s="30" t="n"/>
      <c r="G2223" s="9">
        <f>IF(AND(E2223&lt;&gt;"",E2223&lt;&gt;0,H2223&lt;&gt;""),H2223/E2223,"")</f>
        <v/>
      </c>
      <c r="L2223">
        <f>IF(B2223="","",IFERROR(VALUE(TEXT(B2223,"[$-1170401]yyyy")),""))</f>
        <v/>
      </c>
      <c r="M2223">
        <f>IF(B2223="","",IFERROR(VALUE(TEXT(B2223,"[$-1170401]mm")),""))</f>
        <v/>
      </c>
    </row>
    <row r="2224">
      <c r="B2224" s="30" t="n"/>
      <c r="G2224" s="9">
        <f>IF(AND(E2224&lt;&gt;"",E2224&lt;&gt;0,H2224&lt;&gt;""),H2224/E2224,"")</f>
        <v/>
      </c>
      <c r="L2224">
        <f>IF(B2224="","",IFERROR(VALUE(TEXT(B2224,"[$-1170401]yyyy")),""))</f>
        <v/>
      </c>
      <c r="M2224">
        <f>IF(B2224="","",IFERROR(VALUE(TEXT(B2224,"[$-1170401]mm")),""))</f>
        <v/>
      </c>
    </row>
    <row r="2225">
      <c r="B2225" s="30" t="n"/>
      <c r="G2225" s="9">
        <f>IF(AND(E2225&lt;&gt;"",E2225&lt;&gt;0,H2225&lt;&gt;""),H2225/E2225,"")</f>
        <v/>
      </c>
      <c r="L2225">
        <f>IF(B2225="","",IFERROR(VALUE(TEXT(B2225,"[$-1170401]yyyy")),""))</f>
        <v/>
      </c>
      <c r="M2225">
        <f>IF(B2225="","",IFERROR(VALUE(TEXT(B2225,"[$-1170401]mm")),""))</f>
        <v/>
      </c>
    </row>
    <row r="2226">
      <c r="B2226" s="30" t="n"/>
      <c r="G2226" s="9">
        <f>IF(AND(E2226&lt;&gt;"",E2226&lt;&gt;0,H2226&lt;&gt;""),H2226/E2226,"")</f>
        <v/>
      </c>
      <c r="L2226">
        <f>IF(B2226="","",IFERROR(VALUE(TEXT(B2226,"[$-1170401]yyyy")),""))</f>
        <v/>
      </c>
      <c r="M2226">
        <f>IF(B2226="","",IFERROR(VALUE(TEXT(B2226,"[$-1170401]mm")),""))</f>
        <v/>
      </c>
    </row>
    <row r="2227">
      <c r="B2227" s="30" t="n"/>
      <c r="G2227" s="9">
        <f>IF(AND(E2227&lt;&gt;"",E2227&lt;&gt;0,H2227&lt;&gt;""),H2227/E2227,"")</f>
        <v/>
      </c>
      <c r="L2227">
        <f>IF(B2227="","",IFERROR(VALUE(TEXT(B2227,"[$-1170401]yyyy")),""))</f>
        <v/>
      </c>
      <c r="M2227">
        <f>IF(B2227="","",IFERROR(VALUE(TEXT(B2227,"[$-1170401]mm")),""))</f>
        <v/>
      </c>
    </row>
    <row r="2228">
      <c r="B2228" s="30" t="n"/>
      <c r="G2228" s="9">
        <f>IF(AND(E2228&lt;&gt;"",E2228&lt;&gt;0,H2228&lt;&gt;""),H2228/E2228,"")</f>
        <v/>
      </c>
      <c r="L2228">
        <f>IF(B2228="","",IFERROR(VALUE(TEXT(B2228,"[$-1170401]yyyy")),""))</f>
        <v/>
      </c>
      <c r="M2228">
        <f>IF(B2228="","",IFERROR(VALUE(TEXT(B2228,"[$-1170401]mm")),""))</f>
        <v/>
      </c>
    </row>
    <row r="2229">
      <c r="B2229" s="30" t="n"/>
      <c r="G2229" s="9">
        <f>IF(AND(E2229&lt;&gt;"",E2229&lt;&gt;0,H2229&lt;&gt;""),H2229/E2229,"")</f>
        <v/>
      </c>
      <c r="L2229">
        <f>IF(B2229="","",IFERROR(VALUE(TEXT(B2229,"[$-1170401]yyyy")),""))</f>
        <v/>
      </c>
      <c r="M2229">
        <f>IF(B2229="","",IFERROR(VALUE(TEXT(B2229,"[$-1170401]mm")),""))</f>
        <v/>
      </c>
    </row>
    <row r="2230">
      <c r="B2230" s="30" t="n"/>
      <c r="G2230" s="9">
        <f>IF(AND(E2230&lt;&gt;"",E2230&lt;&gt;0,H2230&lt;&gt;""),H2230/E2230,"")</f>
        <v/>
      </c>
      <c r="L2230">
        <f>IF(B2230="","",IFERROR(VALUE(TEXT(B2230,"[$-1170401]yyyy")),""))</f>
        <v/>
      </c>
      <c r="M2230">
        <f>IF(B2230="","",IFERROR(VALUE(TEXT(B2230,"[$-1170401]mm")),""))</f>
        <v/>
      </c>
    </row>
    <row r="2231">
      <c r="B2231" s="30" t="n"/>
      <c r="G2231" s="9">
        <f>IF(AND(E2231&lt;&gt;"",E2231&lt;&gt;0,H2231&lt;&gt;""),H2231/E2231,"")</f>
        <v/>
      </c>
      <c r="L2231">
        <f>IF(B2231="","",IFERROR(VALUE(TEXT(B2231,"[$-1170401]yyyy")),""))</f>
        <v/>
      </c>
      <c r="M2231">
        <f>IF(B2231="","",IFERROR(VALUE(TEXT(B2231,"[$-1170401]mm")),""))</f>
        <v/>
      </c>
    </row>
    <row r="2232">
      <c r="B2232" s="30" t="n"/>
      <c r="G2232" s="9">
        <f>IF(AND(E2232&lt;&gt;"",E2232&lt;&gt;0,H2232&lt;&gt;""),H2232/E2232,"")</f>
        <v/>
      </c>
      <c r="L2232">
        <f>IF(B2232="","",IFERROR(VALUE(TEXT(B2232,"[$-1170401]yyyy")),""))</f>
        <v/>
      </c>
      <c r="M2232">
        <f>IF(B2232="","",IFERROR(VALUE(TEXT(B2232,"[$-1170401]mm")),""))</f>
        <v/>
      </c>
    </row>
    <row r="2233">
      <c r="B2233" s="30" t="n"/>
      <c r="G2233" s="9">
        <f>IF(AND(E2233&lt;&gt;"",E2233&lt;&gt;0,H2233&lt;&gt;""),H2233/E2233,"")</f>
        <v/>
      </c>
      <c r="L2233">
        <f>IF(B2233="","",IFERROR(VALUE(TEXT(B2233,"[$-1170401]yyyy")),""))</f>
        <v/>
      </c>
      <c r="M2233">
        <f>IF(B2233="","",IFERROR(VALUE(TEXT(B2233,"[$-1170401]mm")),""))</f>
        <v/>
      </c>
    </row>
    <row r="2234">
      <c r="B2234" s="30" t="n"/>
      <c r="G2234" s="9">
        <f>IF(AND(E2234&lt;&gt;"",E2234&lt;&gt;0,H2234&lt;&gt;""),H2234/E2234,"")</f>
        <v/>
      </c>
      <c r="L2234">
        <f>IF(B2234="","",IFERROR(VALUE(TEXT(B2234,"[$-1170401]yyyy")),""))</f>
        <v/>
      </c>
      <c r="M2234">
        <f>IF(B2234="","",IFERROR(VALUE(TEXT(B2234,"[$-1170401]mm")),""))</f>
        <v/>
      </c>
    </row>
    <row r="2235">
      <c r="B2235" s="30" t="n"/>
      <c r="G2235" s="9">
        <f>IF(AND(E2235&lt;&gt;"",E2235&lt;&gt;0,H2235&lt;&gt;""),H2235/E2235,"")</f>
        <v/>
      </c>
      <c r="L2235">
        <f>IF(B2235="","",IFERROR(VALUE(TEXT(B2235,"[$-1170401]yyyy")),""))</f>
        <v/>
      </c>
      <c r="M2235">
        <f>IF(B2235="","",IFERROR(VALUE(TEXT(B2235,"[$-1170401]mm")),""))</f>
        <v/>
      </c>
    </row>
    <row r="2236">
      <c r="B2236" s="30" t="n"/>
      <c r="G2236" s="9">
        <f>IF(AND(E2236&lt;&gt;"",E2236&lt;&gt;0,H2236&lt;&gt;""),H2236/E2236,"")</f>
        <v/>
      </c>
      <c r="L2236">
        <f>IF(B2236="","",IFERROR(VALUE(TEXT(B2236,"[$-1170401]yyyy")),""))</f>
        <v/>
      </c>
      <c r="M2236">
        <f>IF(B2236="","",IFERROR(VALUE(TEXT(B2236,"[$-1170401]mm")),""))</f>
        <v/>
      </c>
    </row>
    <row r="2237">
      <c r="B2237" s="30" t="n"/>
      <c r="G2237" s="9">
        <f>IF(AND(E2237&lt;&gt;"",E2237&lt;&gt;0,H2237&lt;&gt;""),H2237/E2237,"")</f>
        <v/>
      </c>
      <c r="L2237">
        <f>IF(B2237="","",IFERROR(VALUE(TEXT(B2237,"[$-1170401]yyyy")),""))</f>
        <v/>
      </c>
      <c r="M2237">
        <f>IF(B2237="","",IFERROR(VALUE(TEXT(B2237,"[$-1170401]mm")),""))</f>
        <v/>
      </c>
    </row>
    <row r="2238">
      <c r="B2238" s="30" t="n"/>
      <c r="G2238" s="9">
        <f>IF(AND(E2238&lt;&gt;"",E2238&lt;&gt;0,H2238&lt;&gt;""),H2238/E2238,"")</f>
        <v/>
      </c>
      <c r="L2238">
        <f>IF(B2238="","",IFERROR(VALUE(TEXT(B2238,"[$-1170401]yyyy")),""))</f>
        <v/>
      </c>
      <c r="M2238">
        <f>IF(B2238="","",IFERROR(VALUE(TEXT(B2238,"[$-1170401]mm")),""))</f>
        <v/>
      </c>
    </row>
    <row r="2239">
      <c r="B2239" s="30" t="n"/>
      <c r="G2239" s="9">
        <f>IF(AND(E2239&lt;&gt;"",E2239&lt;&gt;0,H2239&lt;&gt;""),H2239/E2239,"")</f>
        <v/>
      </c>
      <c r="L2239">
        <f>IF(B2239="","",IFERROR(VALUE(TEXT(B2239,"[$-1170401]yyyy")),""))</f>
        <v/>
      </c>
      <c r="M2239">
        <f>IF(B2239="","",IFERROR(VALUE(TEXT(B2239,"[$-1170401]mm")),""))</f>
        <v/>
      </c>
    </row>
    <row r="2240">
      <c r="B2240" s="30" t="n"/>
      <c r="G2240" s="9">
        <f>IF(AND(E2240&lt;&gt;"",E2240&lt;&gt;0,H2240&lt;&gt;""),H2240/E2240,"")</f>
        <v/>
      </c>
      <c r="L2240">
        <f>IF(B2240="","",IFERROR(VALUE(TEXT(B2240,"[$-1170401]yyyy")),""))</f>
        <v/>
      </c>
      <c r="M2240">
        <f>IF(B2240="","",IFERROR(VALUE(TEXT(B2240,"[$-1170401]mm")),""))</f>
        <v/>
      </c>
    </row>
    <row r="2241">
      <c r="B2241" s="30" t="n"/>
      <c r="G2241" s="9">
        <f>IF(AND(E2241&lt;&gt;"",E2241&lt;&gt;0,H2241&lt;&gt;""),H2241/E2241,"")</f>
        <v/>
      </c>
      <c r="L2241">
        <f>IF(B2241="","",IFERROR(VALUE(TEXT(B2241,"[$-1170401]yyyy")),""))</f>
        <v/>
      </c>
      <c r="M2241">
        <f>IF(B2241="","",IFERROR(VALUE(TEXT(B2241,"[$-1170401]mm")),""))</f>
        <v/>
      </c>
    </row>
    <row r="2242">
      <c r="B2242" s="30" t="n"/>
      <c r="G2242" s="9">
        <f>IF(AND(E2242&lt;&gt;"",E2242&lt;&gt;0,H2242&lt;&gt;""),H2242/E2242,"")</f>
        <v/>
      </c>
      <c r="L2242">
        <f>IF(B2242="","",IFERROR(VALUE(TEXT(B2242,"[$-1170401]yyyy")),""))</f>
        <v/>
      </c>
      <c r="M2242">
        <f>IF(B2242="","",IFERROR(VALUE(TEXT(B2242,"[$-1170401]mm")),""))</f>
        <v/>
      </c>
    </row>
    <row r="2243">
      <c r="B2243" s="30" t="n"/>
      <c r="G2243" s="9">
        <f>IF(AND(E2243&lt;&gt;"",E2243&lt;&gt;0,H2243&lt;&gt;""),H2243/E2243,"")</f>
        <v/>
      </c>
      <c r="L2243">
        <f>IF(B2243="","",IFERROR(VALUE(TEXT(B2243,"[$-1170401]yyyy")),""))</f>
        <v/>
      </c>
      <c r="M2243">
        <f>IF(B2243="","",IFERROR(VALUE(TEXT(B2243,"[$-1170401]mm")),""))</f>
        <v/>
      </c>
    </row>
    <row r="2244">
      <c r="B2244" s="30" t="n"/>
      <c r="G2244" s="9">
        <f>IF(AND(E2244&lt;&gt;"",E2244&lt;&gt;0,H2244&lt;&gt;""),H2244/E2244,"")</f>
        <v/>
      </c>
      <c r="L2244">
        <f>IF(B2244="","",IFERROR(VALUE(TEXT(B2244,"[$-1170401]yyyy")),""))</f>
        <v/>
      </c>
      <c r="M2244">
        <f>IF(B2244="","",IFERROR(VALUE(TEXT(B2244,"[$-1170401]mm")),""))</f>
        <v/>
      </c>
    </row>
    <row r="2245">
      <c r="B2245" s="30" t="n"/>
      <c r="G2245" s="9">
        <f>IF(AND(E2245&lt;&gt;"",E2245&lt;&gt;0,H2245&lt;&gt;""),H2245/E2245,"")</f>
        <v/>
      </c>
      <c r="L2245">
        <f>IF(B2245="","",IFERROR(VALUE(TEXT(B2245,"[$-1170401]yyyy")),""))</f>
        <v/>
      </c>
      <c r="M2245">
        <f>IF(B2245="","",IFERROR(VALUE(TEXT(B2245,"[$-1170401]mm")),""))</f>
        <v/>
      </c>
    </row>
    <row r="2246">
      <c r="B2246" s="30" t="n"/>
      <c r="G2246" s="9">
        <f>IF(AND(E2246&lt;&gt;"",E2246&lt;&gt;0,H2246&lt;&gt;""),H2246/E2246,"")</f>
        <v/>
      </c>
      <c r="L2246">
        <f>IF(B2246="","",IFERROR(VALUE(TEXT(B2246,"[$-1170401]yyyy")),""))</f>
        <v/>
      </c>
      <c r="M2246">
        <f>IF(B2246="","",IFERROR(VALUE(TEXT(B2246,"[$-1170401]mm")),""))</f>
        <v/>
      </c>
    </row>
    <row r="2247">
      <c r="B2247" s="30" t="n"/>
      <c r="G2247" s="9">
        <f>IF(AND(E2247&lt;&gt;"",E2247&lt;&gt;0,H2247&lt;&gt;""),H2247/E2247,"")</f>
        <v/>
      </c>
      <c r="L2247">
        <f>IF(B2247="","",IFERROR(VALUE(TEXT(B2247,"[$-1170401]yyyy")),""))</f>
        <v/>
      </c>
      <c r="M2247">
        <f>IF(B2247="","",IFERROR(VALUE(TEXT(B2247,"[$-1170401]mm")),""))</f>
        <v/>
      </c>
    </row>
    <row r="2248">
      <c r="B2248" s="30" t="n"/>
      <c r="G2248" s="9">
        <f>IF(AND(E2248&lt;&gt;"",E2248&lt;&gt;0,H2248&lt;&gt;""),H2248/E2248,"")</f>
        <v/>
      </c>
      <c r="L2248">
        <f>IF(B2248="","",IFERROR(VALUE(TEXT(B2248,"[$-1170401]yyyy")),""))</f>
        <v/>
      </c>
      <c r="M2248">
        <f>IF(B2248="","",IFERROR(VALUE(TEXT(B2248,"[$-1170401]mm")),""))</f>
        <v/>
      </c>
    </row>
    <row r="2249">
      <c r="B2249" s="30" t="n"/>
      <c r="G2249" s="9">
        <f>IF(AND(E2249&lt;&gt;"",E2249&lt;&gt;0,H2249&lt;&gt;""),H2249/E2249,"")</f>
        <v/>
      </c>
      <c r="L2249">
        <f>IF(B2249="","",IFERROR(VALUE(TEXT(B2249,"[$-1170401]yyyy")),""))</f>
        <v/>
      </c>
      <c r="M2249">
        <f>IF(B2249="","",IFERROR(VALUE(TEXT(B2249,"[$-1170401]mm")),""))</f>
        <v/>
      </c>
    </row>
    <row r="2250">
      <c r="B2250" s="30" t="n"/>
      <c r="G2250" s="9">
        <f>IF(AND(E2250&lt;&gt;"",E2250&lt;&gt;0,H2250&lt;&gt;""),H2250/E2250,"")</f>
        <v/>
      </c>
      <c r="L2250">
        <f>IF(B2250="","",IFERROR(VALUE(TEXT(B2250,"[$-1170401]yyyy")),""))</f>
        <v/>
      </c>
      <c r="M2250">
        <f>IF(B2250="","",IFERROR(VALUE(TEXT(B2250,"[$-1170401]mm")),""))</f>
        <v/>
      </c>
    </row>
    <row r="2251">
      <c r="B2251" s="30" t="n"/>
      <c r="G2251" s="9">
        <f>IF(AND(E2251&lt;&gt;"",E2251&lt;&gt;0,H2251&lt;&gt;""),H2251/E2251,"")</f>
        <v/>
      </c>
      <c r="L2251">
        <f>IF(B2251="","",IFERROR(VALUE(TEXT(B2251,"[$-1170401]yyyy")),""))</f>
        <v/>
      </c>
      <c r="M2251">
        <f>IF(B2251="","",IFERROR(VALUE(TEXT(B2251,"[$-1170401]mm")),""))</f>
        <v/>
      </c>
    </row>
    <row r="2252">
      <c r="B2252" s="30" t="n"/>
      <c r="G2252" s="9">
        <f>IF(AND(E2252&lt;&gt;"",E2252&lt;&gt;0,H2252&lt;&gt;""),H2252/E2252,"")</f>
        <v/>
      </c>
      <c r="L2252">
        <f>IF(B2252="","",IFERROR(VALUE(TEXT(B2252,"[$-1170401]yyyy")),""))</f>
        <v/>
      </c>
      <c r="M2252">
        <f>IF(B2252="","",IFERROR(VALUE(TEXT(B2252,"[$-1170401]mm")),""))</f>
        <v/>
      </c>
    </row>
    <row r="2253">
      <c r="B2253" s="30" t="n"/>
      <c r="G2253" s="9">
        <f>IF(AND(E2253&lt;&gt;"",E2253&lt;&gt;0,H2253&lt;&gt;""),H2253/E2253,"")</f>
        <v/>
      </c>
      <c r="L2253">
        <f>IF(B2253="","",IFERROR(VALUE(TEXT(B2253,"[$-1170401]yyyy")),""))</f>
        <v/>
      </c>
      <c r="M2253">
        <f>IF(B2253="","",IFERROR(VALUE(TEXT(B2253,"[$-1170401]mm")),""))</f>
        <v/>
      </c>
    </row>
    <row r="2254">
      <c r="B2254" s="30" t="n"/>
      <c r="G2254" s="9">
        <f>IF(AND(E2254&lt;&gt;"",E2254&lt;&gt;0,H2254&lt;&gt;""),H2254/E2254,"")</f>
        <v/>
      </c>
      <c r="L2254">
        <f>IF(B2254="","",IFERROR(VALUE(TEXT(B2254,"[$-1170401]yyyy")),""))</f>
        <v/>
      </c>
      <c r="M2254">
        <f>IF(B2254="","",IFERROR(VALUE(TEXT(B2254,"[$-1170401]mm")),""))</f>
        <v/>
      </c>
    </row>
    <row r="2255">
      <c r="B2255" s="30" t="n"/>
      <c r="G2255" s="9">
        <f>IF(AND(E2255&lt;&gt;"",E2255&lt;&gt;0,H2255&lt;&gt;""),H2255/E2255,"")</f>
        <v/>
      </c>
      <c r="L2255">
        <f>IF(B2255="","",IFERROR(VALUE(TEXT(B2255,"[$-1170401]yyyy")),""))</f>
        <v/>
      </c>
      <c r="M2255">
        <f>IF(B2255="","",IFERROR(VALUE(TEXT(B2255,"[$-1170401]mm")),""))</f>
        <v/>
      </c>
    </row>
    <row r="2256">
      <c r="B2256" s="30" t="n"/>
      <c r="G2256" s="9">
        <f>IF(AND(E2256&lt;&gt;"",E2256&lt;&gt;0,H2256&lt;&gt;""),H2256/E2256,"")</f>
        <v/>
      </c>
      <c r="L2256">
        <f>IF(B2256="","",IFERROR(VALUE(TEXT(B2256,"[$-1170401]yyyy")),""))</f>
        <v/>
      </c>
      <c r="M2256">
        <f>IF(B2256="","",IFERROR(VALUE(TEXT(B2256,"[$-1170401]mm")),""))</f>
        <v/>
      </c>
    </row>
    <row r="2257">
      <c r="B2257" s="30" t="n"/>
      <c r="G2257" s="9">
        <f>IF(AND(E2257&lt;&gt;"",E2257&lt;&gt;0,H2257&lt;&gt;""),H2257/E2257,"")</f>
        <v/>
      </c>
      <c r="L2257">
        <f>IF(B2257="","",IFERROR(VALUE(TEXT(B2257,"[$-1170401]yyyy")),""))</f>
        <v/>
      </c>
      <c r="M2257">
        <f>IF(B2257="","",IFERROR(VALUE(TEXT(B2257,"[$-1170401]mm")),""))</f>
        <v/>
      </c>
    </row>
    <row r="2258">
      <c r="B2258" s="30" t="n"/>
      <c r="G2258" s="9">
        <f>IF(AND(E2258&lt;&gt;"",E2258&lt;&gt;0,H2258&lt;&gt;""),H2258/E2258,"")</f>
        <v/>
      </c>
      <c r="L2258">
        <f>IF(B2258="","",IFERROR(VALUE(TEXT(B2258,"[$-1170401]yyyy")),""))</f>
        <v/>
      </c>
      <c r="M2258">
        <f>IF(B2258="","",IFERROR(VALUE(TEXT(B2258,"[$-1170401]mm")),""))</f>
        <v/>
      </c>
    </row>
    <row r="2259">
      <c r="B2259" s="30" t="n"/>
      <c r="G2259" s="9">
        <f>IF(AND(E2259&lt;&gt;"",E2259&lt;&gt;0,H2259&lt;&gt;""),H2259/E2259,"")</f>
        <v/>
      </c>
      <c r="L2259">
        <f>IF(B2259="","",IFERROR(VALUE(TEXT(B2259,"[$-1170401]yyyy")),""))</f>
        <v/>
      </c>
      <c r="M2259">
        <f>IF(B2259="","",IFERROR(VALUE(TEXT(B2259,"[$-1170401]mm")),""))</f>
        <v/>
      </c>
    </row>
    <row r="2260">
      <c r="B2260" s="30" t="n"/>
      <c r="G2260" s="9">
        <f>IF(AND(E2260&lt;&gt;"",E2260&lt;&gt;0,H2260&lt;&gt;""),H2260/E2260,"")</f>
        <v/>
      </c>
      <c r="L2260">
        <f>IF(B2260="","",IFERROR(VALUE(TEXT(B2260,"[$-1170401]yyyy")),""))</f>
        <v/>
      </c>
      <c r="M2260">
        <f>IF(B2260="","",IFERROR(VALUE(TEXT(B2260,"[$-1170401]mm")),""))</f>
        <v/>
      </c>
    </row>
    <row r="2261">
      <c r="B2261" s="30" t="n"/>
      <c r="G2261" s="9">
        <f>IF(AND(E2261&lt;&gt;"",E2261&lt;&gt;0,H2261&lt;&gt;""),H2261/E2261,"")</f>
        <v/>
      </c>
      <c r="L2261">
        <f>IF(B2261="","",IFERROR(VALUE(TEXT(B2261,"[$-1170401]yyyy")),""))</f>
        <v/>
      </c>
      <c r="M2261">
        <f>IF(B2261="","",IFERROR(VALUE(TEXT(B2261,"[$-1170401]mm")),""))</f>
        <v/>
      </c>
    </row>
    <row r="2262">
      <c r="B2262" s="30" t="n"/>
      <c r="G2262" s="9">
        <f>IF(AND(E2262&lt;&gt;"",E2262&lt;&gt;0,H2262&lt;&gt;""),H2262/E2262,"")</f>
        <v/>
      </c>
      <c r="L2262">
        <f>IF(B2262="","",IFERROR(VALUE(TEXT(B2262,"[$-1170401]yyyy")),""))</f>
        <v/>
      </c>
      <c r="M2262">
        <f>IF(B2262="","",IFERROR(VALUE(TEXT(B2262,"[$-1170401]mm")),""))</f>
        <v/>
      </c>
    </row>
    <row r="2263">
      <c r="B2263" s="30" t="n"/>
      <c r="G2263" s="9">
        <f>IF(AND(E2263&lt;&gt;"",E2263&lt;&gt;0,H2263&lt;&gt;""),H2263/E2263,"")</f>
        <v/>
      </c>
      <c r="L2263">
        <f>IF(B2263="","",IFERROR(VALUE(TEXT(B2263,"[$-1170401]yyyy")),""))</f>
        <v/>
      </c>
      <c r="M2263">
        <f>IF(B2263="","",IFERROR(VALUE(TEXT(B2263,"[$-1170401]mm")),""))</f>
        <v/>
      </c>
    </row>
    <row r="2264">
      <c r="B2264" s="30" t="n"/>
      <c r="G2264" s="9">
        <f>IF(AND(E2264&lt;&gt;"",E2264&lt;&gt;0,H2264&lt;&gt;""),H2264/E2264,"")</f>
        <v/>
      </c>
      <c r="L2264">
        <f>IF(B2264="","",IFERROR(VALUE(TEXT(B2264,"[$-1170401]yyyy")),""))</f>
        <v/>
      </c>
      <c r="M2264">
        <f>IF(B2264="","",IFERROR(VALUE(TEXT(B2264,"[$-1170401]mm")),""))</f>
        <v/>
      </c>
    </row>
    <row r="2265">
      <c r="B2265" s="30" t="n"/>
      <c r="G2265" s="9">
        <f>IF(AND(E2265&lt;&gt;"",E2265&lt;&gt;0,H2265&lt;&gt;""),H2265/E2265,"")</f>
        <v/>
      </c>
      <c r="L2265">
        <f>IF(B2265="","",IFERROR(VALUE(TEXT(B2265,"[$-1170401]yyyy")),""))</f>
        <v/>
      </c>
      <c r="M2265">
        <f>IF(B2265="","",IFERROR(VALUE(TEXT(B2265,"[$-1170401]mm")),""))</f>
        <v/>
      </c>
    </row>
    <row r="2266">
      <c r="B2266" s="30" t="n"/>
      <c r="G2266" s="9">
        <f>IF(AND(E2266&lt;&gt;"",E2266&lt;&gt;0,H2266&lt;&gt;""),H2266/E2266,"")</f>
        <v/>
      </c>
      <c r="L2266">
        <f>IF(B2266="","",IFERROR(VALUE(TEXT(B2266,"[$-1170401]yyyy")),""))</f>
        <v/>
      </c>
      <c r="M2266">
        <f>IF(B2266="","",IFERROR(VALUE(TEXT(B2266,"[$-1170401]mm")),""))</f>
        <v/>
      </c>
    </row>
    <row r="2267">
      <c r="B2267" s="30" t="n"/>
      <c r="G2267" s="9">
        <f>IF(AND(E2267&lt;&gt;"",E2267&lt;&gt;0,H2267&lt;&gt;""),H2267/E2267,"")</f>
        <v/>
      </c>
      <c r="L2267">
        <f>IF(B2267="","",IFERROR(VALUE(TEXT(B2267,"[$-1170401]yyyy")),""))</f>
        <v/>
      </c>
      <c r="M2267">
        <f>IF(B2267="","",IFERROR(VALUE(TEXT(B2267,"[$-1170401]mm")),""))</f>
        <v/>
      </c>
    </row>
    <row r="2268">
      <c r="B2268" s="30" t="n"/>
      <c r="G2268" s="9">
        <f>IF(AND(E2268&lt;&gt;"",E2268&lt;&gt;0,H2268&lt;&gt;""),H2268/E2268,"")</f>
        <v/>
      </c>
      <c r="L2268">
        <f>IF(B2268="","",IFERROR(VALUE(TEXT(B2268,"[$-1170401]yyyy")),""))</f>
        <v/>
      </c>
      <c r="M2268">
        <f>IF(B2268="","",IFERROR(VALUE(TEXT(B2268,"[$-1170401]mm")),""))</f>
        <v/>
      </c>
    </row>
    <row r="2269">
      <c r="B2269" s="30" t="n"/>
      <c r="G2269" s="9">
        <f>IF(AND(E2269&lt;&gt;"",E2269&lt;&gt;0,H2269&lt;&gt;""),H2269/E2269,"")</f>
        <v/>
      </c>
      <c r="L2269">
        <f>IF(B2269="","",IFERROR(VALUE(TEXT(B2269,"[$-1170401]yyyy")),""))</f>
        <v/>
      </c>
      <c r="M2269">
        <f>IF(B2269="","",IFERROR(VALUE(TEXT(B2269,"[$-1170401]mm")),""))</f>
        <v/>
      </c>
    </row>
    <row r="2270">
      <c r="B2270" s="30" t="n"/>
      <c r="G2270" s="9">
        <f>IF(AND(E2270&lt;&gt;"",E2270&lt;&gt;0,H2270&lt;&gt;""),H2270/E2270,"")</f>
        <v/>
      </c>
      <c r="L2270">
        <f>IF(B2270="","",IFERROR(VALUE(TEXT(B2270,"[$-1170401]yyyy")),""))</f>
        <v/>
      </c>
      <c r="M2270">
        <f>IF(B2270="","",IFERROR(VALUE(TEXT(B2270,"[$-1170401]mm")),""))</f>
        <v/>
      </c>
    </row>
    <row r="2271">
      <c r="B2271" s="30" t="n"/>
      <c r="G2271" s="9">
        <f>IF(AND(E2271&lt;&gt;"",E2271&lt;&gt;0,H2271&lt;&gt;""),H2271/E2271,"")</f>
        <v/>
      </c>
      <c r="L2271">
        <f>IF(B2271="","",IFERROR(VALUE(TEXT(B2271,"[$-1170401]yyyy")),""))</f>
        <v/>
      </c>
      <c r="M2271">
        <f>IF(B2271="","",IFERROR(VALUE(TEXT(B2271,"[$-1170401]mm")),""))</f>
        <v/>
      </c>
    </row>
    <row r="2272">
      <c r="B2272" s="30" t="n"/>
      <c r="G2272" s="9">
        <f>IF(AND(E2272&lt;&gt;"",E2272&lt;&gt;0,H2272&lt;&gt;""),H2272/E2272,"")</f>
        <v/>
      </c>
      <c r="L2272">
        <f>IF(B2272="","",IFERROR(VALUE(TEXT(B2272,"[$-1170401]yyyy")),""))</f>
        <v/>
      </c>
      <c r="M2272">
        <f>IF(B2272="","",IFERROR(VALUE(TEXT(B2272,"[$-1170401]mm")),""))</f>
        <v/>
      </c>
    </row>
    <row r="2273">
      <c r="B2273" s="30" t="n"/>
      <c r="G2273" s="9">
        <f>IF(AND(E2273&lt;&gt;"",E2273&lt;&gt;0,H2273&lt;&gt;""),H2273/E2273,"")</f>
        <v/>
      </c>
      <c r="L2273">
        <f>IF(B2273="","",IFERROR(VALUE(TEXT(B2273,"[$-1170401]yyyy")),""))</f>
        <v/>
      </c>
      <c r="M2273">
        <f>IF(B2273="","",IFERROR(VALUE(TEXT(B2273,"[$-1170401]mm")),""))</f>
        <v/>
      </c>
    </row>
    <row r="2274">
      <c r="B2274" s="30" t="n"/>
      <c r="G2274" s="9">
        <f>IF(AND(E2274&lt;&gt;"",E2274&lt;&gt;0,H2274&lt;&gt;""),H2274/E2274,"")</f>
        <v/>
      </c>
      <c r="L2274">
        <f>IF(B2274="","",IFERROR(VALUE(TEXT(B2274,"[$-1170401]yyyy")),""))</f>
        <v/>
      </c>
      <c r="M2274">
        <f>IF(B2274="","",IFERROR(VALUE(TEXT(B2274,"[$-1170401]mm")),""))</f>
        <v/>
      </c>
    </row>
    <row r="2275">
      <c r="B2275" s="30" t="n"/>
      <c r="G2275" s="9">
        <f>IF(AND(E2275&lt;&gt;"",E2275&lt;&gt;0,H2275&lt;&gt;""),H2275/E2275,"")</f>
        <v/>
      </c>
      <c r="L2275">
        <f>IF(B2275="","",IFERROR(VALUE(TEXT(B2275,"[$-1170401]yyyy")),""))</f>
        <v/>
      </c>
      <c r="M2275">
        <f>IF(B2275="","",IFERROR(VALUE(TEXT(B2275,"[$-1170401]mm")),""))</f>
        <v/>
      </c>
    </row>
    <row r="2276">
      <c r="B2276" s="30" t="n"/>
      <c r="G2276" s="9">
        <f>IF(AND(E2276&lt;&gt;"",E2276&lt;&gt;0,H2276&lt;&gt;""),H2276/E2276,"")</f>
        <v/>
      </c>
      <c r="L2276">
        <f>IF(B2276="","",IFERROR(VALUE(TEXT(B2276,"[$-1170401]yyyy")),""))</f>
        <v/>
      </c>
      <c r="M2276">
        <f>IF(B2276="","",IFERROR(VALUE(TEXT(B2276,"[$-1170401]mm")),""))</f>
        <v/>
      </c>
    </row>
    <row r="2277">
      <c r="B2277" s="30" t="n"/>
      <c r="G2277" s="9">
        <f>IF(AND(E2277&lt;&gt;"",E2277&lt;&gt;0,H2277&lt;&gt;""),H2277/E2277,"")</f>
        <v/>
      </c>
      <c r="L2277">
        <f>IF(B2277="","",IFERROR(VALUE(TEXT(B2277,"[$-1170401]yyyy")),""))</f>
        <v/>
      </c>
      <c r="M2277">
        <f>IF(B2277="","",IFERROR(VALUE(TEXT(B2277,"[$-1170401]mm")),""))</f>
        <v/>
      </c>
    </row>
    <row r="2278">
      <c r="B2278" s="30" t="n"/>
      <c r="G2278" s="9">
        <f>IF(AND(E2278&lt;&gt;"",E2278&lt;&gt;0,H2278&lt;&gt;""),H2278/E2278,"")</f>
        <v/>
      </c>
      <c r="L2278">
        <f>IF(B2278="","",IFERROR(VALUE(TEXT(B2278,"[$-1170401]yyyy")),""))</f>
        <v/>
      </c>
      <c r="M2278">
        <f>IF(B2278="","",IFERROR(VALUE(TEXT(B2278,"[$-1170401]mm")),""))</f>
        <v/>
      </c>
    </row>
    <row r="2279">
      <c r="B2279" s="30" t="n"/>
      <c r="G2279" s="9">
        <f>IF(AND(E2279&lt;&gt;"",E2279&lt;&gt;0,H2279&lt;&gt;""),H2279/E2279,"")</f>
        <v/>
      </c>
      <c r="L2279">
        <f>IF(B2279="","",IFERROR(VALUE(TEXT(B2279,"[$-1170401]yyyy")),""))</f>
        <v/>
      </c>
      <c r="M2279">
        <f>IF(B2279="","",IFERROR(VALUE(TEXT(B2279,"[$-1170401]mm")),""))</f>
        <v/>
      </c>
    </row>
    <row r="2280">
      <c r="B2280" s="30" t="n"/>
      <c r="G2280" s="9">
        <f>IF(AND(E2280&lt;&gt;"",E2280&lt;&gt;0,H2280&lt;&gt;""),H2280/E2280,"")</f>
        <v/>
      </c>
      <c r="L2280">
        <f>IF(B2280="","",IFERROR(VALUE(TEXT(B2280,"[$-1170401]yyyy")),""))</f>
        <v/>
      </c>
      <c r="M2280">
        <f>IF(B2280="","",IFERROR(VALUE(TEXT(B2280,"[$-1170401]mm")),""))</f>
        <v/>
      </c>
    </row>
    <row r="2281">
      <c r="B2281" s="30" t="n"/>
      <c r="G2281" s="9">
        <f>IF(AND(E2281&lt;&gt;"",E2281&lt;&gt;0,H2281&lt;&gt;""),H2281/E2281,"")</f>
        <v/>
      </c>
      <c r="L2281">
        <f>IF(B2281="","",IFERROR(VALUE(TEXT(B2281,"[$-1170401]yyyy")),""))</f>
        <v/>
      </c>
      <c r="M2281">
        <f>IF(B2281="","",IFERROR(VALUE(TEXT(B2281,"[$-1170401]mm")),""))</f>
        <v/>
      </c>
    </row>
    <row r="2282">
      <c r="B2282" s="30" t="n"/>
      <c r="G2282" s="9">
        <f>IF(AND(E2282&lt;&gt;"",E2282&lt;&gt;0,H2282&lt;&gt;""),H2282/E2282,"")</f>
        <v/>
      </c>
      <c r="L2282">
        <f>IF(B2282="","",IFERROR(VALUE(TEXT(B2282,"[$-1170401]yyyy")),""))</f>
        <v/>
      </c>
      <c r="M2282">
        <f>IF(B2282="","",IFERROR(VALUE(TEXT(B2282,"[$-1170401]mm")),""))</f>
        <v/>
      </c>
    </row>
    <row r="2283">
      <c r="B2283" s="30" t="n"/>
      <c r="G2283" s="9">
        <f>IF(AND(E2283&lt;&gt;"",E2283&lt;&gt;0,H2283&lt;&gt;""),H2283/E2283,"")</f>
        <v/>
      </c>
      <c r="L2283">
        <f>IF(B2283="","",IFERROR(VALUE(TEXT(B2283,"[$-1170401]yyyy")),""))</f>
        <v/>
      </c>
      <c r="M2283">
        <f>IF(B2283="","",IFERROR(VALUE(TEXT(B2283,"[$-1170401]mm")),""))</f>
        <v/>
      </c>
    </row>
    <row r="2284">
      <c r="B2284" s="30" t="n"/>
      <c r="G2284" s="9">
        <f>IF(AND(E2284&lt;&gt;"",E2284&lt;&gt;0,H2284&lt;&gt;""),H2284/E2284,"")</f>
        <v/>
      </c>
      <c r="L2284">
        <f>IF(B2284="","",IFERROR(VALUE(TEXT(B2284,"[$-1170401]yyyy")),""))</f>
        <v/>
      </c>
      <c r="M2284">
        <f>IF(B2284="","",IFERROR(VALUE(TEXT(B2284,"[$-1170401]mm")),""))</f>
        <v/>
      </c>
    </row>
    <row r="2285">
      <c r="B2285" s="30" t="n"/>
      <c r="G2285" s="9">
        <f>IF(AND(E2285&lt;&gt;"",E2285&lt;&gt;0,H2285&lt;&gt;""),H2285/E2285,"")</f>
        <v/>
      </c>
      <c r="L2285">
        <f>IF(B2285="","",IFERROR(VALUE(TEXT(B2285,"[$-1170401]yyyy")),""))</f>
        <v/>
      </c>
      <c r="M2285">
        <f>IF(B2285="","",IFERROR(VALUE(TEXT(B2285,"[$-1170401]mm")),""))</f>
        <v/>
      </c>
    </row>
    <row r="2286">
      <c r="B2286" s="30" t="n"/>
      <c r="G2286" s="9">
        <f>IF(AND(E2286&lt;&gt;"",E2286&lt;&gt;0,H2286&lt;&gt;""),H2286/E2286,"")</f>
        <v/>
      </c>
      <c r="L2286">
        <f>IF(B2286="","",IFERROR(VALUE(TEXT(B2286,"[$-1170401]yyyy")),""))</f>
        <v/>
      </c>
      <c r="M2286">
        <f>IF(B2286="","",IFERROR(VALUE(TEXT(B2286,"[$-1170401]mm")),""))</f>
        <v/>
      </c>
    </row>
    <row r="2287">
      <c r="B2287" s="30" t="n"/>
      <c r="G2287" s="9">
        <f>IF(AND(E2287&lt;&gt;"",E2287&lt;&gt;0,H2287&lt;&gt;""),H2287/E2287,"")</f>
        <v/>
      </c>
      <c r="L2287">
        <f>IF(B2287="","",IFERROR(VALUE(TEXT(B2287,"[$-1170401]yyyy")),""))</f>
        <v/>
      </c>
      <c r="M2287">
        <f>IF(B2287="","",IFERROR(VALUE(TEXT(B2287,"[$-1170401]mm")),""))</f>
        <v/>
      </c>
    </row>
    <row r="2288">
      <c r="B2288" s="30" t="n"/>
      <c r="G2288" s="9">
        <f>IF(AND(E2288&lt;&gt;"",E2288&lt;&gt;0,H2288&lt;&gt;""),H2288/E2288,"")</f>
        <v/>
      </c>
      <c r="L2288">
        <f>IF(B2288="","",IFERROR(VALUE(TEXT(B2288,"[$-1170401]yyyy")),""))</f>
        <v/>
      </c>
      <c r="M2288">
        <f>IF(B2288="","",IFERROR(VALUE(TEXT(B2288,"[$-1170401]mm")),""))</f>
        <v/>
      </c>
    </row>
    <row r="2289">
      <c r="B2289" s="30" t="n"/>
      <c r="G2289" s="9">
        <f>IF(AND(E2289&lt;&gt;"",E2289&lt;&gt;0,H2289&lt;&gt;""),H2289/E2289,"")</f>
        <v/>
      </c>
      <c r="L2289">
        <f>IF(B2289="","",IFERROR(VALUE(TEXT(B2289,"[$-1170401]yyyy")),""))</f>
        <v/>
      </c>
      <c r="M2289">
        <f>IF(B2289="","",IFERROR(VALUE(TEXT(B2289,"[$-1170401]mm")),""))</f>
        <v/>
      </c>
    </row>
    <row r="2290">
      <c r="B2290" s="30" t="n"/>
      <c r="G2290" s="9">
        <f>IF(AND(E2290&lt;&gt;"",E2290&lt;&gt;0,H2290&lt;&gt;""),H2290/E2290,"")</f>
        <v/>
      </c>
      <c r="L2290">
        <f>IF(B2290="","",IFERROR(VALUE(TEXT(B2290,"[$-1170401]yyyy")),""))</f>
        <v/>
      </c>
      <c r="M2290">
        <f>IF(B2290="","",IFERROR(VALUE(TEXT(B2290,"[$-1170401]mm")),""))</f>
        <v/>
      </c>
    </row>
    <row r="2291">
      <c r="B2291" s="30" t="n"/>
      <c r="G2291" s="9">
        <f>IF(AND(E2291&lt;&gt;"",E2291&lt;&gt;0,H2291&lt;&gt;""),H2291/E2291,"")</f>
        <v/>
      </c>
      <c r="L2291">
        <f>IF(B2291="","",IFERROR(VALUE(TEXT(B2291,"[$-1170401]yyyy")),""))</f>
        <v/>
      </c>
      <c r="M2291">
        <f>IF(B2291="","",IFERROR(VALUE(TEXT(B2291,"[$-1170401]mm")),""))</f>
        <v/>
      </c>
    </row>
    <row r="2292">
      <c r="B2292" s="30" t="n"/>
      <c r="G2292" s="9">
        <f>IF(AND(E2292&lt;&gt;"",E2292&lt;&gt;0,H2292&lt;&gt;""),H2292/E2292,"")</f>
        <v/>
      </c>
      <c r="L2292">
        <f>IF(B2292="","",IFERROR(VALUE(TEXT(B2292,"[$-1170401]yyyy")),""))</f>
        <v/>
      </c>
      <c r="M2292">
        <f>IF(B2292="","",IFERROR(VALUE(TEXT(B2292,"[$-1170401]mm")),""))</f>
        <v/>
      </c>
    </row>
    <row r="2293">
      <c r="B2293" s="30" t="n"/>
      <c r="G2293" s="9">
        <f>IF(AND(E2293&lt;&gt;"",E2293&lt;&gt;0,H2293&lt;&gt;""),H2293/E2293,"")</f>
        <v/>
      </c>
      <c r="L2293">
        <f>IF(B2293="","",IFERROR(VALUE(TEXT(B2293,"[$-1170401]yyyy")),""))</f>
        <v/>
      </c>
      <c r="M2293">
        <f>IF(B2293="","",IFERROR(VALUE(TEXT(B2293,"[$-1170401]mm")),""))</f>
        <v/>
      </c>
    </row>
    <row r="2294">
      <c r="B2294" s="30" t="n"/>
      <c r="G2294" s="9">
        <f>IF(AND(E2294&lt;&gt;"",E2294&lt;&gt;0,H2294&lt;&gt;""),H2294/E2294,"")</f>
        <v/>
      </c>
      <c r="L2294">
        <f>IF(B2294="","",IFERROR(VALUE(TEXT(B2294,"[$-1170401]yyyy")),""))</f>
        <v/>
      </c>
      <c r="M2294">
        <f>IF(B2294="","",IFERROR(VALUE(TEXT(B2294,"[$-1170401]mm")),""))</f>
        <v/>
      </c>
    </row>
    <row r="2295">
      <c r="B2295" s="30" t="n"/>
      <c r="G2295" s="9">
        <f>IF(AND(E2295&lt;&gt;"",E2295&lt;&gt;0,H2295&lt;&gt;""),H2295/E2295,"")</f>
        <v/>
      </c>
      <c r="L2295">
        <f>IF(B2295="","",IFERROR(VALUE(TEXT(B2295,"[$-1170401]yyyy")),""))</f>
        <v/>
      </c>
      <c r="M2295">
        <f>IF(B2295="","",IFERROR(VALUE(TEXT(B2295,"[$-1170401]mm")),""))</f>
        <v/>
      </c>
    </row>
    <row r="2296">
      <c r="B2296" s="30" t="n"/>
      <c r="G2296" s="9">
        <f>IF(AND(E2296&lt;&gt;"",E2296&lt;&gt;0,H2296&lt;&gt;""),H2296/E2296,"")</f>
        <v/>
      </c>
      <c r="L2296">
        <f>IF(B2296="","",IFERROR(VALUE(TEXT(B2296,"[$-1170401]yyyy")),""))</f>
        <v/>
      </c>
      <c r="M2296">
        <f>IF(B2296="","",IFERROR(VALUE(TEXT(B2296,"[$-1170401]mm")),""))</f>
        <v/>
      </c>
    </row>
    <row r="2297">
      <c r="B2297" s="30" t="n"/>
      <c r="G2297" s="9">
        <f>IF(AND(E2297&lt;&gt;"",E2297&lt;&gt;0,H2297&lt;&gt;""),H2297/E2297,"")</f>
        <v/>
      </c>
      <c r="L2297">
        <f>IF(B2297="","",IFERROR(VALUE(TEXT(B2297,"[$-1170401]yyyy")),""))</f>
        <v/>
      </c>
      <c r="M2297">
        <f>IF(B2297="","",IFERROR(VALUE(TEXT(B2297,"[$-1170401]mm")),""))</f>
        <v/>
      </c>
    </row>
    <row r="2298">
      <c r="B2298" s="30" t="n"/>
      <c r="G2298" s="9">
        <f>IF(AND(E2298&lt;&gt;"",E2298&lt;&gt;0,H2298&lt;&gt;""),H2298/E2298,"")</f>
        <v/>
      </c>
      <c r="L2298">
        <f>IF(B2298="","",IFERROR(VALUE(TEXT(B2298,"[$-1170401]yyyy")),""))</f>
        <v/>
      </c>
      <c r="M2298">
        <f>IF(B2298="","",IFERROR(VALUE(TEXT(B2298,"[$-1170401]mm")),""))</f>
        <v/>
      </c>
    </row>
    <row r="2299">
      <c r="B2299" s="30" t="n"/>
      <c r="G2299" s="9">
        <f>IF(AND(E2299&lt;&gt;"",E2299&lt;&gt;0,H2299&lt;&gt;""),H2299/E2299,"")</f>
        <v/>
      </c>
      <c r="L2299">
        <f>IF(B2299="","",IFERROR(VALUE(TEXT(B2299,"[$-1170401]yyyy")),""))</f>
        <v/>
      </c>
      <c r="M2299">
        <f>IF(B2299="","",IFERROR(VALUE(TEXT(B2299,"[$-1170401]mm")),""))</f>
        <v/>
      </c>
    </row>
    <row r="2300">
      <c r="B2300" s="30" t="n"/>
      <c r="G2300" s="9">
        <f>IF(AND(E2300&lt;&gt;"",E2300&lt;&gt;0,H2300&lt;&gt;""),H2300/E2300,"")</f>
        <v/>
      </c>
      <c r="L2300">
        <f>IF(B2300="","",IFERROR(VALUE(TEXT(B2300,"[$-1170401]yyyy")),""))</f>
        <v/>
      </c>
      <c r="M2300">
        <f>IF(B2300="","",IFERROR(VALUE(TEXT(B2300,"[$-1170401]mm")),""))</f>
        <v/>
      </c>
    </row>
    <row r="2301">
      <c r="B2301" s="30" t="n"/>
      <c r="G2301" s="9">
        <f>IF(AND(E2301&lt;&gt;"",E2301&lt;&gt;0,H2301&lt;&gt;""),H2301/E2301,"")</f>
        <v/>
      </c>
      <c r="L2301">
        <f>IF(B2301="","",IFERROR(VALUE(TEXT(B2301,"[$-1170401]yyyy")),""))</f>
        <v/>
      </c>
      <c r="M2301">
        <f>IF(B2301="","",IFERROR(VALUE(TEXT(B2301,"[$-1170401]mm")),""))</f>
        <v/>
      </c>
    </row>
    <row r="2302">
      <c r="B2302" s="30" t="n"/>
      <c r="G2302" s="9">
        <f>IF(AND(E2302&lt;&gt;"",E2302&lt;&gt;0,H2302&lt;&gt;""),H2302/E2302,"")</f>
        <v/>
      </c>
      <c r="L2302">
        <f>IF(B2302="","",IFERROR(VALUE(TEXT(B2302,"[$-1170401]yyyy")),""))</f>
        <v/>
      </c>
      <c r="M2302">
        <f>IF(B2302="","",IFERROR(VALUE(TEXT(B2302,"[$-1170401]mm")),""))</f>
        <v/>
      </c>
    </row>
    <row r="2303">
      <c r="B2303" s="30" t="n"/>
      <c r="G2303" s="9">
        <f>IF(AND(E2303&lt;&gt;"",E2303&lt;&gt;0,H2303&lt;&gt;""),H2303/E2303,"")</f>
        <v/>
      </c>
      <c r="L2303">
        <f>IF(B2303="","",IFERROR(VALUE(TEXT(B2303,"[$-1170401]yyyy")),""))</f>
        <v/>
      </c>
      <c r="M2303">
        <f>IF(B2303="","",IFERROR(VALUE(TEXT(B2303,"[$-1170401]mm")),""))</f>
        <v/>
      </c>
    </row>
    <row r="2304">
      <c r="B2304" s="30" t="n"/>
      <c r="G2304" s="9">
        <f>IF(AND(E2304&lt;&gt;"",E2304&lt;&gt;0,H2304&lt;&gt;""),H2304/E2304,"")</f>
        <v/>
      </c>
      <c r="L2304">
        <f>IF(B2304="","",IFERROR(VALUE(TEXT(B2304,"[$-1170401]yyyy")),""))</f>
        <v/>
      </c>
      <c r="M2304">
        <f>IF(B2304="","",IFERROR(VALUE(TEXT(B2304,"[$-1170401]mm")),""))</f>
        <v/>
      </c>
    </row>
    <row r="2305">
      <c r="B2305" s="30" t="n"/>
      <c r="G2305" s="9">
        <f>IF(AND(E2305&lt;&gt;"",E2305&lt;&gt;0,H2305&lt;&gt;""),H2305/E2305,"")</f>
        <v/>
      </c>
      <c r="L2305">
        <f>IF(B2305="","",IFERROR(VALUE(TEXT(B2305,"[$-1170401]yyyy")),""))</f>
        <v/>
      </c>
      <c r="M2305">
        <f>IF(B2305="","",IFERROR(VALUE(TEXT(B2305,"[$-1170401]mm")),""))</f>
        <v/>
      </c>
    </row>
    <row r="2306">
      <c r="B2306" s="30" t="n"/>
      <c r="G2306" s="9">
        <f>IF(AND(E2306&lt;&gt;"",E2306&lt;&gt;0,H2306&lt;&gt;""),H2306/E2306,"")</f>
        <v/>
      </c>
      <c r="L2306">
        <f>IF(B2306="","",IFERROR(VALUE(TEXT(B2306,"[$-1170401]yyyy")),""))</f>
        <v/>
      </c>
      <c r="M2306">
        <f>IF(B2306="","",IFERROR(VALUE(TEXT(B2306,"[$-1170401]mm")),""))</f>
        <v/>
      </c>
    </row>
    <row r="2307">
      <c r="B2307" s="30" t="n"/>
      <c r="G2307" s="9">
        <f>IF(AND(E2307&lt;&gt;"",E2307&lt;&gt;0,H2307&lt;&gt;""),H2307/E2307,"")</f>
        <v/>
      </c>
      <c r="L2307">
        <f>IF(B2307="","",IFERROR(VALUE(TEXT(B2307,"[$-1170401]yyyy")),""))</f>
        <v/>
      </c>
      <c r="M2307">
        <f>IF(B2307="","",IFERROR(VALUE(TEXT(B2307,"[$-1170401]mm")),""))</f>
        <v/>
      </c>
    </row>
    <row r="2308">
      <c r="B2308" s="30" t="n"/>
      <c r="G2308" s="9">
        <f>IF(AND(E2308&lt;&gt;"",E2308&lt;&gt;0,H2308&lt;&gt;""),H2308/E2308,"")</f>
        <v/>
      </c>
      <c r="L2308">
        <f>IF(B2308="","",IFERROR(VALUE(TEXT(B2308,"[$-1170401]yyyy")),""))</f>
        <v/>
      </c>
      <c r="M2308">
        <f>IF(B2308="","",IFERROR(VALUE(TEXT(B2308,"[$-1170401]mm")),""))</f>
        <v/>
      </c>
    </row>
    <row r="2309">
      <c r="B2309" s="30" t="n"/>
      <c r="G2309" s="9">
        <f>IF(AND(E2309&lt;&gt;"",E2309&lt;&gt;0,H2309&lt;&gt;""),H2309/E2309,"")</f>
        <v/>
      </c>
      <c r="L2309">
        <f>IF(B2309="","",IFERROR(VALUE(TEXT(B2309,"[$-1170401]yyyy")),""))</f>
        <v/>
      </c>
      <c r="M2309">
        <f>IF(B2309="","",IFERROR(VALUE(TEXT(B2309,"[$-1170401]mm")),""))</f>
        <v/>
      </c>
    </row>
    <row r="2310">
      <c r="B2310" s="30" t="n"/>
      <c r="G2310" s="9">
        <f>IF(AND(E2310&lt;&gt;"",E2310&lt;&gt;0,H2310&lt;&gt;""),H2310/E2310,"")</f>
        <v/>
      </c>
      <c r="L2310">
        <f>IF(B2310="","",IFERROR(VALUE(TEXT(B2310,"[$-1170401]yyyy")),""))</f>
        <v/>
      </c>
      <c r="M2310">
        <f>IF(B2310="","",IFERROR(VALUE(TEXT(B2310,"[$-1170401]mm")),""))</f>
        <v/>
      </c>
    </row>
    <row r="2311">
      <c r="B2311" s="30" t="n"/>
      <c r="G2311" s="9">
        <f>IF(AND(E2311&lt;&gt;"",E2311&lt;&gt;0,H2311&lt;&gt;""),H2311/E2311,"")</f>
        <v/>
      </c>
      <c r="L2311">
        <f>IF(B2311="","",IFERROR(VALUE(TEXT(B2311,"[$-1170401]yyyy")),""))</f>
        <v/>
      </c>
      <c r="M2311">
        <f>IF(B2311="","",IFERROR(VALUE(TEXT(B2311,"[$-1170401]mm")),""))</f>
        <v/>
      </c>
    </row>
    <row r="2312">
      <c r="B2312" s="30" t="n"/>
      <c r="G2312" s="9">
        <f>IF(AND(E2312&lt;&gt;"",E2312&lt;&gt;0,H2312&lt;&gt;""),H2312/E2312,"")</f>
        <v/>
      </c>
      <c r="L2312">
        <f>IF(B2312="","",IFERROR(VALUE(TEXT(B2312,"[$-1170401]yyyy")),""))</f>
        <v/>
      </c>
      <c r="M2312">
        <f>IF(B2312="","",IFERROR(VALUE(TEXT(B2312,"[$-1170401]mm")),""))</f>
        <v/>
      </c>
    </row>
    <row r="2313">
      <c r="B2313" s="30" t="n"/>
      <c r="G2313" s="9">
        <f>IF(AND(E2313&lt;&gt;"",E2313&lt;&gt;0,H2313&lt;&gt;""),H2313/E2313,"")</f>
        <v/>
      </c>
      <c r="L2313">
        <f>IF(B2313="","",IFERROR(VALUE(TEXT(B2313,"[$-1170401]yyyy")),""))</f>
        <v/>
      </c>
      <c r="M2313">
        <f>IF(B2313="","",IFERROR(VALUE(TEXT(B2313,"[$-1170401]mm")),""))</f>
        <v/>
      </c>
    </row>
    <row r="2314">
      <c r="B2314" s="30" t="n"/>
      <c r="G2314" s="9">
        <f>IF(AND(E2314&lt;&gt;"",E2314&lt;&gt;0,H2314&lt;&gt;""),H2314/E2314,"")</f>
        <v/>
      </c>
      <c r="L2314">
        <f>IF(B2314="","",IFERROR(VALUE(TEXT(B2314,"[$-1170401]yyyy")),""))</f>
        <v/>
      </c>
      <c r="M2314">
        <f>IF(B2314="","",IFERROR(VALUE(TEXT(B2314,"[$-1170401]mm")),""))</f>
        <v/>
      </c>
    </row>
    <row r="2315">
      <c r="B2315" s="30" t="n"/>
      <c r="G2315" s="9">
        <f>IF(AND(E2315&lt;&gt;"",E2315&lt;&gt;0,H2315&lt;&gt;""),H2315/E2315,"")</f>
        <v/>
      </c>
      <c r="L2315">
        <f>IF(B2315="","",IFERROR(VALUE(TEXT(B2315,"[$-1170401]yyyy")),""))</f>
        <v/>
      </c>
      <c r="M2315">
        <f>IF(B2315="","",IFERROR(VALUE(TEXT(B2315,"[$-1170401]mm")),""))</f>
        <v/>
      </c>
    </row>
    <row r="2316">
      <c r="B2316" s="30" t="n"/>
      <c r="G2316" s="9">
        <f>IF(AND(E2316&lt;&gt;"",E2316&lt;&gt;0,H2316&lt;&gt;""),H2316/E2316,"")</f>
        <v/>
      </c>
      <c r="L2316">
        <f>IF(B2316="","",IFERROR(VALUE(TEXT(B2316,"[$-1170401]yyyy")),""))</f>
        <v/>
      </c>
      <c r="M2316">
        <f>IF(B2316="","",IFERROR(VALUE(TEXT(B2316,"[$-1170401]mm")),""))</f>
        <v/>
      </c>
    </row>
    <row r="2317">
      <c r="B2317" s="30" t="n"/>
      <c r="G2317" s="9">
        <f>IF(AND(E2317&lt;&gt;"",E2317&lt;&gt;0,H2317&lt;&gt;""),H2317/E2317,"")</f>
        <v/>
      </c>
      <c r="L2317">
        <f>IF(B2317="","",IFERROR(VALUE(TEXT(B2317,"[$-1170401]yyyy")),""))</f>
        <v/>
      </c>
      <c r="M2317">
        <f>IF(B2317="","",IFERROR(VALUE(TEXT(B2317,"[$-1170401]mm")),""))</f>
        <v/>
      </c>
    </row>
    <row r="2318">
      <c r="B2318" s="30" t="n"/>
      <c r="G2318" s="9">
        <f>IF(AND(E2318&lt;&gt;"",E2318&lt;&gt;0,H2318&lt;&gt;""),H2318/E2318,"")</f>
        <v/>
      </c>
      <c r="L2318">
        <f>IF(B2318="","",IFERROR(VALUE(TEXT(B2318,"[$-1170401]yyyy")),""))</f>
        <v/>
      </c>
      <c r="M2318">
        <f>IF(B2318="","",IFERROR(VALUE(TEXT(B2318,"[$-1170401]mm")),""))</f>
        <v/>
      </c>
    </row>
    <row r="2319">
      <c r="B2319" s="30" t="n"/>
      <c r="G2319" s="9">
        <f>IF(AND(E2319&lt;&gt;"",E2319&lt;&gt;0,H2319&lt;&gt;""),H2319/E2319,"")</f>
        <v/>
      </c>
      <c r="L2319">
        <f>IF(B2319="","",IFERROR(VALUE(TEXT(B2319,"[$-1170401]yyyy")),""))</f>
        <v/>
      </c>
      <c r="M2319">
        <f>IF(B2319="","",IFERROR(VALUE(TEXT(B2319,"[$-1170401]mm")),""))</f>
        <v/>
      </c>
    </row>
    <row r="2320">
      <c r="B2320" s="30" t="n"/>
      <c r="G2320" s="9">
        <f>IF(AND(E2320&lt;&gt;"",E2320&lt;&gt;0,H2320&lt;&gt;""),H2320/E2320,"")</f>
        <v/>
      </c>
      <c r="L2320">
        <f>IF(B2320="","",IFERROR(VALUE(TEXT(B2320,"[$-1170401]yyyy")),""))</f>
        <v/>
      </c>
      <c r="M2320">
        <f>IF(B2320="","",IFERROR(VALUE(TEXT(B2320,"[$-1170401]mm")),""))</f>
        <v/>
      </c>
    </row>
    <row r="2321">
      <c r="B2321" s="30" t="n"/>
      <c r="G2321" s="9">
        <f>IF(AND(E2321&lt;&gt;"",E2321&lt;&gt;0,H2321&lt;&gt;""),H2321/E2321,"")</f>
        <v/>
      </c>
      <c r="L2321">
        <f>IF(B2321="","",IFERROR(VALUE(TEXT(B2321,"[$-1170401]yyyy")),""))</f>
        <v/>
      </c>
      <c r="M2321">
        <f>IF(B2321="","",IFERROR(VALUE(TEXT(B2321,"[$-1170401]mm")),""))</f>
        <v/>
      </c>
    </row>
    <row r="2322">
      <c r="B2322" s="30" t="n"/>
      <c r="G2322" s="9">
        <f>IF(AND(E2322&lt;&gt;"",E2322&lt;&gt;0,H2322&lt;&gt;""),H2322/E2322,"")</f>
        <v/>
      </c>
      <c r="L2322">
        <f>IF(B2322="","",IFERROR(VALUE(TEXT(B2322,"[$-1170401]yyyy")),""))</f>
        <v/>
      </c>
      <c r="M2322">
        <f>IF(B2322="","",IFERROR(VALUE(TEXT(B2322,"[$-1170401]mm")),""))</f>
        <v/>
      </c>
    </row>
    <row r="2323">
      <c r="B2323" s="30" t="n"/>
      <c r="G2323" s="9">
        <f>IF(AND(E2323&lt;&gt;"",E2323&lt;&gt;0,H2323&lt;&gt;""),H2323/E2323,"")</f>
        <v/>
      </c>
      <c r="L2323">
        <f>IF(B2323="","",IFERROR(VALUE(TEXT(B2323,"[$-1170401]yyyy")),""))</f>
        <v/>
      </c>
      <c r="M2323">
        <f>IF(B2323="","",IFERROR(VALUE(TEXT(B2323,"[$-1170401]mm")),""))</f>
        <v/>
      </c>
    </row>
    <row r="2324">
      <c r="B2324" s="30" t="n"/>
      <c r="G2324" s="9">
        <f>IF(AND(E2324&lt;&gt;"",E2324&lt;&gt;0,H2324&lt;&gt;""),H2324/E2324,"")</f>
        <v/>
      </c>
      <c r="L2324">
        <f>IF(B2324="","",IFERROR(VALUE(TEXT(B2324,"[$-1170401]yyyy")),""))</f>
        <v/>
      </c>
      <c r="M2324">
        <f>IF(B2324="","",IFERROR(VALUE(TEXT(B2324,"[$-1170401]mm")),""))</f>
        <v/>
      </c>
    </row>
    <row r="2325">
      <c r="B2325" s="30" t="n"/>
      <c r="G2325" s="9">
        <f>IF(AND(E2325&lt;&gt;"",E2325&lt;&gt;0,H2325&lt;&gt;""),H2325/E2325,"")</f>
        <v/>
      </c>
      <c r="L2325">
        <f>IF(B2325="","",IFERROR(VALUE(TEXT(B2325,"[$-1170401]yyyy")),""))</f>
        <v/>
      </c>
      <c r="M2325">
        <f>IF(B2325="","",IFERROR(VALUE(TEXT(B2325,"[$-1170401]mm")),""))</f>
        <v/>
      </c>
    </row>
    <row r="2326">
      <c r="B2326" s="30" t="n"/>
      <c r="G2326" s="9">
        <f>IF(AND(E2326&lt;&gt;"",E2326&lt;&gt;0,H2326&lt;&gt;""),H2326/E2326,"")</f>
        <v/>
      </c>
      <c r="L2326">
        <f>IF(B2326="","",IFERROR(VALUE(TEXT(B2326,"[$-1170401]yyyy")),""))</f>
        <v/>
      </c>
      <c r="M2326">
        <f>IF(B2326="","",IFERROR(VALUE(TEXT(B2326,"[$-1170401]mm")),""))</f>
        <v/>
      </c>
    </row>
    <row r="2327">
      <c r="B2327" s="30" t="n"/>
      <c r="G2327" s="9">
        <f>IF(AND(E2327&lt;&gt;"",E2327&lt;&gt;0,H2327&lt;&gt;""),H2327/E2327,"")</f>
        <v/>
      </c>
      <c r="L2327">
        <f>IF(B2327="","",IFERROR(VALUE(TEXT(B2327,"[$-1170401]yyyy")),""))</f>
        <v/>
      </c>
      <c r="M2327">
        <f>IF(B2327="","",IFERROR(VALUE(TEXT(B2327,"[$-1170401]mm")),""))</f>
        <v/>
      </c>
    </row>
    <row r="2328">
      <c r="B2328" s="30" t="n"/>
      <c r="G2328" s="9">
        <f>IF(AND(E2328&lt;&gt;"",E2328&lt;&gt;0,H2328&lt;&gt;""),H2328/E2328,"")</f>
        <v/>
      </c>
      <c r="L2328">
        <f>IF(B2328="","",IFERROR(VALUE(TEXT(B2328,"[$-1170401]yyyy")),""))</f>
        <v/>
      </c>
      <c r="M2328">
        <f>IF(B2328="","",IFERROR(VALUE(TEXT(B2328,"[$-1170401]mm")),""))</f>
        <v/>
      </c>
    </row>
    <row r="2329">
      <c r="B2329" s="30" t="n"/>
      <c r="G2329" s="9">
        <f>IF(AND(E2329&lt;&gt;"",E2329&lt;&gt;0,H2329&lt;&gt;""),H2329/E2329,"")</f>
        <v/>
      </c>
      <c r="L2329">
        <f>IF(B2329="","",IFERROR(VALUE(TEXT(B2329,"[$-1170401]yyyy")),""))</f>
        <v/>
      </c>
      <c r="M2329">
        <f>IF(B2329="","",IFERROR(VALUE(TEXT(B2329,"[$-1170401]mm")),""))</f>
        <v/>
      </c>
    </row>
    <row r="2330">
      <c r="B2330" s="30" t="n"/>
      <c r="G2330" s="9">
        <f>IF(AND(E2330&lt;&gt;"",E2330&lt;&gt;0,H2330&lt;&gt;""),H2330/E2330,"")</f>
        <v/>
      </c>
      <c r="L2330">
        <f>IF(B2330="","",IFERROR(VALUE(TEXT(B2330,"[$-1170401]yyyy")),""))</f>
        <v/>
      </c>
      <c r="M2330">
        <f>IF(B2330="","",IFERROR(VALUE(TEXT(B2330,"[$-1170401]mm")),""))</f>
        <v/>
      </c>
    </row>
    <row r="2331">
      <c r="B2331" s="30" t="n"/>
      <c r="G2331" s="9">
        <f>IF(AND(E2331&lt;&gt;"",E2331&lt;&gt;0,H2331&lt;&gt;""),H2331/E2331,"")</f>
        <v/>
      </c>
      <c r="L2331">
        <f>IF(B2331="","",IFERROR(VALUE(TEXT(B2331,"[$-1170401]yyyy")),""))</f>
        <v/>
      </c>
      <c r="M2331">
        <f>IF(B2331="","",IFERROR(VALUE(TEXT(B2331,"[$-1170401]mm")),""))</f>
        <v/>
      </c>
    </row>
    <row r="2332">
      <c r="B2332" s="30" t="n"/>
      <c r="G2332" s="9">
        <f>IF(AND(E2332&lt;&gt;"",E2332&lt;&gt;0,H2332&lt;&gt;""),H2332/E2332,"")</f>
        <v/>
      </c>
      <c r="L2332">
        <f>IF(B2332="","",IFERROR(VALUE(TEXT(B2332,"[$-1170401]yyyy")),""))</f>
        <v/>
      </c>
      <c r="M2332">
        <f>IF(B2332="","",IFERROR(VALUE(TEXT(B2332,"[$-1170401]mm")),""))</f>
        <v/>
      </c>
    </row>
    <row r="2333">
      <c r="B2333" s="30" t="n"/>
      <c r="G2333" s="9">
        <f>IF(AND(E2333&lt;&gt;"",E2333&lt;&gt;0,H2333&lt;&gt;""),H2333/E2333,"")</f>
        <v/>
      </c>
      <c r="L2333">
        <f>IF(B2333="","",IFERROR(VALUE(TEXT(B2333,"[$-1170401]yyyy")),""))</f>
        <v/>
      </c>
      <c r="M2333">
        <f>IF(B2333="","",IFERROR(VALUE(TEXT(B2333,"[$-1170401]mm")),""))</f>
        <v/>
      </c>
    </row>
    <row r="2334">
      <c r="B2334" s="30" t="n"/>
      <c r="G2334" s="9">
        <f>IF(AND(E2334&lt;&gt;"",E2334&lt;&gt;0,H2334&lt;&gt;""),H2334/E2334,"")</f>
        <v/>
      </c>
      <c r="L2334">
        <f>IF(B2334="","",IFERROR(VALUE(TEXT(B2334,"[$-1170401]yyyy")),""))</f>
        <v/>
      </c>
      <c r="M2334">
        <f>IF(B2334="","",IFERROR(VALUE(TEXT(B2334,"[$-1170401]mm")),""))</f>
        <v/>
      </c>
    </row>
    <row r="2335">
      <c r="B2335" s="30" t="n"/>
      <c r="G2335" s="9">
        <f>IF(AND(E2335&lt;&gt;"",E2335&lt;&gt;0,H2335&lt;&gt;""),H2335/E2335,"")</f>
        <v/>
      </c>
      <c r="L2335">
        <f>IF(B2335="","",IFERROR(VALUE(TEXT(B2335,"[$-1170401]yyyy")),""))</f>
        <v/>
      </c>
      <c r="M2335">
        <f>IF(B2335="","",IFERROR(VALUE(TEXT(B2335,"[$-1170401]mm")),""))</f>
        <v/>
      </c>
    </row>
    <row r="2336">
      <c r="B2336" s="30" t="n"/>
      <c r="G2336" s="9">
        <f>IF(AND(E2336&lt;&gt;"",E2336&lt;&gt;0,H2336&lt;&gt;""),H2336/E2336,"")</f>
        <v/>
      </c>
      <c r="L2336">
        <f>IF(B2336="","",IFERROR(VALUE(TEXT(B2336,"[$-1170401]yyyy")),""))</f>
        <v/>
      </c>
      <c r="M2336">
        <f>IF(B2336="","",IFERROR(VALUE(TEXT(B2336,"[$-1170401]mm")),""))</f>
        <v/>
      </c>
    </row>
    <row r="2337">
      <c r="B2337" s="30" t="n"/>
      <c r="G2337" s="9">
        <f>IF(AND(E2337&lt;&gt;"",E2337&lt;&gt;0,H2337&lt;&gt;""),H2337/E2337,"")</f>
        <v/>
      </c>
      <c r="L2337">
        <f>IF(B2337="","",IFERROR(VALUE(TEXT(B2337,"[$-1170401]yyyy")),""))</f>
        <v/>
      </c>
      <c r="M2337">
        <f>IF(B2337="","",IFERROR(VALUE(TEXT(B2337,"[$-1170401]mm")),""))</f>
        <v/>
      </c>
    </row>
    <row r="2338">
      <c r="B2338" s="30" t="n"/>
      <c r="G2338" s="9">
        <f>IF(AND(E2338&lt;&gt;"",E2338&lt;&gt;0,H2338&lt;&gt;""),H2338/E2338,"")</f>
        <v/>
      </c>
      <c r="L2338">
        <f>IF(B2338="","",IFERROR(VALUE(TEXT(B2338,"[$-1170401]yyyy")),""))</f>
        <v/>
      </c>
      <c r="M2338">
        <f>IF(B2338="","",IFERROR(VALUE(TEXT(B2338,"[$-1170401]mm")),""))</f>
        <v/>
      </c>
    </row>
    <row r="2339">
      <c r="B2339" s="30" t="n"/>
      <c r="G2339" s="9">
        <f>IF(AND(E2339&lt;&gt;"",E2339&lt;&gt;0,H2339&lt;&gt;""),H2339/E2339,"")</f>
        <v/>
      </c>
      <c r="L2339">
        <f>IF(B2339="","",IFERROR(VALUE(TEXT(B2339,"[$-1170401]yyyy")),""))</f>
        <v/>
      </c>
      <c r="M2339">
        <f>IF(B2339="","",IFERROR(VALUE(TEXT(B2339,"[$-1170401]mm")),""))</f>
        <v/>
      </c>
    </row>
    <row r="2340">
      <c r="B2340" s="30" t="n"/>
      <c r="G2340" s="9">
        <f>IF(AND(E2340&lt;&gt;"",E2340&lt;&gt;0,H2340&lt;&gt;""),H2340/E2340,"")</f>
        <v/>
      </c>
      <c r="L2340">
        <f>IF(B2340="","",IFERROR(VALUE(TEXT(B2340,"[$-1170401]yyyy")),""))</f>
        <v/>
      </c>
      <c r="M2340">
        <f>IF(B2340="","",IFERROR(VALUE(TEXT(B2340,"[$-1170401]mm")),""))</f>
        <v/>
      </c>
    </row>
    <row r="2341">
      <c r="B2341" s="30" t="n"/>
      <c r="G2341" s="9">
        <f>IF(AND(E2341&lt;&gt;"",E2341&lt;&gt;0,H2341&lt;&gt;""),H2341/E2341,"")</f>
        <v/>
      </c>
      <c r="L2341">
        <f>IF(B2341="","",IFERROR(VALUE(TEXT(B2341,"[$-1170401]yyyy")),""))</f>
        <v/>
      </c>
      <c r="M2341">
        <f>IF(B2341="","",IFERROR(VALUE(TEXT(B2341,"[$-1170401]mm")),""))</f>
        <v/>
      </c>
    </row>
    <row r="2342">
      <c r="B2342" s="30" t="n"/>
      <c r="G2342" s="9">
        <f>IF(AND(E2342&lt;&gt;"",E2342&lt;&gt;0,H2342&lt;&gt;""),H2342/E2342,"")</f>
        <v/>
      </c>
      <c r="L2342">
        <f>IF(B2342="","",IFERROR(VALUE(TEXT(B2342,"[$-1170401]yyyy")),""))</f>
        <v/>
      </c>
      <c r="M2342">
        <f>IF(B2342="","",IFERROR(VALUE(TEXT(B2342,"[$-1170401]mm")),""))</f>
        <v/>
      </c>
    </row>
    <row r="2343">
      <c r="B2343" s="30" t="n"/>
      <c r="G2343" s="9">
        <f>IF(AND(E2343&lt;&gt;"",E2343&lt;&gt;0,H2343&lt;&gt;""),H2343/E2343,"")</f>
        <v/>
      </c>
      <c r="L2343">
        <f>IF(B2343="","",IFERROR(VALUE(TEXT(B2343,"[$-1170401]yyyy")),""))</f>
        <v/>
      </c>
      <c r="M2343">
        <f>IF(B2343="","",IFERROR(VALUE(TEXT(B2343,"[$-1170401]mm")),""))</f>
        <v/>
      </c>
    </row>
    <row r="2344">
      <c r="B2344" s="30" t="n"/>
      <c r="G2344" s="9">
        <f>IF(AND(E2344&lt;&gt;"",E2344&lt;&gt;0,H2344&lt;&gt;""),H2344/E2344,"")</f>
        <v/>
      </c>
      <c r="L2344">
        <f>IF(B2344="","",IFERROR(VALUE(TEXT(B2344,"[$-1170401]yyyy")),""))</f>
        <v/>
      </c>
      <c r="M2344">
        <f>IF(B2344="","",IFERROR(VALUE(TEXT(B2344,"[$-1170401]mm")),""))</f>
        <v/>
      </c>
    </row>
    <row r="2345">
      <c r="B2345" s="30" t="n"/>
      <c r="G2345" s="9">
        <f>IF(AND(E2345&lt;&gt;"",E2345&lt;&gt;0,H2345&lt;&gt;""),H2345/E2345,"")</f>
        <v/>
      </c>
      <c r="L2345">
        <f>IF(B2345="","",IFERROR(VALUE(TEXT(B2345,"[$-1170401]yyyy")),""))</f>
        <v/>
      </c>
      <c r="M2345">
        <f>IF(B2345="","",IFERROR(VALUE(TEXT(B2345,"[$-1170401]mm")),""))</f>
        <v/>
      </c>
    </row>
    <row r="2346">
      <c r="B2346" s="30" t="n"/>
      <c r="G2346" s="9">
        <f>IF(AND(E2346&lt;&gt;"",E2346&lt;&gt;0,H2346&lt;&gt;""),H2346/E2346,"")</f>
        <v/>
      </c>
      <c r="L2346">
        <f>IF(B2346="","",IFERROR(VALUE(TEXT(B2346,"[$-1170401]yyyy")),""))</f>
        <v/>
      </c>
      <c r="M2346">
        <f>IF(B2346="","",IFERROR(VALUE(TEXT(B2346,"[$-1170401]mm")),""))</f>
        <v/>
      </c>
    </row>
    <row r="2347">
      <c r="B2347" s="30" t="n"/>
      <c r="G2347" s="9">
        <f>IF(AND(E2347&lt;&gt;"",E2347&lt;&gt;0,H2347&lt;&gt;""),H2347/E2347,"")</f>
        <v/>
      </c>
      <c r="L2347">
        <f>IF(B2347="","",IFERROR(VALUE(TEXT(B2347,"[$-1170401]yyyy")),""))</f>
        <v/>
      </c>
      <c r="M2347">
        <f>IF(B2347="","",IFERROR(VALUE(TEXT(B2347,"[$-1170401]mm")),""))</f>
        <v/>
      </c>
    </row>
    <row r="2348">
      <c r="B2348" s="30" t="n"/>
      <c r="G2348" s="9">
        <f>IF(AND(E2348&lt;&gt;"",E2348&lt;&gt;0,H2348&lt;&gt;""),H2348/E2348,"")</f>
        <v/>
      </c>
      <c r="L2348">
        <f>IF(B2348="","",IFERROR(VALUE(TEXT(B2348,"[$-1170401]yyyy")),""))</f>
        <v/>
      </c>
      <c r="M2348">
        <f>IF(B2348="","",IFERROR(VALUE(TEXT(B2348,"[$-1170401]mm")),""))</f>
        <v/>
      </c>
    </row>
    <row r="2349">
      <c r="B2349" s="30" t="n"/>
      <c r="G2349" s="9">
        <f>IF(AND(E2349&lt;&gt;"",E2349&lt;&gt;0,H2349&lt;&gt;""),H2349/E2349,"")</f>
        <v/>
      </c>
      <c r="L2349">
        <f>IF(B2349="","",IFERROR(VALUE(TEXT(B2349,"[$-1170401]yyyy")),""))</f>
        <v/>
      </c>
      <c r="M2349">
        <f>IF(B2349="","",IFERROR(VALUE(TEXT(B2349,"[$-1170401]mm")),""))</f>
        <v/>
      </c>
    </row>
    <row r="2350">
      <c r="B2350" s="30" t="n"/>
      <c r="G2350" s="9">
        <f>IF(AND(E2350&lt;&gt;"",E2350&lt;&gt;0,H2350&lt;&gt;""),H2350/E2350,"")</f>
        <v/>
      </c>
      <c r="L2350">
        <f>IF(B2350="","",IFERROR(VALUE(TEXT(B2350,"[$-1170401]yyyy")),""))</f>
        <v/>
      </c>
      <c r="M2350">
        <f>IF(B2350="","",IFERROR(VALUE(TEXT(B2350,"[$-1170401]mm")),""))</f>
        <v/>
      </c>
    </row>
    <row r="2351">
      <c r="B2351" s="30" t="n"/>
      <c r="G2351" s="9">
        <f>IF(AND(E2351&lt;&gt;"",E2351&lt;&gt;0,H2351&lt;&gt;""),H2351/E2351,"")</f>
        <v/>
      </c>
      <c r="L2351">
        <f>IF(B2351="","",IFERROR(VALUE(TEXT(B2351,"[$-1170401]yyyy")),""))</f>
        <v/>
      </c>
      <c r="M2351">
        <f>IF(B2351="","",IFERROR(VALUE(TEXT(B2351,"[$-1170401]mm")),""))</f>
        <v/>
      </c>
    </row>
    <row r="2352">
      <c r="B2352" s="30" t="n"/>
      <c r="G2352" s="9">
        <f>IF(AND(E2352&lt;&gt;"",E2352&lt;&gt;0,H2352&lt;&gt;""),H2352/E2352,"")</f>
        <v/>
      </c>
      <c r="L2352">
        <f>IF(B2352="","",IFERROR(VALUE(TEXT(B2352,"[$-1170401]yyyy")),""))</f>
        <v/>
      </c>
      <c r="M2352">
        <f>IF(B2352="","",IFERROR(VALUE(TEXT(B2352,"[$-1170401]mm")),""))</f>
        <v/>
      </c>
    </row>
    <row r="2353">
      <c r="B2353" s="30" t="n"/>
      <c r="G2353" s="9">
        <f>IF(AND(E2353&lt;&gt;"",E2353&lt;&gt;0,H2353&lt;&gt;""),H2353/E2353,"")</f>
        <v/>
      </c>
      <c r="L2353">
        <f>IF(B2353="","",IFERROR(VALUE(TEXT(B2353,"[$-1170401]yyyy")),""))</f>
        <v/>
      </c>
      <c r="M2353">
        <f>IF(B2353="","",IFERROR(VALUE(TEXT(B2353,"[$-1170401]mm")),""))</f>
        <v/>
      </c>
    </row>
    <row r="2354">
      <c r="B2354" s="30" t="n"/>
      <c r="G2354" s="9">
        <f>IF(AND(E2354&lt;&gt;"",E2354&lt;&gt;0,H2354&lt;&gt;""),H2354/E2354,"")</f>
        <v/>
      </c>
      <c r="L2354">
        <f>IF(B2354="","",IFERROR(VALUE(TEXT(B2354,"[$-1170401]yyyy")),""))</f>
        <v/>
      </c>
      <c r="M2354">
        <f>IF(B2354="","",IFERROR(VALUE(TEXT(B2354,"[$-1170401]mm")),""))</f>
        <v/>
      </c>
    </row>
    <row r="2355">
      <c r="B2355" s="30" t="n"/>
      <c r="G2355" s="9">
        <f>IF(AND(E2355&lt;&gt;"",E2355&lt;&gt;0,H2355&lt;&gt;""),H2355/E2355,"")</f>
        <v/>
      </c>
      <c r="L2355">
        <f>IF(B2355="","",IFERROR(VALUE(TEXT(B2355,"[$-1170401]yyyy")),""))</f>
        <v/>
      </c>
      <c r="M2355">
        <f>IF(B2355="","",IFERROR(VALUE(TEXT(B2355,"[$-1170401]mm")),""))</f>
        <v/>
      </c>
    </row>
    <row r="2356">
      <c r="B2356" s="30" t="n"/>
      <c r="G2356" s="9">
        <f>IF(AND(E2356&lt;&gt;"",E2356&lt;&gt;0,H2356&lt;&gt;""),H2356/E2356,"")</f>
        <v/>
      </c>
      <c r="L2356">
        <f>IF(B2356="","",IFERROR(VALUE(TEXT(B2356,"[$-1170401]yyyy")),""))</f>
        <v/>
      </c>
      <c r="M2356">
        <f>IF(B2356="","",IFERROR(VALUE(TEXT(B2356,"[$-1170401]mm")),""))</f>
        <v/>
      </c>
    </row>
    <row r="2357">
      <c r="B2357" s="30" t="n"/>
      <c r="G2357" s="9">
        <f>IF(AND(E2357&lt;&gt;"",E2357&lt;&gt;0,H2357&lt;&gt;""),H2357/E2357,"")</f>
        <v/>
      </c>
      <c r="L2357">
        <f>IF(B2357="","",IFERROR(VALUE(TEXT(B2357,"[$-1170401]yyyy")),""))</f>
        <v/>
      </c>
      <c r="M2357">
        <f>IF(B2357="","",IFERROR(VALUE(TEXT(B2357,"[$-1170401]mm")),""))</f>
        <v/>
      </c>
    </row>
    <row r="2358">
      <c r="B2358" s="30" t="n"/>
      <c r="G2358" s="9">
        <f>IF(AND(E2358&lt;&gt;"",E2358&lt;&gt;0,H2358&lt;&gt;""),H2358/E2358,"")</f>
        <v/>
      </c>
      <c r="L2358">
        <f>IF(B2358="","",IFERROR(VALUE(TEXT(B2358,"[$-1170401]yyyy")),""))</f>
        <v/>
      </c>
      <c r="M2358">
        <f>IF(B2358="","",IFERROR(VALUE(TEXT(B2358,"[$-1170401]mm")),""))</f>
        <v/>
      </c>
    </row>
    <row r="2359">
      <c r="B2359" s="30" t="n"/>
      <c r="G2359" s="9">
        <f>IF(AND(E2359&lt;&gt;"",E2359&lt;&gt;0,H2359&lt;&gt;""),H2359/E2359,"")</f>
        <v/>
      </c>
      <c r="L2359">
        <f>IF(B2359="","",IFERROR(VALUE(TEXT(B2359,"[$-1170401]yyyy")),""))</f>
        <v/>
      </c>
      <c r="M2359">
        <f>IF(B2359="","",IFERROR(VALUE(TEXT(B2359,"[$-1170401]mm")),""))</f>
        <v/>
      </c>
    </row>
    <row r="2360">
      <c r="B2360" s="30" t="n"/>
      <c r="G2360" s="9">
        <f>IF(AND(E2360&lt;&gt;"",E2360&lt;&gt;0,H2360&lt;&gt;""),H2360/E2360,"")</f>
        <v/>
      </c>
      <c r="L2360">
        <f>IF(B2360="","",IFERROR(VALUE(TEXT(B2360,"[$-1170401]yyyy")),""))</f>
        <v/>
      </c>
      <c r="M2360">
        <f>IF(B2360="","",IFERROR(VALUE(TEXT(B2360,"[$-1170401]mm")),""))</f>
        <v/>
      </c>
    </row>
    <row r="2361">
      <c r="B2361" s="30" t="n"/>
      <c r="G2361" s="9">
        <f>IF(AND(E2361&lt;&gt;"",E2361&lt;&gt;0,H2361&lt;&gt;""),H2361/E2361,"")</f>
        <v/>
      </c>
      <c r="L2361">
        <f>IF(B2361="","",IFERROR(VALUE(TEXT(B2361,"[$-1170401]yyyy")),""))</f>
        <v/>
      </c>
      <c r="M2361">
        <f>IF(B2361="","",IFERROR(VALUE(TEXT(B2361,"[$-1170401]mm")),""))</f>
        <v/>
      </c>
    </row>
    <row r="2362">
      <c r="B2362" s="30" t="n"/>
      <c r="G2362" s="9">
        <f>IF(AND(E2362&lt;&gt;"",E2362&lt;&gt;0,H2362&lt;&gt;""),H2362/E2362,"")</f>
        <v/>
      </c>
      <c r="L2362">
        <f>IF(B2362="","",IFERROR(VALUE(TEXT(B2362,"[$-1170401]yyyy")),""))</f>
        <v/>
      </c>
      <c r="M2362">
        <f>IF(B2362="","",IFERROR(VALUE(TEXT(B2362,"[$-1170401]mm")),""))</f>
        <v/>
      </c>
    </row>
    <row r="2363">
      <c r="B2363" s="30" t="n"/>
      <c r="G2363" s="9">
        <f>IF(AND(E2363&lt;&gt;"",E2363&lt;&gt;0,H2363&lt;&gt;""),H2363/E2363,"")</f>
        <v/>
      </c>
      <c r="L2363">
        <f>IF(B2363="","",IFERROR(VALUE(TEXT(B2363,"[$-1170401]yyyy")),""))</f>
        <v/>
      </c>
      <c r="M2363">
        <f>IF(B2363="","",IFERROR(VALUE(TEXT(B2363,"[$-1170401]mm")),""))</f>
        <v/>
      </c>
    </row>
    <row r="2364">
      <c r="B2364" s="30" t="n"/>
      <c r="G2364" s="9">
        <f>IF(AND(E2364&lt;&gt;"",E2364&lt;&gt;0,H2364&lt;&gt;""),H2364/E2364,"")</f>
        <v/>
      </c>
      <c r="L2364">
        <f>IF(B2364="","",IFERROR(VALUE(TEXT(B2364,"[$-1170401]yyyy")),""))</f>
        <v/>
      </c>
      <c r="M2364">
        <f>IF(B2364="","",IFERROR(VALUE(TEXT(B2364,"[$-1170401]mm")),""))</f>
        <v/>
      </c>
    </row>
    <row r="2365">
      <c r="B2365" s="30" t="n"/>
      <c r="G2365" s="9">
        <f>IF(AND(E2365&lt;&gt;"",E2365&lt;&gt;0,H2365&lt;&gt;""),H2365/E2365,"")</f>
        <v/>
      </c>
      <c r="L2365">
        <f>IF(B2365="","",IFERROR(VALUE(TEXT(B2365,"[$-1170401]yyyy")),""))</f>
        <v/>
      </c>
      <c r="M2365">
        <f>IF(B2365="","",IFERROR(VALUE(TEXT(B2365,"[$-1170401]mm")),""))</f>
        <v/>
      </c>
    </row>
    <row r="2366">
      <c r="B2366" s="30" t="n"/>
      <c r="G2366" s="9">
        <f>IF(AND(E2366&lt;&gt;"",E2366&lt;&gt;0,H2366&lt;&gt;""),H2366/E2366,"")</f>
        <v/>
      </c>
      <c r="L2366">
        <f>IF(B2366="","",IFERROR(VALUE(TEXT(B2366,"[$-1170401]yyyy")),""))</f>
        <v/>
      </c>
      <c r="M2366">
        <f>IF(B2366="","",IFERROR(VALUE(TEXT(B2366,"[$-1170401]mm")),""))</f>
        <v/>
      </c>
    </row>
    <row r="2367">
      <c r="B2367" s="30" t="n"/>
      <c r="G2367" s="9">
        <f>IF(AND(E2367&lt;&gt;"",E2367&lt;&gt;0,H2367&lt;&gt;""),H2367/E2367,"")</f>
        <v/>
      </c>
      <c r="L2367">
        <f>IF(B2367="","",IFERROR(VALUE(TEXT(B2367,"[$-1170401]yyyy")),""))</f>
        <v/>
      </c>
      <c r="M2367">
        <f>IF(B2367="","",IFERROR(VALUE(TEXT(B2367,"[$-1170401]mm")),""))</f>
        <v/>
      </c>
    </row>
    <row r="2368">
      <c r="B2368" s="30" t="n"/>
      <c r="G2368" s="9">
        <f>IF(AND(E2368&lt;&gt;"",E2368&lt;&gt;0,H2368&lt;&gt;""),H2368/E2368,"")</f>
        <v/>
      </c>
      <c r="L2368">
        <f>IF(B2368="","",IFERROR(VALUE(TEXT(B2368,"[$-1170401]yyyy")),""))</f>
        <v/>
      </c>
      <c r="M2368">
        <f>IF(B2368="","",IFERROR(VALUE(TEXT(B2368,"[$-1170401]mm")),""))</f>
        <v/>
      </c>
    </row>
    <row r="2369">
      <c r="B2369" s="30" t="n"/>
      <c r="G2369" s="9">
        <f>IF(AND(E2369&lt;&gt;"",E2369&lt;&gt;0,H2369&lt;&gt;""),H2369/E2369,"")</f>
        <v/>
      </c>
      <c r="L2369">
        <f>IF(B2369="","",IFERROR(VALUE(TEXT(B2369,"[$-1170401]yyyy")),""))</f>
        <v/>
      </c>
      <c r="M2369">
        <f>IF(B2369="","",IFERROR(VALUE(TEXT(B2369,"[$-1170401]mm")),""))</f>
        <v/>
      </c>
    </row>
    <row r="2370">
      <c r="B2370" s="30" t="n"/>
      <c r="G2370" s="9">
        <f>IF(AND(E2370&lt;&gt;"",E2370&lt;&gt;0,H2370&lt;&gt;""),H2370/E2370,"")</f>
        <v/>
      </c>
      <c r="L2370">
        <f>IF(B2370="","",IFERROR(VALUE(TEXT(B2370,"[$-1170401]yyyy")),""))</f>
        <v/>
      </c>
      <c r="M2370">
        <f>IF(B2370="","",IFERROR(VALUE(TEXT(B2370,"[$-1170401]mm")),""))</f>
        <v/>
      </c>
    </row>
    <row r="2371">
      <c r="B2371" s="30" t="n"/>
      <c r="G2371" s="9">
        <f>IF(AND(E2371&lt;&gt;"",E2371&lt;&gt;0,H2371&lt;&gt;""),H2371/E2371,"")</f>
        <v/>
      </c>
      <c r="L2371">
        <f>IF(B2371="","",IFERROR(VALUE(TEXT(B2371,"[$-1170401]yyyy")),""))</f>
        <v/>
      </c>
      <c r="M2371">
        <f>IF(B2371="","",IFERROR(VALUE(TEXT(B2371,"[$-1170401]mm")),""))</f>
        <v/>
      </c>
    </row>
    <row r="2372">
      <c r="B2372" s="30" t="n"/>
      <c r="G2372" s="9">
        <f>IF(AND(E2372&lt;&gt;"",E2372&lt;&gt;0,H2372&lt;&gt;""),H2372/E2372,"")</f>
        <v/>
      </c>
      <c r="L2372">
        <f>IF(B2372="","",IFERROR(VALUE(TEXT(B2372,"[$-1170401]yyyy")),""))</f>
        <v/>
      </c>
      <c r="M2372">
        <f>IF(B2372="","",IFERROR(VALUE(TEXT(B2372,"[$-1170401]mm")),""))</f>
        <v/>
      </c>
    </row>
    <row r="2373">
      <c r="B2373" s="30" t="n"/>
      <c r="G2373" s="9">
        <f>IF(AND(E2373&lt;&gt;"",E2373&lt;&gt;0,H2373&lt;&gt;""),H2373/E2373,"")</f>
        <v/>
      </c>
      <c r="L2373">
        <f>IF(B2373="","",IFERROR(VALUE(TEXT(B2373,"[$-1170401]yyyy")),""))</f>
        <v/>
      </c>
      <c r="M2373">
        <f>IF(B2373="","",IFERROR(VALUE(TEXT(B2373,"[$-1170401]mm")),""))</f>
        <v/>
      </c>
    </row>
    <row r="2374">
      <c r="B2374" s="30" t="n"/>
      <c r="G2374" s="9">
        <f>IF(AND(E2374&lt;&gt;"",E2374&lt;&gt;0,H2374&lt;&gt;""),H2374/E2374,"")</f>
        <v/>
      </c>
      <c r="L2374">
        <f>IF(B2374="","",IFERROR(VALUE(TEXT(B2374,"[$-1170401]yyyy")),""))</f>
        <v/>
      </c>
      <c r="M2374">
        <f>IF(B2374="","",IFERROR(VALUE(TEXT(B2374,"[$-1170401]mm")),""))</f>
        <v/>
      </c>
    </row>
    <row r="2375">
      <c r="B2375" s="30" t="n"/>
      <c r="G2375" s="9">
        <f>IF(AND(E2375&lt;&gt;"",E2375&lt;&gt;0,H2375&lt;&gt;""),H2375/E2375,"")</f>
        <v/>
      </c>
      <c r="L2375">
        <f>IF(B2375="","",IFERROR(VALUE(TEXT(B2375,"[$-1170401]yyyy")),""))</f>
        <v/>
      </c>
      <c r="M2375">
        <f>IF(B2375="","",IFERROR(VALUE(TEXT(B2375,"[$-1170401]mm")),""))</f>
        <v/>
      </c>
    </row>
    <row r="2376">
      <c r="B2376" s="30" t="n"/>
      <c r="G2376" s="9">
        <f>IF(AND(E2376&lt;&gt;"",E2376&lt;&gt;0,H2376&lt;&gt;""),H2376/E2376,"")</f>
        <v/>
      </c>
      <c r="L2376">
        <f>IF(B2376="","",IFERROR(VALUE(TEXT(B2376,"[$-1170401]yyyy")),""))</f>
        <v/>
      </c>
      <c r="M2376">
        <f>IF(B2376="","",IFERROR(VALUE(TEXT(B2376,"[$-1170401]mm")),""))</f>
        <v/>
      </c>
    </row>
    <row r="2377">
      <c r="B2377" s="30" t="n"/>
      <c r="G2377" s="9">
        <f>IF(AND(E2377&lt;&gt;"",E2377&lt;&gt;0,H2377&lt;&gt;""),H2377/E2377,"")</f>
        <v/>
      </c>
      <c r="L2377">
        <f>IF(B2377="","",IFERROR(VALUE(TEXT(B2377,"[$-1170401]yyyy")),""))</f>
        <v/>
      </c>
      <c r="M2377">
        <f>IF(B2377="","",IFERROR(VALUE(TEXT(B2377,"[$-1170401]mm")),""))</f>
        <v/>
      </c>
    </row>
    <row r="2378">
      <c r="B2378" s="30" t="n"/>
      <c r="G2378" s="9">
        <f>IF(AND(E2378&lt;&gt;"",E2378&lt;&gt;0,H2378&lt;&gt;""),H2378/E2378,"")</f>
        <v/>
      </c>
      <c r="L2378">
        <f>IF(B2378="","",IFERROR(VALUE(TEXT(B2378,"[$-1170401]yyyy")),""))</f>
        <v/>
      </c>
      <c r="M2378">
        <f>IF(B2378="","",IFERROR(VALUE(TEXT(B2378,"[$-1170401]mm")),""))</f>
        <v/>
      </c>
    </row>
    <row r="2379">
      <c r="B2379" s="30" t="n"/>
      <c r="G2379" s="9">
        <f>IF(AND(E2379&lt;&gt;"",E2379&lt;&gt;0,H2379&lt;&gt;""),H2379/E2379,"")</f>
        <v/>
      </c>
      <c r="L2379">
        <f>IF(B2379="","",IFERROR(VALUE(TEXT(B2379,"[$-1170401]yyyy")),""))</f>
        <v/>
      </c>
      <c r="M2379">
        <f>IF(B2379="","",IFERROR(VALUE(TEXT(B2379,"[$-1170401]mm")),""))</f>
        <v/>
      </c>
    </row>
    <row r="2380">
      <c r="B2380" s="30" t="n"/>
      <c r="G2380" s="9">
        <f>IF(AND(E2380&lt;&gt;"",E2380&lt;&gt;0,H2380&lt;&gt;""),H2380/E2380,"")</f>
        <v/>
      </c>
      <c r="L2380">
        <f>IF(B2380="","",IFERROR(VALUE(TEXT(B2380,"[$-1170401]yyyy")),""))</f>
        <v/>
      </c>
      <c r="M2380">
        <f>IF(B2380="","",IFERROR(VALUE(TEXT(B2380,"[$-1170401]mm")),""))</f>
        <v/>
      </c>
    </row>
    <row r="2381">
      <c r="B2381" s="30" t="n"/>
      <c r="G2381" s="9">
        <f>IF(AND(E2381&lt;&gt;"",E2381&lt;&gt;0,H2381&lt;&gt;""),H2381/E2381,"")</f>
        <v/>
      </c>
      <c r="L2381">
        <f>IF(B2381="","",IFERROR(VALUE(TEXT(B2381,"[$-1170401]yyyy")),""))</f>
        <v/>
      </c>
      <c r="M2381">
        <f>IF(B2381="","",IFERROR(VALUE(TEXT(B2381,"[$-1170401]mm")),""))</f>
        <v/>
      </c>
    </row>
    <row r="2382">
      <c r="B2382" s="30" t="n"/>
      <c r="G2382" s="9">
        <f>IF(AND(E2382&lt;&gt;"",E2382&lt;&gt;0,H2382&lt;&gt;""),H2382/E2382,"")</f>
        <v/>
      </c>
      <c r="L2382">
        <f>IF(B2382="","",IFERROR(VALUE(TEXT(B2382,"[$-1170401]yyyy")),""))</f>
        <v/>
      </c>
      <c r="M2382">
        <f>IF(B2382="","",IFERROR(VALUE(TEXT(B2382,"[$-1170401]mm")),""))</f>
        <v/>
      </c>
    </row>
    <row r="2383">
      <c r="B2383" s="30" t="n"/>
      <c r="G2383" s="9">
        <f>IF(AND(E2383&lt;&gt;"",E2383&lt;&gt;0,H2383&lt;&gt;""),H2383/E2383,"")</f>
        <v/>
      </c>
      <c r="L2383">
        <f>IF(B2383="","",IFERROR(VALUE(TEXT(B2383,"[$-1170401]yyyy")),""))</f>
        <v/>
      </c>
      <c r="M2383">
        <f>IF(B2383="","",IFERROR(VALUE(TEXT(B2383,"[$-1170401]mm")),""))</f>
        <v/>
      </c>
    </row>
    <row r="2384">
      <c r="B2384" s="30" t="n"/>
      <c r="G2384" s="9">
        <f>IF(AND(E2384&lt;&gt;"",E2384&lt;&gt;0,H2384&lt;&gt;""),H2384/E2384,"")</f>
        <v/>
      </c>
      <c r="L2384">
        <f>IF(B2384="","",IFERROR(VALUE(TEXT(B2384,"[$-1170401]yyyy")),""))</f>
        <v/>
      </c>
      <c r="M2384">
        <f>IF(B2384="","",IFERROR(VALUE(TEXT(B2384,"[$-1170401]mm")),""))</f>
        <v/>
      </c>
    </row>
    <row r="2385">
      <c r="B2385" s="30" t="n"/>
      <c r="G2385" s="9">
        <f>IF(AND(E2385&lt;&gt;"",E2385&lt;&gt;0,H2385&lt;&gt;""),H2385/E2385,"")</f>
        <v/>
      </c>
      <c r="L2385">
        <f>IF(B2385="","",IFERROR(VALUE(TEXT(B2385,"[$-1170401]yyyy")),""))</f>
        <v/>
      </c>
      <c r="M2385">
        <f>IF(B2385="","",IFERROR(VALUE(TEXT(B2385,"[$-1170401]mm")),""))</f>
        <v/>
      </c>
    </row>
    <row r="2386">
      <c r="B2386" s="30" t="n"/>
      <c r="G2386" s="9">
        <f>IF(AND(E2386&lt;&gt;"",E2386&lt;&gt;0,H2386&lt;&gt;""),H2386/E2386,"")</f>
        <v/>
      </c>
      <c r="L2386">
        <f>IF(B2386="","",IFERROR(VALUE(TEXT(B2386,"[$-1170401]yyyy")),""))</f>
        <v/>
      </c>
      <c r="M2386">
        <f>IF(B2386="","",IFERROR(VALUE(TEXT(B2386,"[$-1170401]mm")),""))</f>
        <v/>
      </c>
    </row>
    <row r="2387">
      <c r="B2387" s="30" t="n"/>
      <c r="G2387" s="9">
        <f>IF(AND(E2387&lt;&gt;"",E2387&lt;&gt;0,H2387&lt;&gt;""),H2387/E2387,"")</f>
        <v/>
      </c>
      <c r="L2387">
        <f>IF(B2387="","",IFERROR(VALUE(TEXT(B2387,"[$-1170401]yyyy")),""))</f>
        <v/>
      </c>
      <c r="M2387">
        <f>IF(B2387="","",IFERROR(VALUE(TEXT(B2387,"[$-1170401]mm")),""))</f>
        <v/>
      </c>
    </row>
    <row r="2388">
      <c r="B2388" s="30" t="n"/>
      <c r="G2388" s="9">
        <f>IF(AND(E2388&lt;&gt;"",E2388&lt;&gt;0,H2388&lt;&gt;""),H2388/E2388,"")</f>
        <v/>
      </c>
      <c r="L2388">
        <f>IF(B2388="","",IFERROR(VALUE(TEXT(B2388,"[$-1170401]yyyy")),""))</f>
        <v/>
      </c>
      <c r="M2388">
        <f>IF(B2388="","",IFERROR(VALUE(TEXT(B2388,"[$-1170401]mm")),""))</f>
        <v/>
      </c>
    </row>
    <row r="2389">
      <c r="B2389" s="30" t="n"/>
      <c r="G2389" s="9">
        <f>IF(AND(E2389&lt;&gt;"",E2389&lt;&gt;0,H2389&lt;&gt;""),H2389/E2389,"")</f>
        <v/>
      </c>
      <c r="L2389">
        <f>IF(B2389="","",IFERROR(VALUE(TEXT(B2389,"[$-1170401]yyyy")),""))</f>
        <v/>
      </c>
      <c r="M2389">
        <f>IF(B2389="","",IFERROR(VALUE(TEXT(B2389,"[$-1170401]mm")),""))</f>
        <v/>
      </c>
    </row>
    <row r="2390">
      <c r="B2390" s="30" t="n"/>
      <c r="G2390" s="9">
        <f>IF(AND(E2390&lt;&gt;"",E2390&lt;&gt;0,H2390&lt;&gt;""),H2390/E2390,"")</f>
        <v/>
      </c>
      <c r="L2390">
        <f>IF(B2390="","",IFERROR(VALUE(TEXT(B2390,"[$-1170401]yyyy")),""))</f>
        <v/>
      </c>
      <c r="M2390">
        <f>IF(B2390="","",IFERROR(VALUE(TEXT(B2390,"[$-1170401]mm")),""))</f>
        <v/>
      </c>
    </row>
    <row r="2391">
      <c r="B2391" s="30" t="n"/>
      <c r="G2391" s="9">
        <f>IF(AND(E2391&lt;&gt;"",E2391&lt;&gt;0,H2391&lt;&gt;""),H2391/E2391,"")</f>
        <v/>
      </c>
      <c r="L2391">
        <f>IF(B2391="","",IFERROR(VALUE(TEXT(B2391,"[$-1170401]yyyy")),""))</f>
        <v/>
      </c>
      <c r="M2391">
        <f>IF(B2391="","",IFERROR(VALUE(TEXT(B2391,"[$-1170401]mm")),""))</f>
        <v/>
      </c>
    </row>
    <row r="2392">
      <c r="B2392" s="30" t="n"/>
      <c r="G2392" s="9">
        <f>IF(AND(E2392&lt;&gt;"",E2392&lt;&gt;0,H2392&lt;&gt;""),H2392/E2392,"")</f>
        <v/>
      </c>
      <c r="L2392">
        <f>IF(B2392="","",IFERROR(VALUE(TEXT(B2392,"[$-1170401]yyyy")),""))</f>
        <v/>
      </c>
      <c r="M2392">
        <f>IF(B2392="","",IFERROR(VALUE(TEXT(B2392,"[$-1170401]mm")),""))</f>
        <v/>
      </c>
    </row>
    <row r="2393">
      <c r="B2393" s="30" t="n"/>
      <c r="G2393" s="9">
        <f>IF(AND(E2393&lt;&gt;"",E2393&lt;&gt;0,H2393&lt;&gt;""),H2393/E2393,"")</f>
        <v/>
      </c>
      <c r="L2393">
        <f>IF(B2393="","",IFERROR(VALUE(TEXT(B2393,"[$-1170401]yyyy")),""))</f>
        <v/>
      </c>
      <c r="M2393">
        <f>IF(B2393="","",IFERROR(VALUE(TEXT(B2393,"[$-1170401]mm")),""))</f>
        <v/>
      </c>
    </row>
    <row r="2394">
      <c r="B2394" s="30" t="n"/>
      <c r="G2394" s="9">
        <f>IF(AND(E2394&lt;&gt;"",E2394&lt;&gt;0,H2394&lt;&gt;""),H2394/E2394,"")</f>
        <v/>
      </c>
      <c r="L2394">
        <f>IF(B2394="","",IFERROR(VALUE(TEXT(B2394,"[$-1170401]yyyy")),""))</f>
        <v/>
      </c>
      <c r="M2394">
        <f>IF(B2394="","",IFERROR(VALUE(TEXT(B2394,"[$-1170401]mm")),""))</f>
        <v/>
      </c>
    </row>
    <row r="2395">
      <c r="B2395" s="30" t="n"/>
      <c r="G2395" s="9">
        <f>IF(AND(E2395&lt;&gt;"",E2395&lt;&gt;0,H2395&lt;&gt;""),H2395/E2395,"")</f>
        <v/>
      </c>
      <c r="L2395">
        <f>IF(B2395="","",IFERROR(VALUE(TEXT(B2395,"[$-1170401]yyyy")),""))</f>
        <v/>
      </c>
      <c r="M2395">
        <f>IF(B2395="","",IFERROR(VALUE(TEXT(B2395,"[$-1170401]mm")),""))</f>
        <v/>
      </c>
    </row>
    <row r="2396">
      <c r="B2396" s="30" t="n"/>
      <c r="G2396" s="9">
        <f>IF(AND(E2396&lt;&gt;"",E2396&lt;&gt;0,H2396&lt;&gt;""),H2396/E2396,"")</f>
        <v/>
      </c>
      <c r="L2396">
        <f>IF(B2396="","",IFERROR(VALUE(TEXT(B2396,"[$-1170401]yyyy")),""))</f>
        <v/>
      </c>
      <c r="M2396">
        <f>IF(B2396="","",IFERROR(VALUE(TEXT(B2396,"[$-1170401]mm")),""))</f>
        <v/>
      </c>
    </row>
    <row r="2397">
      <c r="B2397" s="30" t="n"/>
      <c r="G2397" s="9">
        <f>IF(AND(E2397&lt;&gt;"",E2397&lt;&gt;0,H2397&lt;&gt;""),H2397/E2397,"")</f>
        <v/>
      </c>
      <c r="L2397">
        <f>IF(B2397="","",IFERROR(VALUE(TEXT(B2397,"[$-1170401]yyyy")),""))</f>
        <v/>
      </c>
      <c r="M2397">
        <f>IF(B2397="","",IFERROR(VALUE(TEXT(B2397,"[$-1170401]mm")),""))</f>
        <v/>
      </c>
    </row>
    <row r="2398">
      <c r="B2398" s="30" t="n"/>
      <c r="G2398" s="9">
        <f>IF(AND(E2398&lt;&gt;"",E2398&lt;&gt;0,H2398&lt;&gt;""),H2398/E2398,"")</f>
        <v/>
      </c>
      <c r="L2398">
        <f>IF(B2398="","",IFERROR(VALUE(TEXT(B2398,"[$-1170401]yyyy")),""))</f>
        <v/>
      </c>
      <c r="M2398">
        <f>IF(B2398="","",IFERROR(VALUE(TEXT(B2398,"[$-1170401]mm")),""))</f>
        <v/>
      </c>
    </row>
    <row r="2399">
      <c r="B2399" s="30" t="n"/>
      <c r="G2399" s="9">
        <f>IF(AND(E2399&lt;&gt;"",E2399&lt;&gt;0,H2399&lt;&gt;""),H2399/E2399,"")</f>
        <v/>
      </c>
      <c r="L2399">
        <f>IF(B2399="","",IFERROR(VALUE(TEXT(B2399,"[$-1170401]yyyy")),""))</f>
        <v/>
      </c>
      <c r="M2399">
        <f>IF(B2399="","",IFERROR(VALUE(TEXT(B2399,"[$-1170401]mm")),""))</f>
        <v/>
      </c>
    </row>
    <row r="2400">
      <c r="B2400" s="30" t="n"/>
      <c r="G2400" s="9">
        <f>IF(AND(E2400&lt;&gt;"",E2400&lt;&gt;0,H2400&lt;&gt;""),H2400/E2400,"")</f>
        <v/>
      </c>
      <c r="L2400">
        <f>IF(B2400="","",IFERROR(VALUE(TEXT(B2400,"[$-1170401]yyyy")),""))</f>
        <v/>
      </c>
      <c r="M2400">
        <f>IF(B2400="","",IFERROR(VALUE(TEXT(B2400,"[$-1170401]mm")),""))</f>
        <v/>
      </c>
    </row>
    <row r="2401">
      <c r="B2401" s="30" t="n"/>
      <c r="G2401" s="9">
        <f>IF(AND(E2401&lt;&gt;"",E2401&lt;&gt;0,H2401&lt;&gt;""),H2401/E2401,"")</f>
        <v/>
      </c>
      <c r="L2401">
        <f>IF(B2401="","",IFERROR(VALUE(TEXT(B2401,"[$-1170401]yyyy")),""))</f>
        <v/>
      </c>
      <c r="M2401">
        <f>IF(B2401="","",IFERROR(VALUE(TEXT(B2401,"[$-1170401]mm")),""))</f>
        <v/>
      </c>
    </row>
    <row r="2402">
      <c r="B2402" s="30" t="n"/>
      <c r="G2402" s="9">
        <f>IF(AND(E2402&lt;&gt;"",E2402&lt;&gt;0,H2402&lt;&gt;""),H2402/E2402,"")</f>
        <v/>
      </c>
      <c r="L2402">
        <f>IF(B2402="","",IFERROR(VALUE(TEXT(B2402,"[$-1170401]yyyy")),""))</f>
        <v/>
      </c>
      <c r="M2402">
        <f>IF(B2402="","",IFERROR(VALUE(TEXT(B2402,"[$-1170401]mm")),""))</f>
        <v/>
      </c>
    </row>
    <row r="2403">
      <c r="B2403" s="30" t="n"/>
      <c r="G2403" s="9">
        <f>IF(AND(E2403&lt;&gt;"",E2403&lt;&gt;0,H2403&lt;&gt;""),H2403/E2403,"")</f>
        <v/>
      </c>
      <c r="L2403">
        <f>IF(B2403="","",IFERROR(VALUE(TEXT(B2403,"[$-1170401]yyyy")),""))</f>
        <v/>
      </c>
      <c r="M2403">
        <f>IF(B2403="","",IFERROR(VALUE(TEXT(B2403,"[$-1170401]mm")),""))</f>
        <v/>
      </c>
    </row>
    <row r="2404">
      <c r="B2404" s="30" t="n"/>
      <c r="G2404" s="9">
        <f>IF(AND(E2404&lt;&gt;"",E2404&lt;&gt;0,H2404&lt;&gt;""),H2404/E2404,"")</f>
        <v/>
      </c>
      <c r="L2404">
        <f>IF(B2404="","",IFERROR(VALUE(TEXT(B2404,"[$-1170401]yyyy")),""))</f>
        <v/>
      </c>
      <c r="M2404">
        <f>IF(B2404="","",IFERROR(VALUE(TEXT(B2404,"[$-1170401]mm")),""))</f>
        <v/>
      </c>
    </row>
    <row r="2405">
      <c r="B2405" s="30" t="n"/>
      <c r="G2405" s="9">
        <f>IF(AND(E2405&lt;&gt;"",E2405&lt;&gt;0,H2405&lt;&gt;""),H2405/E2405,"")</f>
        <v/>
      </c>
      <c r="L2405">
        <f>IF(B2405="","",IFERROR(VALUE(TEXT(B2405,"[$-1170401]yyyy")),""))</f>
        <v/>
      </c>
      <c r="M2405">
        <f>IF(B2405="","",IFERROR(VALUE(TEXT(B2405,"[$-1170401]mm")),""))</f>
        <v/>
      </c>
    </row>
    <row r="2406">
      <c r="B2406" s="30" t="n"/>
      <c r="G2406" s="9">
        <f>IF(AND(E2406&lt;&gt;"",E2406&lt;&gt;0,H2406&lt;&gt;""),H2406/E2406,"")</f>
        <v/>
      </c>
      <c r="L2406">
        <f>IF(B2406="","",IFERROR(VALUE(TEXT(B2406,"[$-1170401]yyyy")),""))</f>
        <v/>
      </c>
      <c r="M2406">
        <f>IF(B2406="","",IFERROR(VALUE(TEXT(B2406,"[$-1170401]mm")),""))</f>
        <v/>
      </c>
    </row>
    <row r="2407">
      <c r="B2407" s="30" t="n"/>
      <c r="G2407" s="9">
        <f>IF(AND(E2407&lt;&gt;"",E2407&lt;&gt;0,H2407&lt;&gt;""),H2407/E2407,"")</f>
        <v/>
      </c>
      <c r="L2407">
        <f>IF(B2407="","",IFERROR(VALUE(TEXT(B2407,"[$-1170401]yyyy")),""))</f>
        <v/>
      </c>
      <c r="M2407">
        <f>IF(B2407="","",IFERROR(VALUE(TEXT(B2407,"[$-1170401]mm")),""))</f>
        <v/>
      </c>
    </row>
    <row r="2408">
      <c r="B2408" s="30" t="n"/>
      <c r="G2408" s="9">
        <f>IF(AND(E2408&lt;&gt;"",E2408&lt;&gt;0,H2408&lt;&gt;""),H2408/E2408,"")</f>
        <v/>
      </c>
      <c r="L2408">
        <f>IF(B2408="","",IFERROR(VALUE(TEXT(B2408,"[$-1170401]yyyy")),""))</f>
        <v/>
      </c>
      <c r="M2408">
        <f>IF(B2408="","",IFERROR(VALUE(TEXT(B2408,"[$-1170401]mm")),""))</f>
        <v/>
      </c>
    </row>
    <row r="2409">
      <c r="B2409" s="30" t="n"/>
      <c r="G2409" s="9">
        <f>IF(AND(E2409&lt;&gt;"",E2409&lt;&gt;0,H2409&lt;&gt;""),H2409/E2409,"")</f>
        <v/>
      </c>
      <c r="L2409">
        <f>IF(B2409="","",IFERROR(VALUE(TEXT(B2409,"[$-1170401]yyyy")),""))</f>
        <v/>
      </c>
      <c r="M2409">
        <f>IF(B2409="","",IFERROR(VALUE(TEXT(B2409,"[$-1170401]mm")),""))</f>
        <v/>
      </c>
    </row>
    <row r="2410">
      <c r="B2410" s="30" t="n"/>
      <c r="G2410" s="9">
        <f>IF(AND(E2410&lt;&gt;"",E2410&lt;&gt;0,H2410&lt;&gt;""),H2410/E2410,"")</f>
        <v/>
      </c>
      <c r="L2410">
        <f>IF(B2410="","",IFERROR(VALUE(TEXT(B2410,"[$-1170401]yyyy")),""))</f>
        <v/>
      </c>
      <c r="M2410">
        <f>IF(B2410="","",IFERROR(VALUE(TEXT(B2410,"[$-1170401]mm")),""))</f>
        <v/>
      </c>
    </row>
    <row r="2411">
      <c r="B2411" s="30" t="n"/>
      <c r="G2411" s="9">
        <f>IF(AND(E2411&lt;&gt;"",E2411&lt;&gt;0,H2411&lt;&gt;""),H2411/E2411,"")</f>
        <v/>
      </c>
      <c r="L2411">
        <f>IF(B2411="","",IFERROR(VALUE(TEXT(B2411,"[$-1170401]yyyy")),""))</f>
        <v/>
      </c>
      <c r="M2411">
        <f>IF(B2411="","",IFERROR(VALUE(TEXT(B2411,"[$-1170401]mm")),""))</f>
        <v/>
      </c>
    </row>
    <row r="2412">
      <c r="B2412" s="30" t="n"/>
      <c r="G2412" s="9">
        <f>IF(AND(E2412&lt;&gt;"",E2412&lt;&gt;0,H2412&lt;&gt;""),H2412/E2412,"")</f>
        <v/>
      </c>
      <c r="L2412">
        <f>IF(B2412="","",IFERROR(VALUE(TEXT(B2412,"[$-1170401]yyyy")),""))</f>
        <v/>
      </c>
      <c r="M2412">
        <f>IF(B2412="","",IFERROR(VALUE(TEXT(B2412,"[$-1170401]mm")),""))</f>
        <v/>
      </c>
    </row>
    <row r="2413">
      <c r="B2413" s="30" t="n"/>
      <c r="G2413" s="9">
        <f>IF(AND(E2413&lt;&gt;"",E2413&lt;&gt;0,H2413&lt;&gt;""),H2413/E2413,"")</f>
        <v/>
      </c>
      <c r="L2413">
        <f>IF(B2413="","",IFERROR(VALUE(TEXT(B2413,"[$-1170401]yyyy")),""))</f>
        <v/>
      </c>
      <c r="M2413">
        <f>IF(B2413="","",IFERROR(VALUE(TEXT(B2413,"[$-1170401]mm")),""))</f>
        <v/>
      </c>
    </row>
    <row r="2414">
      <c r="B2414" s="30" t="n"/>
      <c r="G2414" s="9">
        <f>IF(AND(E2414&lt;&gt;"",E2414&lt;&gt;0,H2414&lt;&gt;""),H2414/E2414,"")</f>
        <v/>
      </c>
      <c r="L2414">
        <f>IF(B2414="","",IFERROR(VALUE(TEXT(B2414,"[$-1170401]yyyy")),""))</f>
        <v/>
      </c>
      <c r="M2414">
        <f>IF(B2414="","",IFERROR(VALUE(TEXT(B2414,"[$-1170401]mm")),""))</f>
        <v/>
      </c>
    </row>
    <row r="2415">
      <c r="B2415" s="30" t="n"/>
      <c r="G2415" s="9">
        <f>IF(AND(E2415&lt;&gt;"",E2415&lt;&gt;0,H2415&lt;&gt;""),H2415/E2415,"")</f>
        <v/>
      </c>
      <c r="L2415">
        <f>IF(B2415="","",IFERROR(VALUE(TEXT(B2415,"[$-1170401]yyyy")),""))</f>
        <v/>
      </c>
      <c r="M2415">
        <f>IF(B2415="","",IFERROR(VALUE(TEXT(B2415,"[$-1170401]mm")),""))</f>
        <v/>
      </c>
    </row>
    <row r="2416">
      <c r="B2416" s="30" t="n"/>
      <c r="G2416" s="9">
        <f>IF(AND(E2416&lt;&gt;"",E2416&lt;&gt;0,H2416&lt;&gt;""),H2416/E2416,"")</f>
        <v/>
      </c>
      <c r="L2416">
        <f>IF(B2416="","",IFERROR(VALUE(TEXT(B2416,"[$-1170401]yyyy")),""))</f>
        <v/>
      </c>
      <c r="M2416">
        <f>IF(B2416="","",IFERROR(VALUE(TEXT(B2416,"[$-1170401]mm")),""))</f>
        <v/>
      </c>
    </row>
    <row r="2417">
      <c r="B2417" s="30" t="n"/>
      <c r="G2417" s="9">
        <f>IF(AND(E2417&lt;&gt;"",E2417&lt;&gt;0,H2417&lt;&gt;""),H2417/E2417,"")</f>
        <v/>
      </c>
      <c r="L2417">
        <f>IF(B2417="","",IFERROR(VALUE(TEXT(B2417,"[$-1170401]yyyy")),""))</f>
        <v/>
      </c>
      <c r="M2417">
        <f>IF(B2417="","",IFERROR(VALUE(TEXT(B2417,"[$-1170401]mm")),""))</f>
        <v/>
      </c>
    </row>
    <row r="2418">
      <c r="B2418" s="30" t="n"/>
      <c r="G2418" s="9">
        <f>IF(AND(E2418&lt;&gt;"",E2418&lt;&gt;0,H2418&lt;&gt;""),H2418/E2418,"")</f>
        <v/>
      </c>
      <c r="L2418">
        <f>IF(B2418="","",IFERROR(VALUE(TEXT(B2418,"[$-1170401]yyyy")),""))</f>
        <v/>
      </c>
      <c r="M2418">
        <f>IF(B2418="","",IFERROR(VALUE(TEXT(B2418,"[$-1170401]mm")),""))</f>
        <v/>
      </c>
    </row>
    <row r="2419">
      <c r="B2419" s="30" t="n"/>
      <c r="G2419" s="9">
        <f>IF(AND(E2419&lt;&gt;"",E2419&lt;&gt;0,H2419&lt;&gt;""),H2419/E2419,"")</f>
        <v/>
      </c>
      <c r="L2419">
        <f>IF(B2419="","",IFERROR(VALUE(TEXT(B2419,"[$-1170401]yyyy")),""))</f>
        <v/>
      </c>
      <c r="M2419">
        <f>IF(B2419="","",IFERROR(VALUE(TEXT(B2419,"[$-1170401]mm")),""))</f>
        <v/>
      </c>
    </row>
    <row r="2420">
      <c r="B2420" s="30" t="n"/>
      <c r="G2420" s="9">
        <f>IF(AND(E2420&lt;&gt;"",E2420&lt;&gt;0,H2420&lt;&gt;""),H2420/E2420,"")</f>
        <v/>
      </c>
      <c r="L2420">
        <f>IF(B2420="","",IFERROR(VALUE(TEXT(B2420,"[$-1170401]yyyy")),""))</f>
        <v/>
      </c>
      <c r="M2420">
        <f>IF(B2420="","",IFERROR(VALUE(TEXT(B2420,"[$-1170401]mm")),""))</f>
        <v/>
      </c>
    </row>
    <row r="2421">
      <c r="B2421" s="30" t="n"/>
      <c r="G2421" s="9">
        <f>IF(AND(E2421&lt;&gt;"",E2421&lt;&gt;0,H2421&lt;&gt;""),H2421/E2421,"")</f>
        <v/>
      </c>
      <c r="L2421">
        <f>IF(B2421="","",IFERROR(VALUE(TEXT(B2421,"[$-1170401]yyyy")),""))</f>
        <v/>
      </c>
      <c r="M2421">
        <f>IF(B2421="","",IFERROR(VALUE(TEXT(B2421,"[$-1170401]mm")),""))</f>
        <v/>
      </c>
    </row>
    <row r="2422">
      <c r="B2422" s="30" t="n"/>
      <c r="G2422" s="9">
        <f>IF(AND(E2422&lt;&gt;"",E2422&lt;&gt;0,H2422&lt;&gt;""),H2422/E2422,"")</f>
        <v/>
      </c>
      <c r="L2422">
        <f>IF(B2422="","",IFERROR(VALUE(TEXT(B2422,"[$-1170401]yyyy")),""))</f>
        <v/>
      </c>
      <c r="M2422">
        <f>IF(B2422="","",IFERROR(VALUE(TEXT(B2422,"[$-1170401]mm")),""))</f>
        <v/>
      </c>
    </row>
    <row r="2423">
      <c r="B2423" s="30" t="n"/>
      <c r="G2423" s="9">
        <f>IF(AND(E2423&lt;&gt;"",E2423&lt;&gt;0,H2423&lt;&gt;""),H2423/E2423,"")</f>
        <v/>
      </c>
      <c r="L2423">
        <f>IF(B2423="","",IFERROR(VALUE(TEXT(B2423,"[$-1170401]yyyy")),""))</f>
        <v/>
      </c>
      <c r="M2423">
        <f>IF(B2423="","",IFERROR(VALUE(TEXT(B2423,"[$-1170401]mm")),""))</f>
        <v/>
      </c>
    </row>
    <row r="2424">
      <c r="B2424" s="30" t="n"/>
      <c r="G2424" s="9">
        <f>IF(AND(E2424&lt;&gt;"",E2424&lt;&gt;0,H2424&lt;&gt;""),H2424/E2424,"")</f>
        <v/>
      </c>
      <c r="L2424">
        <f>IF(B2424="","",IFERROR(VALUE(TEXT(B2424,"[$-1170401]yyyy")),""))</f>
        <v/>
      </c>
      <c r="M2424">
        <f>IF(B2424="","",IFERROR(VALUE(TEXT(B2424,"[$-1170401]mm")),""))</f>
        <v/>
      </c>
    </row>
    <row r="2425">
      <c r="B2425" s="30" t="n"/>
      <c r="G2425" s="9">
        <f>IF(AND(E2425&lt;&gt;"",E2425&lt;&gt;0,H2425&lt;&gt;""),H2425/E2425,"")</f>
        <v/>
      </c>
      <c r="L2425">
        <f>IF(B2425="","",IFERROR(VALUE(TEXT(B2425,"[$-1170401]yyyy")),""))</f>
        <v/>
      </c>
      <c r="M2425">
        <f>IF(B2425="","",IFERROR(VALUE(TEXT(B2425,"[$-1170401]mm")),""))</f>
        <v/>
      </c>
    </row>
    <row r="2426">
      <c r="B2426" s="30" t="n"/>
      <c r="G2426" s="9">
        <f>IF(AND(E2426&lt;&gt;"",E2426&lt;&gt;0,H2426&lt;&gt;""),H2426/E2426,"")</f>
        <v/>
      </c>
      <c r="L2426">
        <f>IF(B2426="","",IFERROR(VALUE(TEXT(B2426,"[$-1170401]yyyy")),""))</f>
        <v/>
      </c>
      <c r="M2426">
        <f>IF(B2426="","",IFERROR(VALUE(TEXT(B2426,"[$-1170401]mm")),""))</f>
        <v/>
      </c>
    </row>
    <row r="2427">
      <c r="B2427" s="30" t="n"/>
      <c r="G2427" s="9">
        <f>IF(AND(E2427&lt;&gt;"",E2427&lt;&gt;0,H2427&lt;&gt;""),H2427/E2427,"")</f>
        <v/>
      </c>
      <c r="L2427">
        <f>IF(B2427="","",IFERROR(VALUE(TEXT(B2427,"[$-1170401]yyyy")),""))</f>
        <v/>
      </c>
      <c r="M2427">
        <f>IF(B2427="","",IFERROR(VALUE(TEXT(B2427,"[$-1170401]mm")),""))</f>
        <v/>
      </c>
    </row>
    <row r="2428">
      <c r="B2428" s="30" t="n"/>
      <c r="G2428" s="9">
        <f>IF(AND(E2428&lt;&gt;"",E2428&lt;&gt;0,H2428&lt;&gt;""),H2428/E2428,"")</f>
        <v/>
      </c>
      <c r="L2428">
        <f>IF(B2428="","",IFERROR(VALUE(TEXT(B2428,"[$-1170401]yyyy")),""))</f>
        <v/>
      </c>
      <c r="M2428">
        <f>IF(B2428="","",IFERROR(VALUE(TEXT(B2428,"[$-1170401]mm")),""))</f>
        <v/>
      </c>
    </row>
    <row r="2429">
      <c r="B2429" s="30" t="n"/>
      <c r="G2429" s="9">
        <f>IF(AND(E2429&lt;&gt;"",E2429&lt;&gt;0,H2429&lt;&gt;""),H2429/E2429,"")</f>
        <v/>
      </c>
      <c r="L2429">
        <f>IF(B2429="","",IFERROR(VALUE(TEXT(B2429,"[$-1170401]yyyy")),""))</f>
        <v/>
      </c>
      <c r="M2429">
        <f>IF(B2429="","",IFERROR(VALUE(TEXT(B2429,"[$-1170401]mm")),""))</f>
        <v/>
      </c>
    </row>
    <row r="2430">
      <c r="B2430" s="30" t="n"/>
      <c r="G2430" s="9">
        <f>IF(AND(E2430&lt;&gt;"",E2430&lt;&gt;0,H2430&lt;&gt;""),H2430/E2430,"")</f>
        <v/>
      </c>
      <c r="L2430">
        <f>IF(B2430="","",IFERROR(VALUE(TEXT(B2430,"[$-1170401]yyyy")),""))</f>
        <v/>
      </c>
      <c r="M2430">
        <f>IF(B2430="","",IFERROR(VALUE(TEXT(B2430,"[$-1170401]mm")),""))</f>
        <v/>
      </c>
    </row>
    <row r="2431">
      <c r="B2431" s="30" t="n"/>
      <c r="G2431" s="9">
        <f>IF(AND(E2431&lt;&gt;"",E2431&lt;&gt;0,H2431&lt;&gt;""),H2431/E2431,"")</f>
        <v/>
      </c>
      <c r="L2431">
        <f>IF(B2431="","",IFERROR(VALUE(TEXT(B2431,"[$-1170401]yyyy")),""))</f>
        <v/>
      </c>
      <c r="M2431">
        <f>IF(B2431="","",IFERROR(VALUE(TEXT(B2431,"[$-1170401]mm")),""))</f>
        <v/>
      </c>
    </row>
    <row r="2432">
      <c r="B2432" s="30" t="n"/>
      <c r="G2432" s="9">
        <f>IF(AND(E2432&lt;&gt;"",E2432&lt;&gt;0,H2432&lt;&gt;""),H2432/E2432,"")</f>
        <v/>
      </c>
      <c r="L2432">
        <f>IF(B2432="","",IFERROR(VALUE(TEXT(B2432,"[$-1170401]yyyy")),""))</f>
        <v/>
      </c>
      <c r="M2432">
        <f>IF(B2432="","",IFERROR(VALUE(TEXT(B2432,"[$-1170401]mm")),""))</f>
        <v/>
      </c>
    </row>
    <row r="2433">
      <c r="B2433" s="30" t="n"/>
      <c r="G2433" s="9">
        <f>IF(AND(E2433&lt;&gt;"",E2433&lt;&gt;0,H2433&lt;&gt;""),H2433/E2433,"")</f>
        <v/>
      </c>
      <c r="L2433">
        <f>IF(B2433="","",IFERROR(VALUE(TEXT(B2433,"[$-1170401]yyyy")),""))</f>
        <v/>
      </c>
      <c r="M2433">
        <f>IF(B2433="","",IFERROR(VALUE(TEXT(B2433,"[$-1170401]mm")),""))</f>
        <v/>
      </c>
    </row>
    <row r="2434">
      <c r="B2434" s="30" t="n"/>
      <c r="G2434" s="9">
        <f>IF(AND(E2434&lt;&gt;"",E2434&lt;&gt;0,H2434&lt;&gt;""),H2434/E2434,"")</f>
        <v/>
      </c>
      <c r="L2434">
        <f>IF(B2434="","",IFERROR(VALUE(TEXT(B2434,"[$-1170401]yyyy")),""))</f>
        <v/>
      </c>
      <c r="M2434">
        <f>IF(B2434="","",IFERROR(VALUE(TEXT(B2434,"[$-1170401]mm")),""))</f>
        <v/>
      </c>
    </row>
    <row r="2435">
      <c r="B2435" s="30" t="n"/>
      <c r="G2435" s="9">
        <f>IF(AND(E2435&lt;&gt;"",E2435&lt;&gt;0,H2435&lt;&gt;""),H2435/E2435,"")</f>
        <v/>
      </c>
      <c r="L2435">
        <f>IF(B2435="","",IFERROR(VALUE(TEXT(B2435,"[$-1170401]yyyy")),""))</f>
        <v/>
      </c>
      <c r="M2435">
        <f>IF(B2435="","",IFERROR(VALUE(TEXT(B2435,"[$-1170401]mm")),""))</f>
        <v/>
      </c>
    </row>
    <row r="2436">
      <c r="B2436" s="30" t="n"/>
      <c r="G2436" s="9">
        <f>IF(AND(E2436&lt;&gt;"",E2436&lt;&gt;0,H2436&lt;&gt;""),H2436/E2436,"")</f>
        <v/>
      </c>
      <c r="L2436">
        <f>IF(B2436="","",IFERROR(VALUE(TEXT(B2436,"[$-1170401]yyyy")),""))</f>
        <v/>
      </c>
      <c r="M2436">
        <f>IF(B2436="","",IFERROR(VALUE(TEXT(B2436,"[$-1170401]mm")),""))</f>
        <v/>
      </c>
    </row>
    <row r="2437">
      <c r="B2437" s="30" t="n"/>
      <c r="G2437" s="9">
        <f>IF(AND(E2437&lt;&gt;"",E2437&lt;&gt;0,H2437&lt;&gt;""),H2437/E2437,"")</f>
        <v/>
      </c>
      <c r="L2437">
        <f>IF(B2437="","",IFERROR(VALUE(TEXT(B2437,"[$-1170401]yyyy")),""))</f>
        <v/>
      </c>
      <c r="M2437">
        <f>IF(B2437="","",IFERROR(VALUE(TEXT(B2437,"[$-1170401]mm")),""))</f>
        <v/>
      </c>
    </row>
    <row r="2438">
      <c r="B2438" s="30" t="n"/>
      <c r="G2438" s="9">
        <f>IF(AND(E2438&lt;&gt;"",E2438&lt;&gt;0,H2438&lt;&gt;""),H2438/E2438,"")</f>
        <v/>
      </c>
      <c r="L2438">
        <f>IF(B2438="","",IFERROR(VALUE(TEXT(B2438,"[$-1170401]yyyy")),""))</f>
        <v/>
      </c>
      <c r="M2438">
        <f>IF(B2438="","",IFERROR(VALUE(TEXT(B2438,"[$-1170401]mm")),""))</f>
        <v/>
      </c>
    </row>
    <row r="2439">
      <c r="B2439" s="30" t="n"/>
      <c r="G2439" s="9">
        <f>IF(AND(E2439&lt;&gt;"",E2439&lt;&gt;0,H2439&lt;&gt;""),H2439/E2439,"")</f>
        <v/>
      </c>
      <c r="L2439">
        <f>IF(B2439="","",IFERROR(VALUE(TEXT(B2439,"[$-1170401]yyyy")),""))</f>
        <v/>
      </c>
      <c r="M2439">
        <f>IF(B2439="","",IFERROR(VALUE(TEXT(B2439,"[$-1170401]mm")),""))</f>
        <v/>
      </c>
    </row>
    <row r="2440">
      <c r="B2440" s="30" t="n"/>
      <c r="G2440" s="9">
        <f>IF(AND(E2440&lt;&gt;"",E2440&lt;&gt;0,H2440&lt;&gt;""),H2440/E2440,"")</f>
        <v/>
      </c>
      <c r="L2440">
        <f>IF(B2440="","",IFERROR(VALUE(TEXT(B2440,"[$-1170401]yyyy")),""))</f>
        <v/>
      </c>
      <c r="M2440">
        <f>IF(B2440="","",IFERROR(VALUE(TEXT(B2440,"[$-1170401]mm")),""))</f>
        <v/>
      </c>
    </row>
    <row r="2441">
      <c r="B2441" s="30" t="n"/>
      <c r="G2441" s="9">
        <f>IF(AND(E2441&lt;&gt;"",E2441&lt;&gt;0,H2441&lt;&gt;""),H2441/E2441,"")</f>
        <v/>
      </c>
      <c r="L2441">
        <f>IF(B2441="","",IFERROR(VALUE(TEXT(B2441,"[$-1170401]yyyy")),""))</f>
        <v/>
      </c>
      <c r="M2441">
        <f>IF(B2441="","",IFERROR(VALUE(TEXT(B2441,"[$-1170401]mm")),""))</f>
        <v/>
      </c>
    </row>
    <row r="2442">
      <c r="B2442" s="30" t="n"/>
      <c r="G2442" s="9">
        <f>IF(AND(E2442&lt;&gt;"",E2442&lt;&gt;0,H2442&lt;&gt;""),H2442/E2442,"")</f>
        <v/>
      </c>
      <c r="L2442">
        <f>IF(B2442="","",IFERROR(VALUE(TEXT(B2442,"[$-1170401]yyyy")),""))</f>
        <v/>
      </c>
      <c r="M2442">
        <f>IF(B2442="","",IFERROR(VALUE(TEXT(B2442,"[$-1170401]mm")),""))</f>
        <v/>
      </c>
    </row>
    <row r="2443">
      <c r="B2443" s="30" t="n"/>
      <c r="G2443" s="9">
        <f>IF(AND(E2443&lt;&gt;"",E2443&lt;&gt;0,H2443&lt;&gt;""),H2443/E2443,"")</f>
        <v/>
      </c>
      <c r="L2443">
        <f>IF(B2443="","",IFERROR(VALUE(TEXT(B2443,"[$-1170401]yyyy")),""))</f>
        <v/>
      </c>
      <c r="M2443">
        <f>IF(B2443="","",IFERROR(VALUE(TEXT(B2443,"[$-1170401]mm")),""))</f>
        <v/>
      </c>
    </row>
    <row r="2444">
      <c r="B2444" s="30" t="n"/>
      <c r="G2444" s="9">
        <f>IF(AND(E2444&lt;&gt;"",E2444&lt;&gt;0,H2444&lt;&gt;""),H2444/E2444,"")</f>
        <v/>
      </c>
      <c r="L2444">
        <f>IF(B2444="","",IFERROR(VALUE(TEXT(B2444,"[$-1170401]yyyy")),""))</f>
        <v/>
      </c>
      <c r="M2444">
        <f>IF(B2444="","",IFERROR(VALUE(TEXT(B2444,"[$-1170401]mm")),""))</f>
        <v/>
      </c>
    </row>
    <row r="2445">
      <c r="B2445" s="30" t="n"/>
      <c r="G2445" s="9">
        <f>IF(AND(E2445&lt;&gt;"",E2445&lt;&gt;0,H2445&lt;&gt;""),H2445/E2445,"")</f>
        <v/>
      </c>
      <c r="L2445">
        <f>IF(B2445="","",IFERROR(VALUE(TEXT(B2445,"[$-1170401]yyyy")),""))</f>
        <v/>
      </c>
      <c r="M2445">
        <f>IF(B2445="","",IFERROR(VALUE(TEXT(B2445,"[$-1170401]mm")),""))</f>
        <v/>
      </c>
    </row>
    <row r="2446">
      <c r="B2446" s="30" t="n"/>
      <c r="G2446" s="9">
        <f>IF(AND(E2446&lt;&gt;"",E2446&lt;&gt;0,H2446&lt;&gt;""),H2446/E2446,"")</f>
        <v/>
      </c>
      <c r="L2446">
        <f>IF(B2446="","",IFERROR(VALUE(TEXT(B2446,"[$-1170401]yyyy")),""))</f>
        <v/>
      </c>
      <c r="M2446">
        <f>IF(B2446="","",IFERROR(VALUE(TEXT(B2446,"[$-1170401]mm")),""))</f>
        <v/>
      </c>
    </row>
    <row r="2447">
      <c r="B2447" s="30" t="n"/>
      <c r="G2447" s="9">
        <f>IF(AND(E2447&lt;&gt;"",E2447&lt;&gt;0,H2447&lt;&gt;""),H2447/E2447,"")</f>
        <v/>
      </c>
      <c r="L2447">
        <f>IF(B2447="","",IFERROR(VALUE(TEXT(B2447,"[$-1170401]yyyy")),""))</f>
        <v/>
      </c>
      <c r="M2447">
        <f>IF(B2447="","",IFERROR(VALUE(TEXT(B2447,"[$-1170401]mm")),""))</f>
        <v/>
      </c>
    </row>
    <row r="2448">
      <c r="B2448" s="30" t="n"/>
      <c r="G2448" s="9">
        <f>IF(AND(E2448&lt;&gt;"",E2448&lt;&gt;0,H2448&lt;&gt;""),H2448/E2448,"")</f>
        <v/>
      </c>
      <c r="L2448">
        <f>IF(B2448="","",IFERROR(VALUE(TEXT(B2448,"[$-1170401]yyyy")),""))</f>
        <v/>
      </c>
      <c r="M2448">
        <f>IF(B2448="","",IFERROR(VALUE(TEXT(B2448,"[$-1170401]mm")),""))</f>
        <v/>
      </c>
    </row>
    <row r="2449">
      <c r="B2449" s="30" t="n"/>
      <c r="G2449" s="9">
        <f>IF(AND(E2449&lt;&gt;"",E2449&lt;&gt;0,H2449&lt;&gt;""),H2449/E2449,"")</f>
        <v/>
      </c>
      <c r="L2449">
        <f>IF(B2449="","",IFERROR(VALUE(TEXT(B2449,"[$-1170401]yyyy")),""))</f>
        <v/>
      </c>
      <c r="M2449">
        <f>IF(B2449="","",IFERROR(VALUE(TEXT(B2449,"[$-1170401]mm")),""))</f>
        <v/>
      </c>
    </row>
    <row r="2450">
      <c r="B2450" s="30" t="n"/>
      <c r="G2450" s="9">
        <f>IF(AND(E2450&lt;&gt;"",E2450&lt;&gt;0,H2450&lt;&gt;""),H2450/E2450,"")</f>
        <v/>
      </c>
      <c r="L2450">
        <f>IF(B2450="","",IFERROR(VALUE(TEXT(B2450,"[$-1170401]yyyy")),""))</f>
        <v/>
      </c>
      <c r="M2450">
        <f>IF(B2450="","",IFERROR(VALUE(TEXT(B2450,"[$-1170401]mm")),""))</f>
        <v/>
      </c>
    </row>
    <row r="2451">
      <c r="B2451" s="30" t="n"/>
      <c r="G2451" s="9">
        <f>IF(AND(E2451&lt;&gt;"",E2451&lt;&gt;0,H2451&lt;&gt;""),H2451/E2451,"")</f>
        <v/>
      </c>
      <c r="L2451">
        <f>IF(B2451="","",IFERROR(VALUE(TEXT(B2451,"[$-1170401]yyyy")),""))</f>
        <v/>
      </c>
      <c r="M2451">
        <f>IF(B2451="","",IFERROR(VALUE(TEXT(B2451,"[$-1170401]mm")),""))</f>
        <v/>
      </c>
    </row>
    <row r="2452">
      <c r="B2452" s="30" t="n"/>
      <c r="G2452" s="9">
        <f>IF(AND(E2452&lt;&gt;"",E2452&lt;&gt;0,H2452&lt;&gt;""),H2452/E2452,"")</f>
        <v/>
      </c>
      <c r="L2452">
        <f>IF(B2452="","",IFERROR(VALUE(TEXT(B2452,"[$-1170401]yyyy")),""))</f>
        <v/>
      </c>
      <c r="M2452">
        <f>IF(B2452="","",IFERROR(VALUE(TEXT(B2452,"[$-1170401]mm")),""))</f>
        <v/>
      </c>
    </row>
    <row r="2453">
      <c r="B2453" s="30" t="n"/>
      <c r="G2453" s="9">
        <f>IF(AND(E2453&lt;&gt;"",E2453&lt;&gt;0,H2453&lt;&gt;""),H2453/E2453,"")</f>
        <v/>
      </c>
      <c r="L2453">
        <f>IF(B2453="","",IFERROR(VALUE(TEXT(B2453,"[$-1170401]yyyy")),""))</f>
        <v/>
      </c>
      <c r="M2453">
        <f>IF(B2453="","",IFERROR(VALUE(TEXT(B2453,"[$-1170401]mm")),""))</f>
        <v/>
      </c>
    </row>
    <row r="2454">
      <c r="B2454" s="30" t="n"/>
      <c r="G2454" s="9">
        <f>IF(AND(E2454&lt;&gt;"",E2454&lt;&gt;0,H2454&lt;&gt;""),H2454/E2454,"")</f>
        <v/>
      </c>
      <c r="L2454">
        <f>IF(B2454="","",IFERROR(VALUE(TEXT(B2454,"[$-1170401]yyyy")),""))</f>
        <v/>
      </c>
      <c r="M2454">
        <f>IF(B2454="","",IFERROR(VALUE(TEXT(B2454,"[$-1170401]mm")),""))</f>
        <v/>
      </c>
    </row>
    <row r="2455">
      <c r="B2455" s="30" t="n"/>
      <c r="G2455" s="9">
        <f>IF(AND(E2455&lt;&gt;"",E2455&lt;&gt;0,H2455&lt;&gt;""),H2455/E2455,"")</f>
        <v/>
      </c>
      <c r="L2455">
        <f>IF(B2455="","",IFERROR(VALUE(TEXT(B2455,"[$-1170401]yyyy")),""))</f>
        <v/>
      </c>
      <c r="M2455">
        <f>IF(B2455="","",IFERROR(VALUE(TEXT(B2455,"[$-1170401]mm")),""))</f>
        <v/>
      </c>
    </row>
    <row r="2456">
      <c r="B2456" s="30" t="n"/>
      <c r="G2456" s="9">
        <f>IF(AND(E2456&lt;&gt;"",E2456&lt;&gt;0,H2456&lt;&gt;""),H2456/E2456,"")</f>
        <v/>
      </c>
      <c r="L2456">
        <f>IF(B2456="","",IFERROR(VALUE(TEXT(B2456,"[$-1170401]yyyy")),""))</f>
        <v/>
      </c>
      <c r="M2456">
        <f>IF(B2456="","",IFERROR(VALUE(TEXT(B2456,"[$-1170401]mm")),""))</f>
        <v/>
      </c>
    </row>
    <row r="2457">
      <c r="B2457" s="30" t="n"/>
      <c r="G2457" s="9">
        <f>IF(AND(E2457&lt;&gt;"",E2457&lt;&gt;0,H2457&lt;&gt;""),H2457/E2457,"")</f>
        <v/>
      </c>
      <c r="L2457">
        <f>IF(B2457="","",IFERROR(VALUE(TEXT(B2457,"[$-1170401]yyyy")),""))</f>
        <v/>
      </c>
      <c r="M2457">
        <f>IF(B2457="","",IFERROR(VALUE(TEXT(B2457,"[$-1170401]mm")),""))</f>
        <v/>
      </c>
    </row>
    <row r="2458">
      <c r="B2458" s="30" t="n"/>
      <c r="G2458" s="9">
        <f>IF(AND(E2458&lt;&gt;"",E2458&lt;&gt;0,H2458&lt;&gt;""),H2458/E2458,"")</f>
        <v/>
      </c>
      <c r="L2458">
        <f>IF(B2458="","",IFERROR(VALUE(TEXT(B2458,"[$-1170401]yyyy")),""))</f>
        <v/>
      </c>
      <c r="M2458">
        <f>IF(B2458="","",IFERROR(VALUE(TEXT(B2458,"[$-1170401]mm")),""))</f>
        <v/>
      </c>
    </row>
    <row r="2459">
      <c r="B2459" s="30" t="n"/>
      <c r="G2459" s="9">
        <f>IF(AND(E2459&lt;&gt;"",E2459&lt;&gt;0,H2459&lt;&gt;""),H2459/E2459,"")</f>
        <v/>
      </c>
      <c r="L2459">
        <f>IF(B2459="","",IFERROR(VALUE(TEXT(B2459,"[$-1170401]yyyy")),""))</f>
        <v/>
      </c>
      <c r="M2459">
        <f>IF(B2459="","",IFERROR(VALUE(TEXT(B2459,"[$-1170401]mm")),""))</f>
        <v/>
      </c>
    </row>
    <row r="2460">
      <c r="B2460" s="30" t="n"/>
      <c r="G2460" s="9">
        <f>IF(AND(E2460&lt;&gt;"",E2460&lt;&gt;0,H2460&lt;&gt;""),H2460/E2460,"")</f>
        <v/>
      </c>
      <c r="L2460">
        <f>IF(B2460="","",IFERROR(VALUE(TEXT(B2460,"[$-1170401]yyyy")),""))</f>
        <v/>
      </c>
      <c r="M2460">
        <f>IF(B2460="","",IFERROR(VALUE(TEXT(B2460,"[$-1170401]mm")),""))</f>
        <v/>
      </c>
    </row>
    <row r="2461">
      <c r="B2461" s="30" t="n"/>
      <c r="G2461" s="9">
        <f>IF(AND(E2461&lt;&gt;"",E2461&lt;&gt;0,H2461&lt;&gt;""),H2461/E2461,"")</f>
        <v/>
      </c>
      <c r="L2461">
        <f>IF(B2461="","",IFERROR(VALUE(TEXT(B2461,"[$-1170401]yyyy")),""))</f>
        <v/>
      </c>
      <c r="M2461">
        <f>IF(B2461="","",IFERROR(VALUE(TEXT(B2461,"[$-1170401]mm")),""))</f>
        <v/>
      </c>
    </row>
    <row r="2462">
      <c r="B2462" s="30" t="n"/>
      <c r="G2462" s="9">
        <f>IF(AND(E2462&lt;&gt;"",E2462&lt;&gt;0,H2462&lt;&gt;""),H2462/E2462,"")</f>
        <v/>
      </c>
      <c r="L2462">
        <f>IF(B2462="","",IFERROR(VALUE(TEXT(B2462,"[$-1170401]yyyy")),""))</f>
        <v/>
      </c>
      <c r="M2462">
        <f>IF(B2462="","",IFERROR(VALUE(TEXT(B2462,"[$-1170401]mm")),""))</f>
        <v/>
      </c>
    </row>
    <row r="2463">
      <c r="B2463" s="30" t="n"/>
      <c r="G2463" s="9">
        <f>IF(AND(E2463&lt;&gt;"",E2463&lt;&gt;0,H2463&lt;&gt;""),H2463/E2463,"")</f>
        <v/>
      </c>
      <c r="L2463">
        <f>IF(B2463="","",IFERROR(VALUE(TEXT(B2463,"[$-1170401]yyyy")),""))</f>
        <v/>
      </c>
      <c r="M2463">
        <f>IF(B2463="","",IFERROR(VALUE(TEXT(B2463,"[$-1170401]mm")),""))</f>
        <v/>
      </c>
    </row>
    <row r="2464">
      <c r="B2464" s="30" t="n"/>
      <c r="G2464" s="9">
        <f>IF(AND(E2464&lt;&gt;"",E2464&lt;&gt;0,H2464&lt;&gt;""),H2464/E2464,"")</f>
        <v/>
      </c>
      <c r="L2464">
        <f>IF(B2464="","",IFERROR(VALUE(TEXT(B2464,"[$-1170401]yyyy")),""))</f>
        <v/>
      </c>
      <c r="M2464">
        <f>IF(B2464="","",IFERROR(VALUE(TEXT(B2464,"[$-1170401]mm")),""))</f>
        <v/>
      </c>
    </row>
    <row r="2465">
      <c r="B2465" s="30" t="n"/>
      <c r="G2465" s="9">
        <f>IF(AND(E2465&lt;&gt;"",E2465&lt;&gt;0,H2465&lt;&gt;""),H2465/E2465,"")</f>
        <v/>
      </c>
      <c r="L2465">
        <f>IF(B2465="","",IFERROR(VALUE(TEXT(B2465,"[$-1170401]yyyy")),""))</f>
        <v/>
      </c>
      <c r="M2465">
        <f>IF(B2465="","",IFERROR(VALUE(TEXT(B2465,"[$-1170401]mm")),""))</f>
        <v/>
      </c>
    </row>
    <row r="2466">
      <c r="B2466" s="30" t="n"/>
      <c r="G2466" s="9">
        <f>IF(AND(E2466&lt;&gt;"",E2466&lt;&gt;0,H2466&lt;&gt;""),H2466/E2466,"")</f>
        <v/>
      </c>
      <c r="L2466">
        <f>IF(B2466="","",IFERROR(VALUE(TEXT(B2466,"[$-1170401]yyyy")),""))</f>
        <v/>
      </c>
      <c r="M2466">
        <f>IF(B2466="","",IFERROR(VALUE(TEXT(B2466,"[$-1170401]mm")),""))</f>
        <v/>
      </c>
    </row>
    <row r="2467">
      <c r="B2467" s="30" t="n"/>
      <c r="G2467" s="9">
        <f>IF(AND(E2467&lt;&gt;"",E2467&lt;&gt;0,H2467&lt;&gt;""),H2467/E2467,"")</f>
        <v/>
      </c>
      <c r="L2467">
        <f>IF(B2467="","",IFERROR(VALUE(TEXT(B2467,"[$-1170401]yyyy")),""))</f>
        <v/>
      </c>
      <c r="M2467">
        <f>IF(B2467="","",IFERROR(VALUE(TEXT(B2467,"[$-1170401]mm")),""))</f>
        <v/>
      </c>
    </row>
    <row r="2468">
      <c r="B2468" s="30" t="n"/>
      <c r="G2468" s="9">
        <f>IF(AND(E2468&lt;&gt;"",E2468&lt;&gt;0,H2468&lt;&gt;""),H2468/E2468,"")</f>
        <v/>
      </c>
      <c r="L2468">
        <f>IF(B2468="","",IFERROR(VALUE(TEXT(B2468,"[$-1170401]yyyy")),""))</f>
        <v/>
      </c>
      <c r="M2468">
        <f>IF(B2468="","",IFERROR(VALUE(TEXT(B2468,"[$-1170401]mm")),""))</f>
        <v/>
      </c>
    </row>
    <row r="2469">
      <c r="B2469" s="30" t="n"/>
      <c r="G2469" s="9">
        <f>IF(AND(E2469&lt;&gt;"",E2469&lt;&gt;0,H2469&lt;&gt;""),H2469/E2469,"")</f>
        <v/>
      </c>
      <c r="L2469">
        <f>IF(B2469="","",IFERROR(VALUE(TEXT(B2469,"[$-1170401]yyyy")),""))</f>
        <v/>
      </c>
      <c r="M2469">
        <f>IF(B2469="","",IFERROR(VALUE(TEXT(B2469,"[$-1170401]mm")),""))</f>
        <v/>
      </c>
    </row>
    <row r="2470">
      <c r="B2470" s="30" t="n"/>
      <c r="G2470" s="9">
        <f>IF(AND(E2470&lt;&gt;"",E2470&lt;&gt;0,H2470&lt;&gt;""),H2470/E2470,"")</f>
        <v/>
      </c>
      <c r="L2470">
        <f>IF(B2470="","",IFERROR(VALUE(TEXT(B2470,"[$-1170401]yyyy")),""))</f>
        <v/>
      </c>
      <c r="M2470">
        <f>IF(B2470="","",IFERROR(VALUE(TEXT(B2470,"[$-1170401]mm")),""))</f>
        <v/>
      </c>
    </row>
    <row r="2471">
      <c r="B2471" s="30" t="n"/>
      <c r="G2471" s="9">
        <f>IF(AND(E2471&lt;&gt;"",E2471&lt;&gt;0,H2471&lt;&gt;""),H2471/E2471,"")</f>
        <v/>
      </c>
      <c r="L2471">
        <f>IF(B2471="","",IFERROR(VALUE(TEXT(B2471,"[$-1170401]yyyy")),""))</f>
        <v/>
      </c>
      <c r="M2471">
        <f>IF(B2471="","",IFERROR(VALUE(TEXT(B2471,"[$-1170401]mm")),""))</f>
        <v/>
      </c>
    </row>
    <row r="2472">
      <c r="B2472" s="30" t="n"/>
      <c r="G2472" s="9">
        <f>IF(AND(E2472&lt;&gt;"",E2472&lt;&gt;0,H2472&lt;&gt;""),H2472/E2472,"")</f>
        <v/>
      </c>
      <c r="L2472">
        <f>IF(B2472="","",IFERROR(VALUE(TEXT(B2472,"[$-1170401]yyyy")),""))</f>
        <v/>
      </c>
      <c r="M2472">
        <f>IF(B2472="","",IFERROR(VALUE(TEXT(B2472,"[$-1170401]mm")),""))</f>
        <v/>
      </c>
    </row>
    <row r="2473">
      <c r="B2473" s="30" t="n"/>
      <c r="G2473" s="9">
        <f>IF(AND(E2473&lt;&gt;"",E2473&lt;&gt;0,H2473&lt;&gt;""),H2473/E2473,"")</f>
        <v/>
      </c>
      <c r="L2473">
        <f>IF(B2473="","",IFERROR(VALUE(TEXT(B2473,"[$-1170401]yyyy")),""))</f>
        <v/>
      </c>
      <c r="M2473">
        <f>IF(B2473="","",IFERROR(VALUE(TEXT(B2473,"[$-1170401]mm")),""))</f>
        <v/>
      </c>
    </row>
    <row r="2474">
      <c r="B2474" s="30" t="n"/>
      <c r="G2474" s="9">
        <f>IF(AND(E2474&lt;&gt;"",E2474&lt;&gt;0,H2474&lt;&gt;""),H2474/E2474,"")</f>
        <v/>
      </c>
      <c r="L2474">
        <f>IF(B2474="","",IFERROR(VALUE(TEXT(B2474,"[$-1170401]yyyy")),""))</f>
        <v/>
      </c>
      <c r="M2474">
        <f>IF(B2474="","",IFERROR(VALUE(TEXT(B2474,"[$-1170401]mm")),""))</f>
        <v/>
      </c>
    </row>
    <row r="2475">
      <c r="B2475" s="30" t="n"/>
      <c r="G2475" s="9">
        <f>IF(AND(E2475&lt;&gt;"",E2475&lt;&gt;0,H2475&lt;&gt;""),H2475/E2475,"")</f>
        <v/>
      </c>
      <c r="L2475">
        <f>IF(B2475="","",IFERROR(VALUE(TEXT(B2475,"[$-1170401]yyyy")),""))</f>
        <v/>
      </c>
      <c r="M2475">
        <f>IF(B2475="","",IFERROR(VALUE(TEXT(B2475,"[$-1170401]mm")),""))</f>
        <v/>
      </c>
    </row>
    <row r="2476">
      <c r="B2476" s="30" t="n"/>
      <c r="G2476" s="9">
        <f>IF(AND(E2476&lt;&gt;"",E2476&lt;&gt;0,H2476&lt;&gt;""),H2476/E2476,"")</f>
        <v/>
      </c>
      <c r="L2476">
        <f>IF(B2476="","",IFERROR(VALUE(TEXT(B2476,"[$-1170401]yyyy")),""))</f>
        <v/>
      </c>
      <c r="M2476">
        <f>IF(B2476="","",IFERROR(VALUE(TEXT(B2476,"[$-1170401]mm")),""))</f>
        <v/>
      </c>
    </row>
    <row r="2477">
      <c r="B2477" s="30" t="n"/>
      <c r="G2477" s="9">
        <f>IF(AND(E2477&lt;&gt;"",E2477&lt;&gt;0,H2477&lt;&gt;""),H2477/E2477,"")</f>
        <v/>
      </c>
      <c r="L2477">
        <f>IF(B2477="","",IFERROR(VALUE(TEXT(B2477,"[$-1170401]yyyy")),""))</f>
        <v/>
      </c>
      <c r="M2477">
        <f>IF(B2477="","",IFERROR(VALUE(TEXT(B2477,"[$-1170401]mm")),""))</f>
        <v/>
      </c>
    </row>
    <row r="2478">
      <c r="B2478" s="30" t="n"/>
      <c r="G2478" s="9">
        <f>IF(AND(E2478&lt;&gt;"",E2478&lt;&gt;0,H2478&lt;&gt;""),H2478/E2478,"")</f>
        <v/>
      </c>
      <c r="L2478">
        <f>IF(B2478="","",IFERROR(VALUE(TEXT(B2478,"[$-1170401]yyyy")),""))</f>
        <v/>
      </c>
      <c r="M2478">
        <f>IF(B2478="","",IFERROR(VALUE(TEXT(B2478,"[$-1170401]mm")),""))</f>
        <v/>
      </c>
    </row>
    <row r="2479">
      <c r="B2479" s="30" t="n"/>
      <c r="G2479" s="9">
        <f>IF(AND(E2479&lt;&gt;"",E2479&lt;&gt;0,H2479&lt;&gt;""),H2479/E2479,"")</f>
        <v/>
      </c>
      <c r="L2479">
        <f>IF(B2479="","",IFERROR(VALUE(TEXT(B2479,"[$-1170401]yyyy")),""))</f>
        <v/>
      </c>
      <c r="M2479">
        <f>IF(B2479="","",IFERROR(VALUE(TEXT(B2479,"[$-1170401]mm")),""))</f>
        <v/>
      </c>
    </row>
    <row r="2480">
      <c r="B2480" s="30" t="n"/>
      <c r="G2480" s="9">
        <f>IF(AND(E2480&lt;&gt;"",E2480&lt;&gt;0,H2480&lt;&gt;""),H2480/E2480,"")</f>
        <v/>
      </c>
      <c r="L2480">
        <f>IF(B2480="","",IFERROR(VALUE(TEXT(B2480,"[$-1170401]yyyy")),""))</f>
        <v/>
      </c>
      <c r="M2480">
        <f>IF(B2480="","",IFERROR(VALUE(TEXT(B2480,"[$-1170401]mm")),""))</f>
        <v/>
      </c>
    </row>
    <row r="2481">
      <c r="B2481" s="30" t="n"/>
      <c r="G2481" s="9">
        <f>IF(AND(E2481&lt;&gt;"",E2481&lt;&gt;0,H2481&lt;&gt;""),H2481/E2481,"")</f>
        <v/>
      </c>
      <c r="L2481">
        <f>IF(B2481="","",IFERROR(VALUE(TEXT(B2481,"[$-1170401]yyyy")),""))</f>
        <v/>
      </c>
      <c r="M2481">
        <f>IF(B2481="","",IFERROR(VALUE(TEXT(B2481,"[$-1170401]mm")),""))</f>
        <v/>
      </c>
    </row>
    <row r="2482">
      <c r="B2482" s="30" t="n"/>
      <c r="G2482" s="9">
        <f>IF(AND(E2482&lt;&gt;"",E2482&lt;&gt;0,H2482&lt;&gt;""),H2482/E2482,"")</f>
        <v/>
      </c>
      <c r="L2482">
        <f>IF(B2482="","",IFERROR(VALUE(TEXT(B2482,"[$-1170401]yyyy")),""))</f>
        <v/>
      </c>
      <c r="M2482">
        <f>IF(B2482="","",IFERROR(VALUE(TEXT(B2482,"[$-1170401]mm")),""))</f>
        <v/>
      </c>
    </row>
    <row r="2483">
      <c r="B2483" s="30" t="n"/>
      <c r="G2483" s="9">
        <f>IF(AND(E2483&lt;&gt;"",E2483&lt;&gt;0,H2483&lt;&gt;""),H2483/E2483,"")</f>
        <v/>
      </c>
      <c r="L2483">
        <f>IF(B2483="","",IFERROR(VALUE(TEXT(B2483,"[$-1170401]yyyy")),""))</f>
        <v/>
      </c>
      <c r="M2483">
        <f>IF(B2483="","",IFERROR(VALUE(TEXT(B2483,"[$-1170401]mm")),""))</f>
        <v/>
      </c>
    </row>
    <row r="2484">
      <c r="B2484" s="30" t="n"/>
      <c r="G2484" s="9">
        <f>IF(AND(E2484&lt;&gt;"",E2484&lt;&gt;0,H2484&lt;&gt;""),H2484/E2484,"")</f>
        <v/>
      </c>
      <c r="L2484">
        <f>IF(B2484="","",IFERROR(VALUE(TEXT(B2484,"[$-1170401]yyyy")),""))</f>
        <v/>
      </c>
      <c r="M2484">
        <f>IF(B2484="","",IFERROR(VALUE(TEXT(B2484,"[$-1170401]mm")),""))</f>
        <v/>
      </c>
    </row>
    <row r="2485">
      <c r="B2485" s="30" t="n"/>
      <c r="G2485" s="9">
        <f>IF(AND(E2485&lt;&gt;"",E2485&lt;&gt;0,H2485&lt;&gt;""),H2485/E2485,"")</f>
        <v/>
      </c>
      <c r="L2485">
        <f>IF(B2485="","",IFERROR(VALUE(TEXT(B2485,"[$-1170401]yyyy")),""))</f>
        <v/>
      </c>
      <c r="M2485">
        <f>IF(B2485="","",IFERROR(VALUE(TEXT(B2485,"[$-1170401]mm")),""))</f>
        <v/>
      </c>
    </row>
    <row r="2486">
      <c r="B2486" s="30" t="n"/>
      <c r="G2486" s="9">
        <f>IF(AND(E2486&lt;&gt;"",E2486&lt;&gt;0,H2486&lt;&gt;""),H2486/E2486,"")</f>
        <v/>
      </c>
      <c r="L2486">
        <f>IF(B2486="","",IFERROR(VALUE(TEXT(B2486,"[$-1170401]yyyy")),""))</f>
        <v/>
      </c>
      <c r="M2486">
        <f>IF(B2486="","",IFERROR(VALUE(TEXT(B2486,"[$-1170401]mm")),""))</f>
        <v/>
      </c>
    </row>
    <row r="2487">
      <c r="B2487" s="30" t="n"/>
      <c r="G2487" s="9">
        <f>IF(AND(E2487&lt;&gt;"",E2487&lt;&gt;0,H2487&lt;&gt;""),H2487/E2487,"")</f>
        <v/>
      </c>
      <c r="L2487">
        <f>IF(B2487="","",IFERROR(VALUE(TEXT(B2487,"[$-1170401]yyyy")),""))</f>
        <v/>
      </c>
      <c r="M2487">
        <f>IF(B2487="","",IFERROR(VALUE(TEXT(B2487,"[$-1170401]mm")),""))</f>
        <v/>
      </c>
    </row>
    <row r="2488">
      <c r="B2488" s="30" t="n"/>
      <c r="G2488" s="9">
        <f>IF(AND(E2488&lt;&gt;"",E2488&lt;&gt;0,H2488&lt;&gt;""),H2488/E2488,"")</f>
        <v/>
      </c>
      <c r="L2488">
        <f>IF(B2488="","",IFERROR(VALUE(TEXT(B2488,"[$-1170401]yyyy")),""))</f>
        <v/>
      </c>
      <c r="M2488">
        <f>IF(B2488="","",IFERROR(VALUE(TEXT(B2488,"[$-1170401]mm")),""))</f>
        <v/>
      </c>
    </row>
    <row r="2489">
      <c r="B2489" s="30" t="n"/>
      <c r="G2489" s="9">
        <f>IF(AND(E2489&lt;&gt;"",E2489&lt;&gt;0,H2489&lt;&gt;""),H2489/E2489,"")</f>
        <v/>
      </c>
      <c r="L2489">
        <f>IF(B2489="","",IFERROR(VALUE(TEXT(B2489,"[$-1170401]yyyy")),""))</f>
        <v/>
      </c>
      <c r="M2489">
        <f>IF(B2489="","",IFERROR(VALUE(TEXT(B2489,"[$-1170401]mm")),""))</f>
        <v/>
      </c>
    </row>
    <row r="2490">
      <c r="B2490" s="30" t="n"/>
      <c r="G2490" s="9">
        <f>IF(AND(E2490&lt;&gt;"",E2490&lt;&gt;0,H2490&lt;&gt;""),H2490/E2490,"")</f>
        <v/>
      </c>
      <c r="L2490">
        <f>IF(B2490="","",IFERROR(VALUE(TEXT(B2490,"[$-1170401]yyyy")),""))</f>
        <v/>
      </c>
      <c r="M2490">
        <f>IF(B2490="","",IFERROR(VALUE(TEXT(B2490,"[$-1170401]mm")),""))</f>
        <v/>
      </c>
    </row>
    <row r="2491">
      <c r="B2491" s="30" t="n"/>
      <c r="G2491" s="9">
        <f>IF(AND(E2491&lt;&gt;"",E2491&lt;&gt;0,H2491&lt;&gt;""),H2491/E2491,"")</f>
        <v/>
      </c>
      <c r="L2491">
        <f>IF(B2491="","",IFERROR(VALUE(TEXT(B2491,"[$-1170401]yyyy")),""))</f>
        <v/>
      </c>
      <c r="M2491">
        <f>IF(B2491="","",IFERROR(VALUE(TEXT(B2491,"[$-1170401]mm")),""))</f>
        <v/>
      </c>
    </row>
    <row r="2492">
      <c r="B2492" s="30" t="n"/>
      <c r="G2492" s="9">
        <f>IF(AND(E2492&lt;&gt;"",E2492&lt;&gt;0,H2492&lt;&gt;""),H2492/E2492,"")</f>
        <v/>
      </c>
      <c r="L2492">
        <f>IF(B2492="","",IFERROR(VALUE(TEXT(B2492,"[$-1170401]yyyy")),""))</f>
        <v/>
      </c>
      <c r="M2492">
        <f>IF(B2492="","",IFERROR(VALUE(TEXT(B2492,"[$-1170401]mm")),""))</f>
        <v/>
      </c>
    </row>
    <row r="2493">
      <c r="B2493" s="30" t="n"/>
      <c r="G2493" s="9">
        <f>IF(AND(E2493&lt;&gt;"",E2493&lt;&gt;0,H2493&lt;&gt;""),H2493/E2493,"")</f>
        <v/>
      </c>
      <c r="L2493">
        <f>IF(B2493="","",IFERROR(VALUE(TEXT(B2493,"[$-1170401]yyyy")),""))</f>
        <v/>
      </c>
      <c r="M2493">
        <f>IF(B2493="","",IFERROR(VALUE(TEXT(B2493,"[$-1170401]mm")),""))</f>
        <v/>
      </c>
    </row>
    <row r="2494">
      <c r="B2494" s="30" t="n"/>
      <c r="G2494" s="9">
        <f>IF(AND(E2494&lt;&gt;"",E2494&lt;&gt;0,H2494&lt;&gt;""),H2494/E2494,"")</f>
        <v/>
      </c>
      <c r="L2494">
        <f>IF(B2494="","",IFERROR(VALUE(TEXT(B2494,"[$-1170401]yyyy")),""))</f>
        <v/>
      </c>
      <c r="M2494">
        <f>IF(B2494="","",IFERROR(VALUE(TEXT(B2494,"[$-1170401]mm")),""))</f>
        <v/>
      </c>
    </row>
    <row r="2495">
      <c r="B2495" s="30" t="n"/>
      <c r="G2495" s="9">
        <f>IF(AND(E2495&lt;&gt;"",E2495&lt;&gt;0,H2495&lt;&gt;""),H2495/E2495,"")</f>
        <v/>
      </c>
      <c r="L2495">
        <f>IF(B2495="","",IFERROR(VALUE(TEXT(B2495,"[$-1170401]yyyy")),""))</f>
        <v/>
      </c>
      <c r="M2495">
        <f>IF(B2495="","",IFERROR(VALUE(TEXT(B2495,"[$-1170401]mm")),""))</f>
        <v/>
      </c>
    </row>
    <row r="2496">
      <c r="B2496" s="30" t="n"/>
      <c r="G2496" s="9">
        <f>IF(AND(E2496&lt;&gt;"",E2496&lt;&gt;0,H2496&lt;&gt;""),H2496/E2496,"")</f>
        <v/>
      </c>
      <c r="L2496">
        <f>IF(B2496="","",IFERROR(VALUE(TEXT(B2496,"[$-1170401]yyyy")),""))</f>
        <v/>
      </c>
      <c r="M2496">
        <f>IF(B2496="","",IFERROR(VALUE(TEXT(B2496,"[$-1170401]mm")),""))</f>
        <v/>
      </c>
    </row>
    <row r="2497">
      <c r="B2497" s="30" t="n"/>
      <c r="G2497" s="9">
        <f>IF(AND(E2497&lt;&gt;"",E2497&lt;&gt;0,H2497&lt;&gt;""),H2497/E2497,"")</f>
        <v/>
      </c>
      <c r="L2497">
        <f>IF(B2497="","",IFERROR(VALUE(TEXT(B2497,"[$-1170401]yyyy")),""))</f>
        <v/>
      </c>
      <c r="M2497">
        <f>IF(B2497="","",IFERROR(VALUE(TEXT(B2497,"[$-1170401]mm")),""))</f>
        <v/>
      </c>
    </row>
    <row r="2498">
      <c r="B2498" s="30" t="n"/>
      <c r="G2498" s="9">
        <f>IF(AND(E2498&lt;&gt;"",E2498&lt;&gt;0,H2498&lt;&gt;""),H2498/E2498,"")</f>
        <v/>
      </c>
      <c r="L2498">
        <f>IF(B2498="","",IFERROR(VALUE(TEXT(B2498,"[$-1170401]yyyy")),""))</f>
        <v/>
      </c>
      <c r="M2498">
        <f>IF(B2498="","",IFERROR(VALUE(TEXT(B2498,"[$-1170401]mm")),""))</f>
        <v/>
      </c>
    </row>
    <row r="2499">
      <c r="B2499" s="30" t="n"/>
      <c r="G2499" s="9">
        <f>IF(AND(E2499&lt;&gt;"",E2499&lt;&gt;0,H2499&lt;&gt;""),H2499/E2499,"")</f>
        <v/>
      </c>
      <c r="L2499">
        <f>IF(B2499="","",IFERROR(VALUE(TEXT(B2499,"[$-1170401]yyyy")),""))</f>
        <v/>
      </c>
      <c r="M2499">
        <f>IF(B2499="","",IFERROR(VALUE(TEXT(B2499,"[$-1170401]mm")),""))</f>
        <v/>
      </c>
    </row>
    <row r="2500">
      <c r="B2500" s="30" t="n"/>
      <c r="G2500" s="9">
        <f>IF(AND(E2500&lt;&gt;"",E2500&lt;&gt;0,H2500&lt;&gt;""),H2500/E2500,"")</f>
        <v/>
      </c>
      <c r="L2500">
        <f>IF(B2500="","",IFERROR(VALUE(TEXT(B2500,"[$-1170401]yyyy")),""))</f>
        <v/>
      </c>
      <c r="M2500">
        <f>IF(B2500="","",IFERROR(VALUE(TEXT(B2500,"[$-1170401]mm")),""))</f>
        <v/>
      </c>
    </row>
    <row r="2501">
      <c r="B2501" s="30" t="n"/>
      <c r="G2501" s="9">
        <f>IF(AND(E2501&lt;&gt;"",E2501&lt;&gt;0,H2501&lt;&gt;""),H2501/E2501,"")</f>
        <v/>
      </c>
      <c r="L2501">
        <f>IF(B2501="","",IFERROR(VALUE(TEXT(B2501,"[$-1170401]yyyy")),""))</f>
        <v/>
      </c>
      <c r="M2501">
        <f>IF(B2501="","",IFERROR(VALUE(TEXT(B2501,"[$-1170401]mm")),""))</f>
        <v/>
      </c>
    </row>
    <row r="2502">
      <c r="B2502" s="30" t="n"/>
      <c r="G2502" s="9">
        <f>IF(AND(E2502&lt;&gt;"",E2502&lt;&gt;0,H2502&lt;&gt;""),H2502/E2502,"")</f>
        <v/>
      </c>
      <c r="L2502">
        <f>IF(B2502="","",IFERROR(VALUE(TEXT(B2502,"[$-1170401]yyyy")),""))</f>
        <v/>
      </c>
      <c r="M2502">
        <f>IF(B2502="","",IFERROR(VALUE(TEXT(B2502,"[$-1170401]mm")),""))</f>
        <v/>
      </c>
    </row>
    <row r="2503">
      <c r="B2503" s="30" t="n"/>
      <c r="G2503" s="9">
        <f>IF(AND(E2503&lt;&gt;"",E2503&lt;&gt;0,H2503&lt;&gt;""),H2503/E2503,"")</f>
        <v/>
      </c>
      <c r="L2503">
        <f>IF(B2503="","",IFERROR(VALUE(TEXT(B2503,"[$-1170401]yyyy")),""))</f>
        <v/>
      </c>
      <c r="M2503">
        <f>IF(B2503="","",IFERROR(VALUE(TEXT(B2503,"[$-1170401]mm")),""))</f>
        <v/>
      </c>
    </row>
    <row r="2504">
      <c r="B2504" s="30" t="n"/>
      <c r="G2504" s="9">
        <f>IF(AND(E2504&lt;&gt;"",E2504&lt;&gt;0,H2504&lt;&gt;""),H2504/E2504,"")</f>
        <v/>
      </c>
      <c r="L2504">
        <f>IF(B2504="","",IFERROR(VALUE(TEXT(B2504,"[$-1170401]yyyy")),""))</f>
        <v/>
      </c>
      <c r="M2504">
        <f>IF(B2504="","",IFERROR(VALUE(TEXT(B2504,"[$-1170401]mm")),""))</f>
        <v/>
      </c>
    </row>
    <row r="2505">
      <c r="B2505" s="30" t="n"/>
      <c r="G2505" s="9">
        <f>IF(AND(E2505&lt;&gt;"",E2505&lt;&gt;0,H2505&lt;&gt;""),H2505/E2505,"")</f>
        <v/>
      </c>
      <c r="L2505">
        <f>IF(B2505="","",IFERROR(VALUE(TEXT(B2505,"[$-1170401]yyyy")),""))</f>
        <v/>
      </c>
      <c r="M2505">
        <f>IF(B2505="","",IFERROR(VALUE(TEXT(B2505,"[$-1170401]mm")),""))</f>
        <v/>
      </c>
    </row>
    <row r="2506">
      <c r="B2506" s="30" t="n"/>
      <c r="G2506" s="9">
        <f>IF(AND(E2506&lt;&gt;"",E2506&lt;&gt;0,H2506&lt;&gt;""),H2506/E2506,"")</f>
        <v/>
      </c>
      <c r="L2506">
        <f>IF(B2506="","",IFERROR(VALUE(TEXT(B2506,"[$-1170401]yyyy")),""))</f>
        <v/>
      </c>
      <c r="M2506">
        <f>IF(B2506="","",IFERROR(VALUE(TEXT(B2506,"[$-1170401]mm")),""))</f>
        <v/>
      </c>
    </row>
    <row r="2507">
      <c r="B2507" s="30" t="n"/>
      <c r="G2507" s="9">
        <f>IF(AND(E2507&lt;&gt;"",E2507&lt;&gt;0,H2507&lt;&gt;""),H2507/E2507,"")</f>
        <v/>
      </c>
      <c r="L2507">
        <f>IF(B2507="","",IFERROR(VALUE(TEXT(B2507,"[$-1170401]yyyy")),""))</f>
        <v/>
      </c>
      <c r="M2507">
        <f>IF(B2507="","",IFERROR(VALUE(TEXT(B2507,"[$-1170401]mm")),""))</f>
        <v/>
      </c>
    </row>
    <row r="2508">
      <c r="B2508" s="30" t="n"/>
      <c r="G2508" s="9">
        <f>IF(AND(E2508&lt;&gt;"",E2508&lt;&gt;0,H2508&lt;&gt;""),H2508/E2508,"")</f>
        <v/>
      </c>
      <c r="L2508">
        <f>IF(B2508="","",IFERROR(VALUE(TEXT(B2508,"[$-1170401]yyyy")),""))</f>
        <v/>
      </c>
      <c r="M2508">
        <f>IF(B2508="","",IFERROR(VALUE(TEXT(B2508,"[$-1170401]mm")),""))</f>
        <v/>
      </c>
    </row>
    <row r="2509">
      <c r="B2509" s="30" t="n"/>
      <c r="G2509" s="9">
        <f>IF(AND(E2509&lt;&gt;"",E2509&lt;&gt;0,H2509&lt;&gt;""),H2509/E2509,"")</f>
        <v/>
      </c>
      <c r="L2509">
        <f>IF(B2509="","",IFERROR(VALUE(TEXT(B2509,"[$-1170401]yyyy")),""))</f>
        <v/>
      </c>
      <c r="M2509">
        <f>IF(B2509="","",IFERROR(VALUE(TEXT(B2509,"[$-1170401]mm")),""))</f>
        <v/>
      </c>
    </row>
    <row r="2510">
      <c r="B2510" s="30" t="n"/>
      <c r="G2510" s="9">
        <f>IF(AND(E2510&lt;&gt;"",E2510&lt;&gt;0,H2510&lt;&gt;""),H2510/E2510,"")</f>
        <v/>
      </c>
      <c r="L2510">
        <f>IF(B2510="","",IFERROR(VALUE(TEXT(B2510,"[$-1170401]yyyy")),""))</f>
        <v/>
      </c>
      <c r="M2510">
        <f>IF(B2510="","",IFERROR(VALUE(TEXT(B2510,"[$-1170401]mm")),""))</f>
        <v/>
      </c>
    </row>
    <row r="2511">
      <c r="B2511" s="30" t="n"/>
      <c r="G2511" s="9">
        <f>IF(AND(E2511&lt;&gt;"",E2511&lt;&gt;0,H2511&lt;&gt;""),H2511/E2511,"")</f>
        <v/>
      </c>
      <c r="L2511">
        <f>IF(B2511="","",IFERROR(VALUE(TEXT(B2511,"[$-1170401]yyyy")),""))</f>
        <v/>
      </c>
      <c r="M2511">
        <f>IF(B2511="","",IFERROR(VALUE(TEXT(B2511,"[$-1170401]mm")),""))</f>
        <v/>
      </c>
    </row>
    <row r="2512">
      <c r="B2512" s="30" t="n"/>
      <c r="G2512" s="9">
        <f>IF(AND(E2512&lt;&gt;"",E2512&lt;&gt;0,H2512&lt;&gt;""),H2512/E2512,"")</f>
        <v/>
      </c>
      <c r="L2512">
        <f>IF(B2512="","",IFERROR(VALUE(TEXT(B2512,"[$-1170401]yyyy")),""))</f>
        <v/>
      </c>
      <c r="M2512">
        <f>IF(B2512="","",IFERROR(VALUE(TEXT(B2512,"[$-1170401]mm")),""))</f>
        <v/>
      </c>
    </row>
    <row r="2513">
      <c r="B2513" s="30" t="n"/>
      <c r="G2513" s="9">
        <f>IF(AND(E2513&lt;&gt;"",E2513&lt;&gt;0,H2513&lt;&gt;""),H2513/E2513,"")</f>
        <v/>
      </c>
      <c r="L2513">
        <f>IF(B2513="","",IFERROR(VALUE(TEXT(B2513,"[$-1170401]yyyy")),""))</f>
        <v/>
      </c>
      <c r="M2513">
        <f>IF(B2513="","",IFERROR(VALUE(TEXT(B2513,"[$-1170401]mm")),""))</f>
        <v/>
      </c>
    </row>
    <row r="2514">
      <c r="B2514" s="30" t="n"/>
      <c r="G2514" s="9">
        <f>IF(AND(E2514&lt;&gt;"",E2514&lt;&gt;0,H2514&lt;&gt;""),H2514/E2514,"")</f>
        <v/>
      </c>
      <c r="L2514">
        <f>IF(B2514="","",IFERROR(VALUE(TEXT(B2514,"[$-1170401]yyyy")),""))</f>
        <v/>
      </c>
      <c r="M2514">
        <f>IF(B2514="","",IFERROR(VALUE(TEXT(B2514,"[$-1170401]mm")),""))</f>
        <v/>
      </c>
    </row>
    <row r="2515">
      <c r="B2515" s="30" t="n"/>
      <c r="G2515" s="9">
        <f>IF(AND(E2515&lt;&gt;"",E2515&lt;&gt;0,H2515&lt;&gt;""),H2515/E2515,"")</f>
        <v/>
      </c>
      <c r="L2515">
        <f>IF(B2515="","",IFERROR(VALUE(TEXT(B2515,"[$-1170401]yyyy")),""))</f>
        <v/>
      </c>
      <c r="M2515">
        <f>IF(B2515="","",IFERROR(VALUE(TEXT(B2515,"[$-1170401]mm")),""))</f>
        <v/>
      </c>
    </row>
    <row r="2516">
      <c r="B2516" s="30" t="n"/>
      <c r="G2516" s="9">
        <f>IF(AND(E2516&lt;&gt;"",E2516&lt;&gt;0,H2516&lt;&gt;""),H2516/E2516,"")</f>
        <v/>
      </c>
      <c r="L2516">
        <f>IF(B2516="","",IFERROR(VALUE(TEXT(B2516,"[$-1170401]yyyy")),""))</f>
        <v/>
      </c>
      <c r="M2516">
        <f>IF(B2516="","",IFERROR(VALUE(TEXT(B2516,"[$-1170401]mm")),""))</f>
        <v/>
      </c>
    </row>
    <row r="2517">
      <c r="B2517" s="30" t="n"/>
      <c r="G2517" s="9">
        <f>IF(AND(E2517&lt;&gt;"",E2517&lt;&gt;0,H2517&lt;&gt;""),H2517/E2517,"")</f>
        <v/>
      </c>
      <c r="L2517">
        <f>IF(B2517="","",IFERROR(VALUE(TEXT(B2517,"[$-1170401]yyyy")),""))</f>
        <v/>
      </c>
      <c r="M2517">
        <f>IF(B2517="","",IFERROR(VALUE(TEXT(B2517,"[$-1170401]mm")),""))</f>
        <v/>
      </c>
    </row>
    <row r="2518">
      <c r="B2518" s="30" t="n"/>
      <c r="G2518" s="9">
        <f>IF(AND(E2518&lt;&gt;"",E2518&lt;&gt;0,H2518&lt;&gt;""),H2518/E2518,"")</f>
        <v/>
      </c>
      <c r="L2518">
        <f>IF(B2518="","",IFERROR(VALUE(TEXT(B2518,"[$-1170401]yyyy")),""))</f>
        <v/>
      </c>
      <c r="M2518">
        <f>IF(B2518="","",IFERROR(VALUE(TEXT(B2518,"[$-1170401]mm")),""))</f>
        <v/>
      </c>
    </row>
    <row r="2519">
      <c r="B2519" s="30" t="n"/>
      <c r="G2519" s="9">
        <f>IF(AND(E2519&lt;&gt;"",E2519&lt;&gt;0,H2519&lt;&gt;""),H2519/E2519,"")</f>
        <v/>
      </c>
      <c r="L2519">
        <f>IF(B2519="","",IFERROR(VALUE(TEXT(B2519,"[$-1170401]yyyy")),""))</f>
        <v/>
      </c>
      <c r="M2519">
        <f>IF(B2519="","",IFERROR(VALUE(TEXT(B2519,"[$-1170401]mm")),""))</f>
        <v/>
      </c>
    </row>
    <row r="2520">
      <c r="B2520" s="30" t="n"/>
      <c r="G2520" s="9">
        <f>IF(AND(E2520&lt;&gt;"",E2520&lt;&gt;0,H2520&lt;&gt;""),H2520/E2520,"")</f>
        <v/>
      </c>
      <c r="L2520">
        <f>IF(B2520="","",IFERROR(VALUE(TEXT(B2520,"[$-1170401]yyyy")),""))</f>
        <v/>
      </c>
      <c r="M2520">
        <f>IF(B2520="","",IFERROR(VALUE(TEXT(B2520,"[$-1170401]mm")),""))</f>
        <v/>
      </c>
    </row>
    <row r="2521">
      <c r="B2521" s="30" t="n"/>
      <c r="G2521" s="9">
        <f>IF(AND(E2521&lt;&gt;"",E2521&lt;&gt;0,H2521&lt;&gt;""),H2521/E2521,"")</f>
        <v/>
      </c>
      <c r="L2521">
        <f>IF(B2521="","",IFERROR(VALUE(TEXT(B2521,"[$-1170401]yyyy")),""))</f>
        <v/>
      </c>
      <c r="M2521">
        <f>IF(B2521="","",IFERROR(VALUE(TEXT(B2521,"[$-1170401]mm")),""))</f>
        <v/>
      </c>
    </row>
    <row r="2522">
      <c r="B2522" s="30" t="n"/>
      <c r="G2522" s="9">
        <f>IF(AND(E2522&lt;&gt;"",E2522&lt;&gt;0,H2522&lt;&gt;""),H2522/E2522,"")</f>
        <v/>
      </c>
      <c r="L2522">
        <f>IF(B2522="","",IFERROR(VALUE(TEXT(B2522,"[$-1170401]yyyy")),""))</f>
        <v/>
      </c>
      <c r="M2522">
        <f>IF(B2522="","",IFERROR(VALUE(TEXT(B2522,"[$-1170401]mm")),""))</f>
        <v/>
      </c>
    </row>
    <row r="2523">
      <c r="B2523" s="30" t="n"/>
      <c r="G2523" s="9">
        <f>IF(AND(E2523&lt;&gt;"",E2523&lt;&gt;0,H2523&lt;&gt;""),H2523/E2523,"")</f>
        <v/>
      </c>
      <c r="L2523">
        <f>IF(B2523="","",IFERROR(VALUE(TEXT(B2523,"[$-1170401]yyyy")),""))</f>
        <v/>
      </c>
      <c r="M2523">
        <f>IF(B2523="","",IFERROR(VALUE(TEXT(B2523,"[$-1170401]mm")),""))</f>
        <v/>
      </c>
    </row>
    <row r="2524">
      <c r="B2524" s="30" t="n"/>
      <c r="G2524" s="9">
        <f>IF(AND(E2524&lt;&gt;"",E2524&lt;&gt;0,H2524&lt;&gt;""),H2524/E2524,"")</f>
        <v/>
      </c>
      <c r="L2524">
        <f>IF(B2524="","",IFERROR(VALUE(TEXT(B2524,"[$-1170401]yyyy")),""))</f>
        <v/>
      </c>
      <c r="M2524">
        <f>IF(B2524="","",IFERROR(VALUE(TEXT(B2524,"[$-1170401]mm")),""))</f>
        <v/>
      </c>
    </row>
    <row r="2525">
      <c r="B2525" s="30" t="n"/>
      <c r="G2525" s="9">
        <f>IF(AND(E2525&lt;&gt;"",E2525&lt;&gt;0,H2525&lt;&gt;""),H2525/E2525,"")</f>
        <v/>
      </c>
      <c r="L2525">
        <f>IF(B2525="","",IFERROR(VALUE(TEXT(B2525,"[$-1170401]yyyy")),""))</f>
        <v/>
      </c>
      <c r="M2525">
        <f>IF(B2525="","",IFERROR(VALUE(TEXT(B2525,"[$-1170401]mm")),""))</f>
        <v/>
      </c>
    </row>
    <row r="2526">
      <c r="B2526" s="30" t="n"/>
      <c r="G2526" s="9">
        <f>IF(AND(E2526&lt;&gt;"",E2526&lt;&gt;0,H2526&lt;&gt;""),H2526/E2526,"")</f>
        <v/>
      </c>
      <c r="L2526">
        <f>IF(B2526="","",IFERROR(VALUE(TEXT(B2526,"[$-1170401]yyyy")),""))</f>
        <v/>
      </c>
      <c r="M2526">
        <f>IF(B2526="","",IFERROR(VALUE(TEXT(B2526,"[$-1170401]mm")),""))</f>
        <v/>
      </c>
    </row>
    <row r="2527">
      <c r="B2527" s="30" t="n"/>
      <c r="G2527" s="9">
        <f>IF(AND(E2527&lt;&gt;"",E2527&lt;&gt;0,H2527&lt;&gt;""),H2527/E2527,"")</f>
        <v/>
      </c>
      <c r="L2527">
        <f>IF(B2527="","",IFERROR(VALUE(TEXT(B2527,"[$-1170401]yyyy")),""))</f>
        <v/>
      </c>
      <c r="M2527">
        <f>IF(B2527="","",IFERROR(VALUE(TEXT(B2527,"[$-1170401]mm")),""))</f>
        <v/>
      </c>
    </row>
    <row r="2528">
      <c r="B2528" s="30" t="n"/>
      <c r="G2528" s="9">
        <f>IF(AND(E2528&lt;&gt;"",E2528&lt;&gt;0,H2528&lt;&gt;""),H2528/E2528,"")</f>
        <v/>
      </c>
      <c r="L2528">
        <f>IF(B2528="","",IFERROR(VALUE(TEXT(B2528,"[$-1170401]yyyy")),""))</f>
        <v/>
      </c>
      <c r="M2528">
        <f>IF(B2528="","",IFERROR(VALUE(TEXT(B2528,"[$-1170401]mm")),""))</f>
        <v/>
      </c>
    </row>
    <row r="2529">
      <c r="B2529" s="30" t="n"/>
      <c r="G2529" s="9">
        <f>IF(AND(E2529&lt;&gt;"",E2529&lt;&gt;0,H2529&lt;&gt;""),H2529/E2529,"")</f>
        <v/>
      </c>
      <c r="L2529">
        <f>IF(B2529="","",IFERROR(VALUE(TEXT(B2529,"[$-1170401]yyyy")),""))</f>
        <v/>
      </c>
      <c r="M2529">
        <f>IF(B2529="","",IFERROR(VALUE(TEXT(B2529,"[$-1170401]mm")),""))</f>
        <v/>
      </c>
    </row>
    <row r="2530">
      <c r="B2530" s="30" t="n"/>
      <c r="G2530" s="9">
        <f>IF(AND(E2530&lt;&gt;"",E2530&lt;&gt;0,H2530&lt;&gt;""),H2530/E2530,"")</f>
        <v/>
      </c>
      <c r="L2530">
        <f>IF(B2530="","",IFERROR(VALUE(TEXT(B2530,"[$-1170401]yyyy")),""))</f>
        <v/>
      </c>
      <c r="M2530">
        <f>IF(B2530="","",IFERROR(VALUE(TEXT(B2530,"[$-1170401]mm")),""))</f>
        <v/>
      </c>
    </row>
    <row r="2531">
      <c r="B2531" s="30" t="n"/>
      <c r="G2531" s="9">
        <f>IF(AND(E2531&lt;&gt;"",E2531&lt;&gt;0,H2531&lt;&gt;""),H2531/E2531,"")</f>
        <v/>
      </c>
      <c r="L2531">
        <f>IF(B2531="","",IFERROR(VALUE(TEXT(B2531,"[$-1170401]yyyy")),""))</f>
        <v/>
      </c>
      <c r="M2531">
        <f>IF(B2531="","",IFERROR(VALUE(TEXT(B2531,"[$-1170401]mm")),""))</f>
        <v/>
      </c>
    </row>
    <row r="2532">
      <c r="B2532" s="30" t="n"/>
      <c r="G2532" s="9">
        <f>IF(AND(E2532&lt;&gt;"",E2532&lt;&gt;0,H2532&lt;&gt;""),H2532/E2532,"")</f>
        <v/>
      </c>
      <c r="L2532">
        <f>IF(B2532="","",IFERROR(VALUE(TEXT(B2532,"[$-1170401]yyyy")),""))</f>
        <v/>
      </c>
      <c r="M2532">
        <f>IF(B2532="","",IFERROR(VALUE(TEXT(B2532,"[$-1170401]mm")),""))</f>
        <v/>
      </c>
    </row>
    <row r="2533">
      <c r="B2533" s="30" t="n"/>
      <c r="G2533" s="9">
        <f>IF(AND(E2533&lt;&gt;"",E2533&lt;&gt;0,H2533&lt;&gt;""),H2533/E2533,"")</f>
        <v/>
      </c>
      <c r="L2533">
        <f>IF(B2533="","",IFERROR(VALUE(TEXT(B2533,"[$-1170401]yyyy")),""))</f>
        <v/>
      </c>
      <c r="M2533">
        <f>IF(B2533="","",IFERROR(VALUE(TEXT(B2533,"[$-1170401]mm")),""))</f>
        <v/>
      </c>
    </row>
    <row r="2534">
      <c r="B2534" s="30" t="n"/>
      <c r="G2534" s="9">
        <f>IF(AND(E2534&lt;&gt;"",E2534&lt;&gt;0,H2534&lt;&gt;""),H2534/E2534,"")</f>
        <v/>
      </c>
      <c r="L2534">
        <f>IF(B2534="","",IFERROR(VALUE(TEXT(B2534,"[$-1170401]yyyy")),""))</f>
        <v/>
      </c>
      <c r="M2534">
        <f>IF(B2534="","",IFERROR(VALUE(TEXT(B2534,"[$-1170401]mm")),""))</f>
        <v/>
      </c>
    </row>
    <row r="2535">
      <c r="B2535" s="30" t="n"/>
      <c r="G2535" s="9">
        <f>IF(AND(E2535&lt;&gt;"",E2535&lt;&gt;0,H2535&lt;&gt;""),H2535/E2535,"")</f>
        <v/>
      </c>
      <c r="L2535">
        <f>IF(B2535="","",IFERROR(VALUE(TEXT(B2535,"[$-1170401]yyyy")),""))</f>
        <v/>
      </c>
      <c r="M2535">
        <f>IF(B2535="","",IFERROR(VALUE(TEXT(B2535,"[$-1170401]mm")),""))</f>
        <v/>
      </c>
    </row>
    <row r="2536">
      <c r="B2536" s="30" t="n"/>
      <c r="G2536" s="9">
        <f>IF(AND(E2536&lt;&gt;"",E2536&lt;&gt;0,H2536&lt;&gt;""),H2536/E2536,"")</f>
        <v/>
      </c>
      <c r="L2536">
        <f>IF(B2536="","",IFERROR(VALUE(TEXT(B2536,"[$-1170401]yyyy")),""))</f>
        <v/>
      </c>
      <c r="M2536">
        <f>IF(B2536="","",IFERROR(VALUE(TEXT(B2536,"[$-1170401]mm")),""))</f>
        <v/>
      </c>
    </row>
    <row r="2537">
      <c r="B2537" s="30" t="n"/>
      <c r="G2537" s="9">
        <f>IF(AND(E2537&lt;&gt;"",E2537&lt;&gt;0,H2537&lt;&gt;""),H2537/E2537,"")</f>
        <v/>
      </c>
      <c r="L2537">
        <f>IF(B2537="","",IFERROR(VALUE(TEXT(B2537,"[$-1170401]yyyy")),""))</f>
        <v/>
      </c>
      <c r="M2537">
        <f>IF(B2537="","",IFERROR(VALUE(TEXT(B2537,"[$-1170401]mm")),""))</f>
        <v/>
      </c>
    </row>
    <row r="2538">
      <c r="B2538" s="30" t="n"/>
      <c r="G2538" s="9">
        <f>IF(AND(E2538&lt;&gt;"",E2538&lt;&gt;0,H2538&lt;&gt;""),H2538/E2538,"")</f>
        <v/>
      </c>
      <c r="L2538">
        <f>IF(B2538="","",IFERROR(VALUE(TEXT(B2538,"[$-1170401]yyyy")),""))</f>
        <v/>
      </c>
      <c r="M2538">
        <f>IF(B2538="","",IFERROR(VALUE(TEXT(B2538,"[$-1170401]mm")),""))</f>
        <v/>
      </c>
    </row>
    <row r="2539">
      <c r="B2539" s="30" t="n"/>
      <c r="G2539" s="9">
        <f>IF(AND(E2539&lt;&gt;"",E2539&lt;&gt;0,H2539&lt;&gt;""),H2539/E2539,"")</f>
        <v/>
      </c>
      <c r="L2539">
        <f>IF(B2539="","",IFERROR(VALUE(TEXT(B2539,"[$-1170401]yyyy")),""))</f>
        <v/>
      </c>
      <c r="M2539">
        <f>IF(B2539="","",IFERROR(VALUE(TEXT(B2539,"[$-1170401]mm")),""))</f>
        <v/>
      </c>
    </row>
    <row r="2540">
      <c r="B2540" s="30" t="n"/>
      <c r="G2540" s="9">
        <f>IF(AND(E2540&lt;&gt;"",E2540&lt;&gt;0,H2540&lt;&gt;""),H2540/E2540,"")</f>
        <v/>
      </c>
      <c r="L2540">
        <f>IF(B2540="","",IFERROR(VALUE(TEXT(B2540,"[$-1170401]yyyy")),""))</f>
        <v/>
      </c>
      <c r="M2540">
        <f>IF(B2540="","",IFERROR(VALUE(TEXT(B2540,"[$-1170401]mm")),""))</f>
        <v/>
      </c>
    </row>
    <row r="2541">
      <c r="B2541" s="30" t="n"/>
      <c r="G2541" s="9">
        <f>IF(AND(E2541&lt;&gt;"",E2541&lt;&gt;0,H2541&lt;&gt;""),H2541/E2541,"")</f>
        <v/>
      </c>
      <c r="L2541">
        <f>IF(B2541="","",IFERROR(VALUE(TEXT(B2541,"[$-1170401]yyyy")),""))</f>
        <v/>
      </c>
      <c r="M2541">
        <f>IF(B2541="","",IFERROR(VALUE(TEXT(B2541,"[$-1170401]mm")),""))</f>
        <v/>
      </c>
    </row>
    <row r="2542">
      <c r="B2542" s="30" t="n"/>
      <c r="G2542" s="9">
        <f>IF(AND(E2542&lt;&gt;"",E2542&lt;&gt;0,H2542&lt;&gt;""),H2542/E2542,"")</f>
        <v/>
      </c>
      <c r="L2542">
        <f>IF(B2542="","",IFERROR(VALUE(TEXT(B2542,"[$-1170401]yyyy")),""))</f>
        <v/>
      </c>
      <c r="M2542">
        <f>IF(B2542="","",IFERROR(VALUE(TEXT(B2542,"[$-1170401]mm")),""))</f>
        <v/>
      </c>
    </row>
    <row r="2543">
      <c r="B2543" s="30" t="n"/>
      <c r="G2543" s="9">
        <f>IF(AND(E2543&lt;&gt;"",E2543&lt;&gt;0,H2543&lt;&gt;""),H2543/E2543,"")</f>
        <v/>
      </c>
      <c r="L2543">
        <f>IF(B2543="","",IFERROR(VALUE(TEXT(B2543,"[$-1170401]yyyy")),""))</f>
        <v/>
      </c>
      <c r="M2543">
        <f>IF(B2543="","",IFERROR(VALUE(TEXT(B2543,"[$-1170401]mm")),""))</f>
        <v/>
      </c>
    </row>
    <row r="2544">
      <c r="B2544" s="30" t="n"/>
      <c r="G2544" s="9">
        <f>IF(AND(E2544&lt;&gt;"",E2544&lt;&gt;0,H2544&lt;&gt;""),H2544/E2544,"")</f>
        <v/>
      </c>
      <c r="L2544">
        <f>IF(B2544="","",IFERROR(VALUE(TEXT(B2544,"[$-1170401]yyyy")),""))</f>
        <v/>
      </c>
      <c r="M2544">
        <f>IF(B2544="","",IFERROR(VALUE(TEXT(B2544,"[$-1170401]mm")),""))</f>
        <v/>
      </c>
    </row>
    <row r="2545">
      <c r="B2545" s="30" t="n"/>
      <c r="G2545" s="9">
        <f>IF(AND(E2545&lt;&gt;"",E2545&lt;&gt;0,H2545&lt;&gt;""),H2545/E2545,"")</f>
        <v/>
      </c>
      <c r="L2545">
        <f>IF(B2545="","",IFERROR(VALUE(TEXT(B2545,"[$-1170401]yyyy")),""))</f>
        <v/>
      </c>
      <c r="M2545">
        <f>IF(B2545="","",IFERROR(VALUE(TEXT(B2545,"[$-1170401]mm")),""))</f>
        <v/>
      </c>
    </row>
    <row r="2546">
      <c r="B2546" s="30" t="n"/>
      <c r="G2546" s="9">
        <f>IF(AND(E2546&lt;&gt;"",E2546&lt;&gt;0,H2546&lt;&gt;""),H2546/E2546,"")</f>
        <v/>
      </c>
      <c r="L2546">
        <f>IF(B2546="","",IFERROR(VALUE(TEXT(B2546,"[$-1170401]yyyy")),""))</f>
        <v/>
      </c>
      <c r="M2546">
        <f>IF(B2546="","",IFERROR(VALUE(TEXT(B2546,"[$-1170401]mm")),""))</f>
        <v/>
      </c>
    </row>
    <row r="2547">
      <c r="B2547" s="30" t="n"/>
      <c r="G2547" s="9">
        <f>IF(AND(E2547&lt;&gt;"",E2547&lt;&gt;0,H2547&lt;&gt;""),H2547/E2547,"")</f>
        <v/>
      </c>
      <c r="L2547">
        <f>IF(B2547="","",IFERROR(VALUE(TEXT(B2547,"[$-1170401]yyyy")),""))</f>
        <v/>
      </c>
      <c r="M2547">
        <f>IF(B2547="","",IFERROR(VALUE(TEXT(B2547,"[$-1170401]mm")),""))</f>
        <v/>
      </c>
    </row>
    <row r="2548">
      <c r="B2548" s="30" t="n"/>
      <c r="G2548" s="9">
        <f>IF(AND(E2548&lt;&gt;"",E2548&lt;&gt;0,H2548&lt;&gt;""),H2548/E2548,"")</f>
        <v/>
      </c>
      <c r="L2548">
        <f>IF(B2548="","",IFERROR(VALUE(TEXT(B2548,"[$-1170401]yyyy")),""))</f>
        <v/>
      </c>
      <c r="M2548">
        <f>IF(B2548="","",IFERROR(VALUE(TEXT(B2548,"[$-1170401]mm")),""))</f>
        <v/>
      </c>
    </row>
    <row r="2549">
      <c r="B2549" s="30" t="n"/>
      <c r="G2549" s="9">
        <f>IF(AND(E2549&lt;&gt;"",E2549&lt;&gt;0,H2549&lt;&gt;""),H2549/E2549,"")</f>
        <v/>
      </c>
      <c r="L2549">
        <f>IF(B2549="","",IFERROR(VALUE(TEXT(B2549,"[$-1170401]yyyy")),""))</f>
        <v/>
      </c>
      <c r="M2549">
        <f>IF(B2549="","",IFERROR(VALUE(TEXT(B2549,"[$-1170401]mm")),""))</f>
        <v/>
      </c>
    </row>
    <row r="2550">
      <c r="B2550" s="30" t="n"/>
      <c r="G2550" s="9">
        <f>IF(AND(E2550&lt;&gt;"",E2550&lt;&gt;0,H2550&lt;&gt;""),H2550/E2550,"")</f>
        <v/>
      </c>
      <c r="L2550">
        <f>IF(B2550="","",IFERROR(VALUE(TEXT(B2550,"[$-1170401]yyyy")),""))</f>
        <v/>
      </c>
      <c r="M2550">
        <f>IF(B2550="","",IFERROR(VALUE(TEXT(B2550,"[$-1170401]mm")),""))</f>
        <v/>
      </c>
    </row>
    <row r="2551">
      <c r="B2551" s="30" t="n"/>
      <c r="G2551" s="9">
        <f>IF(AND(E2551&lt;&gt;"",E2551&lt;&gt;0,H2551&lt;&gt;""),H2551/E2551,"")</f>
        <v/>
      </c>
      <c r="L2551">
        <f>IF(B2551="","",IFERROR(VALUE(TEXT(B2551,"[$-1170401]yyyy")),""))</f>
        <v/>
      </c>
      <c r="M2551">
        <f>IF(B2551="","",IFERROR(VALUE(TEXT(B2551,"[$-1170401]mm")),""))</f>
        <v/>
      </c>
    </row>
    <row r="2552">
      <c r="B2552" s="30" t="n"/>
      <c r="G2552" s="9">
        <f>IF(AND(E2552&lt;&gt;"",E2552&lt;&gt;0,H2552&lt;&gt;""),H2552/E2552,"")</f>
        <v/>
      </c>
      <c r="L2552">
        <f>IF(B2552="","",IFERROR(VALUE(TEXT(B2552,"[$-1170401]yyyy")),""))</f>
        <v/>
      </c>
      <c r="M2552">
        <f>IF(B2552="","",IFERROR(VALUE(TEXT(B2552,"[$-1170401]mm")),""))</f>
        <v/>
      </c>
    </row>
    <row r="2553">
      <c r="B2553" s="30" t="n"/>
      <c r="G2553" s="9">
        <f>IF(AND(E2553&lt;&gt;"",E2553&lt;&gt;0,H2553&lt;&gt;""),H2553/E2553,"")</f>
        <v/>
      </c>
      <c r="L2553">
        <f>IF(B2553="","",IFERROR(VALUE(TEXT(B2553,"[$-1170401]yyyy")),""))</f>
        <v/>
      </c>
      <c r="M2553">
        <f>IF(B2553="","",IFERROR(VALUE(TEXT(B2553,"[$-1170401]mm")),""))</f>
        <v/>
      </c>
    </row>
    <row r="2554">
      <c r="B2554" s="30" t="n"/>
      <c r="G2554" s="9">
        <f>IF(AND(E2554&lt;&gt;"",E2554&lt;&gt;0,H2554&lt;&gt;""),H2554/E2554,"")</f>
        <v/>
      </c>
      <c r="L2554">
        <f>IF(B2554="","",IFERROR(VALUE(TEXT(B2554,"[$-1170401]yyyy")),""))</f>
        <v/>
      </c>
      <c r="M2554">
        <f>IF(B2554="","",IFERROR(VALUE(TEXT(B2554,"[$-1170401]mm")),""))</f>
        <v/>
      </c>
    </row>
    <row r="2555">
      <c r="B2555" s="30" t="n"/>
      <c r="G2555" s="9">
        <f>IF(AND(E2555&lt;&gt;"",E2555&lt;&gt;0,H2555&lt;&gt;""),H2555/E2555,"")</f>
        <v/>
      </c>
      <c r="L2555">
        <f>IF(B2555="","",IFERROR(VALUE(TEXT(B2555,"[$-1170401]yyyy")),""))</f>
        <v/>
      </c>
      <c r="M2555">
        <f>IF(B2555="","",IFERROR(VALUE(TEXT(B2555,"[$-1170401]mm")),""))</f>
        <v/>
      </c>
    </row>
    <row r="2556">
      <c r="B2556" s="30" t="n"/>
      <c r="G2556" s="9">
        <f>IF(AND(E2556&lt;&gt;"",E2556&lt;&gt;0,H2556&lt;&gt;""),H2556/E2556,"")</f>
        <v/>
      </c>
      <c r="L2556">
        <f>IF(B2556="","",IFERROR(VALUE(TEXT(B2556,"[$-1170401]yyyy")),""))</f>
        <v/>
      </c>
      <c r="M2556">
        <f>IF(B2556="","",IFERROR(VALUE(TEXT(B2556,"[$-1170401]mm")),""))</f>
        <v/>
      </c>
    </row>
    <row r="2557">
      <c r="B2557" s="30" t="n"/>
      <c r="G2557" s="9">
        <f>IF(AND(E2557&lt;&gt;"",E2557&lt;&gt;0,H2557&lt;&gt;""),H2557/E2557,"")</f>
        <v/>
      </c>
      <c r="L2557">
        <f>IF(B2557="","",IFERROR(VALUE(TEXT(B2557,"[$-1170401]yyyy")),""))</f>
        <v/>
      </c>
      <c r="M2557">
        <f>IF(B2557="","",IFERROR(VALUE(TEXT(B2557,"[$-1170401]mm")),""))</f>
        <v/>
      </c>
    </row>
    <row r="2558">
      <c r="B2558" s="30" t="n"/>
      <c r="G2558" s="9">
        <f>IF(AND(E2558&lt;&gt;"",E2558&lt;&gt;0,H2558&lt;&gt;""),H2558/E2558,"")</f>
        <v/>
      </c>
      <c r="L2558">
        <f>IF(B2558="","",IFERROR(VALUE(TEXT(B2558,"[$-1170401]yyyy")),""))</f>
        <v/>
      </c>
      <c r="M2558">
        <f>IF(B2558="","",IFERROR(VALUE(TEXT(B2558,"[$-1170401]mm")),""))</f>
        <v/>
      </c>
    </row>
    <row r="2559">
      <c r="B2559" s="30" t="n"/>
      <c r="G2559" s="9">
        <f>IF(AND(E2559&lt;&gt;"",E2559&lt;&gt;0,H2559&lt;&gt;""),H2559/E2559,"")</f>
        <v/>
      </c>
      <c r="L2559">
        <f>IF(B2559="","",IFERROR(VALUE(TEXT(B2559,"[$-1170401]yyyy")),""))</f>
        <v/>
      </c>
      <c r="M2559">
        <f>IF(B2559="","",IFERROR(VALUE(TEXT(B2559,"[$-1170401]mm")),""))</f>
        <v/>
      </c>
    </row>
    <row r="2560">
      <c r="B2560" s="30" t="n"/>
      <c r="G2560" s="9">
        <f>IF(AND(E2560&lt;&gt;"",E2560&lt;&gt;0,H2560&lt;&gt;""),H2560/E2560,"")</f>
        <v/>
      </c>
      <c r="L2560">
        <f>IF(B2560="","",IFERROR(VALUE(TEXT(B2560,"[$-1170401]yyyy")),""))</f>
        <v/>
      </c>
      <c r="M2560">
        <f>IF(B2560="","",IFERROR(VALUE(TEXT(B2560,"[$-1170401]mm")),""))</f>
        <v/>
      </c>
    </row>
    <row r="2561">
      <c r="B2561" s="30" t="n"/>
      <c r="G2561" s="9">
        <f>IF(AND(E2561&lt;&gt;"",E2561&lt;&gt;0,H2561&lt;&gt;""),H2561/E2561,"")</f>
        <v/>
      </c>
      <c r="L2561">
        <f>IF(B2561="","",IFERROR(VALUE(TEXT(B2561,"[$-1170401]yyyy")),""))</f>
        <v/>
      </c>
      <c r="M2561">
        <f>IF(B2561="","",IFERROR(VALUE(TEXT(B2561,"[$-1170401]mm")),""))</f>
        <v/>
      </c>
    </row>
    <row r="2562">
      <c r="B2562" s="30" t="n"/>
      <c r="G2562" s="9">
        <f>IF(AND(E2562&lt;&gt;"",E2562&lt;&gt;0,H2562&lt;&gt;""),H2562/E2562,"")</f>
        <v/>
      </c>
      <c r="L2562">
        <f>IF(B2562="","",IFERROR(VALUE(TEXT(B2562,"[$-1170401]yyyy")),""))</f>
        <v/>
      </c>
      <c r="M2562">
        <f>IF(B2562="","",IFERROR(VALUE(TEXT(B2562,"[$-1170401]mm")),""))</f>
        <v/>
      </c>
    </row>
    <row r="2563">
      <c r="B2563" s="30" t="n"/>
      <c r="G2563" s="9">
        <f>IF(AND(E2563&lt;&gt;"",E2563&lt;&gt;0,H2563&lt;&gt;""),H2563/E2563,"")</f>
        <v/>
      </c>
      <c r="L2563">
        <f>IF(B2563="","",IFERROR(VALUE(TEXT(B2563,"[$-1170401]yyyy")),""))</f>
        <v/>
      </c>
      <c r="M2563">
        <f>IF(B2563="","",IFERROR(VALUE(TEXT(B2563,"[$-1170401]mm")),""))</f>
        <v/>
      </c>
    </row>
    <row r="2564">
      <c r="B2564" s="30" t="n"/>
      <c r="G2564" s="9">
        <f>IF(AND(E2564&lt;&gt;"",E2564&lt;&gt;0,H2564&lt;&gt;""),H2564/E2564,"")</f>
        <v/>
      </c>
      <c r="L2564">
        <f>IF(B2564="","",IFERROR(VALUE(TEXT(B2564,"[$-1170401]yyyy")),""))</f>
        <v/>
      </c>
      <c r="M2564">
        <f>IF(B2564="","",IFERROR(VALUE(TEXT(B2564,"[$-1170401]mm")),""))</f>
        <v/>
      </c>
    </row>
    <row r="2565">
      <c r="B2565" s="30" t="n"/>
      <c r="G2565" s="9">
        <f>IF(AND(E2565&lt;&gt;"",E2565&lt;&gt;0,H2565&lt;&gt;""),H2565/E2565,"")</f>
        <v/>
      </c>
      <c r="L2565">
        <f>IF(B2565="","",IFERROR(VALUE(TEXT(B2565,"[$-1170401]yyyy")),""))</f>
        <v/>
      </c>
      <c r="M2565">
        <f>IF(B2565="","",IFERROR(VALUE(TEXT(B2565,"[$-1170401]mm")),""))</f>
        <v/>
      </c>
    </row>
    <row r="2566">
      <c r="B2566" s="30" t="n"/>
      <c r="G2566" s="9">
        <f>IF(AND(E2566&lt;&gt;"",E2566&lt;&gt;0,H2566&lt;&gt;""),H2566/E2566,"")</f>
        <v/>
      </c>
      <c r="L2566">
        <f>IF(B2566="","",IFERROR(VALUE(TEXT(B2566,"[$-1170401]yyyy")),""))</f>
        <v/>
      </c>
      <c r="M2566">
        <f>IF(B2566="","",IFERROR(VALUE(TEXT(B2566,"[$-1170401]mm")),""))</f>
        <v/>
      </c>
    </row>
    <row r="2567">
      <c r="B2567" s="30" t="n"/>
      <c r="G2567" s="9">
        <f>IF(AND(E2567&lt;&gt;"",E2567&lt;&gt;0,H2567&lt;&gt;""),H2567/E2567,"")</f>
        <v/>
      </c>
      <c r="L2567">
        <f>IF(B2567="","",IFERROR(VALUE(TEXT(B2567,"[$-1170401]yyyy")),""))</f>
        <v/>
      </c>
      <c r="M2567">
        <f>IF(B2567="","",IFERROR(VALUE(TEXT(B2567,"[$-1170401]mm")),""))</f>
        <v/>
      </c>
    </row>
    <row r="2568">
      <c r="B2568" s="30" t="n"/>
      <c r="G2568" s="9">
        <f>IF(AND(E2568&lt;&gt;"",E2568&lt;&gt;0,H2568&lt;&gt;""),H2568/E2568,"")</f>
        <v/>
      </c>
      <c r="L2568">
        <f>IF(B2568="","",IFERROR(VALUE(TEXT(B2568,"[$-1170401]yyyy")),""))</f>
        <v/>
      </c>
      <c r="M2568">
        <f>IF(B2568="","",IFERROR(VALUE(TEXT(B2568,"[$-1170401]mm")),""))</f>
        <v/>
      </c>
    </row>
    <row r="2569">
      <c r="B2569" s="30" t="n"/>
      <c r="G2569" s="9">
        <f>IF(AND(E2569&lt;&gt;"",E2569&lt;&gt;0,H2569&lt;&gt;""),H2569/E2569,"")</f>
        <v/>
      </c>
      <c r="L2569">
        <f>IF(B2569="","",IFERROR(VALUE(TEXT(B2569,"[$-1170401]yyyy")),""))</f>
        <v/>
      </c>
      <c r="M2569">
        <f>IF(B2569="","",IFERROR(VALUE(TEXT(B2569,"[$-1170401]mm")),""))</f>
        <v/>
      </c>
    </row>
    <row r="2570">
      <c r="B2570" s="30" t="n"/>
      <c r="G2570" s="9">
        <f>IF(AND(E2570&lt;&gt;"",E2570&lt;&gt;0,H2570&lt;&gt;""),H2570/E2570,"")</f>
        <v/>
      </c>
      <c r="L2570">
        <f>IF(B2570="","",IFERROR(VALUE(TEXT(B2570,"[$-1170401]yyyy")),""))</f>
        <v/>
      </c>
      <c r="M2570">
        <f>IF(B2570="","",IFERROR(VALUE(TEXT(B2570,"[$-1170401]mm")),""))</f>
        <v/>
      </c>
    </row>
    <row r="2571">
      <c r="B2571" s="30" t="n"/>
      <c r="G2571" s="9">
        <f>IF(AND(E2571&lt;&gt;"",E2571&lt;&gt;0,H2571&lt;&gt;""),H2571/E2571,"")</f>
        <v/>
      </c>
      <c r="L2571">
        <f>IF(B2571="","",IFERROR(VALUE(TEXT(B2571,"[$-1170401]yyyy")),""))</f>
        <v/>
      </c>
      <c r="M2571">
        <f>IF(B2571="","",IFERROR(VALUE(TEXT(B2571,"[$-1170401]mm")),""))</f>
        <v/>
      </c>
    </row>
    <row r="2572">
      <c r="B2572" s="30" t="n"/>
      <c r="G2572" s="9">
        <f>IF(AND(E2572&lt;&gt;"",E2572&lt;&gt;0,H2572&lt;&gt;""),H2572/E2572,"")</f>
        <v/>
      </c>
      <c r="L2572">
        <f>IF(B2572="","",IFERROR(VALUE(TEXT(B2572,"[$-1170401]yyyy")),""))</f>
        <v/>
      </c>
      <c r="M2572">
        <f>IF(B2572="","",IFERROR(VALUE(TEXT(B2572,"[$-1170401]mm")),""))</f>
        <v/>
      </c>
    </row>
    <row r="2573">
      <c r="B2573" s="30" t="n"/>
      <c r="G2573" s="9">
        <f>IF(AND(E2573&lt;&gt;"",E2573&lt;&gt;0,H2573&lt;&gt;""),H2573/E2573,"")</f>
        <v/>
      </c>
      <c r="L2573">
        <f>IF(B2573="","",IFERROR(VALUE(TEXT(B2573,"[$-1170401]yyyy")),""))</f>
        <v/>
      </c>
      <c r="M2573">
        <f>IF(B2573="","",IFERROR(VALUE(TEXT(B2573,"[$-1170401]mm")),""))</f>
        <v/>
      </c>
    </row>
    <row r="2574">
      <c r="B2574" s="30" t="n"/>
      <c r="G2574" s="9">
        <f>IF(AND(E2574&lt;&gt;"",E2574&lt;&gt;0,H2574&lt;&gt;""),H2574/E2574,"")</f>
        <v/>
      </c>
      <c r="L2574">
        <f>IF(B2574="","",IFERROR(VALUE(TEXT(B2574,"[$-1170401]yyyy")),""))</f>
        <v/>
      </c>
      <c r="M2574">
        <f>IF(B2574="","",IFERROR(VALUE(TEXT(B2574,"[$-1170401]mm")),""))</f>
        <v/>
      </c>
    </row>
    <row r="2575">
      <c r="B2575" s="30" t="n"/>
      <c r="G2575" s="9">
        <f>IF(AND(E2575&lt;&gt;"",E2575&lt;&gt;0,H2575&lt;&gt;""),H2575/E2575,"")</f>
        <v/>
      </c>
      <c r="L2575">
        <f>IF(B2575="","",IFERROR(VALUE(TEXT(B2575,"[$-1170401]yyyy")),""))</f>
        <v/>
      </c>
      <c r="M2575">
        <f>IF(B2575="","",IFERROR(VALUE(TEXT(B2575,"[$-1170401]mm")),""))</f>
        <v/>
      </c>
    </row>
    <row r="2576">
      <c r="B2576" s="30" t="n"/>
      <c r="G2576" s="9">
        <f>IF(AND(E2576&lt;&gt;"",E2576&lt;&gt;0,H2576&lt;&gt;""),H2576/E2576,"")</f>
        <v/>
      </c>
      <c r="L2576">
        <f>IF(B2576="","",IFERROR(VALUE(TEXT(B2576,"[$-1170401]yyyy")),""))</f>
        <v/>
      </c>
      <c r="M2576">
        <f>IF(B2576="","",IFERROR(VALUE(TEXT(B2576,"[$-1170401]mm")),""))</f>
        <v/>
      </c>
    </row>
    <row r="2577">
      <c r="B2577" s="30" t="n"/>
      <c r="G2577" s="9">
        <f>IF(AND(E2577&lt;&gt;"",E2577&lt;&gt;0,H2577&lt;&gt;""),H2577/E2577,"")</f>
        <v/>
      </c>
      <c r="L2577">
        <f>IF(B2577="","",IFERROR(VALUE(TEXT(B2577,"[$-1170401]yyyy")),""))</f>
        <v/>
      </c>
      <c r="M2577">
        <f>IF(B2577="","",IFERROR(VALUE(TEXT(B2577,"[$-1170401]mm")),""))</f>
        <v/>
      </c>
    </row>
    <row r="2578">
      <c r="B2578" s="30" t="n"/>
      <c r="G2578" s="9">
        <f>IF(AND(E2578&lt;&gt;"",E2578&lt;&gt;0,H2578&lt;&gt;""),H2578/E2578,"")</f>
        <v/>
      </c>
      <c r="L2578">
        <f>IF(B2578="","",IFERROR(VALUE(TEXT(B2578,"[$-1170401]yyyy")),""))</f>
        <v/>
      </c>
      <c r="M2578">
        <f>IF(B2578="","",IFERROR(VALUE(TEXT(B2578,"[$-1170401]mm")),""))</f>
        <v/>
      </c>
    </row>
    <row r="2579">
      <c r="B2579" s="30" t="n"/>
      <c r="G2579" s="9">
        <f>IF(AND(E2579&lt;&gt;"",E2579&lt;&gt;0,H2579&lt;&gt;""),H2579/E2579,"")</f>
        <v/>
      </c>
      <c r="L2579">
        <f>IF(B2579="","",IFERROR(VALUE(TEXT(B2579,"[$-1170401]yyyy")),""))</f>
        <v/>
      </c>
      <c r="M2579">
        <f>IF(B2579="","",IFERROR(VALUE(TEXT(B2579,"[$-1170401]mm")),""))</f>
        <v/>
      </c>
    </row>
    <row r="2580">
      <c r="B2580" s="30" t="n"/>
      <c r="G2580" s="9">
        <f>IF(AND(E2580&lt;&gt;"",E2580&lt;&gt;0,H2580&lt;&gt;""),H2580/E2580,"")</f>
        <v/>
      </c>
      <c r="L2580">
        <f>IF(B2580="","",IFERROR(VALUE(TEXT(B2580,"[$-1170401]yyyy")),""))</f>
        <v/>
      </c>
      <c r="M2580">
        <f>IF(B2580="","",IFERROR(VALUE(TEXT(B2580,"[$-1170401]mm")),""))</f>
        <v/>
      </c>
    </row>
    <row r="2581">
      <c r="B2581" s="30" t="n"/>
      <c r="G2581" s="9">
        <f>IF(AND(E2581&lt;&gt;"",E2581&lt;&gt;0,H2581&lt;&gt;""),H2581/E2581,"")</f>
        <v/>
      </c>
      <c r="L2581">
        <f>IF(B2581="","",IFERROR(VALUE(TEXT(B2581,"[$-1170401]yyyy")),""))</f>
        <v/>
      </c>
      <c r="M2581">
        <f>IF(B2581="","",IFERROR(VALUE(TEXT(B2581,"[$-1170401]mm")),""))</f>
        <v/>
      </c>
    </row>
    <row r="2582">
      <c r="B2582" s="30" t="n"/>
      <c r="G2582" s="9">
        <f>IF(AND(E2582&lt;&gt;"",E2582&lt;&gt;0,H2582&lt;&gt;""),H2582/E2582,"")</f>
        <v/>
      </c>
      <c r="L2582">
        <f>IF(B2582="","",IFERROR(VALUE(TEXT(B2582,"[$-1170401]yyyy")),""))</f>
        <v/>
      </c>
      <c r="M2582">
        <f>IF(B2582="","",IFERROR(VALUE(TEXT(B2582,"[$-1170401]mm")),""))</f>
        <v/>
      </c>
    </row>
    <row r="2583">
      <c r="B2583" s="30" t="n"/>
      <c r="G2583" s="9">
        <f>IF(AND(E2583&lt;&gt;"",E2583&lt;&gt;0,H2583&lt;&gt;""),H2583/E2583,"")</f>
        <v/>
      </c>
      <c r="L2583">
        <f>IF(B2583="","",IFERROR(VALUE(TEXT(B2583,"[$-1170401]yyyy")),""))</f>
        <v/>
      </c>
      <c r="M2583">
        <f>IF(B2583="","",IFERROR(VALUE(TEXT(B2583,"[$-1170401]mm")),""))</f>
        <v/>
      </c>
    </row>
    <row r="2584">
      <c r="B2584" s="30" t="n"/>
      <c r="G2584" s="9">
        <f>IF(AND(E2584&lt;&gt;"",E2584&lt;&gt;0,H2584&lt;&gt;""),H2584/E2584,"")</f>
        <v/>
      </c>
      <c r="L2584">
        <f>IF(B2584="","",IFERROR(VALUE(TEXT(B2584,"[$-1170401]yyyy")),""))</f>
        <v/>
      </c>
      <c r="M2584">
        <f>IF(B2584="","",IFERROR(VALUE(TEXT(B2584,"[$-1170401]mm")),""))</f>
        <v/>
      </c>
    </row>
    <row r="2585">
      <c r="B2585" s="30" t="n"/>
      <c r="G2585" s="9">
        <f>IF(AND(E2585&lt;&gt;"",E2585&lt;&gt;0,H2585&lt;&gt;""),H2585/E2585,"")</f>
        <v/>
      </c>
      <c r="L2585">
        <f>IF(B2585="","",IFERROR(VALUE(TEXT(B2585,"[$-1170401]yyyy")),""))</f>
        <v/>
      </c>
      <c r="M2585">
        <f>IF(B2585="","",IFERROR(VALUE(TEXT(B2585,"[$-1170401]mm")),""))</f>
        <v/>
      </c>
    </row>
    <row r="2586">
      <c r="B2586" s="30" t="n"/>
      <c r="G2586" s="9">
        <f>IF(AND(E2586&lt;&gt;"",E2586&lt;&gt;0,H2586&lt;&gt;""),H2586/E2586,"")</f>
        <v/>
      </c>
      <c r="L2586">
        <f>IF(B2586="","",IFERROR(VALUE(TEXT(B2586,"[$-1170401]yyyy")),""))</f>
        <v/>
      </c>
      <c r="M2586">
        <f>IF(B2586="","",IFERROR(VALUE(TEXT(B2586,"[$-1170401]mm")),""))</f>
        <v/>
      </c>
    </row>
    <row r="2587">
      <c r="B2587" s="30" t="n"/>
      <c r="G2587" s="9">
        <f>IF(AND(E2587&lt;&gt;"",E2587&lt;&gt;0,H2587&lt;&gt;""),H2587/E2587,"")</f>
        <v/>
      </c>
      <c r="L2587">
        <f>IF(B2587="","",IFERROR(VALUE(TEXT(B2587,"[$-1170401]yyyy")),""))</f>
        <v/>
      </c>
      <c r="M2587">
        <f>IF(B2587="","",IFERROR(VALUE(TEXT(B2587,"[$-1170401]mm")),""))</f>
        <v/>
      </c>
    </row>
    <row r="2588">
      <c r="B2588" s="30" t="n"/>
      <c r="G2588" s="9">
        <f>IF(AND(E2588&lt;&gt;"",E2588&lt;&gt;0,H2588&lt;&gt;""),H2588/E2588,"")</f>
        <v/>
      </c>
      <c r="L2588">
        <f>IF(B2588="","",IFERROR(VALUE(TEXT(B2588,"[$-1170401]yyyy")),""))</f>
        <v/>
      </c>
      <c r="M2588">
        <f>IF(B2588="","",IFERROR(VALUE(TEXT(B2588,"[$-1170401]mm")),""))</f>
        <v/>
      </c>
    </row>
    <row r="2589">
      <c r="B2589" s="30" t="n"/>
      <c r="G2589" s="9">
        <f>IF(AND(E2589&lt;&gt;"",E2589&lt;&gt;0,H2589&lt;&gt;""),H2589/E2589,"")</f>
        <v/>
      </c>
      <c r="L2589">
        <f>IF(B2589="","",IFERROR(VALUE(TEXT(B2589,"[$-1170401]yyyy")),""))</f>
        <v/>
      </c>
      <c r="M2589">
        <f>IF(B2589="","",IFERROR(VALUE(TEXT(B2589,"[$-1170401]mm")),""))</f>
        <v/>
      </c>
    </row>
    <row r="2590">
      <c r="B2590" s="30" t="n"/>
      <c r="G2590" s="9">
        <f>IF(AND(E2590&lt;&gt;"",E2590&lt;&gt;0,H2590&lt;&gt;""),H2590/E2590,"")</f>
        <v/>
      </c>
      <c r="L2590">
        <f>IF(B2590="","",IFERROR(VALUE(TEXT(B2590,"[$-1170401]yyyy")),""))</f>
        <v/>
      </c>
      <c r="M2590">
        <f>IF(B2590="","",IFERROR(VALUE(TEXT(B2590,"[$-1170401]mm")),""))</f>
        <v/>
      </c>
    </row>
    <row r="2591">
      <c r="B2591" s="30" t="n"/>
      <c r="G2591" s="9">
        <f>IF(AND(E2591&lt;&gt;"",E2591&lt;&gt;0,H2591&lt;&gt;""),H2591/E2591,"")</f>
        <v/>
      </c>
      <c r="L2591">
        <f>IF(B2591="","",IFERROR(VALUE(TEXT(B2591,"[$-1170401]yyyy")),""))</f>
        <v/>
      </c>
      <c r="M2591">
        <f>IF(B2591="","",IFERROR(VALUE(TEXT(B2591,"[$-1170401]mm")),""))</f>
        <v/>
      </c>
    </row>
    <row r="2592">
      <c r="B2592" s="30" t="n"/>
      <c r="G2592" s="9">
        <f>IF(AND(E2592&lt;&gt;"",E2592&lt;&gt;0,H2592&lt;&gt;""),H2592/E2592,"")</f>
        <v/>
      </c>
      <c r="L2592">
        <f>IF(B2592="","",IFERROR(VALUE(TEXT(B2592,"[$-1170401]yyyy")),""))</f>
        <v/>
      </c>
      <c r="M2592">
        <f>IF(B2592="","",IFERROR(VALUE(TEXT(B2592,"[$-1170401]mm")),""))</f>
        <v/>
      </c>
    </row>
    <row r="2593">
      <c r="B2593" s="30" t="n"/>
      <c r="G2593" s="9">
        <f>IF(AND(E2593&lt;&gt;"",E2593&lt;&gt;0,H2593&lt;&gt;""),H2593/E2593,"")</f>
        <v/>
      </c>
      <c r="L2593">
        <f>IF(B2593="","",IFERROR(VALUE(TEXT(B2593,"[$-1170401]yyyy")),""))</f>
        <v/>
      </c>
      <c r="M2593">
        <f>IF(B2593="","",IFERROR(VALUE(TEXT(B2593,"[$-1170401]mm")),""))</f>
        <v/>
      </c>
    </row>
    <row r="2594">
      <c r="B2594" s="30" t="n"/>
      <c r="G2594" s="9">
        <f>IF(AND(E2594&lt;&gt;"",E2594&lt;&gt;0,H2594&lt;&gt;""),H2594/E2594,"")</f>
        <v/>
      </c>
      <c r="L2594">
        <f>IF(B2594="","",IFERROR(VALUE(TEXT(B2594,"[$-1170401]yyyy")),""))</f>
        <v/>
      </c>
      <c r="M2594">
        <f>IF(B2594="","",IFERROR(VALUE(TEXT(B2594,"[$-1170401]mm")),""))</f>
        <v/>
      </c>
    </row>
    <row r="2595">
      <c r="B2595" s="30" t="n"/>
      <c r="G2595" s="9">
        <f>IF(AND(E2595&lt;&gt;"",E2595&lt;&gt;0,H2595&lt;&gt;""),H2595/E2595,"")</f>
        <v/>
      </c>
      <c r="L2595">
        <f>IF(B2595="","",IFERROR(VALUE(TEXT(B2595,"[$-1170401]yyyy")),""))</f>
        <v/>
      </c>
      <c r="M2595">
        <f>IF(B2595="","",IFERROR(VALUE(TEXT(B2595,"[$-1170401]mm")),""))</f>
        <v/>
      </c>
    </row>
    <row r="2596">
      <c r="B2596" s="30" t="n"/>
      <c r="G2596" s="9">
        <f>IF(AND(E2596&lt;&gt;"",E2596&lt;&gt;0,H2596&lt;&gt;""),H2596/E2596,"")</f>
        <v/>
      </c>
      <c r="L2596">
        <f>IF(B2596="","",IFERROR(VALUE(TEXT(B2596,"[$-1170401]yyyy")),""))</f>
        <v/>
      </c>
      <c r="M2596">
        <f>IF(B2596="","",IFERROR(VALUE(TEXT(B2596,"[$-1170401]mm")),""))</f>
        <v/>
      </c>
    </row>
    <row r="2597">
      <c r="B2597" s="30" t="n"/>
      <c r="G2597" s="9">
        <f>IF(AND(E2597&lt;&gt;"",E2597&lt;&gt;0,H2597&lt;&gt;""),H2597/E2597,"")</f>
        <v/>
      </c>
      <c r="L2597">
        <f>IF(B2597="","",IFERROR(VALUE(TEXT(B2597,"[$-1170401]yyyy")),""))</f>
        <v/>
      </c>
      <c r="M2597">
        <f>IF(B2597="","",IFERROR(VALUE(TEXT(B2597,"[$-1170401]mm")),""))</f>
        <v/>
      </c>
    </row>
    <row r="2598">
      <c r="B2598" s="30" t="n"/>
      <c r="G2598" s="9">
        <f>IF(AND(E2598&lt;&gt;"",E2598&lt;&gt;0,H2598&lt;&gt;""),H2598/E2598,"")</f>
        <v/>
      </c>
      <c r="L2598">
        <f>IF(B2598="","",IFERROR(VALUE(TEXT(B2598,"[$-1170401]yyyy")),""))</f>
        <v/>
      </c>
      <c r="M2598">
        <f>IF(B2598="","",IFERROR(VALUE(TEXT(B2598,"[$-1170401]mm")),""))</f>
        <v/>
      </c>
    </row>
    <row r="2599">
      <c r="B2599" s="30" t="n"/>
      <c r="G2599" s="9">
        <f>IF(AND(E2599&lt;&gt;"",E2599&lt;&gt;0,H2599&lt;&gt;""),H2599/E2599,"")</f>
        <v/>
      </c>
      <c r="L2599">
        <f>IF(B2599="","",IFERROR(VALUE(TEXT(B2599,"[$-1170401]yyyy")),""))</f>
        <v/>
      </c>
      <c r="M2599">
        <f>IF(B2599="","",IFERROR(VALUE(TEXT(B2599,"[$-1170401]mm")),""))</f>
        <v/>
      </c>
    </row>
    <row r="2600">
      <c r="B2600" s="30" t="n"/>
      <c r="G2600" s="9">
        <f>IF(AND(E2600&lt;&gt;"",E2600&lt;&gt;0,H2600&lt;&gt;""),H2600/E2600,"")</f>
        <v/>
      </c>
      <c r="L2600">
        <f>IF(B2600="","",IFERROR(VALUE(TEXT(B2600,"[$-1170401]yyyy")),""))</f>
        <v/>
      </c>
      <c r="M2600">
        <f>IF(B2600="","",IFERROR(VALUE(TEXT(B2600,"[$-1170401]mm")),""))</f>
        <v/>
      </c>
    </row>
    <row r="2601">
      <c r="B2601" s="30" t="n"/>
      <c r="G2601" s="9">
        <f>IF(AND(E2601&lt;&gt;"",E2601&lt;&gt;0,H2601&lt;&gt;""),H2601/E2601,"")</f>
        <v/>
      </c>
      <c r="L2601">
        <f>IF(B2601="","",IFERROR(VALUE(TEXT(B2601,"[$-1170401]yyyy")),""))</f>
        <v/>
      </c>
      <c r="M2601">
        <f>IF(B2601="","",IFERROR(VALUE(TEXT(B2601,"[$-1170401]mm")),""))</f>
        <v/>
      </c>
    </row>
    <row r="2602">
      <c r="B2602" s="30" t="n"/>
      <c r="G2602" s="9">
        <f>IF(AND(E2602&lt;&gt;"",E2602&lt;&gt;0,H2602&lt;&gt;""),H2602/E2602,"")</f>
        <v/>
      </c>
      <c r="L2602">
        <f>IF(B2602="","",IFERROR(VALUE(TEXT(B2602,"[$-1170401]yyyy")),""))</f>
        <v/>
      </c>
      <c r="M2602">
        <f>IF(B2602="","",IFERROR(VALUE(TEXT(B2602,"[$-1170401]mm")),""))</f>
        <v/>
      </c>
    </row>
    <row r="2603">
      <c r="B2603" s="30" t="n"/>
      <c r="G2603" s="9">
        <f>IF(AND(E2603&lt;&gt;"",E2603&lt;&gt;0,H2603&lt;&gt;""),H2603/E2603,"")</f>
        <v/>
      </c>
      <c r="L2603">
        <f>IF(B2603="","",IFERROR(VALUE(TEXT(B2603,"[$-1170401]yyyy")),""))</f>
        <v/>
      </c>
      <c r="M2603">
        <f>IF(B2603="","",IFERROR(VALUE(TEXT(B2603,"[$-1170401]mm")),""))</f>
        <v/>
      </c>
    </row>
    <row r="2604">
      <c r="B2604" s="30" t="n"/>
      <c r="G2604" s="9">
        <f>IF(AND(E2604&lt;&gt;"",E2604&lt;&gt;0,H2604&lt;&gt;""),H2604/E2604,"")</f>
        <v/>
      </c>
      <c r="L2604">
        <f>IF(B2604="","",IFERROR(VALUE(TEXT(B2604,"[$-1170401]yyyy")),""))</f>
        <v/>
      </c>
      <c r="M2604">
        <f>IF(B2604="","",IFERROR(VALUE(TEXT(B2604,"[$-1170401]mm")),""))</f>
        <v/>
      </c>
    </row>
    <row r="2605">
      <c r="B2605" s="30" t="n"/>
      <c r="G2605" s="9">
        <f>IF(AND(E2605&lt;&gt;"",E2605&lt;&gt;0,H2605&lt;&gt;""),H2605/E2605,"")</f>
        <v/>
      </c>
      <c r="L2605">
        <f>IF(B2605="","",IFERROR(VALUE(TEXT(B2605,"[$-1170401]yyyy")),""))</f>
        <v/>
      </c>
      <c r="M2605">
        <f>IF(B2605="","",IFERROR(VALUE(TEXT(B2605,"[$-1170401]mm")),""))</f>
        <v/>
      </c>
    </row>
    <row r="2606">
      <c r="B2606" s="30" t="n"/>
      <c r="G2606" s="9">
        <f>IF(AND(E2606&lt;&gt;"",E2606&lt;&gt;0,H2606&lt;&gt;""),H2606/E2606,"")</f>
        <v/>
      </c>
      <c r="L2606">
        <f>IF(B2606="","",IFERROR(VALUE(TEXT(B2606,"[$-1170401]yyyy")),""))</f>
        <v/>
      </c>
      <c r="M2606">
        <f>IF(B2606="","",IFERROR(VALUE(TEXT(B2606,"[$-1170401]mm")),""))</f>
        <v/>
      </c>
    </row>
    <row r="2607">
      <c r="B2607" s="30" t="n"/>
      <c r="G2607" s="9">
        <f>IF(AND(E2607&lt;&gt;"",E2607&lt;&gt;0,H2607&lt;&gt;""),H2607/E2607,"")</f>
        <v/>
      </c>
      <c r="L2607">
        <f>IF(B2607="","",IFERROR(VALUE(TEXT(B2607,"[$-1170401]yyyy")),""))</f>
        <v/>
      </c>
      <c r="M2607">
        <f>IF(B2607="","",IFERROR(VALUE(TEXT(B2607,"[$-1170401]mm")),""))</f>
        <v/>
      </c>
    </row>
    <row r="2608">
      <c r="B2608" s="30" t="n"/>
      <c r="G2608" s="9">
        <f>IF(AND(E2608&lt;&gt;"",E2608&lt;&gt;0,H2608&lt;&gt;""),H2608/E2608,"")</f>
        <v/>
      </c>
      <c r="L2608">
        <f>IF(B2608="","",IFERROR(VALUE(TEXT(B2608,"[$-1170401]yyyy")),""))</f>
        <v/>
      </c>
      <c r="M2608">
        <f>IF(B2608="","",IFERROR(VALUE(TEXT(B2608,"[$-1170401]mm")),""))</f>
        <v/>
      </c>
    </row>
    <row r="2609">
      <c r="B2609" s="30" t="n"/>
      <c r="G2609" s="9">
        <f>IF(AND(E2609&lt;&gt;"",E2609&lt;&gt;0,H2609&lt;&gt;""),H2609/E2609,"")</f>
        <v/>
      </c>
      <c r="L2609">
        <f>IF(B2609="","",IFERROR(VALUE(TEXT(B2609,"[$-1170401]yyyy")),""))</f>
        <v/>
      </c>
      <c r="M2609">
        <f>IF(B2609="","",IFERROR(VALUE(TEXT(B2609,"[$-1170401]mm")),""))</f>
        <v/>
      </c>
    </row>
    <row r="2610">
      <c r="B2610" s="30" t="n"/>
      <c r="G2610" s="9">
        <f>IF(AND(E2610&lt;&gt;"",E2610&lt;&gt;0,H2610&lt;&gt;""),H2610/E2610,"")</f>
        <v/>
      </c>
      <c r="L2610">
        <f>IF(B2610="","",IFERROR(VALUE(TEXT(B2610,"[$-1170401]yyyy")),""))</f>
        <v/>
      </c>
      <c r="M2610">
        <f>IF(B2610="","",IFERROR(VALUE(TEXT(B2610,"[$-1170401]mm")),""))</f>
        <v/>
      </c>
    </row>
    <row r="2611">
      <c r="B2611" s="30" t="n"/>
      <c r="G2611" s="9">
        <f>IF(AND(E2611&lt;&gt;"",E2611&lt;&gt;0,H2611&lt;&gt;""),H2611/E2611,"")</f>
        <v/>
      </c>
      <c r="L2611">
        <f>IF(B2611="","",IFERROR(VALUE(TEXT(B2611,"[$-1170401]yyyy")),""))</f>
        <v/>
      </c>
      <c r="M2611">
        <f>IF(B2611="","",IFERROR(VALUE(TEXT(B2611,"[$-1170401]mm")),""))</f>
        <v/>
      </c>
    </row>
    <row r="2612">
      <c r="B2612" s="30" t="n"/>
      <c r="G2612" s="9">
        <f>IF(AND(E2612&lt;&gt;"",E2612&lt;&gt;0,H2612&lt;&gt;""),H2612/E2612,"")</f>
        <v/>
      </c>
      <c r="L2612">
        <f>IF(B2612="","",IFERROR(VALUE(TEXT(B2612,"[$-1170401]yyyy")),""))</f>
        <v/>
      </c>
      <c r="M2612">
        <f>IF(B2612="","",IFERROR(VALUE(TEXT(B2612,"[$-1170401]mm")),""))</f>
        <v/>
      </c>
    </row>
    <row r="2613">
      <c r="B2613" s="30" t="n"/>
      <c r="G2613" s="9">
        <f>IF(AND(E2613&lt;&gt;"",E2613&lt;&gt;0,H2613&lt;&gt;""),H2613/E2613,"")</f>
        <v/>
      </c>
      <c r="L2613">
        <f>IF(B2613="","",IFERROR(VALUE(TEXT(B2613,"[$-1170401]yyyy")),""))</f>
        <v/>
      </c>
      <c r="M2613">
        <f>IF(B2613="","",IFERROR(VALUE(TEXT(B2613,"[$-1170401]mm")),""))</f>
        <v/>
      </c>
    </row>
    <row r="2614">
      <c r="B2614" s="30" t="n"/>
      <c r="G2614" s="9">
        <f>IF(AND(E2614&lt;&gt;"",E2614&lt;&gt;0,H2614&lt;&gt;""),H2614/E2614,"")</f>
        <v/>
      </c>
      <c r="L2614">
        <f>IF(B2614="","",IFERROR(VALUE(TEXT(B2614,"[$-1170401]yyyy")),""))</f>
        <v/>
      </c>
      <c r="M2614">
        <f>IF(B2614="","",IFERROR(VALUE(TEXT(B2614,"[$-1170401]mm")),""))</f>
        <v/>
      </c>
    </row>
    <row r="2615">
      <c r="B2615" s="30" t="n"/>
      <c r="G2615" s="9">
        <f>IF(AND(E2615&lt;&gt;"",E2615&lt;&gt;0,H2615&lt;&gt;""),H2615/E2615,"")</f>
        <v/>
      </c>
      <c r="L2615">
        <f>IF(B2615="","",IFERROR(VALUE(TEXT(B2615,"[$-1170401]yyyy")),""))</f>
        <v/>
      </c>
      <c r="M2615">
        <f>IF(B2615="","",IFERROR(VALUE(TEXT(B2615,"[$-1170401]mm")),""))</f>
        <v/>
      </c>
    </row>
    <row r="2616">
      <c r="B2616" s="30" t="n"/>
      <c r="G2616" s="9">
        <f>IF(AND(E2616&lt;&gt;"",E2616&lt;&gt;0,H2616&lt;&gt;""),H2616/E2616,"")</f>
        <v/>
      </c>
      <c r="L2616">
        <f>IF(B2616="","",IFERROR(VALUE(TEXT(B2616,"[$-1170401]yyyy")),""))</f>
        <v/>
      </c>
      <c r="M2616">
        <f>IF(B2616="","",IFERROR(VALUE(TEXT(B2616,"[$-1170401]mm")),""))</f>
        <v/>
      </c>
    </row>
    <row r="2617">
      <c r="B2617" s="30" t="n"/>
      <c r="G2617" s="9">
        <f>IF(AND(E2617&lt;&gt;"",E2617&lt;&gt;0,H2617&lt;&gt;""),H2617/E2617,"")</f>
        <v/>
      </c>
      <c r="L2617">
        <f>IF(B2617="","",IFERROR(VALUE(TEXT(B2617,"[$-1170401]yyyy")),""))</f>
        <v/>
      </c>
      <c r="M2617">
        <f>IF(B2617="","",IFERROR(VALUE(TEXT(B2617,"[$-1170401]mm")),""))</f>
        <v/>
      </c>
    </row>
    <row r="2618">
      <c r="B2618" s="30" t="n"/>
      <c r="G2618" s="9">
        <f>IF(AND(E2618&lt;&gt;"",E2618&lt;&gt;0,H2618&lt;&gt;""),H2618/E2618,"")</f>
        <v/>
      </c>
      <c r="L2618">
        <f>IF(B2618="","",IFERROR(VALUE(TEXT(B2618,"[$-1170401]yyyy")),""))</f>
        <v/>
      </c>
      <c r="M2618">
        <f>IF(B2618="","",IFERROR(VALUE(TEXT(B2618,"[$-1170401]mm")),""))</f>
        <v/>
      </c>
    </row>
    <row r="2619">
      <c r="B2619" s="30" t="n"/>
      <c r="G2619" s="9">
        <f>IF(AND(E2619&lt;&gt;"",E2619&lt;&gt;0,H2619&lt;&gt;""),H2619/E2619,"")</f>
        <v/>
      </c>
      <c r="L2619">
        <f>IF(B2619="","",IFERROR(VALUE(TEXT(B2619,"[$-1170401]yyyy")),""))</f>
        <v/>
      </c>
      <c r="M2619">
        <f>IF(B2619="","",IFERROR(VALUE(TEXT(B2619,"[$-1170401]mm")),""))</f>
        <v/>
      </c>
    </row>
    <row r="2620">
      <c r="B2620" s="30" t="n"/>
      <c r="G2620" s="9">
        <f>IF(AND(E2620&lt;&gt;"",E2620&lt;&gt;0,H2620&lt;&gt;""),H2620/E2620,"")</f>
        <v/>
      </c>
      <c r="L2620">
        <f>IF(B2620="","",IFERROR(VALUE(TEXT(B2620,"[$-1170401]yyyy")),""))</f>
        <v/>
      </c>
      <c r="M2620">
        <f>IF(B2620="","",IFERROR(VALUE(TEXT(B2620,"[$-1170401]mm")),""))</f>
        <v/>
      </c>
    </row>
    <row r="2621">
      <c r="B2621" s="30" t="n"/>
      <c r="G2621" s="9">
        <f>IF(AND(E2621&lt;&gt;"",E2621&lt;&gt;0,H2621&lt;&gt;""),H2621/E2621,"")</f>
        <v/>
      </c>
      <c r="L2621">
        <f>IF(B2621="","",IFERROR(VALUE(TEXT(B2621,"[$-1170401]yyyy")),""))</f>
        <v/>
      </c>
      <c r="M2621">
        <f>IF(B2621="","",IFERROR(VALUE(TEXT(B2621,"[$-1170401]mm")),""))</f>
        <v/>
      </c>
    </row>
    <row r="2622">
      <c r="B2622" s="30" t="n"/>
      <c r="G2622" s="9">
        <f>IF(AND(E2622&lt;&gt;"",E2622&lt;&gt;0,H2622&lt;&gt;""),H2622/E2622,"")</f>
        <v/>
      </c>
      <c r="L2622">
        <f>IF(B2622="","",IFERROR(VALUE(TEXT(B2622,"[$-1170401]yyyy")),""))</f>
        <v/>
      </c>
      <c r="M2622">
        <f>IF(B2622="","",IFERROR(VALUE(TEXT(B2622,"[$-1170401]mm")),""))</f>
        <v/>
      </c>
    </row>
    <row r="2623">
      <c r="B2623" s="30" t="n"/>
      <c r="G2623" s="9">
        <f>IF(AND(E2623&lt;&gt;"",E2623&lt;&gt;0,H2623&lt;&gt;""),H2623/E2623,"")</f>
        <v/>
      </c>
      <c r="L2623">
        <f>IF(B2623="","",IFERROR(VALUE(TEXT(B2623,"[$-1170401]yyyy")),""))</f>
        <v/>
      </c>
      <c r="M2623">
        <f>IF(B2623="","",IFERROR(VALUE(TEXT(B2623,"[$-1170401]mm")),""))</f>
        <v/>
      </c>
    </row>
    <row r="2624">
      <c r="B2624" s="30" t="n"/>
      <c r="G2624" s="9">
        <f>IF(AND(E2624&lt;&gt;"",E2624&lt;&gt;0,H2624&lt;&gt;""),H2624/E2624,"")</f>
        <v/>
      </c>
      <c r="L2624">
        <f>IF(B2624="","",IFERROR(VALUE(TEXT(B2624,"[$-1170401]yyyy")),""))</f>
        <v/>
      </c>
      <c r="M2624">
        <f>IF(B2624="","",IFERROR(VALUE(TEXT(B2624,"[$-1170401]mm")),""))</f>
        <v/>
      </c>
    </row>
    <row r="2625">
      <c r="B2625" s="30" t="n"/>
      <c r="G2625" s="9">
        <f>IF(AND(E2625&lt;&gt;"",E2625&lt;&gt;0,H2625&lt;&gt;""),H2625/E2625,"")</f>
        <v/>
      </c>
      <c r="L2625">
        <f>IF(B2625="","",IFERROR(VALUE(TEXT(B2625,"[$-1170401]yyyy")),""))</f>
        <v/>
      </c>
      <c r="M2625">
        <f>IF(B2625="","",IFERROR(VALUE(TEXT(B2625,"[$-1170401]mm")),""))</f>
        <v/>
      </c>
    </row>
    <row r="2626">
      <c r="B2626" s="30" t="n"/>
      <c r="G2626" s="9">
        <f>IF(AND(E2626&lt;&gt;"",E2626&lt;&gt;0,H2626&lt;&gt;""),H2626/E2626,"")</f>
        <v/>
      </c>
      <c r="L2626">
        <f>IF(B2626="","",IFERROR(VALUE(TEXT(B2626,"[$-1170401]yyyy")),""))</f>
        <v/>
      </c>
      <c r="M2626">
        <f>IF(B2626="","",IFERROR(VALUE(TEXT(B2626,"[$-1170401]mm")),""))</f>
        <v/>
      </c>
    </row>
    <row r="2627">
      <c r="B2627" s="30" t="n"/>
      <c r="G2627" s="9">
        <f>IF(AND(E2627&lt;&gt;"",E2627&lt;&gt;0,H2627&lt;&gt;""),H2627/E2627,"")</f>
        <v/>
      </c>
      <c r="L2627">
        <f>IF(B2627="","",IFERROR(VALUE(TEXT(B2627,"[$-1170401]yyyy")),""))</f>
        <v/>
      </c>
      <c r="M2627">
        <f>IF(B2627="","",IFERROR(VALUE(TEXT(B2627,"[$-1170401]mm")),""))</f>
        <v/>
      </c>
    </row>
    <row r="2628">
      <c r="B2628" s="30" t="n"/>
      <c r="G2628" s="9">
        <f>IF(AND(E2628&lt;&gt;"",E2628&lt;&gt;0,H2628&lt;&gt;""),H2628/E2628,"")</f>
        <v/>
      </c>
      <c r="L2628">
        <f>IF(B2628="","",IFERROR(VALUE(TEXT(B2628,"[$-1170401]yyyy")),""))</f>
        <v/>
      </c>
      <c r="M2628">
        <f>IF(B2628="","",IFERROR(VALUE(TEXT(B2628,"[$-1170401]mm")),""))</f>
        <v/>
      </c>
    </row>
    <row r="2629">
      <c r="B2629" s="30" t="n"/>
      <c r="G2629" s="9">
        <f>IF(AND(E2629&lt;&gt;"",E2629&lt;&gt;0,H2629&lt;&gt;""),H2629/E2629,"")</f>
        <v/>
      </c>
      <c r="L2629">
        <f>IF(B2629="","",IFERROR(VALUE(TEXT(B2629,"[$-1170401]yyyy")),""))</f>
        <v/>
      </c>
      <c r="M2629">
        <f>IF(B2629="","",IFERROR(VALUE(TEXT(B2629,"[$-1170401]mm")),""))</f>
        <v/>
      </c>
    </row>
    <row r="2630">
      <c r="B2630" s="30" t="n"/>
      <c r="G2630" s="9">
        <f>IF(AND(E2630&lt;&gt;"",E2630&lt;&gt;0,H2630&lt;&gt;""),H2630/E2630,"")</f>
        <v/>
      </c>
      <c r="L2630">
        <f>IF(B2630="","",IFERROR(VALUE(TEXT(B2630,"[$-1170401]yyyy")),""))</f>
        <v/>
      </c>
      <c r="M2630">
        <f>IF(B2630="","",IFERROR(VALUE(TEXT(B2630,"[$-1170401]mm")),""))</f>
        <v/>
      </c>
    </row>
    <row r="2631">
      <c r="B2631" s="30" t="n"/>
      <c r="G2631" s="9">
        <f>IF(AND(E2631&lt;&gt;"",E2631&lt;&gt;0,H2631&lt;&gt;""),H2631/E2631,"")</f>
        <v/>
      </c>
      <c r="L2631">
        <f>IF(B2631="","",IFERROR(VALUE(TEXT(B2631,"[$-1170401]yyyy")),""))</f>
        <v/>
      </c>
      <c r="M2631">
        <f>IF(B2631="","",IFERROR(VALUE(TEXT(B2631,"[$-1170401]mm")),""))</f>
        <v/>
      </c>
    </row>
    <row r="2632">
      <c r="B2632" s="30" t="n"/>
      <c r="G2632" s="9">
        <f>IF(AND(E2632&lt;&gt;"",E2632&lt;&gt;0,H2632&lt;&gt;""),H2632/E2632,"")</f>
        <v/>
      </c>
      <c r="L2632">
        <f>IF(B2632="","",IFERROR(VALUE(TEXT(B2632,"[$-1170401]yyyy")),""))</f>
        <v/>
      </c>
      <c r="M2632">
        <f>IF(B2632="","",IFERROR(VALUE(TEXT(B2632,"[$-1170401]mm")),""))</f>
        <v/>
      </c>
    </row>
    <row r="2633">
      <c r="B2633" s="30" t="n"/>
      <c r="G2633" s="9">
        <f>IF(AND(E2633&lt;&gt;"",E2633&lt;&gt;0,H2633&lt;&gt;""),H2633/E2633,"")</f>
        <v/>
      </c>
      <c r="L2633">
        <f>IF(B2633="","",IFERROR(VALUE(TEXT(B2633,"[$-1170401]yyyy")),""))</f>
        <v/>
      </c>
      <c r="M2633">
        <f>IF(B2633="","",IFERROR(VALUE(TEXT(B2633,"[$-1170401]mm")),""))</f>
        <v/>
      </c>
    </row>
    <row r="2634">
      <c r="B2634" s="30" t="n"/>
      <c r="G2634" s="9">
        <f>IF(AND(E2634&lt;&gt;"",E2634&lt;&gt;0,H2634&lt;&gt;""),H2634/E2634,"")</f>
        <v/>
      </c>
      <c r="L2634">
        <f>IF(B2634="","",IFERROR(VALUE(TEXT(B2634,"[$-1170401]yyyy")),""))</f>
        <v/>
      </c>
      <c r="M2634">
        <f>IF(B2634="","",IFERROR(VALUE(TEXT(B2634,"[$-1170401]mm")),""))</f>
        <v/>
      </c>
    </row>
    <row r="2635">
      <c r="B2635" s="30" t="n"/>
      <c r="G2635" s="9">
        <f>IF(AND(E2635&lt;&gt;"",E2635&lt;&gt;0,H2635&lt;&gt;""),H2635/E2635,"")</f>
        <v/>
      </c>
      <c r="L2635">
        <f>IF(B2635="","",IFERROR(VALUE(TEXT(B2635,"[$-1170401]yyyy")),""))</f>
        <v/>
      </c>
      <c r="M2635">
        <f>IF(B2635="","",IFERROR(VALUE(TEXT(B2635,"[$-1170401]mm")),""))</f>
        <v/>
      </c>
    </row>
    <row r="2636">
      <c r="B2636" s="30" t="n"/>
      <c r="G2636" s="9">
        <f>IF(AND(E2636&lt;&gt;"",E2636&lt;&gt;0,H2636&lt;&gt;""),H2636/E2636,"")</f>
        <v/>
      </c>
      <c r="L2636">
        <f>IF(B2636="","",IFERROR(VALUE(TEXT(B2636,"[$-1170401]yyyy")),""))</f>
        <v/>
      </c>
      <c r="M2636">
        <f>IF(B2636="","",IFERROR(VALUE(TEXT(B2636,"[$-1170401]mm")),""))</f>
        <v/>
      </c>
    </row>
    <row r="2637">
      <c r="B2637" s="30" t="n"/>
      <c r="G2637" s="9">
        <f>IF(AND(E2637&lt;&gt;"",E2637&lt;&gt;0,H2637&lt;&gt;""),H2637/E2637,"")</f>
        <v/>
      </c>
      <c r="L2637">
        <f>IF(B2637="","",IFERROR(VALUE(TEXT(B2637,"[$-1170401]yyyy")),""))</f>
        <v/>
      </c>
      <c r="M2637">
        <f>IF(B2637="","",IFERROR(VALUE(TEXT(B2637,"[$-1170401]mm")),""))</f>
        <v/>
      </c>
    </row>
    <row r="2638">
      <c r="B2638" s="30" t="n"/>
      <c r="G2638" s="9">
        <f>IF(AND(E2638&lt;&gt;"",E2638&lt;&gt;0,H2638&lt;&gt;""),H2638/E2638,"")</f>
        <v/>
      </c>
      <c r="L2638">
        <f>IF(B2638="","",IFERROR(VALUE(TEXT(B2638,"[$-1170401]yyyy")),""))</f>
        <v/>
      </c>
      <c r="M2638">
        <f>IF(B2638="","",IFERROR(VALUE(TEXT(B2638,"[$-1170401]mm")),""))</f>
        <v/>
      </c>
    </row>
    <row r="2639">
      <c r="B2639" s="30" t="n"/>
      <c r="G2639" s="9">
        <f>IF(AND(E2639&lt;&gt;"",E2639&lt;&gt;0,H2639&lt;&gt;""),H2639/E2639,"")</f>
        <v/>
      </c>
      <c r="L2639">
        <f>IF(B2639="","",IFERROR(VALUE(TEXT(B2639,"[$-1170401]yyyy")),""))</f>
        <v/>
      </c>
      <c r="M2639">
        <f>IF(B2639="","",IFERROR(VALUE(TEXT(B2639,"[$-1170401]mm")),""))</f>
        <v/>
      </c>
    </row>
    <row r="2640">
      <c r="B2640" s="30" t="n"/>
      <c r="G2640" s="9">
        <f>IF(AND(E2640&lt;&gt;"",E2640&lt;&gt;0,H2640&lt;&gt;""),H2640/E2640,"")</f>
        <v/>
      </c>
      <c r="L2640">
        <f>IF(B2640="","",IFERROR(VALUE(TEXT(B2640,"[$-1170401]yyyy")),""))</f>
        <v/>
      </c>
      <c r="M2640">
        <f>IF(B2640="","",IFERROR(VALUE(TEXT(B2640,"[$-1170401]mm")),""))</f>
        <v/>
      </c>
    </row>
    <row r="2641">
      <c r="B2641" s="30" t="n"/>
      <c r="G2641" s="9">
        <f>IF(AND(E2641&lt;&gt;"",E2641&lt;&gt;0,H2641&lt;&gt;""),H2641/E2641,"")</f>
        <v/>
      </c>
      <c r="L2641">
        <f>IF(B2641="","",IFERROR(VALUE(TEXT(B2641,"[$-1170401]yyyy")),""))</f>
        <v/>
      </c>
      <c r="M2641">
        <f>IF(B2641="","",IFERROR(VALUE(TEXT(B2641,"[$-1170401]mm")),""))</f>
        <v/>
      </c>
    </row>
    <row r="2642">
      <c r="B2642" s="30" t="n"/>
      <c r="G2642" s="9">
        <f>IF(AND(E2642&lt;&gt;"",E2642&lt;&gt;0,H2642&lt;&gt;""),H2642/E2642,"")</f>
        <v/>
      </c>
      <c r="L2642">
        <f>IF(B2642="","",IFERROR(VALUE(TEXT(B2642,"[$-1170401]yyyy")),""))</f>
        <v/>
      </c>
      <c r="M2642">
        <f>IF(B2642="","",IFERROR(VALUE(TEXT(B2642,"[$-1170401]mm")),""))</f>
        <v/>
      </c>
    </row>
    <row r="2643">
      <c r="B2643" s="30" t="n"/>
      <c r="G2643" s="9">
        <f>IF(AND(E2643&lt;&gt;"",E2643&lt;&gt;0,H2643&lt;&gt;""),H2643/E2643,"")</f>
        <v/>
      </c>
      <c r="L2643">
        <f>IF(B2643="","",IFERROR(VALUE(TEXT(B2643,"[$-1170401]yyyy")),""))</f>
        <v/>
      </c>
      <c r="M2643">
        <f>IF(B2643="","",IFERROR(VALUE(TEXT(B2643,"[$-1170401]mm")),""))</f>
        <v/>
      </c>
    </row>
    <row r="2644">
      <c r="B2644" s="30" t="n"/>
      <c r="G2644" s="9">
        <f>IF(AND(E2644&lt;&gt;"",E2644&lt;&gt;0,H2644&lt;&gt;""),H2644/E2644,"")</f>
        <v/>
      </c>
      <c r="L2644">
        <f>IF(B2644="","",IFERROR(VALUE(TEXT(B2644,"[$-1170401]yyyy")),""))</f>
        <v/>
      </c>
      <c r="M2644">
        <f>IF(B2644="","",IFERROR(VALUE(TEXT(B2644,"[$-1170401]mm")),""))</f>
        <v/>
      </c>
    </row>
    <row r="2645">
      <c r="B2645" s="30" t="n"/>
      <c r="G2645" s="9">
        <f>IF(AND(E2645&lt;&gt;"",E2645&lt;&gt;0,H2645&lt;&gt;""),H2645/E2645,"")</f>
        <v/>
      </c>
      <c r="L2645">
        <f>IF(B2645="","",IFERROR(VALUE(TEXT(B2645,"[$-1170401]yyyy")),""))</f>
        <v/>
      </c>
      <c r="M2645">
        <f>IF(B2645="","",IFERROR(VALUE(TEXT(B2645,"[$-1170401]mm")),""))</f>
        <v/>
      </c>
    </row>
    <row r="2646">
      <c r="B2646" s="30" t="n"/>
      <c r="G2646" s="9">
        <f>IF(AND(E2646&lt;&gt;"",E2646&lt;&gt;0,H2646&lt;&gt;""),H2646/E2646,"")</f>
        <v/>
      </c>
      <c r="L2646">
        <f>IF(B2646="","",IFERROR(VALUE(TEXT(B2646,"[$-1170401]yyyy")),""))</f>
        <v/>
      </c>
      <c r="M2646">
        <f>IF(B2646="","",IFERROR(VALUE(TEXT(B2646,"[$-1170401]mm")),""))</f>
        <v/>
      </c>
    </row>
    <row r="2647">
      <c r="B2647" s="30" t="n"/>
      <c r="G2647" s="9">
        <f>IF(AND(E2647&lt;&gt;"",E2647&lt;&gt;0,H2647&lt;&gt;""),H2647/E2647,"")</f>
        <v/>
      </c>
      <c r="L2647">
        <f>IF(B2647="","",IFERROR(VALUE(TEXT(B2647,"[$-1170401]yyyy")),""))</f>
        <v/>
      </c>
      <c r="M2647">
        <f>IF(B2647="","",IFERROR(VALUE(TEXT(B2647,"[$-1170401]mm")),""))</f>
        <v/>
      </c>
    </row>
    <row r="2648">
      <c r="B2648" s="30" t="n"/>
      <c r="G2648" s="9">
        <f>IF(AND(E2648&lt;&gt;"",E2648&lt;&gt;0,H2648&lt;&gt;""),H2648/E2648,"")</f>
        <v/>
      </c>
      <c r="L2648">
        <f>IF(B2648="","",IFERROR(VALUE(TEXT(B2648,"[$-1170401]yyyy")),""))</f>
        <v/>
      </c>
      <c r="M2648">
        <f>IF(B2648="","",IFERROR(VALUE(TEXT(B2648,"[$-1170401]mm")),""))</f>
        <v/>
      </c>
    </row>
    <row r="2649">
      <c r="B2649" s="30" t="n"/>
      <c r="G2649" s="9">
        <f>IF(AND(E2649&lt;&gt;"",E2649&lt;&gt;0,H2649&lt;&gt;""),H2649/E2649,"")</f>
        <v/>
      </c>
      <c r="L2649">
        <f>IF(B2649="","",IFERROR(VALUE(TEXT(B2649,"[$-1170401]yyyy")),""))</f>
        <v/>
      </c>
      <c r="M2649">
        <f>IF(B2649="","",IFERROR(VALUE(TEXT(B2649,"[$-1170401]mm")),""))</f>
        <v/>
      </c>
    </row>
    <row r="2650">
      <c r="B2650" s="30" t="n"/>
      <c r="G2650" s="9">
        <f>IF(AND(E2650&lt;&gt;"",E2650&lt;&gt;0,H2650&lt;&gt;""),H2650/E2650,"")</f>
        <v/>
      </c>
      <c r="L2650">
        <f>IF(B2650="","",IFERROR(VALUE(TEXT(B2650,"[$-1170401]yyyy")),""))</f>
        <v/>
      </c>
      <c r="M2650">
        <f>IF(B2650="","",IFERROR(VALUE(TEXT(B2650,"[$-1170401]mm")),""))</f>
        <v/>
      </c>
    </row>
    <row r="2651">
      <c r="B2651" s="30" t="n"/>
      <c r="G2651" s="9">
        <f>IF(AND(E2651&lt;&gt;"",E2651&lt;&gt;0,H2651&lt;&gt;""),H2651/E2651,"")</f>
        <v/>
      </c>
      <c r="L2651">
        <f>IF(B2651="","",IFERROR(VALUE(TEXT(B2651,"[$-1170401]yyyy")),""))</f>
        <v/>
      </c>
      <c r="M2651">
        <f>IF(B2651="","",IFERROR(VALUE(TEXT(B2651,"[$-1170401]mm")),""))</f>
        <v/>
      </c>
    </row>
    <row r="2652">
      <c r="B2652" s="30" t="n"/>
      <c r="G2652" s="9">
        <f>IF(AND(E2652&lt;&gt;"",E2652&lt;&gt;0,H2652&lt;&gt;""),H2652/E2652,"")</f>
        <v/>
      </c>
      <c r="L2652">
        <f>IF(B2652="","",IFERROR(VALUE(TEXT(B2652,"[$-1170401]yyyy")),""))</f>
        <v/>
      </c>
      <c r="M2652">
        <f>IF(B2652="","",IFERROR(VALUE(TEXT(B2652,"[$-1170401]mm")),""))</f>
        <v/>
      </c>
    </row>
    <row r="2653">
      <c r="B2653" s="30" t="n"/>
      <c r="G2653" s="9">
        <f>IF(AND(E2653&lt;&gt;"",E2653&lt;&gt;0,H2653&lt;&gt;""),H2653/E2653,"")</f>
        <v/>
      </c>
      <c r="L2653">
        <f>IF(B2653="","",IFERROR(VALUE(TEXT(B2653,"[$-1170401]yyyy")),""))</f>
        <v/>
      </c>
      <c r="M2653">
        <f>IF(B2653="","",IFERROR(VALUE(TEXT(B2653,"[$-1170401]mm")),""))</f>
        <v/>
      </c>
    </row>
    <row r="2654">
      <c r="B2654" s="30" t="n"/>
      <c r="G2654" s="9">
        <f>IF(AND(E2654&lt;&gt;"",E2654&lt;&gt;0,H2654&lt;&gt;""),H2654/E2654,"")</f>
        <v/>
      </c>
      <c r="L2654">
        <f>IF(B2654="","",IFERROR(VALUE(TEXT(B2654,"[$-1170401]yyyy")),""))</f>
        <v/>
      </c>
      <c r="M2654">
        <f>IF(B2654="","",IFERROR(VALUE(TEXT(B2654,"[$-1170401]mm")),""))</f>
        <v/>
      </c>
    </row>
    <row r="2655">
      <c r="B2655" s="30" t="n"/>
      <c r="G2655" s="9">
        <f>IF(AND(E2655&lt;&gt;"",E2655&lt;&gt;0,H2655&lt;&gt;""),H2655/E2655,"")</f>
        <v/>
      </c>
      <c r="L2655">
        <f>IF(B2655="","",IFERROR(VALUE(TEXT(B2655,"[$-1170401]yyyy")),""))</f>
        <v/>
      </c>
      <c r="M2655">
        <f>IF(B2655="","",IFERROR(VALUE(TEXT(B2655,"[$-1170401]mm")),""))</f>
        <v/>
      </c>
    </row>
    <row r="2656">
      <c r="B2656" s="30" t="n"/>
      <c r="G2656" s="9">
        <f>IF(AND(E2656&lt;&gt;"",E2656&lt;&gt;0,H2656&lt;&gt;""),H2656/E2656,"")</f>
        <v/>
      </c>
      <c r="L2656">
        <f>IF(B2656="","",IFERROR(VALUE(TEXT(B2656,"[$-1170401]yyyy")),""))</f>
        <v/>
      </c>
      <c r="M2656">
        <f>IF(B2656="","",IFERROR(VALUE(TEXT(B2656,"[$-1170401]mm")),""))</f>
        <v/>
      </c>
    </row>
    <row r="2657">
      <c r="B2657" s="30" t="n"/>
      <c r="G2657" s="9">
        <f>IF(AND(E2657&lt;&gt;"",E2657&lt;&gt;0,H2657&lt;&gt;""),H2657/E2657,"")</f>
        <v/>
      </c>
      <c r="L2657">
        <f>IF(B2657="","",IFERROR(VALUE(TEXT(B2657,"[$-1170401]yyyy")),""))</f>
        <v/>
      </c>
      <c r="M2657">
        <f>IF(B2657="","",IFERROR(VALUE(TEXT(B2657,"[$-1170401]mm")),""))</f>
        <v/>
      </c>
    </row>
    <row r="2658">
      <c r="B2658" s="30" t="n"/>
      <c r="G2658" s="9">
        <f>IF(AND(E2658&lt;&gt;"",E2658&lt;&gt;0,H2658&lt;&gt;""),H2658/E2658,"")</f>
        <v/>
      </c>
      <c r="L2658">
        <f>IF(B2658="","",IFERROR(VALUE(TEXT(B2658,"[$-1170401]yyyy")),""))</f>
        <v/>
      </c>
      <c r="M2658">
        <f>IF(B2658="","",IFERROR(VALUE(TEXT(B2658,"[$-1170401]mm")),""))</f>
        <v/>
      </c>
    </row>
    <row r="2659">
      <c r="B2659" s="30" t="n"/>
      <c r="G2659" s="9">
        <f>IF(AND(E2659&lt;&gt;"",E2659&lt;&gt;0,H2659&lt;&gt;""),H2659/E2659,"")</f>
        <v/>
      </c>
      <c r="L2659">
        <f>IF(B2659="","",IFERROR(VALUE(TEXT(B2659,"[$-1170401]yyyy")),""))</f>
        <v/>
      </c>
      <c r="M2659">
        <f>IF(B2659="","",IFERROR(VALUE(TEXT(B2659,"[$-1170401]mm")),""))</f>
        <v/>
      </c>
    </row>
    <row r="2660">
      <c r="B2660" s="30" t="n"/>
      <c r="G2660" s="9">
        <f>IF(AND(E2660&lt;&gt;"",E2660&lt;&gt;0,H2660&lt;&gt;""),H2660/E2660,"")</f>
        <v/>
      </c>
      <c r="L2660">
        <f>IF(B2660="","",IFERROR(VALUE(TEXT(B2660,"[$-1170401]yyyy")),""))</f>
        <v/>
      </c>
      <c r="M2660">
        <f>IF(B2660="","",IFERROR(VALUE(TEXT(B2660,"[$-1170401]mm")),""))</f>
        <v/>
      </c>
    </row>
    <row r="2661">
      <c r="B2661" s="30" t="n"/>
      <c r="G2661" s="9">
        <f>IF(AND(E2661&lt;&gt;"",E2661&lt;&gt;0,H2661&lt;&gt;""),H2661/E2661,"")</f>
        <v/>
      </c>
      <c r="L2661">
        <f>IF(B2661="","",IFERROR(VALUE(TEXT(B2661,"[$-1170401]yyyy")),""))</f>
        <v/>
      </c>
      <c r="M2661">
        <f>IF(B2661="","",IFERROR(VALUE(TEXT(B2661,"[$-1170401]mm")),""))</f>
        <v/>
      </c>
    </row>
    <row r="2662">
      <c r="B2662" s="30" t="n"/>
      <c r="G2662" s="9">
        <f>IF(AND(E2662&lt;&gt;"",E2662&lt;&gt;0,H2662&lt;&gt;""),H2662/E2662,"")</f>
        <v/>
      </c>
      <c r="L2662">
        <f>IF(B2662="","",IFERROR(VALUE(TEXT(B2662,"[$-1170401]yyyy")),""))</f>
        <v/>
      </c>
      <c r="M2662">
        <f>IF(B2662="","",IFERROR(VALUE(TEXT(B2662,"[$-1170401]mm")),""))</f>
        <v/>
      </c>
    </row>
    <row r="2663">
      <c r="B2663" s="30" t="n"/>
      <c r="G2663" s="9">
        <f>IF(AND(E2663&lt;&gt;"",E2663&lt;&gt;0,H2663&lt;&gt;""),H2663/E2663,"")</f>
        <v/>
      </c>
      <c r="L2663">
        <f>IF(B2663="","",IFERROR(VALUE(TEXT(B2663,"[$-1170401]yyyy")),""))</f>
        <v/>
      </c>
      <c r="M2663">
        <f>IF(B2663="","",IFERROR(VALUE(TEXT(B2663,"[$-1170401]mm")),""))</f>
        <v/>
      </c>
    </row>
    <row r="2664">
      <c r="B2664" s="30" t="n"/>
      <c r="G2664" s="9">
        <f>IF(AND(E2664&lt;&gt;"",E2664&lt;&gt;0,H2664&lt;&gt;""),H2664/E2664,"")</f>
        <v/>
      </c>
      <c r="L2664">
        <f>IF(B2664="","",IFERROR(VALUE(TEXT(B2664,"[$-1170401]yyyy")),""))</f>
        <v/>
      </c>
      <c r="M2664">
        <f>IF(B2664="","",IFERROR(VALUE(TEXT(B2664,"[$-1170401]mm")),""))</f>
        <v/>
      </c>
    </row>
    <row r="2665">
      <c r="B2665" s="30" t="n"/>
      <c r="G2665" s="9">
        <f>IF(AND(E2665&lt;&gt;"",E2665&lt;&gt;0,H2665&lt;&gt;""),H2665/E2665,"")</f>
        <v/>
      </c>
      <c r="L2665">
        <f>IF(B2665="","",IFERROR(VALUE(TEXT(B2665,"[$-1170401]yyyy")),""))</f>
        <v/>
      </c>
      <c r="M2665">
        <f>IF(B2665="","",IFERROR(VALUE(TEXT(B2665,"[$-1170401]mm")),""))</f>
        <v/>
      </c>
    </row>
    <row r="2666">
      <c r="B2666" s="30" t="n"/>
      <c r="G2666" s="9">
        <f>IF(AND(E2666&lt;&gt;"",E2666&lt;&gt;0,H2666&lt;&gt;""),H2666/E2666,"")</f>
        <v/>
      </c>
      <c r="L2666">
        <f>IF(B2666="","",IFERROR(VALUE(TEXT(B2666,"[$-1170401]yyyy")),""))</f>
        <v/>
      </c>
      <c r="M2666">
        <f>IF(B2666="","",IFERROR(VALUE(TEXT(B2666,"[$-1170401]mm")),""))</f>
        <v/>
      </c>
    </row>
    <row r="2667">
      <c r="B2667" s="30" t="n"/>
      <c r="G2667" s="9">
        <f>IF(AND(E2667&lt;&gt;"",E2667&lt;&gt;0,H2667&lt;&gt;""),H2667/E2667,"")</f>
        <v/>
      </c>
      <c r="L2667">
        <f>IF(B2667="","",IFERROR(VALUE(TEXT(B2667,"[$-1170401]yyyy")),""))</f>
        <v/>
      </c>
      <c r="M2667">
        <f>IF(B2667="","",IFERROR(VALUE(TEXT(B2667,"[$-1170401]mm")),""))</f>
        <v/>
      </c>
    </row>
    <row r="2668">
      <c r="B2668" s="30" t="n"/>
      <c r="G2668" s="9">
        <f>IF(AND(E2668&lt;&gt;"",E2668&lt;&gt;0,H2668&lt;&gt;""),H2668/E2668,"")</f>
        <v/>
      </c>
      <c r="L2668">
        <f>IF(B2668="","",IFERROR(VALUE(TEXT(B2668,"[$-1170401]yyyy")),""))</f>
        <v/>
      </c>
      <c r="M2668">
        <f>IF(B2668="","",IFERROR(VALUE(TEXT(B2668,"[$-1170401]mm")),""))</f>
        <v/>
      </c>
    </row>
    <row r="2669">
      <c r="B2669" s="30" t="n"/>
      <c r="G2669" s="9">
        <f>IF(AND(E2669&lt;&gt;"",E2669&lt;&gt;0,H2669&lt;&gt;""),H2669/E2669,"")</f>
        <v/>
      </c>
      <c r="L2669">
        <f>IF(B2669="","",IFERROR(VALUE(TEXT(B2669,"[$-1170401]yyyy")),""))</f>
        <v/>
      </c>
      <c r="M2669">
        <f>IF(B2669="","",IFERROR(VALUE(TEXT(B2669,"[$-1170401]mm")),""))</f>
        <v/>
      </c>
    </row>
    <row r="2670">
      <c r="B2670" s="30" t="n"/>
      <c r="G2670" s="9">
        <f>IF(AND(E2670&lt;&gt;"",E2670&lt;&gt;0,H2670&lt;&gt;""),H2670/E2670,"")</f>
        <v/>
      </c>
      <c r="L2670">
        <f>IF(B2670="","",IFERROR(VALUE(TEXT(B2670,"[$-1170401]yyyy")),""))</f>
        <v/>
      </c>
      <c r="M2670">
        <f>IF(B2670="","",IFERROR(VALUE(TEXT(B2670,"[$-1170401]mm")),""))</f>
        <v/>
      </c>
    </row>
    <row r="2671">
      <c r="B2671" s="30" t="n"/>
      <c r="G2671" s="9">
        <f>IF(AND(E2671&lt;&gt;"",E2671&lt;&gt;0,H2671&lt;&gt;""),H2671/E2671,"")</f>
        <v/>
      </c>
      <c r="L2671">
        <f>IF(B2671="","",IFERROR(VALUE(TEXT(B2671,"[$-1170401]yyyy")),""))</f>
        <v/>
      </c>
      <c r="M2671">
        <f>IF(B2671="","",IFERROR(VALUE(TEXT(B2671,"[$-1170401]mm")),""))</f>
        <v/>
      </c>
    </row>
    <row r="2672">
      <c r="B2672" s="30" t="n"/>
      <c r="G2672" s="9">
        <f>IF(AND(E2672&lt;&gt;"",E2672&lt;&gt;0,H2672&lt;&gt;""),H2672/E2672,"")</f>
        <v/>
      </c>
      <c r="L2672">
        <f>IF(B2672="","",IFERROR(VALUE(TEXT(B2672,"[$-1170401]yyyy")),""))</f>
        <v/>
      </c>
      <c r="M2672">
        <f>IF(B2672="","",IFERROR(VALUE(TEXT(B2672,"[$-1170401]mm")),""))</f>
        <v/>
      </c>
    </row>
    <row r="2673">
      <c r="B2673" s="30" t="n"/>
      <c r="G2673" s="9">
        <f>IF(AND(E2673&lt;&gt;"",E2673&lt;&gt;0,H2673&lt;&gt;""),H2673/E2673,"")</f>
        <v/>
      </c>
      <c r="L2673">
        <f>IF(B2673="","",IFERROR(VALUE(TEXT(B2673,"[$-1170401]yyyy")),""))</f>
        <v/>
      </c>
      <c r="M2673">
        <f>IF(B2673="","",IFERROR(VALUE(TEXT(B2673,"[$-1170401]mm")),""))</f>
        <v/>
      </c>
    </row>
    <row r="2674">
      <c r="B2674" s="30" t="n"/>
      <c r="G2674" s="9">
        <f>IF(AND(E2674&lt;&gt;"",E2674&lt;&gt;0,H2674&lt;&gt;""),H2674/E2674,"")</f>
        <v/>
      </c>
      <c r="L2674">
        <f>IF(B2674="","",IFERROR(VALUE(TEXT(B2674,"[$-1170401]yyyy")),""))</f>
        <v/>
      </c>
      <c r="M2674">
        <f>IF(B2674="","",IFERROR(VALUE(TEXT(B2674,"[$-1170401]mm")),""))</f>
        <v/>
      </c>
    </row>
    <row r="2675">
      <c r="B2675" s="30" t="n"/>
      <c r="G2675" s="9">
        <f>IF(AND(E2675&lt;&gt;"",E2675&lt;&gt;0,H2675&lt;&gt;""),H2675/E2675,"")</f>
        <v/>
      </c>
      <c r="L2675">
        <f>IF(B2675="","",IFERROR(VALUE(TEXT(B2675,"[$-1170401]yyyy")),""))</f>
        <v/>
      </c>
      <c r="M2675">
        <f>IF(B2675="","",IFERROR(VALUE(TEXT(B2675,"[$-1170401]mm")),""))</f>
        <v/>
      </c>
    </row>
    <row r="2676">
      <c r="B2676" s="30" t="n"/>
      <c r="G2676" s="9">
        <f>IF(AND(E2676&lt;&gt;"",E2676&lt;&gt;0,H2676&lt;&gt;""),H2676/E2676,"")</f>
        <v/>
      </c>
      <c r="L2676">
        <f>IF(B2676="","",IFERROR(VALUE(TEXT(B2676,"[$-1170401]yyyy")),""))</f>
        <v/>
      </c>
      <c r="M2676">
        <f>IF(B2676="","",IFERROR(VALUE(TEXT(B2676,"[$-1170401]mm")),""))</f>
        <v/>
      </c>
    </row>
    <row r="2677">
      <c r="B2677" s="30" t="n"/>
      <c r="G2677" s="9">
        <f>IF(AND(E2677&lt;&gt;"",E2677&lt;&gt;0,H2677&lt;&gt;""),H2677/E2677,"")</f>
        <v/>
      </c>
      <c r="L2677">
        <f>IF(B2677="","",IFERROR(VALUE(TEXT(B2677,"[$-1170401]yyyy")),""))</f>
        <v/>
      </c>
      <c r="M2677">
        <f>IF(B2677="","",IFERROR(VALUE(TEXT(B2677,"[$-1170401]mm")),""))</f>
        <v/>
      </c>
    </row>
    <row r="2678">
      <c r="B2678" s="30" t="n"/>
      <c r="G2678" s="9">
        <f>IF(AND(E2678&lt;&gt;"",E2678&lt;&gt;0,H2678&lt;&gt;""),H2678/E2678,"")</f>
        <v/>
      </c>
      <c r="L2678">
        <f>IF(B2678="","",IFERROR(VALUE(TEXT(B2678,"[$-1170401]yyyy")),""))</f>
        <v/>
      </c>
      <c r="M2678">
        <f>IF(B2678="","",IFERROR(VALUE(TEXT(B2678,"[$-1170401]mm")),""))</f>
        <v/>
      </c>
    </row>
    <row r="2679">
      <c r="B2679" s="30" t="n"/>
      <c r="G2679" s="9">
        <f>IF(AND(E2679&lt;&gt;"",E2679&lt;&gt;0,H2679&lt;&gt;""),H2679/E2679,"")</f>
        <v/>
      </c>
      <c r="L2679">
        <f>IF(B2679="","",IFERROR(VALUE(TEXT(B2679,"[$-1170401]yyyy")),""))</f>
        <v/>
      </c>
      <c r="M2679">
        <f>IF(B2679="","",IFERROR(VALUE(TEXT(B2679,"[$-1170401]mm")),""))</f>
        <v/>
      </c>
    </row>
    <row r="2680">
      <c r="B2680" s="30" t="n"/>
      <c r="G2680" s="9">
        <f>IF(AND(E2680&lt;&gt;"",E2680&lt;&gt;0,H2680&lt;&gt;""),H2680/E2680,"")</f>
        <v/>
      </c>
      <c r="L2680">
        <f>IF(B2680="","",IFERROR(VALUE(TEXT(B2680,"[$-1170401]yyyy")),""))</f>
        <v/>
      </c>
      <c r="M2680">
        <f>IF(B2680="","",IFERROR(VALUE(TEXT(B2680,"[$-1170401]mm")),""))</f>
        <v/>
      </c>
    </row>
    <row r="2681">
      <c r="B2681" s="30" t="n"/>
      <c r="G2681" s="9">
        <f>IF(AND(E2681&lt;&gt;"",E2681&lt;&gt;0,H2681&lt;&gt;""),H2681/E2681,"")</f>
        <v/>
      </c>
      <c r="L2681">
        <f>IF(B2681="","",IFERROR(VALUE(TEXT(B2681,"[$-1170401]yyyy")),""))</f>
        <v/>
      </c>
      <c r="M2681">
        <f>IF(B2681="","",IFERROR(VALUE(TEXT(B2681,"[$-1170401]mm")),""))</f>
        <v/>
      </c>
    </row>
    <row r="2682">
      <c r="B2682" s="30" t="n"/>
      <c r="G2682" s="9">
        <f>IF(AND(E2682&lt;&gt;"",E2682&lt;&gt;0,H2682&lt;&gt;""),H2682/E2682,"")</f>
        <v/>
      </c>
      <c r="L2682">
        <f>IF(B2682="","",IFERROR(VALUE(TEXT(B2682,"[$-1170401]yyyy")),""))</f>
        <v/>
      </c>
      <c r="M2682">
        <f>IF(B2682="","",IFERROR(VALUE(TEXT(B2682,"[$-1170401]mm")),""))</f>
        <v/>
      </c>
    </row>
    <row r="2683">
      <c r="B2683" s="30" t="n"/>
      <c r="G2683" s="9">
        <f>IF(AND(E2683&lt;&gt;"",E2683&lt;&gt;0,H2683&lt;&gt;""),H2683/E2683,"")</f>
        <v/>
      </c>
      <c r="L2683">
        <f>IF(B2683="","",IFERROR(VALUE(TEXT(B2683,"[$-1170401]yyyy")),""))</f>
        <v/>
      </c>
      <c r="M2683">
        <f>IF(B2683="","",IFERROR(VALUE(TEXT(B2683,"[$-1170401]mm")),""))</f>
        <v/>
      </c>
    </row>
    <row r="2684">
      <c r="B2684" s="30" t="n"/>
      <c r="G2684" s="9">
        <f>IF(AND(E2684&lt;&gt;"",E2684&lt;&gt;0,H2684&lt;&gt;""),H2684/E2684,"")</f>
        <v/>
      </c>
      <c r="L2684">
        <f>IF(B2684="","",IFERROR(VALUE(TEXT(B2684,"[$-1170401]yyyy")),""))</f>
        <v/>
      </c>
      <c r="M2684">
        <f>IF(B2684="","",IFERROR(VALUE(TEXT(B2684,"[$-1170401]mm")),""))</f>
        <v/>
      </c>
    </row>
    <row r="2685">
      <c r="B2685" s="30" t="n"/>
      <c r="G2685" s="9">
        <f>IF(AND(E2685&lt;&gt;"",E2685&lt;&gt;0,H2685&lt;&gt;""),H2685/E2685,"")</f>
        <v/>
      </c>
      <c r="L2685">
        <f>IF(B2685="","",IFERROR(VALUE(TEXT(B2685,"[$-1170401]yyyy")),""))</f>
        <v/>
      </c>
      <c r="M2685">
        <f>IF(B2685="","",IFERROR(VALUE(TEXT(B2685,"[$-1170401]mm")),""))</f>
        <v/>
      </c>
    </row>
    <row r="2686">
      <c r="B2686" s="30" t="n"/>
      <c r="G2686" s="9">
        <f>IF(AND(E2686&lt;&gt;"",E2686&lt;&gt;0,H2686&lt;&gt;""),H2686/E2686,"")</f>
        <v/>
      </c>
      <c r="L2686">
        <f>IF(B2686="","",IFERROR(VALUE(TEXT(B2686,"[$-1170401]yyyy")),""))</f>
        <v/>
      </c>
      <c r="M2686">
        <f>IF(B2686="","",IFERROR(VALUE(TEXT(B2686,"[$-1170401]mm")),""))</f>
        <v/>
      </c>
    </row>
    <row r="2687">
      <c r="B2687" s="30" t="n"/>
      <c r="G2687" s="9">
        <f>IF(AND(E2687&lt;&gt;"",E2687&lt;&gt;0,H2687&lt;&gt;""),H2687/E2687,"")</f>
        <v/>
      </c>
      <c r="L2687">
        <f>IF(B2687="","",IFERROR(VALUE(TEXT(B2687,"[$-1170401]yyyy")),""))</f>
        <v/>
      </c>
      <c r="M2687">
        <f>IF(B2687="","",IFERROR(VALUE(TEXT(B2687,"[$-1170401]mm")),""))</f>
        <v/>
      </c>
    </row>
    <row r="2688">
      <c r="B2688" s="30" t="n"/>
      <c r="G2688" s="9">
        <f>IF(AND(E2688&lt;&gt;"",E2688&lt;&gt;0,H2688&lt;&gt;""),H2688/E2688,"")</f>
        <v/>
      </c>
      <c r="L2688">
        <f>IF(B2688="","",IFERROR(VALUE(TEXT(B2688,"[$-1170401]yyyy")),""))</f>
        <v/>
      </c>
      <c r="M2688">
        <f>IF(B2688="","",IFERROR(VALUE(TEXT(B2688,"[$-1170401]mm")),""))</f>
        <v/>
      </c>
    </row>
    <row r="2689">
      <c r="B2689" s="30" t="n"/>
      <c r="G2689" s="9">
        <f>IF(AND(E2689&lt;&gt;"",E2689&lt;&gt;0,H2689&lt;&gt;""),H2689/E2689,"")</f>
        <v/>
      </c>
      <c r="L2689">
        <f>IF(B2689="","",IFERROR(VALUE(TEXT(B2689,"[$-1170401]yyyy")),""))</f>
        <v/>
      </c>
      <c r="M2689">
        <f>IF(B2689="","",IFERROR(VALUE(TEXT(B2689,"[$-1170401]mm")),""))</f>
        <v/>
      </c>
    </row>
    <row r="2690">
      <c r="B2690" s="30" t="n"/>
      <c r="G2690" s="9">
        <f>IF(AND(E2690&lt;&gt;"",E2690&lt;&gt;0,H2690&lt;&gt;""),H2690/E2690,"")</f>
        <v/>
      </c>
      <c r="L2690">
        <f>IF(B2690="","",IFERROR(VALUE(TEXT(B2690,"[$-1170401]yyyy")),""))</f>
        <v/>
      </c>
      <c r="M2690">
        <f>IF(B2690="","",IFERROR(VALUE(TEXT(B2690,"[$-1170401]mm")),""))</f>
        <v/>
      </c>
    </row>
    <row r="2691">
      <c r="B2691" s="30" t="n"/>
      <c r="G2691" s="9">
        <f>IF(AND(E2691&lt;&gt;"",E2691&lt;&gt;0,H2691&lt;&gt;""),H2691/E2691,"")</f>
        <v/>
      </c>
      <c r="L2691">
        <f>IF(B2691="","",IFERROR(VALUE(TEXT(B2691,"[$-1170401]yyyy")),""))</f>
        <v/>
      </c>
      <c r="M2691">
        <f>IF(B2691="","",IFERROR(VALUE(TEXT(B2691,"[$-1170401]mm")),""))</f>
        <v/>
      </c>
    </row>
    <row r="2692">
      <c r="B2692" s="30" t="n"/>
      <c r="G2692" s="9">
        <f>IF(AND(E2692&lt;&gt;"",E2692&lt;&gt;0,H2692&lt;&gt;""),H2692/E2692,"")</f>
        <v/>
      </c>
      <c r="L2692">
        <f>IF(B2692="","",IFERROR(VALUE(TEXT(B2692,"[$-1170401]yyyy")),""))</f>
        <v/>
      </c>
      <c r="M2692">
        <f>IF(B2692="","",IFERROR(VALUE(TEXT(B2692,"[$-1170401]mm")),""))</f>
        <v/>
      </c>
    </row>
    <row r="2693">
      <c r="B2693" s="30" t="n"/>
      <c r="G2693" s="9">
        <f>IF(AND(E2693&lt;&gt;"",E2693&lt;&gt;0,H2693&lt;&gt;""),H2693/E2693,"")</f>
        <v/>
      </c>
      <c r="L2693">
        <f>IF(B2693="","",IFERROR(VALUE(TEXT(B2693,"[$-1170401]yyyy")),""))</f>
        <v/>
      </c>
      <c r="M2693">
        <f>IF(B2693="","",IFERROR(VALUE(TEXT(B2693,"[$-1170401]mm")),""))</f>
        <v/>
      </c>
    </row>
    <row r="2694">
      <c r="B2694" s="30" t="n"/>
      <c r="G2694" s="9">
        <f>IF(AND(E2694&lt;&gt;"",E2694&lt;&gt;0,H2694&lt;&gt;""),H2694/E2694,"")</f>
        <v/>
      </c>
      <c r="L2694">
        <f>IF(B2694="","",IFERROR(VALUE(TEXT(B2694,"[$-1170401]yyyy")),""))</f>
        <v/>
      </c>
      <c r="M2694">
        <f>IF(B2694="","",IFERROR(VALUE(TEXT(B2694,"[$-1170401]mm")),""))</f>
        <v/>
      </c>
    </row>
    <row r="2695">
      <c r="B2695" s="30" t="n"/>
      <c r="G2695" s="9">
        <f>IF(AND(E2695&lt;&gt;"",E2695&lt;&gt;0,H2695&lt;&gt;""),H2695/E2695,"")</f>
        <v/>
      </c>
      <c r="L2695">
        <f>IF(B2695="","",IFERROR(VALUE(TEXT(B2695,"[$-1170401]yyyy")),""))</f>
        <v/>
      </c>
      <c r="M2695">
        <f>IF(B2695="","",IFERROR(VALUE(TEXT(B2695,"[$-1170401]mm")),""))</f>
        <v/>
      </c>
    </row>
    <row r="2696">
      <c r="B2696" s="30" t="n"/>
      <c r="G2696" s="9">
        <f>IF(AND(E2696&lt;&gt;"",E2696&lt;&gt;0,H2696&lt;&gt;""),H2696/E2696,"")</f>
        <v/>
      </c>
      <c r="L2696">
        <f>IF(B2696="","",IFERROR(VALUE(TEXT(B2696,"[$-1170401]yyyy")),""))</f>
        <v/>
      </c>
      <c r="M2696">
        <f>IF(B2696="","",IFERROR(VALUE(TEXT(B2696,"[$-1170401]mm")),""))</f>
        <v/>
      </c>
    </row>
    <row r="2697">
      <c r="B2697" s="30" t="n"/>
      <c r="G2697" s="9">
        <f>IF(AND(E2697&lt;&gt;"",E2697&lt;&gt;0,H2697&lt;&gt;""),H2697/E2697,"")</f>
        <v/>
      </c>
      <c r="L2697">
        <f>IF(B2697="","",IFERROR(VALUE(TEXT(B2697,"[$-1170401]yyyy")),""))</f>
        <v/>
      </c>
      <c r="M2697">
        <f>IF(B2697="","",IFERROR(VALUE(TEXT(B2697,"[$-1170401]mm")),""))</f>
        <v/>
      </c>
    </row>
    <row r="2698">
      <c r="B2698" s="30" t="n"/>
      <c r="G2698" s="9">
        <f>IF(AND(E2698&lt;&gt;"",E2698&lt;&gt;0,H2698&lt;&gt;""),H2698/E2698,"")</f>
        <v/>
      </c>
      <c r="L2698">
        <f>IF(B2698="","",IFERROR(VALUE(TEXT(B2698,"[$-1170401]yyyy")),""))</f>
        <v/>
      </c>
      <c r="M2698">
        <f>IF(B2698="","",IFERROR(VALUE(TEXT(B2698,"[$-1170401]mm")),""))</f>
        <v/>
      </c>
    </row>
    <row r="2699">
      <c r="B2699" s="30" t="n"/>
      <c r="G2699" s="9">
        <f>IF(AND(E2699&lt;&gt;"",E2699&lt;&gt;0,H2699&lt;&gt;""),H2699/E2699,"")</f>
        <v/>
      </c>
      <c r="L2699">
        <f>IF(B2699="","",IFERROR(VALUE(TEXT(B2699,"[$-1170401]yyyy")),""))</f>
        <v/>
      </c>
      <c r="M2699">
        <f>IF(B2699="","",IFERROR(VALUE(TEXT(B2699,"[$-1170401]mm")),""))</f>
        <v/>
      </c>
    </row>
    <row r="2700">
      <c r="B2700" s="30" t="n"/>
      <c r="G2700" s="9">
        <f>IF(AND(E2700&lt;&gt;"",E2700&lt;&gt;0,H2700&lt;&gt;""),H2700/E2700,"")</f>
        <v/>
      </c>
      <c r="L2700">
        <f>IF(B2700="","",IFERROR(VALUE(TEXT(B2700,"[$-1170401]yyyy")),""))</f>
        <v/>
      </c>
      <c r="M2700">
        <f>IF(B2700="","",IFERROR(VALUE(TEXT(B2700,"[$-1170401]mm")),""))</f>
        <v/>
      </c>
    </row>
    <row r="2701">
      <c r="B2701" s="30" t="n"/>
      <c r="G2701" s="9">
        <f>IF(AND(E2701&lt;&gt;"",E2701&lt;&gt;0,H2701&lt;&gt;""),H2701/E2701,"")</f>
        <v/>
      </c>
      <c r="L2701">
        <f>IF(B2701="","",IFERROR(VALUE(TEXT(B2701,"[$-1170401]yyyy")),""))</f>
        <v/>
      </c>
      <c r="M2701">
        <f>IF(B2701="","",IFERROR(VALUE(TEXT(B2701,"[$-1170401]mm")),""))</f>
        <v/>
      </c>
    </row>
    <row r="2702">
      <c r="B2702" s="30" t="n"/>
      <c r="G2702" s="9">
        <f>IF(AND(E2702&lt;&gt;"",E2702&lt;&gt;0,H2702&lt;&gt;""),H2702/E2702,"")</f>
        <v/>
      </c>
      <c r="L2702">
        <f>IF(B2702="","",IFERROR(VALUE(TEXT(B2702,"[$-1170401]yyyy")),""))</f>
        <v/>
      </c>
      <c r="M2702">
        <f>IF(B2702="","",IFERROR(VALUE(TEXT(B2702,"[$-1170401]mm")),""))</f>
        <v/>
      </c>
    </row>
    <row r="2703">
      <c r="B2703" s="30" t="n"/>
      <c r="G2703" s="9">
        <f>IF(AND(E2703&lt;&gt;"",E2703&lt;&gt;0,H2703&lt;&gt;""),H2703/E2703,"")</f>
        <v/>
      </c>
      <c r="L2703">
        <f>IF(B2703="","",IFERROR(VALUE(TEXT(B2703,"[$-1170401]yyyy")),""))</f>
        <v/>
      </c>
      <c r="M2703">
        <f>IF(B2703="","",IFERROR(VALUE(TEXT(B2703,"[$-1170401]mm")),""))</f>
        <v/>
      </c>
    </row>
    <row r="2704">
      <c r="B2704" s="30" t="n"/>
      <c r="G2704" s="9">
        <f>IF(AND(E2704&lt;&gt;"",E2704&lt;&gt;0,H2704&lt;&gt;""),H2704/E2704,"")</f>
        <v/>
      </c>
      <c r="L2704">
        <f>IF(B2704="","",IFERROR(VALUE(TEXT(B2704,"[$-1170401]yyyy")),""))</f>
        <v/>
      </c>
      <c r="M2704">
        <f>IF(B2704="","",IFERROR(VALUE(TEXT(B2704,"[$-1170401]mm")),""))</f>
        <v/>
      </c>
    </row>
    <row r="2705">
      <c r="B2705" s="30" t="n"/>
      <c r="G2705" s="9">
        <f>IF(AND(E2705&lt;&gt;"",E2705&lt;&gt;0,H2705&lt;&gt;""),H2705/E2705,"")</f>
        <v/>
      </c>
      <c r="L2705">
        <f>IF(B2705="","",IFERROR(VALUE(TEXT(B2705,"[$-1170401]yyyy")),""))</f>
        <v/>
      </c>
      <c r="M2705">
        <f>IF(B2705="","",IFERROR(VALUE(TEXT(B2705,"[$-1170401]mm")),""))</f>
        <v/>
      </c>
    </row>
    <row r="2706">
      <c r="B2706" s="30" t="n"/>
      <c r="G2706" s="9">
        <f>IF(AND(E2706&lt;&gt;"",E2706&lt;&gt;0,H2706&lt;&gt;""),H2706/E2706,"")</f>
        <v/>
      </c>
      <c r="L2706">
        <f>IF(B2706="","",IFERROR(VALUE(TEXT(B2706,"[$-1170401]yyyy")),""))</f>
        <v/>
      </c>
      <c r="M2706">
        <f>IF(B2706="","",IFERROR(VALUE(TEXT(B2706,"[$-1170401]mm")),""))</f>
        <v/>
      </c>
    </row>
    <row r="2707">
      <c r="B2707" s="30" t="n"/>
      <c r="G2707" s="9">
        <f>IF(AND(E2707&lt;&gt;"",E2707&lt;&gt;0,H2707&lt;&gt;""),H2707/E2707,"")</f>
        <v/>
      </c>
      <c r="L2707">
        <f>IF(B2707="","",IFERROR(VALUE(TEXT(B2707,"[$-1170401]yyyy")),""))</f>
        <v/>
      </c>
      <c r="M2707">
        <f>IF(B2707="","",IFERROR(VALUE(TEXT(B2707,"[$-1170401]mm")),""))</f>
        <v/>
      </c>
    </row>
    <row r="2708">
      <c r="B2708" s="30" t="n"/>
      <c r="G2708" s="9">
        <f>IF(AND(E2708&lt;&gt;"",E2708&lt;&gt;0,H2708&lt;&gt;""),H2708/E2708,"")</f>
        <v/>
      </c>
      <c r="L2708">
        <f>IF(B2708="","",IFERROR(VALUE(TEXT(B2708,"[$-1170401]yyyy")),""))</f>
        <v/>
      </c>
      <c r="M2708">
        <f>IF(B2708="","",IFERROR(VALUE(TEXT(B2708,"[$-1170401]mm")),""))</f>
        <v/>
      </c>
    </row>
    <row r="2709">
      <c r="B2709" s="30" t="n"/>
      <c r="G2709" s="9">
        <f>IF(AND(E2709&lt;&gt;"",E2709&lt;&gt;0,H2709&lt;&gt;""),H2709/E2709,"")</f>
        <v/>
      </c>
      <c r="L2709">
        <f>IF(B2709="","",IFERROR(VALUE(TEXT(B2709,"[$-1170401]yyyy")),""))</f>
        <v/>
      </c>
      <c r="M2709">
        <f>IF(B2709="","",IFERROR(VALUE(TEXT(B2709,"[$-1170401]mm")),""))</f>
        <v/>
      </c>
    </row>
    <row r="2710">
      <c r="B2710" s="30" t="n"/>
      <c r="G2710" s="9">
        <f>IF(AND(E2710&lt;&gt;"",E2710&lt;&gt;0,H2710&lt;&gt;""),H2710/E2710,"")</f>
        <v/>
      </c>
      <c r="L2710">
        <f>IF(B2710="","",IFERROR(VALUE(TEXT(B2710,"[$-1170401]yyyy")),""))</f>
        <v/>
      </c>
      <c r="M2710">
        <f>IF(B2710="","",IFERROR(VALUE(TEXT(B2710,"[$-1170401]mm")),""))</f>
        <v/>
      </c>
    </row>
    <row r="2711">
      <c r="B2711" s="30" t="n"/>
      <c r="G2711" s="9">
        <f>IF(AND(E2711&lt;&gt;"",E2711&lt;&gt;0,H2711&lt;&gt;""),H2711/E2711,"")</f>
        <v/>
      </c>
      <c r="L2711">
        <f>IF(B2711="","",IFERROR(VALUE(TEXT(B2711,"[$-1170401]yyyy")),""))</f>
        <v/>
      </c>
      <c r="M2711">
        <f>IF(B2711="","",IFERROR(VALUE(TEXT(B2711,"[$-1170401]mm")),""))</f>
        <v/>
      </c>
    </row>
    <row r="2712">
      <c r="B2712" s="30" t="n"/>
      <c r="G2712" s="9">
        <f>IF(AND(E2712&lt;&gt;"",E2712&lt;&gt;0,H2712&lt;&gt;""),H2712/E2712,"")</f>
        <v/>
      </c>
      <c r="L2712">
        <f>IF(B2712="","",IFERROR(VALUE(TEXT(B2712,"[$-1170401]yyyy")),""))</f>
        <v/>
      </c>
      <c r="M2712">
        <f>IF(B2712="","",IFERROR(VALUE(TEXT(B2712,"[$-1170401]mm")),""))</f>
        <v/>
      </c>
    </row>
    <row r="2713">
      <c r="B2713" s="30" t="n"/>
      <c r="G2713" s="9">
        <f>IF(AND(E2713&lt;&gt;"",E2713&lt;&gt;0,H2713&lt;&gt;""),H2713/E2713,"")</f>
        <v/>
      </c>
      <c r="L2713">
        <f>IF(B2713="","",IFERROR(VALUE(TEXT(B2713,"[$-1170401]yyyy")),""))</f>
        <v/>
      </c>
      <c r="M2713">
        <f>IF(B2713="","",IFERROR(VALUE(TEXT(B2713,"[$-1170401]mm")),""))</f>
        <v/>
      </c>
    </row>
    <row r="2714">
      <c r="B2714" s="30" t="n"/>
      <c r="G2714" s="9">
        <f>IF(AND(E2714&lt;&gt;"",E2714&lt;&gt;0,H2714&lt;&gt;""),H2714/E2714,"")</f>
        <v/>
      </c>
      <c r="L2714">
        <f>IF(B2714="","",IFERROR(VALUE(TEXT(B2714,"[$-1170401]yyyy")),""))</f>
        <v/>
      </c>
      <c r="M2714">
        <f>IF(B2714="","",IFERROR(VALUE(TEXT(B2714,"[$-1170401]mm")),""))</f>
        <v/>
      </c>
    </row>
    <row r="2715">
      <c r="B2715" s="30" t="n"/>
      <c r="G2715" s="9">
        <f>IF(AND(E2715&lt;&gt;"",E2715&lt;&gt;0,H2715&lt;&gt;""),H2715/E2715,"")</f>
        <v/>
      </c>
      <c r="L2715">
        <f>IF(B2715="","",IFERROR(VALUE(TEXT(B2715,"[$-1170401]yyyy")),""))</f>
        <v/>
      </c>
      <c r="M2715">
        <f>IF(B2715="","",IFERROR(VALUE(TEXT(B2715,"[$-1170401]mm")),""))</f>
        <v/>
      </c>
    </row>
    <row r="2716">
      <c r="B2716" s="30" t="n"/>
      <c r="G2716" s="9">
        <f>IF(AND(E2716&lt;&gt;"",E2716&lt;&gt;0,H2716&lt;&gt;""),H2716/E2716,"")</f>
        <v/>
      </c>
      <c r="L2716">
        <f>IF(B2716="","",IFERROR(VALUE(TEXT(B2716,"[$-1170401]yyyy")),""))</f>
        <v/>
      </c>
      <c r="M2716">
        <f>IF(B2716="","",IFERROR(VALUE(TEXT(B2716,"[$-1170401]mm")),""))</f>
        <v/>
      </c>
    </row>
    <row r="2717">
      <c r="B2717" s="30" t="n"/>
      <c r="G2717" s="9">
        <f>IF(AND(E2717&lt;&gt;"",E2717&lt;&gt;0,H2717&lt;&gt;""),H2717/E2717,"")</f>
        <v/>
      </c>
      <c r="L2717">
        <f>IF(B2717="","",IFERROR(VALUE(TEXT(B2717,"[$-1170401]yyyy")),""))</f>
        <v/>
      </c>
      <c r="M2717">
        <f>IF(B2717="","",IFERROR(VALUE(TEXT(B2717,"[$-1170401]mm")),""))</f>
        <v/>
      </c>
    </row>
    <row r="2718">
      <c r="B2718" s="30" t="n"/>
      <c r="G2718" s="9">
        <f>IF(AND(E2718&lt;&gt;"",E2718&lt;&gt;0,H2718&lt;&gt;""),H2718/E2718,"")</f>
        <v/>
      </c>
      <c r="L2718">
        <f>IF(B2718="","",IFERROR(VALUE(TEXT(B2718,"[$-1170401]yyyy")),""))</f>
        <v/>
      </c>
      <c r="M2718">
        <f>IF(B2718="","",IFERROR(VALUE(TEXT(B2718,"[$-1170401]mm")),""))</f>
        <v/>
      </c>
    </row>
    <row r="2719">
      <c r="B2719" s="30" t="n"/>
      <c r="G2719" s="9">
        <f>IF(AND(E2719&lt;&gt;"",E2719&lt;&gt;0,H2719&lt;&gt;""),H2719/E2719,"")</f>
        <v/>
      </c>
      <c r="L2719">
        <f>IF(B2719="","",IFERROR(VALUE(TEXT(B2719,"[$-1170401]yyyy")),""))</f>
        <v/>
      </c>
      <c r="M2719">
        <f>IF(B2719="","",IFERROR(VALUE(TEXT(B2719,"[$-1170401]mm")),""))</f>
        <v/>
      </c>
    </row>
    <row r="2720">
      <c r="B2720" s="30" t="n"/>
      <c r="G2720" s="9">
        <f>IF(AND(E2720&lt;&gt;"",E2720&lt;&gt;0,H2720&lt;&gt;""),H2720/E2720,"")</f>
        <v/>
      </c>
      <c r="L2720">
        <f>IF(B2720="","",IFERROR(VALUE(TEXT(B2720,"[$-1170401]yyyy")),""))</f>
        <v/>
      </c>
      <c r="M2720">
        <f>IF(B2720="","",IFERROR(VALUE(TEXT(B2720,"[$-1170401]mm")),""))</f>
        <v/>
      </c>
    </row>
    <row r="2721">
      <c r="B2721" s="30" t="n"/>
      <c r="G2721" s="9">
        <f>IF(AND(E2721&lt;&gt;"",E2721&lt;&gt;0,H2721&lt;&gt;""),H2721/E2721,"")</f>
        <v/>
      </c>
      <c r="L2721">
        <f>IF(B2721="","",IFERROR(VALUE(TEXT(B2721,"[$-1170401]yyyy")),""))</f>
        <v/>
      </c>
      <c r="M2721">
        <f>IF(B2721="","",IFERROR(VALUE(TEXT(B2721,"[$-1170401]mm")),""))</f>
        <v/>
      </c>
    </row>
    <row r="2722">
      <c r="B2722" s="30" t="n"/>
      <c r="G2722" s="9">
        <f>IF(AND(E2722&lt;&gt;"",E2722&lt;&gt;0,H2722&lt;&gt;""),H2722/E2722,"")</f>
        <v/>
      </c>
      <c r="L2722">
        <f>IF(B2722="","",IFERROR(VALUE(TEXT(B2722,"[$-1170401]yyyy")),""))</f>
        <v/>
      </c>
      <c r="M2722">
        <f>IF(B2722="","",IFERROR(VALUE(TEXT(B2722,"[$-1170401]mm")),""))</f>
        <v/>
      </c>
    </row>
    <row r="2723">
      <c r="B2723" s="30" t="n"/>
      <c r="G2723" s="9">
        <f>IF(AND(E2723&lt;&gt;"",E2723&lt;&gt;0,H2723&lt;&gt;""),H2723/E2723,"")</f>
        <v/>
      </c>
      <c r="L2723">
        <f>IF(B2723="","",IFERROR(VALUE(TEXT(B2723,"[$-1170401]yyyy")),""))</f>
        <v/>
      </c>
      <c r="M2723">
        <f>IF(B2723="","",IFERROR(VALUE(TEXT(B2723,"[$-1170401]mm")),""))</f>
        <v/>
      </c>
    </row>
    <row r="2724">
      <c r="B2724" s="30" t="n"/>
      <c r="G2724" s="9">
        <f>IF(AND(E2724&lt;&gt;"",E2724&lt;&gt;0,H2724&lt;&gt;""),H2724/E2724,"")</f>
        <v/>
      </c>
      <c r="L2724">
        <f>IF(B2724="","",IFERROR(VALUE(TEXT(B2724,"[$-1170401]yyyy")),""))</f>
        <v/>
      </c>
      <c r="M2724">
        <f>IF(B2724="","",IFERROR(VALUE(TEXT(B2724,"[$-1170401]mm")),""))</f>
        <v/>
      </c>
    </row>
    <row r="2725">
      <c r="B2725" s="30" t="n"/>
      <c r="G2725" s="9">
        <f>IF(AND(E2725&lt;&gt;"",E2725&lt;&gt;0,H2725&lt;&gt;""),H2725/E2725,"")</f>
        <v/>
      </c>
      <c r="L2725">
        <f>IF(B2725="","",IFERROR(VALUE(TEXT(B2725,"[$-1170401]yyyy")),""))</f>
        <v/>
      </c>
      <c r="M2725">
        <f>IF(B2725="","",IFERROR(VALUE(TEXT(B2725,"[$-1170401]mm")),""))</f>
        <v/>
      </c>
    </row>
    <row r="2726">
      <c r="B2726" s="30" t="n"/>
      <c r="G2726" s="9">
        <f>IF(AND(E2726&lt;&gt;"",E2726&lt;&gt;0,H2726&lt;&gt;""),H2726/E2726,"")</f>
        <v/>
      </c>
      <c r="L2726">
        <f>IF(B2726="","",IFERROR(VALUE(TEXT(B2726,"[$-1170401]yyyy")),""))</f>
        <v/>
      </c>
      <c r="M2726">
        <f>IF(B2726="","",IFERROR(VALUE(TEXT(B2726,"[$-1170401]mm")),""))</f>
        <v/>
      </c>
    </row>
    <row r="2727">
      <c r="B2727" s="30" t="n"/>
      <c r="G2727" s="9">
        <f>IF(AND(E2727&lt;&gt;"",E2727&lt;&gt;0,H2727&lt;&gt;""),H2727/E2727,"")</f>
        <v/>
      </c>
      <c r="L2727">
        <f>IF(B2727="","",IFERROR(VALUE(TEXT(B2727,"[$-1170401]yyyy")),""))</f>
        <v/>
      </c>
      <c r="M2727">
        <f>IF(B2727="","",IFERROR(VALUE(TEXT(B2727,"[$-1170401]mm")),""))</f>
        <v/>
      </c>
    </row>
    <row r="2728">
      <c r="B2728" s="30" t="n"/>
      <c r="G2728" s="9">
        <f>IF(AND(E2728&lt;&gt;"",E2728&lt;&gt;0,H2728&lt;&gt;""),H2728/E2728,"")</f>
        <v/>
      </c>
      <c r="L2728">
        <f>IF(B2728="","",IFERROR(VALUE(TEXT(B2728,"[$-1170401]yyyy")),""))</f>
        <v/>
      </c>
      <c r="M2728">
        <f>IF(B2728="","",IFERROR(VALUE(TEXT(B2728,"[$-1170401]mm")),""))</f>
        <v/>
      </c>
    </row>
    <row r="2729">
      <c r="B2729" s="30" t="n"/>
      <c r="G2729" s="9">
        <f>IF(AND(E2729&lt;&gt;"",E2729&lt;&gt;0,H2729&lt;&gt;""),H2729/E2729,"")</f>
        <v/>
      </c>
      <c r="L2729">
        <f>IF(B2729="","",IFERROR(VALUE(TEXT(B2729,"[$-1170401]yyyy")),""))</f>
        <v/>
      </c>
      <c r="M2729">
        <f>IF(B2729="","",IFERROR(VALUE(TEXT(B2729,"[$-1170401]mm")),""))</f>
        <v/>
      </c>
    </row>
    <row r="2730">
      <c r="B2730" s="30" t="n"/>
      <c r="G2730" s="9">
        <f>IF(AND(E2730&lt;&gt;"",E2730&lt;&gt;0,H2730&lt;&gt;""),H2730/E2730,"")</f>
        <v/>
      </c>
      <c r="L2730">
        <f>IF(B2730="","",IFERROR(VALUE(TEXT(B2730,"[$-1170401]yyyy")),""))</f>
        <v/>
      </c>
      <c r="M2730">
        <f>IF(B2730="","",IFERROR(VALUE(TEXT(B2730,"[$-1170401]mm")),""))</f>
        <v/>
      </c>
    </row>
    <row r="2731">
      <c r="B2731" s="30" t="n"/>
      <c r="G2731" s="9">
        <f>IF(AND(E2731&lt;&gt;"",E2731&lt;&gt;0,H2731&lt;&gt;""),H2731/E2731,"")</f>
        <v/>
      </c>
      <c r="L2731">
        <f>IF(B2731="","",IFERROR(VALUE(TEXT(B2731,"[$-1170401]yyyy")),""))</f>
        <v/>
      </c>
      <c r="M2731">
        <f>IF(B2731="","",IFERROR(VALUE(TEXT(B2731,"[$-1170401]mm")),""))</f>
        <v/>
      </c>
    </row>
    <row r="2732">
      <c r="B2732" s="30" t="n"/>
      <c r="G2732" s="9">
        <f>IF(AND(E2732&lt;&gt;"",E2732&lt;&gt;0,H2732&lt;&gt;""),H2732/E2732,"")</f>
        <v/>
      </c>
      <c r="L2732">
        <f>IF(B2732="","",IFERROR(VALUE(TEXT(B2732,"[$-1170401]yyyy")),""))</f>
        <v/>
      </c>
      <c r="M2732">
        <f>IF(B2732="","",IFERROR(VALUE(TEXT(B2732,"[$-1170401]mm")),""))</f>
        <v/>
      </c>
    </row>
    <row r="2733">
      <c r="B2733" s="30" t="n"/>
      <c r="G2733" s="9">
        <f>IF(AND(E2733&lt;&gt;"",E2733&lt;&gt;0,H2733&lt;&gt;""),H2733/E2733,"")</f>
        <v/>
      </c>
      <c r="L2733">
        <f>IF(B2733="","",IFERROR(VALUE(TEXT(B2733,"[$-1170401]yyyy")),""))</f>
        <v/>
      </c>
      <c r="M2733">
        <f>IF(B2733="","",IFERROR(VALUE(TEXT(B2733,"[$-1170401]mm")),""))</f>
        <v/>
      </c>
    </row>
    <row r="2734">
      <c r="B2734" s="30" t="n"/>
      <c r="G2734" s="9">
        <f>IF(AND(E2734&lt;&gt;"",E2734&lt;&gt;0,H2734&lt;&gt;""),H2734/E2734,"")</f>
        <v/>
      </c>
      <c r="L2734">
        <f>IF(B2734="","",IFERROR(VALUE(TEXT(B2734,"[$-1170401]yyyy")),""))</f>
        <v/>
      </c>
      <c r="M2734">
        <f>IF(B2734="","",IFERROR(VALUE(TEXT(B2734,"[$-1170401]mm")),""))</f>
        <v/>
      </c>
    </row>
    <row r="2735">
      <c r="B2735" s="30" t="n"/>
      <c r="G2735" s="9">
        <f>IF(AND(E2735&lt;&gt;"",E2735&lt;&gt;0,H2735&lt;&gt;""),H2735/E2735,"")</f>
        <v/>
      </c>
      <c r="L2735">
        <f>IF(B2735="","",IFERROR(VALUE(TEXT(B2735,"[$-1170401]yyyy")),""))</f>
        <v/>
      </c>
      <c r="M2735">
        <f>IF(B2735="","",IFERROR(VALUE(TEXT(B2735,"[$-1170401]mm")),""))</f>
        <v/>
      </c>
    </row>
    <row r="2736">
      <c r="B2736" s="30" t="n"/>
      <c r="G2736" s="9">
        <f>IF(AND(E2736&lt;&gt;"",E2736&lt;&gt;0,H2736&lt;&gt;""),H2736/E2736,"")</f>
        <v/>
      </c>
      <c r="L2736">
        <f>IF(B2736="","",IFERROR(VALUE(TEXT(B2736,"[$-1170401]yyyy")),""))</f>
        <v/>
      </c>
      <c r="M2736">
        <f>IF(B2736="","",IFERROR(VALUE(TEXT(B2736,"[$-1170401]mm")),""))</f>
        <v/>
      </c>
    </row>
    <row r="2737">
      <c r="B2737" s="30" t="n"/>
      <c r="G2737" s="9">
        <f>IF(AND(E2737&lt;&gt;"",E2737&lt;&gt;0,H2737&lt;&gt;""),H2737/E2737,"")</f>
        <v/>
      </c>
      <c r="L2737">
        <f>IF(B2737="","",IFERROR(VALUE(TEXT(B2737,"[$-1170401]yyyy")),""))</f>
        <v/>
      </c>
      <c r="M2737">
        <f>IF(B2737="","",IFERROR(VALUE(TEXT(B2737,"[$-1170401]mm")),""))</f>
        <v/>
      </c>
    </row>
    <row r="2738">
      <c r="B2738" s="30" t="n"/>
      <c r="G2738" s="9">
        <f>IF(AND(E2738&lt;&gt;"",E2738&lt;&gt;0,H2738&lt;&gt;""),H2738/E2738,"")</f>
        <v/>
      </c>
      <c r="L2738">
        <f>IF(B2738="","",IFERROR(VALUE(TEXT(B2738,"[$-1170401]yyyy")),""))</f>
        <v/>
      </c>
      <c r="M2738">
        <f>IF(B2738="","",IFERROR(VALUE(TEXT(B2738,"[$-1170401]mm")),""))</f>
        <v/>
      </c>
    </row>
    <row r="2739">
      <c r="B2739" s="30" t="n"/>
      <c r="G2739" s="9">
        <f>IF(AND(E2739&lt;&gt;"",E2739&lt;&gt;0,H2739&lt;&gt;""),H2739/E2739,"")</f>
        <v/>
      </c>
      <c r="L2739">
        <f>IF(B2739="","",IFERROR(VALUE(TEXT(B2739,"[$-1170401]yyyy")),""))</f>
        <v/>
      </c>
      <c r="M2739">
        <f>IF(B2739="","",IFERROR(VALUE(TEXT(B2739,"[$-1170401]mm")),""))</f>
        <v/>
      </c>
    </row>
    <row r="2740">
      <c r="B2740" s="30" t="n"/>
      <c r="G2740" s="9">
        <f>IF(AND(E2740&lt;&gt;"",E2740&lt;&gt;0,H2740&lt;&gt;""),H2740/E2740,"")</f>
        <v/>
      </c>
      <c r="L2740">
        <f>IF(B2740="","",IFERROR(VALUE(TEXT(B2740,"[$-1170401]yyyy")),""))</f>
        <v/>
      </c>
      <c r="M2740">
        <f>IF(B2740="","",IFERROR(VALUE(TEXT(B2740,"[$-1170401]mm")),""))</f>
        <v/>
      </c>
    </row>
    <row r="2741">
      <c r="B2741" s="30" t="n"/>
      <c r="G2741" s="9">
        <f>IF(AND(E2741&lt;&gt;"",E2741&lt;&gt;0,H2741&lt;&gt;""),H2741/E2741,"")</f>
        <v/>
      </c>
      <c r="L2741">
        <f>IF(B2741="","",IFERROR(VALUE(TEXT(B2741,"[$-1170401]yyyy")),""))</f>
        <v/>
      </c>
      <c r="M2741">
        <f>IF(B2741="","",IFERROR(VALUE(TEXT(B2741,"[$-1170401]mm")),""))</f>
        <v/>
      </c>
    </row>
    <row r="2742">
      <c r="B2742" s="30" t="n"/>
      <c r="G2742" s="9">
        <f>IF(AND(E2742&lt;&gt;"",E2742&lt;&gt;0,H2742&lt;&gt;""),H2742/E2742,"")</f>
        <v/>
      </c>
      <c r="L2742">
        <f>IF(B2742="","",IFERROR(VALUE(TEXT(B2742,"[$-1170401]yyyy")),""))</f>
        <v/>
      </c>
      <c r="M2742">
        <f>IF(B2742="","",IFERROR(VALUE(TEXT(B2742,"[$-1170401]mm")),""))</f>
        <v/>
      </c>
    </row>
    <row r="2743">
      <c r="B2743" s="30" t="n"/>
      <c r="G2743" s="9">
        <f>IF(AND(E2743&lt;&gt;"",E2743&lt;&gt;0,H2743&lt;&gt;""),H2743/E2743,"")</f>
        <v/>
      </c>
      <c r="L2743">
        <f>IF(B2743="","",IFERROR(VALUE(TEXT(B2743,"[$-1170401]yyyy")),""))</f>
        <v/>
      </c>
      <c r="M2743">
        <f>IF(B2743="","",IFERROR(VALUE(TEXT(B2743,"[$-1170401]mm")),""))</f>
        <v/>
      </c>
    </row>
    <row r="2744">
      <c r="B2744" s="30" t="n"/>
      <c r="G2744" s="9">
        <f>IF(AND(E2744&lt;&gt;"",E2744&lt;&gt;0,H2744&lt;&gt;""),H2744/E2744,"")</f>
        <v/>
      </c>
      <c r="L2744">
        <f>IF(B2744="","",IFERROR(VALUE(TEXT(B2744,"[$-1170401]yyyy")),""))</f>
        <v/>
      </c>
      <c r="M2744">
        <f>IF(B2744="","",IFERROR(VALUE(TEXT(B2744,"[$-1170401]mm")),""))</f>
        <v/>
      </c>
    </row>
    <row r="2745">
      <c r="B2745" s="30" t="n"/>
      <c r="G2745" s="9">
        <f>IF(AND(E2745&lt;&gt;"",E2745&lt;&gt;0,H2745&lt;&gt;""),H2745/E2745,"")</f>
        <v/>
      </c>
      <c r="L2745">
        <f>IF(B2745="","",IFERROR(VALUE(TEXT(B2745,"[$-1170401]yyyy")),""))</f>
        <v/>
      </c>
      <c r="M2745">
        <f>IF(B2745="","",IFERROR(VALUE(TEXT(B2745,"[$-1170401]mm")),""))</f>
        <v/>
      </c>
    </row>
    <row r="2746">
      <c r="B2746" s="30" t="n"/>
      <c r="G2746" s="9">
        <f>IF(AND(E2746&lt;&gt;"",E2746&lt;&gt;0,H2746&lt;&gt;""),H2746/E2746,"")</f>
        <v/>
      </c>
      <c r="L2746">
        <f>IF(B2746="","",IFERROR(VALUE(TEXT(B2746,"[$-1170401]yyyy")),""))</f>
        <v/>
      </c>
      <c r="M2746">
        <f>IF(B2746="","",IFERROR(VALUE(TEXT(B2746,"[$-1170401]mm")),""))</f>
        <v/>
      </c>
    </row>
    <row r="2747">
      <c r="B2747" s="30" t="n"/>
      <c r="G2747" s="9">
        <f>IF(AND(E2747&lt;&gt;"",E2747&lt;&gt;0,H2747&lt;&gt;""),H2747/E2747,"")</f>
        <v/>
      </c>
      <c r="L2747">
        <f>IF(B2747="","",IFERROR(VALUE(TEXT(B2747,"[$-1170401]yyyy")),""))</f>
        <v/>
      </c>
      <c r="M2747">
        <f>IF(B2747="","",IFERROR(VALUE(TEXT(B2747,"[$-1170401]mm")),""))</f>
        <v/>
      </c>
    </row>
    <row r="2748">
      <c r="B2748" s="30" t="n"/>
      <c r="G2748" s="9">
        <f>IF(AND(E2748&lt;&gt;"",E2748&lt;&gt;0,H2748&lt;&gt;""),H2748/E2748,"")</f>
        <v/>
      </c>
      <c r="L2748">
        <f>IF(B2748="","",IFERROR(VALUE(TEXT(B2748,"[$-1170401]yyyy")),""))</f>
        <v/>
      </c>
      <c r="M2748">
        <f>IF(B2748="","",IFERROR(VALUE(TEXT(B2748,"[$-1170401]mm")),""))</f>
        <v/>
      </c>
    </row>
    <row r="2749">
      <c r="B2749" s="30" t="n"/>
      <c r="G2749" s="9">
        <f>IF(AND(E2749&lt;&gt;"",E2749&lt;&gt;0,H2749&lt;&gt;""),H2749/E2749,"")</f>
        <v/>
      </c>
      <c r="L2749">
        <f>IF(B2749="","",IFERROR(VALUE(TEXT(B2749,"[$-1170401]yyyy")),""))</f>
        <v/>
      </c>
      <c r="M2749">
        <f>IF(B2749="","",IFERROR(VALUE(TEXT(B2749,"[$-1170401]mm")),""))</f>
        <v/>
      </c>
    </row>
    <row r="2750">
      <c r="B2750" s="30" t="n"/>
      <c r="G2750" s="9">
        <f>IF(AND(E2750&lt;&gt;"",E2750&lt;&gt;0,H2750&lt;&gt;""),H2750/E2750,"")</f>
        <v/>
      </c>
      <c r="L2750">
        <f>IF(B2750="","",IFERROR(VALUE(TEXT(B2750,"[$-1170401]yyyy")),""))</f>
        <v/>
      </c>
      <c r="M2750">
        <f>IF(B2750="","",IFERROR(VALUE(TEXT(B2750,"[$-1170401]mm")),""))</f>
        <v/>
      </c>
    </row>
    <row r="2751">
      <c r="B2751" s="30" t="n"/>
      <c r="G2751" s="9">
        <f>IF(AND(E2751&lt;&gt;"",E2751&lt;&gt;0,H2751&lt;&gt;""),H2751/E2751,"")</f>
        <v/>
      </c>
      <c r="L2751">
        <f>IF(B2751="","",IFERROR(VALUE(TEXT(B2751,"[$-1170401]yyyy")),""))</f>
        <v/>
      </c>
      <c r="M2751">
        <f>IF(B2751="","",IFERROR(VALUE(TEXT(B2751,"[$-1170401]mm")),""))</f>
        <v/>
      </c>
    </row>
    <row r="2752">
      <c r="B2752" s="30" t="n"/>
      <c r="G2752" s="9">
        <f>IF(AND(E2752&lt;&gt;"",E2752&lt;&gt;0,H2752&lt;&gt;""),H2752/E2752,"")</f>
        <v/>
      </c>
      <c r="L2752">
        <f>IF(B2752="","",IFERROR(VALUE(TEXT(B2752,"[$-1170401]yyyy")),""))</f>
        <v/>
      </c>
      <c r="M2752">
        <f>IF(B2752="","",IFERROR(VALUE(TEXT(B2752,"[$-1170401]mm")),""))</f>
        <v/>
      </c>
    </row>
    <row r="2753">
      <c r="B2753" s="30" t="n"/>
      <c r="G2753" s="9">
        <f>IF(AND(E2753&lt;&gt;"",E2753&lt;&gt;0,H2753&lt;&gt;""),H2753/E2753,"")</f>
        <v/>
      </c>
      <c r="L2753">
        <f>IF(B2753="","",IFERROR(VALUE(TEXT(B2753,"[$-1170401]yyyy")),""))</f>
        <v/>
      </c>
      <c r="M2753">
        <f>IF(B2753="","",IFERROR(VALUE(TEXT(B2753,"[$-1170401]mm")),""))</f>
        <v/>
      </c>
    </row>
    <row r="2754">
      <c r="B2754" s="30" t="n"/>
      <c r="G2754" s="9">
        <f>IF(AND(E2754&lt;&gt;"",E2754&lt;&gt;0,H2754&lt;&gt;""),H2754/E2754,"")</f>
        <v/>
      </c>
      <c r="L2754">
        <f>IF(B2754="","",IFERROR(VALUE(TEXT(B2754,"[$-1170401]yyyy")),""))</f>
        <v/>
      </c>
      <c r="M2754">
        <f>IF(B2754="","",IFERROR(VALUE(TEXT(B2754,"[$-1170401]mm")),""))</f>
        <v/>
      </c>
    </row>
    <row r="2755">
      <c r="B2755" s="30" t="n"/>
      <c r="G2755" s="9">
        <f>IF(AND(E2755&lt;&gt;"",E2755&lt;&gt;0,H2755&lt;&gt;""),H2755/E2755,"")</f>
        <v/>
      </c>
      <c r="L2755">
        <f>IF(B2755="","",IFERROR(VALUE(TEXT(B2755,"[$-1170401]yyyy")),""))</f>
        <v/>
      </c>
      <c r="M2755">
        <f>IF(B2755="","",IFERROR(VALUE(TEXT(B2755,"[$-1170401]mm")),""))</f>
        <v/>
      </c>
    </row>
    <row r="2756">
      <c r="B2756" s="30" t="n"/>
      <c r="G2756" s="9">
        <f>IF(AND(E2756&lt;&gt;"",E2756&lt;&gt;0,H2756&lt;&gt;""),H2756/E2756,"")</f>
        <v/>
      </c>
      <c r="L2756">
        <f>IF(B2756="","",IFERROR(VALUE(TEXT(B2756,"[$-1170401]yyyy")),""))</f>
        <v/>
      </c>
      <c r="M2756">
        <f>IF(B2756="","",IFERROR(VALUE(TEXT(B2756,"[$-1170401]mm")),""))</f>
        <v/>
      </c>
    </row>
    <row r="2757">
      <c r="B2757" s="30" t="n"/>
      <c r="G2757" s="9">
        <f>IF(AND(E2757&lt;&gt;"",E2757&lt;&gt;0,H2757&lt;&gt;""),H2757/E2757,"")</f>
        <v/>
      </c>
      <c r="L2757">
        <f>IF(B2757="","",IFERROR(VALUE(TEXT(B2757,"[$-1170401]yyyy")),""))</f>
        <v/>
      </c>
      <c r="M2757">
        <f>IF(B2757="","",IFERROR(VALUE(TEXT(B2757,"[$-1170401]mm")),""))</f>
        <v/>
      </c>
    </row>
    <row r="2758">
      <c r="B2758" s="30" t="n"/>
      <c r="G2758" s="9">
        <f>IF(AND(E2758&lt;&gt;"",E2758&lt;&gt;0,H2758&lt;&gt;""),H2758/E2758,"")</f>
        <v/>
      </c>
      <c r="L2758">
        <f>IF(B2758="","",IFERROR(VALUE(TEXT(B2758,"[$-1170401]yyyy")),""))</f>
        <v/>
      </c>
      <c r="M2758">
        <f>IF(B2758="","",IFERROR(VALUE(TEXT(B2758,"[$-1170401]mm")),""))</f>
        <v/>
      </c>
    </row>
    <row r="2759">
      <c r="B2759" s="30" t="n"/>
      <c r="G2759" s="9">
        <f>IF(AND(E2759&lt;&gt;"",E2759&lt;&gt;0,H2759&lt;&gt;""),H2759/E2759,"")</f>
        <v/>
      </c>
      <c r="L2759">
        <f>IF(B2759="","",IFERROR(VALUE(TEXT(B2759,"[$-1170401]yyyy")),""))</f>
        <v/>
      </c>
      <c r="M2759">
        <f>IF(B2759="","",IFERROR(VALUE(TEXT(B2759,"[$-1170401]mm")),""))</f>
        <v/>
      </c>
    </row>
    <row r="2760">
      <c r="B2760" s="30" t="n"/>
      <c r="G2760" s="9">
        <f>IF(AND(E2760&lt;&gt;"",E2760&lt;&gt;0,H2760&lt;&gt;""),H2760/E2760,"")</f>
        <v/>
      </c>
      <c r="L2760">
        <f>IF(B2760="","",IFERROR(VALUE(TEXT(B2760,"[$-1170401]yyyy")),""))</f>
        <v/>
      </c>
      <c r="M2760">
        <f>IF(B2760="","",IFERROR(VALUE(TEXT(B2760,"[$-1170401]mm")),""))</f>
        <v/>
      </c>
    </row>
    <row r="2761">
      <c r="B2761" s="30" t="n"/>
      <c r="G2761" s="9">
        <f>IF(AND(E2761&lt;&gt;"",E2761&lt;&gt;0,H2761&lt;&gt;""),H2761/E2761,"")</f>
        <v/>
      </c>
      <c r="L2761">
        <f>IF(B2761="","",IFERROR(VALUE(TEXT(B2761,"[$-1170401]yyyy")),""))</f>
        <v/>
      </c>
      <c r="M2761">
        <f>IF(B2761="","",IFERROR(VALUE(TEXT(B2761,"[$-1170401]mm")),""))</f>
        <v/>
      </c>
    </row>
    <row r="2762">
      <c r="B2762" s="30" t="n"/>
      <c r="G2762" s="9">
        <f>IF(AND(E2762&lt;&gt;"",E2762&lt;&gt;0,H2762&lt;&gt;""),H2762/E2762,"")</f>
        <v/>
      </c>
      <c r="L2762">
        <f>IF(B2762="","",IFERROR(VALUE(TEXT(B2762,"[$-1170401]yyyy")),""))</f>
        <v/>
      </c>
      <c r="M2762">
        <f>IF(B2762="","",IFERROR(VALUE(TEXT(B2762,"[$-1170401]mm")),""))</f>
        <v/>
      </c>
    </row>
    <row r="2763">
      <c r="B2763" s="30" t="n"/>
      <c r="G2763" s="9">
        <f>IF(AND(E2763&lt;&gt;"",E2763&lt;&gt;0,H2763&lt;&gt;""),H2763/E2763,"")</f>
        <v/>
      </c>
      <c r="L2763">
        <f>IF(B2763="","",IFERROR(VALUE(TEXT(B2763,"[$-1170401]yyyy")),""))</f>
        <v/>
      </c>
      <c r="M2763">
        <f>IF(B2763="","",IFERROR(VALUE(TEXT(B2763,"[$-1170401]mm")),""))</f>
        <v/>
      </c>
    </row>
    <row r="2764">
      <c r="B2764" s="30" t="n"/>
      <c r="G2764" s="9">
        <f>IF(AND(E2764&lt;&gt;"",E2764&lt;&gt;0,H2764&lt;&gt;""),H2764/E2764,"")</f>
        <v/>
      </c>
      <c r="L2764">
        <f>IF(B2764="","",IFERROR(VALUE(TEXT(B2764,"[$-1170401]yyyy")),""))</f>
        <v/>
      </c>
      <c r="M2764">
        <f>IF(B2764="","",IFERROR(VALUE(TEXT(B2764,"[$-1170401]mm")),""))</f>
        <v/>
      </c>
    </row>
    <row r="2765">
      <c r="B2765" s="30" t="n"/>
      <c r="G2765" s="9">
        <f>IF(AND(E2765&lt;&gt;"",E2765&lt;&gt;0,H2765&lt;&gt;""),H2765/E2765,"")</f>
        <v/>
      </c>
      <c r="L2765">
        <f>IF(B2765="","",IFERROR(VALUE(TEXT(B2765,"[$-1170401]yyyy")),""))</f>
        <v/>
      </c>
      <c r="M2765">
        <f>IF(B2765="","",IFERROR(VALUE(TEXT(B2765,"[$-1170401]mm")),""))</f>
        <v/>
      </c>
    </row>
    <row r="2766">
      <c r="B2766" s="30" t="n"/>
      <c r="G2766" s="9">
        <f>IF(AND(E2766&lt;&gt;"",E2766&lt;&gt;0,H2766&lt;&gt;""),H2766/E2766,"")</f>
        <v/>
      </c>
      <c r="L2766">
        <f>IF(B2766="","",IFERROR(VALUE(TEXT(B2766,"[$-1170401]yyyy")),""))</f>
        <v/>
      </c>
      <c r="M2766">
        <f>IF(B2766="","",IFERROR(VALUE(TEXT(B2766,"[$-1170401]mm")),""))</f>
        <v/>
      </c>
    </row>
    <row r="2767">
      <c r="B2767" s="30" t="n"/>
      <c r="G2767" s="9">
        <f>IF(AND(E2767&lt;&gt;"",E2767&lt;&gt;0,H2767&lt;&gt;""),H2767/E2767,"")</f>
        <v/>
      </c>
      <c r="L2767">
        <f>IF(B2767="","",IFERROR(VALUE(TEXT(B2767,"[$-1170401]yyyy")),""))</f>
        <v/>
      </c>
      <c r="M2767">
        <f>IF(B2767="","",IFERROR(VALUE(TEXT(B2767,"[$-1170401]mm")),""))</f>
        <v/>
      </c>
    </row>
    <row r="2768">
      <c r="B2768" s="30" t="n"/>
      <c r="G2768" s="9">
        <f>IF(AND(E2768&lt;&gt;"",E2768&lt;&gt;0,H2768&lt;&gt;""),H2768/E2768,"")</f>
        <v/>
      </c>
      <c r="L2768">
        <f>IF(B2768="","",IFERROR(VALUE(TEXT(B2768,"[$-1170401]yyyy")),""))</f>
        <v/>
      </c>
      <c r="M2768">
        <f>IF(B2768="","",IFERROR(VALUE(TEXT(B2768,"[$-1170401]mm")),""))</f>
        <v/>
      </c>
    </row>
    <row r="2769">
      <c r="B2769" s="30" t="n"/>
      <c r="G2769" s="9">
        <f>IF(AND(E2769&lt;&gt;"",E2769&lt;&gt;0,H2769&lt;&gt;""),H2769/E2769,"")</f>
        <v/>
      </c>
      <c r="L2769">
        <f>IF(B2769="","",IFERROR(VALUE(TEXT(B2769,"[$-1170401]yyyy")),""))</f>
        <v/>
      </c>
      <c r="M2769">
        <f>IF(B2769="","",IFERROR(VALUE(TEXT(B2769,"[$-1170401]mm")),""))</f>
        <v/>
      </c>
    </row>
    <row r="2770">
      <c r="B2770" s="30" t="n"/>
      <c r="G2770" s="9">
        <f>IF(AND(E2770&lt;&gt;"",E2770&lt;&gt;0,H2770&lt;&gt;""),H2770/E2770,"")</f>
        <v/>
      </c>
      <c r="L2770">
        <f>IF(B2770="","",IFERROR(VALUE(TEXT(B2770,"[$-1170401]yyyy")),""))</f>
        <v/>
      </c>
      <c r="M2770">
        <f>IF(B2770="","",IFERROR(VALUE(TEXT(B2770,"[$-1170401]mm")),""))</f>
        <v/>
      </c>
    </row>
    <row r="2771">
      <c r="B2771" s="30" t="n"/>
      <c r="G2771" s="9">
        <f>IF(AND(E2771&lt;&gt;"",E2771&lt;&gt;0,H2771&lt;&gt;""),H2771/E2771,"")</f>
        <v/>
      </c>
      <c r="L2771">
        <f>IF(B2771="","",IFERROR(VALUE(TEXT(B2771,"[$-1170401]yyyy")),""))</f>
        <v/>
      </c>
      <c r="M2771">
        <f>IF(B2771="","",IFERROR(VALUE(TEXT(B2771,"[$-1170401]mm")),""))</f>
        <v/>
      </c>
    </row>
    <row r="2772">
      <c r="B2772" s="30" t="n"/>
      <c r="G2772" s="9">
        <f>IF(AND(E2772&lt;&gt;"",E2772&lt;&gt;0,H2772&lt;&gt;""),H2772/E2772,"")</f>
        <v/>
      </c>
      <c r="L2772">
        <f>IF(B2772="","",IFERROR(VALUE(TEXT(B2772,"[$-1170401]yyyy")),""))</f>
        <v/>
      </c>
      <c r="M2772">
        <f>IF(B2772="","",IFERROR(VALUE(TEXT(B2772,"[$-1170401]mm")),""))</f>
        <v/>
      </c>
    </row>
    <row r="2773">
      <c r="B2773" s="30" t="n"/>
      <c r="G2773" s="9">
        <f>IF(AND(E2773&lt;&gt;"",E2773&lt;&gt;0,H2773&lt;&gt;""),H2773/E2773,"")</f>
        <v/>
      </c>
      <c r="L2773">
        <f>IF(B2773="","",IFERROR(VALUE(TEXT(B2773,"[$-1170401]yyyy")),""))</f>
        <v/>
      </c>
      <c r="M2773">
        <f>IF(B2773="","",IFERROR(VALUE(TEXT(B2773,"[$-1170401]mm")),""))</f>
        <v/>
      </c>
    </row>
    <row r="2774">
      <c r="B2774" s="30" t="n"/>
      <c r="G2774" s="9">
        <f>IF(AND(E2774&lt;&gt;"",E2774&lt;&gt;0,H2774&lt;&gt;""),H2774/E2774,"")</f>
        <v/>
      </c>
      <c r="L2774">
        <f>IF(B2774="","",IFERROR(VALUE(TEXT(B2774,"[$-1170401]yyyy")),""))</f>
        <v/>
      </c>
      <c r="M2774">
        <f>IF(B2774="","",IFERROR(VALUE(TEXT(B2774,"[$-1170401]mm")),""))</f>
        <v/>
      </c>
    </row>
    <row r="2775">
      <c r="B2775" s="30" t="n"/>
      <c r="G2775" s="9">
        <f>IF(AND(E2775&lt;&gt;"",E2775&lt;&gt;0,H2775&lt;&gt;""),H2775/E2775,"")</f>
        <v/>
      </c>
      <c r="L2775">
        <f>IF(B2775="","",IFERROR(VALUE(TEXT(B2775,"[$-1170401]yyyy")),""))</f>
        <v/>
      </c>
      <c r="M2775">
        <f>IF(B2775="","",IFERROR(VALUE(TEXT(B2775,"[$-1170401]mm")),""))</f>
        <v/>
      </c>
    </row>
    <row r="2776">
      <c r="B2776" s="30" t="n"/>
      <c r="G2776" s="9">
        <f>IF(AND(E2776&lt;&gt;"",E2776&lt;&gt;0,H2776&lt;&gt;""),H2776/E2776,"")</f>
        <v/>
      </c>
      <c r="L2776">
        <f>IF(B2776="","",IFERROR(VALUE(TEXT(B2776,"[$-1170401]yyyy")),""))</f>
        <v/>
      </c>
      <c r="M2776">
        <f>IF(B2776="","",IFERROR(VALUE(TEXT(B2776,"[$-1170401]mm")),""))</f>
        <v/>
      </c>
    </row>
    <row r="2777">
      <c r="B2777" s="30" t="n"/>
      <c r="G2777" s="9">
        <f>IF(AND(E2777&lt;&gt;"",E2777&lt;&gt;0,H2777&lt;&gt;""),H2777/E2777,"")</f>
        <v/>
      </c>
      <c r="L2777">
        <f>IF(B2777="","",IFERROR(VALUE(TEXT(B2777,"[$-1170401]yyyy")),""))</f>
        <v/>
      </c>
      <c r="M2777">
        <f>IF(B2777="","",IFERROR(VALUE(TEXT(B2777,"[$-1170401]mm")),""))</f>
        <v/>
      </c>
    </row>
    <row r="2778">
      <c r="B2778" s="30" t="n"/>
      <c r="G2778" s="9">
        <f>IF(AND(E2778&lt;&gt;"",E2778&lt;&gt;0,H2778&lt;&gt;""),H2778/E2778,"")</f>
        <v/>
      </c>
      <c r="L2778">
        <f>IF(B2778="","",IFERROR(VALUE(TEXT(B2778,"[$-1170401]yyyy")),""))</f>
        <v/>
      </c>
      <c r="M2778">
        <f>IF(B2778="","",IFERROR(VALUE(TEXT(B2778,"[$-1170401]mm")),""))</f>
        <v/>
      </c>
    </row>
    <row r="2779">
      <c r="B2779" s="30" t="n"/>
      <c r="G2779" s="9">
        <f>IF(AND(E2779&lt;&gt;"",E2779&lt;&gt;0,H2779&lt;&gt;""),H2779/E2779,"")</f>
        <v/>
      </c>
      <c r="L2779">
        <f>IF(B2779="","",IFERROR(VALUE(TEXT(B2779,"[$-1170401]yyyy")),""))</f>
        <v/>
      </c>
      <c r="M2779">
        <f>IF(B2779="","",IFERROR(VALUE(TEXT(B2779,"[$-1170401]mm")),""))</f>
        <v/>
      </c>
    </row>
    <row r="2780">
      <c r="B2780" s="30" t="n"/>
      <c r="G2780" s="9">
        <f>IF(AND(E2780&lt;&gt;"",E2780&lt;&gt;0,H2780&lt;&gt;""),H2780/E2780,"")</f>
        <v/>
      </c>
      <c r="L2780">
        <f>IF(B2780="","",IFERROR(VALUE(TEXT(B2780,"[$-1170401]yyyy")),""))</f>
        <v/>
      </c>
      <c r="M2780">
        <f>IF(B2780="","",IFERROR(VALUE(TEXT(B2780,"[$-1170401]mm")),""))</f>
        <v/>
      </c>
    </row>
    <row r="2781">
      <c r="B2781" s="30" t="n"/>
      <c r="G2781" s="9">
        <f>IF(AND(E2781&lt;&gt;"",E2781&lt;&gt;0,H2781&lt;&gt;""),H2781/E2781,"")</f>
        <v/>
      </c>
      <c r="L2781">
        <f>IF(B2781="","",IFERROR(VALUE(TEXT(B2781,"[$-1170401]yyyy")),""))</f>
        <v/>
      </c>
      <c r="M2781">
        <f>IF(B2781="","",IFERROR(VALUE(TEXT(B2781,"[$-1170401]mm")),""))</f>
        <v/>
      </c>
    </row>
    <row r="2782">
      <c r="B2782" s="30" t="n"/>
      <c r="G2782" s="9">
        <f>IF(AND(E2782&lt;&gt;"",E2782&lt;&gt;0,H2782&lt;&gt;""),H2782/E2782,"")</f>
        <v/>
      </c>
      <c r="L2782">
        <f>IF(B2782="","",IFERROR(VALUE(TEXT(B2782,"[$-1170401]yyyy")),""))</f>
        <v/>
      </c>
      <c r="M2782">
        <f>IF(B2782="","",IFERROR(VALUE(TEXT(B2782,"[$-1170401]mm")),""))</f>
        <v/>
      </c>
    </row>
    <row r="2783">
      <c r="B2783" s="30" t="n"/>
      <c r="G2783" s="9">
        <f>IF(AND(E2783&lt;&gt;"",E2783&lt;&gt;0,H2783&lt;&gt;""),H2783/E2783,"")</f>
        <v/>
      </c>
      <c r="L2783">
        <f>IF(B2783="","",IFERROR(VALUE(TEXT(B2783,"[$-1170401]yyyy")),""))</f>
        <v/>
      </c>
      <c r="M2783">
        <f>IF(B2783="","",IFERROR(VALUE(TEXT(B2783,"[$-1170401]mm")),""))</f>
        <v/>
      </c>
    </row>
    <row r="2784">
      <c r="B2784" s="30" t="n"/>
      <c r="G2784" s="9">
        <f>IF(AND(E2784&lt;&gt;"",E2784&lt;&gt;0,H2784&lt;&gt;""),H2784/E2784,"")</f>
        <v/>
      </c>
      <c r="L2784">
        <f>IF(B2784="","",IFERROR(VALUE(TEXT(B2784,"[$-1170401]yyyy")),""))</f>
        <v/>
      </c>
      <c r="M2784">
        <f>IF(B2784="","",IFERROR(VALUE(TEXT(B2784,"[$-1170401]mm")),""))</f>
        <v/>
      </c>
    </row>
    <row r="2785">
      <c r="B2785" s="30" t="n"/>
      <c r="G2785" s="9">
        <f>IF(AND(E2785&lt;&gt;"",E2785&lt;&gt;0,H2785&lt;&gt;""),H2785/E2785,"")</f>
        <v/>
      </c>
      <c r="L2785">
        <f>IF(B2785="","",IFERROR(VALUE(TEXT(B2785,"[$-1170401]yyyy")),""))</f>
        <v/>
      </c>
      <c r="M2785">
        <f>IF(B2785="","",IFERROR(VALUE(TEXT(B2785,"[$-1170401]mm")),""))</f>
        <v/>
      </c>
    </row>
    <row r="2786">
      <c r="B2786" s="30" t="n"/>
      <c r="G2786" s="9">
        <f>IF(AND(E2786&lt;&gt;"",E2786&lt;&gt;0,H2786&lt;&gt;""),H2786/E2786,"")</f>
        <v/>
      </c>
      <c r="L2786">
        <f>IF(B2786="","",IFERROR(VALUE(TEXT(B2786,"[$-1170401]yyyy")),""))</f>
        <v/>
      </c>
      <c r="M2786">
        <f>IF(B2786="","",IFERROR(VALUE(TEXT(B2786,"[$-1170401]mm")),""))</f>
        <v/>
      </c>
    </row>
    <row r="2787">
      <c r="B2787" s="30" t="n"/>
      <c r="G2787" s="9">
        <f>IF(AND(E2787&lt;&gt;"",E2787&lt;&gt;0,H2787&lt;&gt;""),H2787/E2787,"")</f>
        <v/>
      </c>
      <c r="L2787">
        <f>IF(B2787="","",IFERROR(VALUE(TEXT(B2787,"[$-1170401]yyyy")),""))</f>
        <v/>
      </c>
      <c r="M2787">
        <f>IF(B2787="","",IFERROR(VALUE(TEXT(B2787,"[$-1170401]mm")),""))</f>
        <v/>
      </c>
    </row>
    <row r="2788">
      <c r="B2788" s="30" t="n"/>
      <c r="G2788" s="9">
        <f>IF(AND(E2788&lt;&gt;"",E2788&lt;&gt;0,H2788&lt;&gt;""),H2788/E2788,"")</f>
        <v/>
      </c>
      <c r="L2788">
        <f>IF(B2788="","",IFERROR(VALUE(TEXT(B2788,"[$-1170401]yyyy")),""))</f>
        <v/>
      </c>
      <c r="M2788">
        <f>IF(B2788="","",IFERROR(VALUE(TEXT(B2788,"[$-1170401]mm")),""))</f>
        <v/>
      </c>
    </row>
    <row r="2789">
      <c r="B2789" s="30" t="n"/>
      <c r="G2789" s="9">
        <f>IF(AND(E2789&lt;&gt;"",E2789&lt;&gt;0,H2789&lt;&gt;""),H2789/E2789,"")</f>
        <v/>
      </c>
      <c r="L2789">
        <f>IF(B2789="","",IFERROR(VALUE(TEXT(B2789,"[$-1170401]yyyy")),""))</f>
        <v/>
      </c>
      <c r="M2789">
        <f>IF(B2789="","",IFERROR(VALUE(TEXT(B2789,"[$-1170401]mm")),""))</f>
        <v/>
      </c>
    </row>
    <row r="2790">
      <c r="B2790" s="30" t="n"/>
      <c r="G2790" s="9">
        <f>IF(AND(E2790&lt;&gt;"",E2790&lt;&gt;0,H2790&lt;&gt;""),H2790/E2790,"")</f>
        <v/>
      </c>
      <c r="L2790">
        <f>IF(B2790="","",IFERROR(VALUE(TEXT(B2790,"[$-1170401]yyyy")),""))</f>
        <v/>
      </c>
      <c r="M2790">
        <f>IF(B2790="","",IFERROR(VALUE(TEXT(B2790,"[$-1170401]mm")),""))</f>
        <v/>
      </c>
    </row>
    <row r="2791">
      <c r="B2791" s="30" t="n"/>
      <c r="G2791" s="9">
        <f>IF(AND(E2791&lt;&gt;"",E2791&lt;&gt;0,H2791&lt;&gt;""),H2791/E2791,"")</f>
        <v/>
      </c>
      <c r="L2791">
        <f>IF(B2791="","",IFERROR(VALUE(TEXT(B2791,"[$-1170401]yyyy")),""))</f>
        <v/>
      </c>
      <c r="M2791">
        <f>IF(B2791="","",IFERROR(VALUE(TEXT(B2791,"[$-1170401]mm")),""))</f>
        <v/>
      </c>
    </row>
    <row r="2792">
      <c r="B2792" s="30" t="n"/>
      <c r="G2792" s="9">
        <f>IF(AND(E2792&lt;&gt;"",E2792&lt;&gt;0,H2792&lt;&gt;""),H2792/E2792,"")</f>
        <v/>
      </c>
      <c r="L2792">
        <f>IF(B2792="","",IFERROR(VALUE(TEXT(B2792,"[$-1170401]yyyy")),""))</f>
        <v/>
      </c>
      <c r="M2792">
        <f>IF(B2792="","",IFERROR(VALUE(TEXT(B2792,"[$-1170401]mm")),""))</f>
        <v/>
      </c>
    </row>
    <row r="2793">
      <c r="B2793" s="30" t="n"/>
      <c r="G2793" s="9">
        <f>IF(AND(E2793&lt;&gt;"",E2793&lt;&gt;0,H2793&lt;&gt;""),H2793/E2793,"")</f>
        <v/>
      </c>
      <c r="L2793">
        <f>IF(B2793="","",IFERROR(VALUE(TEXT(B2793,"[$-1170401]yyyy")),""))</f>
        <v/>
      </c>
      <c r="M2793">
        <f>IF(B2793="","",IFERROR(VALUE(TEXT(B2793,"[$-1170401]mm")),""))</f>
        <v/>
      </c>
    </row>
    <row r="2794">
      <c r="B2794" s="30" t="n"/>
      <c r="G2794" s="9">
        <f>IF(AND(E2794&lt;&gt;"",E2794&lt;&gt;0,H2794&lt;&gt;""),H2794/E2794,"")</f>
        <v/>
      </c>
      <c r="L2794">
        <f>IF(B2794="","",IFERROR(VALUE(TEXT(B2794,"[$-1170401]yyyy")),""))</f>
        <v/>
      </c>
      <c r="M2794">
        <f>IF(B2794="","",IFERROR(VALUE(TEXT(B2794,"[$-1170401]mm")),""))</f>
        <v/>
      </c>
    </row>
    <row r="2795">
      <c r="B2795" s="30" t="n"/>
      <c r="G2795" s="9">
        <f>IF(AND(E2795&lt;&gt;"",E2795&lt;&gt;0,H2795&lt;&gt;""),H2795/E2795,"")</f>
        <v/>
      </c>
      <c r="L2795">
        <f>IF(B2795="","",IFERROR(VALUE(TEXT(B2795,"[$-1170401]yyyy")),""))</f>
        <v/>
      </c>
      <c r="M2795">
        <f>IF(B2795="","",IFERROR(VALUE(TEXT(B2795,"[$-1170401]mm")),""))</f>
        <v/>
      </c>
    </row>
    <row r="2796">
      <c r="B2796" s="30" t="n"/>
      <c r="G2796" s="9">
        <f>IF(AND(E2796&lt;&gt;"",E2796&lt;&gt;0,H2796&lt;&gt;""),H2796/E2796,"")</f>
        <v/>
      </c>
      <c r="L2796">
        <f>IF(B2796="","",IFERROR(VALUE(TEXT(B2796,"[$-1170401]yyyy")),""))</f>
        <v/>
      </c>
      <c r="M2796">
        <f>IF(B2796="","",IFERROR(VALUE(TEXT(B2796,"[$-1170401]mm")),""))</f>
        <v/>
      </c>
    </row>
    <row r="2797">
      <c r="B2797" s="30" t="n"/>
      <c r="G2797" s="9">
        <f>IF(AND(E2797&lt;&gt;"",E2797&lt;&gt;0,H2797&lt;&gt;""),H2797/E2797,"")</f>
        <v/>
      </c>
      <c r="L2797">
        <f>IF(B2797="","",IFERROR(VALUE(TEXT(B2797,"[$-1170401]yyyy")),""))</f>
        <v/>
      </c>
      <c r="M2797">
        <f>IF(B2797="","",IFERROR(VALUE(TEXT(B2797,"[$-1170401]mm")),""))</f>
        <v/>
      </c>
    </row>
    <row r="2798">
      <c r="B2798" s="30" t="n"/>
      <c r="G2798" s="9">
        <f>IF(AND(E2798&lt;&gt;"",E2798&lt;&gt;0,H2798&lt;&gt;""),H2798/E2798,"")</f>
        <v/>
      </c>
      <c r="L2798">
        <f>IF(B2798="","",IFERROR(VALUE(TEXT(B2798,"[$-1170401]yyyy")),""))</f>
        <v/>
      </c>
      <c r="M2798">
        <f>IF(B2798="","",IFERROR(VALUE(TEXT(B2798,"[$-1170401]mm")),""))</f>
        <v/>
      </c>
    </row>
    <row r="2799">
      <c r="B2799" s="30" t="n"/>
      <c r="G2799" s="9">
        <f>IF(AND(E2799&lt;&gt;"",E2799&lt;&gt;0,H2799&lt;&gt;""),H2799/E2799,"")</f>
        <v/>
      </c>
      <c r="L2799">
        <f>IF(B2799="","",IFERROR(VALUE(TEXT(B2799,"[$-1170401]yyyy")),""))</f>
        <v/>
      </c>
      <c r="M2799">
        <f>IF(B2799="","",IFERROR(VALUE(TEXT(B2799,"[$-1170401]mm")),""))</f>
        <v/>
      </c>
    </row>
    <row r="2800">
      <c r="B2800" s="30" t="n"/>
      <c r="G2800" s="9">
        <f>IF(AND(E2800&lt;&gt;"",E2800&lt;&gt;0,H2800&lt;&gt;""),H2800/E2800,"")</f>
        <v/>
      </c>
      <c r="L2800">
        <f>IF(B2800="","",IFERROR(VALUE(TEXT(B2800,"[$-1170401]yyyy")),""))</f>
        <v/>
      </c>
      <c r="M2800">
        <f>IF(B2800="","",IFERROR(VALUE(TEXT(B2800,"[$-1170401]mm")),""))</f>
        <v/>
      </c>
    </row>
    <row r="2801">
      <c r="B2801" s="30" t="n"/>
      <c r="G2801" s="9">
        <f>IF(AND(E2801&lt;&gt;"",E2801&lt;&gt;0,H2801&lt;&gt;""),H2801/E2801,"")</f>
        <v/>
      </c>
      <c r="L2801">
        <f>IF(B2801="","",IFERROR(VALUE(TEXT(B2801,"[$-1170401]yyyy")),""))</f>
        <v/>
      </c>
      <c r="M2801">
        <f>IF(B2801="","",IFERROR(VALUE(TEXT(B2801,"[$-1170401]mm")),""))</f>
        <v/>
      </c>
    </row>
    <row r="2802">
      <c r="B2802" s="30" t="n"/>
      <c r="G2802" s="9">
        <f>IF(AND(E2802&lt;&gt;"",E2802&lt;&gt;0,H2802&lt;&gt;""),H2802/E2802,"")</f>
        <v/>
      </c>
      <c r="L2802">
        <f>IF(B2802="","",IFERROR(VALUE(TEXT(B2802,"[$-1170401]yyyy")),""))</f>
        <v/>
      </c>
      <c r="M2802">
        <f>IF(B2802="","",IFERROR(VALUE(TEXT(B2802,"[$-1170401]mm")),""))</f>
        <v/>
      </c>
    </row>
    <row r="2803">
      <c r="B2803" s="30" t="n"/>
      <c r="G2803" s="9">
        <f>IF(AND(E2803&lt;&gt;"",E2803&lt;&gt;0,H2803&lt;&gt;""),H2803/E2803,"")</f>
        <v/>
      </c>
      <c r="L2803">
        <f>IF(B2803="","",IFERROR(VALUE(TEXT(B2803,"[$-1170401]yyyy")),""))</f>
        <v/>
      </c>
      <c r="M2803">
        <f>IF(B2803="","",IFERROR(VALUE(TEXT(B2803,"[$-1170401]mm")),""))</f>
        <v/>
      </c>
    </row>
    <row r="2804">
      <c r="B2804" s="30" t="n"/>
      <c r="G2804" s="9">
        <f>IF(AND(E2804&lt;&gt;"",E2804&lt;&gt;0,H2804&lt;&gt;""),H2804/E2804,"")</f>
        <v/>
      </c>
      <c r="L2804">
        <f>IF(B2804="","",IFERROR(VALUE(TEXT(B2804,"[$-1170401]yyyy")),""))</f>
        <v/>
      </c>
      <c r="M2804">
        <f>IF(B2804="","",IFERROR(VALUE(TEXT(B2804,"[$-1170401]mm")),""))</f>
        <v/>
      </c>
    </row>
    <row r="2805">
      <c r="B2805" s="30" t="n"/>
      <c r="G2805" s="9">
        <f>IF(AND(E2805&lt;&gt;"",E2805&lt;&gt;0,H2805&lt;&gt;""),H2805/E2805,"")</f>
        <v/>
      </c>
      <c r="L2805">
        <f>IF(B2805="","",IFERROR(VALUE(TEXT(B2805,"[$-1170401]yyyy")),""))</f>
        <v/>
      </c>
      <c r="M2805">
        <f>IF(B2805="","",IFERROR(VALUE(TEXT(B2805,"[$-1170401]mm")),""))</f>
        <v/>
      </c>
    </row>
    <row r="2806">
      <c r="B2806" s="30" t="n"/>
      <c r="G2806" s="9">
        <f>IF(AND(E2806&lt;&gt;"",E2806&lt;&gt;0,H2806&lt;&gt;""),H2806/E2806,"")</f>
        <v/>
      </c>
      <c r="L2806">
        <f>IF(B2806="","",IFERROR(VALUE(TEXT(B2806,"[$-1170401]yyyy")),""))</f>
        <v/>
      </c>
      <c r="M2806">
        <f>IF(B2806="","",IFERROR(VALUE(TEXT(B2806,"[$-1170401]mm")),""))</f>
        <v/>
      </c>
    </row>
    <row r="2807">
      <c r="B2807" s="30" t="n"/>
      <c r="G2807" s="9">
        <f>IF(AND(E2807&lt;&gt;"",E2807&lt;&gt;0,H2807&lt;&gt;""),H2807/E2807,"")</f>
        <v/>
      </c>
      <c r="L2807">
        <f>IF(B2807="","",IFERROR(VALUE(TEXT(B2807,"[$-1170401]yyyy")),""))</f>
        <v/>
      </c>
      <c r="M2807">
        <f>IF(B2807="","",IFERROR(VALUE(TEXT(B2807,"[$-1170401]mm")),""))</f>
        <v/>
      </c>
    </row>
    <row r="2808">
      <c r="B2808" s="30" t="n"/>
      <c r="G2808" s="9">
        <f>IF(AND(E2808&lt;&gt;"",E2808&lt;&gt;0,H2808&lt;&gt;""),H2808/E2808,"")</f>
        <v/>
      </c>
      <c r="L2808">
        <f>IF(B2808="","",IFERROR(VALUE(TEXT(B2808,"[$-1170401]yyyy")),""))</f>
        <v/>
      </c>
      <c r="M2808">
        <f>IF(B2808="","",IFERROR(VALUE(TEXT(B2808,"[$-1170401]mm")),""))</f>
        <v/>
      </c>
    </row>
    <row r="2809">
      <c r="B2809" s="30" t="n"/>
      <c r="G2809" s="9">
        <f>IF(AND(E2809&lt;&gt;"",E2809&lt;&gt;0,H2809&lt;&gt;""),H2809/E2809,"")</f>
        <v/>
      </c>
      <c r="L2809">
        <f>IF(B2809="","",IFERROR(VALUE(TEXT(B2809,"[$-1170401]yyyy")),""))</f>
        <v/>
      </c>
      <c r="M2809">
        <f>IF(B2809="","",IFERROR(VALUE(TEXT(B2809,"[$-1170401]mm")),""))</f>
        <v/>
      </c>
    </row>
    <row r="2810">
      <c r="B2810" s="30" t="n"/>
      <c r="G2810" s="9">
        <f>IF(AND(E2810&lt;&gt;"",E2810&lt;&gt;0,H2810&lt;&gt;""),H2810/E2810,"")</f>
        <v/>
      </c>
      <c r="L2810">
        <f>IF(B2810="","",IFERROR(VALUE(TEXT(B2810,"[$-1170401]yyyy")),""))</f>
        <v/>
      </c>
      <c r="M2810">
        <f>IF(B2810="","",IFERROR(VALUE(TEXT(B2810,"[$-1170401]mm")),""))</f>
        <v/>
      </c>
    </row>
    <row r="2811">
      <c r="B2811" s="30" t="n"/>
      <c r="G2811" s="9">
        <f>IF(AND(E2811&lt;&gt;"",E2811&lt;&gt;0,H2811&lt;&gt;""),H2811/E2811,"")</f>
        <v/>
      </c>
      <c r="L2811">
        <f>IF(B2811="","",IFERROR(VALUE(TEXT(B2811,"[$-1170401]yyyy")),""))</f>
        <v/>
      </c>
      <c r="M2811">
        <f>IF(B2811="","",IFERROR(VALUE(TEXT(B2811,"[$-1170401]mm")),""))</f>
        <v/>
      </c>
    </row>
    <row r="2812">
      <c r="B2812" s="30" t="n"/>
      <c r="G2812" s="9">
        <f>IF(AND(E2812&lt;&gt;"",E2812&lt;&gt;0,H2812&lt;&gt;""),H2812/E2812,"")</f>
        <v/>
      </c>
      <c r="L2812">
        <f>IF(B2812="","",IFERROR(VALUE(TEXT(B2812,"[$-1170401]yyyy")),""))</f>
        <v/>
      </c>
      <c r="M2812">
        <f>IF(B2812="","",IFERROR(VALUE(TEXT(B2812,"[$-1170401]mm")),""))</f>
        <v/>
      </c>
    </row>
    <row r="2813">
      <c r="B2813" s="30" t="n"/>
      <c r="G2813" s="9">
        <f>IF(AND(E2813&lt;&gt;"",E2813&lt;&gt;0,H2813&lt;&gt;""),H2813/E2813,"")</f>
        <v/>
      </c>
      <c r="L2813">
        <f>IF(B2813="","",IFERROR(VALUE(TEXT(B2813,"[$-1170401]yyyy")),""))</f>
        <v/>
      </c>
      <c r="M2813">
        <f>IF(B2813="","",IFERROR(VALUE(TEXT(B2813,"[$-1170401]mm")),""))</f>
        <v/>
      </c>
    </row>
    <row r="2814">
      <c r="B2814" s="30" t="n"/>
      <c r="G2814" s="9">
        <f>IF(AND(E2814&lt;&gt;"",E2814&lt;&gt;0,H2814&lt;&gt;""),H2814/E2814,"")</f>
        <v/>
      </c>
      <c r="L2814">
        <f>IF(B2814="","",IFERROR(VALUE(TEXT(B2814,"[$-1170401]yyyy")),""))</f>
        <v/>
      </c>
      <c r="M2814">
        <f>IF(B2814="","",IFERROR(VALUE(TEXT(B2814,"[$-1170401]mm")),""))</f>
        <v/>
      </c>
    </row>
    <row r="2815">
      <c r="B2815" s="30" t="n"/>
      <c r="G2815" s="9">
        <f>IF(AND(E2815&lt;&gt;"",E2815&lt;&gt;0,H2815&lt;&gt;""),H2815/E2815,"")</f>
        <v/>
      </c>
      <c r="L2815">
        <f>IF(B2815="","",IFERROR(VALUE(TEXT(B2815,"[$-1170401]yyyy")),""))</f>
        <v/>
      </c>
      <c r="M2815">
        <f>IF(B2815="","",IFERROR(VALUE(TEXT(B2815,"[$-1170401]mm")),""))</f>
        <v/>
      </c>
    </row>
    <row r="2816">
      <c r="B2816" s="30" t="n"/>
      <c r="G2816" s="9">
        <f>IF(AND(E2816&lt;&gt;"",E2816&lt;&gt;0,H2816&lt;&gt;""),H2816/E2816,"")</f>
        <v/>
      </c>
      <c r="L2816">
        <f>IF(B2816="","",IFERROR(VALUE(TEXT(B2816,"[$-1170401]yyyy")),""))</f>
        <v/>
      </c>
      <c r="M2816">
        <f>IF(B2816="","",IFERROR(VALUE(TEXT(B2816,"[$-1170401]mm")),""))</f>
        <v/>
      </c>
    </row>
    <row r="2817">
      <c r="B2817" s="30" t="n"/>
      <c r="G2817" s="9">
        <f>IF(AND(E2817&lt;&gt;"",E2817&lt;&gt;0,H2817&lt;&gt;""),H2817/E2817,"")</f>
        <v/>
      </c>
      <c r="L2817">
        <f>IF(B2817="","",IFERROR(VALUE(TEXT(B2817,"[$-1170401]yyyy")),""))</f>
        <v/>
      </c>
      <c r="M2817">
        <f>IF(B2817="","",IFERROR(VALUE(TEXT(B2817,"[$-1170401]mm")),""))</f>
        <v/>
      </c>
    </row>
    <row r="2818">
      <c r="B2818" s="30" t="n"/>
      <c r="G2818" s="9">
        <f>IF(AND(E2818&lt;&gt;"",E2818&lt;&gt;0,H2818&lt;&gt;""),H2818/E2818,"")</f>
        <v/>
      </c>
      <c r="L2818">
        <f>IF(B2818="","",IFERROR(VALUE(TEXT(B2818,"[$-1170401]yyyy")),""))</f>
        <v/>
      </c>
      <c r="M2818">
        <f>IF(B2818="","",IFERROR(VALUE(TEXT(B2818,"[$-1170401]mm")),""))</f>
        <v/>
      </c>
    </row>
    <row r="2819">
      <c r="B2819" s="30" t="n"/>
      <c r="G2819" s="9">
        <f>IF(AND(E2819&lt;&gt;"",E2819&lt;&gt;0,H2819&lt;&gt;""),H2819/E2819,"")</f>
        <v/>
      </c>
      <c r="L2819">
        <f>IF(B2819="","",IFERROR(VALUE(TEXT(B2819,"[$-1170401]yyyy")),""))</f>
        <v/>
      </c>
      <c r="M2819">
        <f>IF(B2819="","",IFERROR(VALUE(TEXT(B2819,"[$-1170401]mm")),""))</f>
        <v/>
      </c>
    </row>
    <row r="2820">
      <c r="B2820" s="30" t="n"/>
      <c r="G2820" s="9">
        <f>IF(AND(E2820&lt;&gt;"",E2820&lt;&gt;0,H2820&lt;&gt;""),H2820/E2820,"")</f>
        <v/>
      </c>
      <c r="L2820">
        <f>IF(B2820="","",IFERROR(VALUE(TEXT(B2820,"[$-1170401]yyyy")),""))</f>
        <v/>
      </c>
      <c r="M2820">
        <f>IF(B2820="","",IFERROR(VALUE(TEXT(B2820,"[$-1170401]mm")),""))</f>
        <v/>
      </c>
    </row>
    <row r="2821">
      <c r="B2821" s="30" t="n"/>
      <c r="G2821" s="9">
        <f>IF(AND(E2821&lt;&gt;"",E2821&lt;&gt;0,H2821&lt;&gt;""),H2821/E2821,"")</f>
        <v/>
      </c>
      <c r="L2821">
        <f>IF(B2821="","",IFERROR(VALUE(TEXT(B2821,"[$-1170401]yyyy")),""))</f>
        <v/>
      </c>
      <c r="M2821">
        <f>IF(B2821="","",IFERROR(VALUE(TEXT(B2821,"[$-1170401]mm")),""))</f>
        <v/>
      </c>
    </row>
    <row r="2822">
      <c r="B2822" s="30" t="n"/>
      <c r="G2822" s="9">
        <f>IF(AND(E2822&lt;&gt;"",E2822&lt;&gt;0,H2822&lt;&gt;""),H2822/E2822,"")</f>
        <v/>
      </c>
      <c r="L2822">
        <f>IF(B2822="","",IFERROR(VALUE(TEXT(B2822,"[$-1170401]yyyy")),""))</f>
        <v/>
      </c>
      <c r="M2822">
        <f>IF(B2822="","",IFERROR(VALUE(TEXT(B2822,"[$-1170401]mm")),""))</f>
        <v/>
      </c>
    </row>
    <row r="2823">
      <c r="B2823" s="30" t="n"/>
      <c r="G2823" s="9">
        <f>IF(AND(E2823&lt;&gt;"",E2823&lt;&gt;0,H2823&lt;&gt;""),H2823/E2823,"")</f>
        <v/>
      </c>
      <c r="L2823">
        <f>IF(B2823="","",IFERROR(VALUE(TEXT(B2823,"[$-1170401]yyyy")),""))</f>
        <v/>
      </c>
      <c r="M2823">
        <f>IF(B2823="","",IFERROR(VALUE(TEXT(B2823,"[$-1170401]mm")),""))</f>
        <v/>
      </c>
    </row>
    <row r="2824">
      <c r="B2824" s="30" t="n"/>
      <c r="G2824" s="9">
        <f>IF(AND(E2824&lt;&gt;"",E2824&lt;&gt;0,H2824&lt;&gt;""),H2824/E2824,"")</f>
        <v/>
      </c>
      <c r="L2824">
        <f>IF(B2824="","",IFERROR(VALUE(TEXT(B2824,"[$-1170401]yyyy")),""))</f>
        <v/>
      </c>
      <c r="M2824">
        <f>IF(B2824="","",IFERROR(VALUE(TEXT(B2824,"[$-1170401]mm")),""))</f>
        <v/>
      </c>
    </row>
    <row r="2825">
      <c r="B2825" s="30" t="n"/>
      <c r="G2825" s="9">
        <f>IF(AND(E2825&lt;&gt;"",E2825&lt;&gt;0,H2825&lt;&gt;""),H2825/E2825,"")</f>
        <v/>
      </c>
      <c r="L2825">
        <f>IF(B2825="","",IFERROR(VALUE(TEXT(B2825,"[$-1170401]yyyy")),""))</f>
        <v/>
      </c>
      <c r="M2825">
        <f>IF(B2825="","",IFERROR(VALUE(TEXT(B2825,"[$-1170401]mm")),""))</f>
        <v/>
      </c>
    </row>
    <row r="2826">
      <c r="B2826" s="30" t="n"/>
      <c r="G2826" s="9">
        <f>IF(AND(E2826&lt;&gt;"",E2826&lt;&gt;0,H2826&lt;&gt;""),H2826/E2826,"")</f>
        <v/>
      </c>
      <c r="L2826">
        <f>IF(B2826="","",IFERROR(VALUE(TEXT(B2826,"[$-1170401]yyyy")),""))</f>
        <v/>
      </c>
      <c r="M2826">
        <f>IF(B2826="","",IFERROR(VALUE(TEXT(B2826,"[$-1170401]mm")),""))</f>
        <v/>
      </c>
    </row>
    <row r="2827">
      <c r="B2827" s="30" t="n"/>
      <c r="G2827" s="9">
        <f>IF(AND(E2827&lt;&gt;"",E2827&lt;&gt;0,H2827&lt;&gt;""),H2827/E2827,"")</f>
        <v/>
      </c>
      <c r="L2827">
        <f>IF(B2827="","",IFERROR(VALUE(TEXT(B2827,"[$-1170401]yyyy")),""))</f>
        <v/>
      </c>
      <c r="M2827">
        <f>IF(B2827="","",IFERROR(VALUE(TEXT(B2827,"[$-1170401]mm")),""))</f>
        <v/>
      </c>
    </row>
    <row r="2828">
      <c r="B2828" s="30" t="n"/>
      <c r="G2828" s="9">
        <f>IF(AND(E2828&lt;&gt;"",E2828&lt;&gt;0,H2828&lt;&gt;""),H2828/E2828,"")</f>
        <v/>
      </c>
      <c r="L2828">
        <f>IF(B2828="","",IFERROR(VALUE(TEXT(B2828,"[$-1170401]yyyy")),""))</f>
        <v/>
      </c>
      <c r="M2828">
        <f>IF(B2828="","",IFERROR(VALUE(TEXT(B2828,"[$-1170401]mm")),""))</f>
        <v/>
      </c>
    </row>
    <row r="2829">
      <c r="B2829" s="30" t="n"/>
      <c r="G2829" s="9">
        <f>IF(AND(E2829&lt;&gt;"",E2829&lt;&gt;0,H2829&lt;&gt;""),H2829/E2829,"")</f>
        <v/>
      </c>
      <c r="L2829">
        <f>IF(B2829="","",IFERROR(VALUE(TEXT(B2829,"[$-1170401]yyyy")),""))</f>
        <v/>
      </c>
      <c r="M2829">
        <f>IF(B2829="","",IFERROR(VALUE(TEXT(B2829,"[$-1170401]mm")),""))</f>
        <v/>
      </c>
    </row>
    <row r="2830">
      <c r="B2830" s="30" t="n"/>
      <c r="G2830" s="9">
        <f>IF(AND(E2830&lt;&gt;"",E2830&lt;&gt;0,H2830&lt;&gt;""),H2830/E2830,"")</f>
        <v/>
      </c>
      <c r="L2830">
        <f>IF(B2830="","",IFERROR(VALUE(TEXT(B2830,"[$-1170401]yyyy")),""))</f>
        <v/>
      </c>
      <c r="M2830">
        <f>IF(B2830="","",IFERROR(VALUE(TEXT(B2830,"[$-1170401]mm")),""))</f>
        <v/>
      </c>
    </row>
    <row r="2831">
      <c r="B2831" s="30" t="n"/>
      <c r="G2831" s="9">
        <f>IF(AND(E2831&lt;&gt;"",E2831&lt;&gt;0,H2831&lt;&gt;""),H2831/E2831,"")</f>
        <v/>
      </c>
      <c r="L2831">
        <f>IF(B2831="","",IFERROR(VALUE(TEXT(B2831,"[$-1170401]yyyy")),""))</f>
        <v/>
      </c>
      <c r="M2831">
        <f>IF(B2831="","",IFERROR(VALUE(TEXT(B2831,"[$-1170401]mm")),""))</f>
        <v/>
      </c>
    </row>
    <row r="2832">
      <c r="B2832" s="30" t="n"/>
      <c r="G2832" s="9">
        <f>IF(AND(E2832&lt;&gt;"",E2832&lt;&gt;0,H2832&lt;&gt;""),H2832/E2832,"")</f>
        <v/>
      </c>
      <c r="L2832">
        <f>IF(B2832="","",IFERROR(VALUE(TEXT(B2832,"[$-1170401]yyyy")),""))</f>
        <v/>
      </c>
      <c r="M2832">
        <f>IF(B2832="","",IFERROR(VALUE(TEXT(B2832,"[$-1170401]mm")),""))</f>
        <v/>
      </c>
    </row>
    <row r="2833">
      <c r="B2833" s="30" t="n"/>
      <c r="G2833" s="9">
        <f>IF(AND(E2833&lt;&gt;"",E2833&lt;&gt;0,H2833&lt;&gt;""),H2833/E2833,"")</f>
        <v/>
      </c>
      <c r="L2833">
        <f>IF(B2833="","",IFERROR(VALUE(TEXT(B2833,"[$-1170401]yyyy")),""))</f>
        <v/>
      </c>
      <c r="M2833">
        <f>IF(B2833="","",IFERROR(VALUE(TEXT(B2833,"[$-1170401]mm")),""))</f>
        <v/>
      </c>
    </row>
    <row r="2834">
      <c r="B2834" s="30" t="n"/>
      <c r="G2834" s="9">
        <f>IF(AND(E2834&lt;&gt;"",E2834&lt;&gt;0,H2834&lt;&gt;""),H2834/E2834,"")</f>
        <v/>
      </c>
      <c r="L2834">
        <f>IF(B2834="","",IFERROR(VALUE(TEXT(B2834,"[$-1170401]yyyy")),""))</f>
        <v/>
      </c>
      <c r="M2834">
        <f>IF(B2834="","",IFERROR(VALUE(TEXT(B2834,"[$-1170401]mm")),""))</f>
        <v/>
      </c>
    </row>
    <row r="2835">
      <c r="B2835" s="30" t="n"/>
      <c r="G2835" s="9">
        <f>IF(AND(E2835&lt;&gt;"",E2835&lt;&gt;0,H2835&lt;&gt;""),H2835/E2835,"")</f>
        <v/>
      </c>
      <c r="L2835">
        <f>IF(B2835="","",IFERROR(VALUE(TEXT(B2835,"[$-1170401]yyyy")),""))</f>
        <v/>
      </c>
      <c r="M2835">
        <f>IF(B2835="","",IFERROR(VALUE(TEXT(B2835,"[$-1170401]mm")),""))</f>
        <v/>
      </c>
    </row>
    <row r="2836">
      <c r="B2836" s="30" t="n"/>
      <c r="G2836" s="9">
        <f>IF(AND(E2836&lt;&gt;"",E2836&lt;&gt;0,H2836&lt;&gt;""),H2836/E2836,"")</f>
        <v/>
      </c>
      <c r="L2836">
        <f>IF(B2836="","",IFERROR(VALUE(TEXT(B2836,"[$-1170401]yyyy")),""))</f>
        <v/>
      </c>
      <c r="M2836">
        <f>IF(B2836="","",IFERROR(VALUE(TEXT(B2836,"[$-1170401]mm")),""))</f>
        <v/>
      </c>
    </row>
    <row r="2837">
      <c r="B2837" s="30" t="n"/>
      <c r="G2837" s="9">
        <f>IF(AND(E2837&lt;&gt;"",E2837&lt;&gt;0,H2837&lt;&gt;""),H2837/E2837,"")</f>
        <v/>
      </c>
      <c r="L2837">
        <f>IF(B2837="","",IFERROR(VALUE(TEXT(B2837,"[$-1170401]yyyy")),""))</f>
        <v/>
      </c>
      <c r="M2837">
        <f>IF(B2837="","",IFERROR(VALUE(TEXT(B2837,"[$-1170401]mm")),""))</f>
        <v/>
      </c>
    </row>
    <row r="2838">
      <c r="B2838" s="30" t="n"/>
      <c r="G2838" s="9">
        <f>IF(AND(E2838&lt;&gt;"",E2838&lt;&gt;0,H2838&lt;&gt;""),H2838/E2838,"")</f>
        <v/>
      </c>
      <c r="L2838">
        <f>IF(B2838="","",IFERROR(VALUE(TEXT(B2838,"[$-1170401]yyyy")),""))</f>
        <v/>
      </c>
      <c r="M2838">
        <f>IF(B2838="","",IFERROR(VALUE(TEXT(B2838,"[$-1170401]mm")),""))</f>
        <v/>
      </c>
    </row>
    <row r="2839">
      <c r="B2839" s="30" t="n"/>
      <c r="G2839" s="9">
        <f>IF(AND(E2839&lt;&gt;"",E2839&lt;&gt;0,H2839&lt;&gt;""),H2839/E2839,"")</f>
        <v/>
      </c>
      <c r="L2839">
        <f>IF(B2839="","",IFERROR(VALUE(TEXT(B2839,"[$-1170401]yyyy")),""))</f>
        <v/>
      </c>
      <c r="M2839">
        <f>IF(B2839="","",IFERROR(VALUE(TEXT(B2839,"[$-1170401]mm")),""))</f>
        <v/>
      </c>
    </row>
    <row r="2840">
      <c r="B2840" s="30" t="n"/>
      <c r="G2840" s="9">
        <f>IF(AND(E2840&lt;&gt;"",E2840&lt;&gt;0,H2840&lt;&gt;""),H2840/E2840,"")</f>
        <v/>
      </c>
      <c r="L2840">
        <f>IF(B2840="","",IFERROR(VALUE(TEXT(B2840,"[$-1170401]yyyy")),""))</f>
        <v/>
      </c>
      <c r="M2840">
        <f>IF(B2840="","",IFERROR(VALUE(TEXT(B2840,"[$-1170401]mm")),""))</f>
        <v/>
      </c>
    </row>
    <row r="2841">
      <c r="B2841" s="30" t="n"/>
      <c r="G2841" s="9">
        <f>IF(AND(E2841&lt;&gt;"",E2841&lt;&gt;0,H2841&lt;&gt;""),H2841/E2841,"")</f>
        <v/>
      </c>
      <c r="L2841">
        <f>IF(B2841="","",IFERROR(VALUE(TEXT(B2841,"[$-1170401]yyyy")),""))</f>
        <v/>
      </c>
      <c r="M2841">
        <f>IF(B2841="","",IFERROR(VALUE(TEXT(B2841,"[$-1170401]mm")),""))</f>
        <v/>
      </c>
    </row>
    <row r="2842">
      <c r="B2842" s="30" t="n"/>
      <c r="G2842" s="9">
        <f>IF(AND(E2842&lt;&gt;"",E2842&lt;&gt;0,H2842&lt;&gt;""),H2842/E2842,"")</f>
        <v/>
      </c>
      <c r="L2842">
        <f>IF(B2842="","",IFERROR(VALUE(TEXT(B2842,"[$-1170401]yyyy")),""))</f>
        <v/>
      </c>
      <c r="M2842">
        <f>IF(B2842="","",IFERROR(VALUE(TEXT(B2842,"[$-1170401]mm")),""))</f>
        <v/>
      </c>
    </row>
    <row r="2843">
      <c r="B2843" s="30" t="n"/>
      <c r="G2843" s="9">
        <f>IF(AND(E2843&lt;&gt;"",E2843&lt;&gt;0,H2843&lt;&gt;""),H2843/E2843,"")</f>
        <v/>
      </c>
      <c r="L2843">
        <f>IF(B2843="","",IFERROR(VALUE(TEXT(B2843,"[$-1170401]yyyy")),""))</f>
        <v/>
      </c>
      <c r="M2843">
        <f>IF(B2843="","",IFERROR(VALUE(TEXT(B2843,"[$-1170401]mm")),""))</f>
        <v/>
      </c>
    </row>
    <row r="2844">
      <c r="B2844" s="30" t="n"/>
      <c r="G2844" s="9">
        <f>IF(AND(E2844&lt;&gt;"",E2844&lt;&gt;0,H2844&lt;&gt;""),H2844/E2844,"")</f>
        <v/>
      </c>
      <c r="L2844">
        <f>IF(B2844="","",IFERROR(VALUE(TEXT(B2844,"[$-1170401]yyyy")),""))</f>
        <v/>
      </c>
      <c r="M2844">
        <f>IF(B2844="","",IFERROR(VALUE(TEXT(B2844,"[$-1170401]mm")),""))</f>
        <v/>
      </c>
    </row>
    <row r="2845">
      <c r="B2845" s="30" t="n"/>
      <c r="G2845" s="9">
        <f>IF(AND(E2845&lt;&gt;"",E2845&lt;&gt;0,H2845&lt;&gt;""),H2845/E2845,"")</f>
        <v/>
      </c>
      <c r="L2845">
        <f>IF(B2845="","",IFERROR(VALUE(TEXT(B2845,"[$-1170401]yyyy")),""))</f>
        <v/>
      </c>
      <c r="M2845">
        <f>IF(B2845="","",IFERROR(VALUE(TEXT(B2845,"[$-1170401]mm")),""))</f>
        <v/>
      </c>
    </row>
    <row r="2846">
      <c r="B2846" s="30" t="n"/>
      <c r="G2846" s="9">
        <f>IF(AND(E2846&lt;&gt;"",E2846&lt;&gt;0,H2846&lt;&gt;""),H2846/E2846,"")</f>
        <v/>
      </c>
      <c r="L2846">
        <f>IF(B2846="","",IFERROR(VALUE(TEXT(B2846,"[$-1170401]yyyy")),""))</f>
        <v/>
      </c>
      <c r="M2846">
        <f>IF(B2846="","",IFERROR(VALUE(TEXT(B2846,"[$-1170401]mm")),""))</f>
        <v/>
      </c>
    </row>
    <row r="2847">
      <c r="B2847" s="30" t="n"/>
      <c r="G2847" s="9">
        <f>IF(AND(E2847&lt;&gt;"",E2847&lt;&gt;0,H2847&lt;&gt;""),H2847/E2847,"")</f>
        <v/>
      </c>
      <c r="L2847">
        <f>IF(B2847="","",IFERROR(VALUE(TEXT(B2847,"[$-1170401]yyyy")),""))</f>
        <v/>
      </c>
      <c r="M2847">
        <f>IF(B2847="","",IFERROR(VALUE(TEXT(B2847,"[$-1170401]mm")),""))</f>
        <v/>
      </c>
    </row>
    <row r="2848">
      <c r="B2848" s="30" t="n"/>
      <c r="G2848" s="9">
        <f>IF(AND(E2848&lt;&gt;"",E2848&lt;&gt;0,H2848&lt;&gt;""),H2848/E2848,"")</f>
        <v/>
      </c>
      <c r="L2848">
        <f>IF(B2848="","",IFERROR(VALUE(TEXT(B2848,"[$-1170401]yyyy")),""))</f>
        <v/>
      </c>
      <c r="M2848">
        <f>IF(B2848="","",IFERROR(VALUE(TEXT(B2848,"[$-1170401]mm")),""))</f>
        <v/>
      </c>
    </row>
    <row r="2849">
      <c r="B2849" s="30" t="n"/>
      <c r="G2849" s="9">
        <f>IF(AND(E2849&lt;&gt;"",E2849&lt;&gt;0,H2849&lt;&gt;""),H2849/E2849,"")</f>
        <v/>
      </c>
      <c r="L2849">
        <f>IF(B2849="","",IFERROR(VALUE(TEXT(B2849,"[$-1170401]yyyy")),""))</f>
        <v/>
      </c>
      <c r="M2849">
        <f>IF(B2849="","",IFERROR(VALUE(TEXT(B2849,"[$-1170401]mm")),""))</f>
        <v/>
      </c>
    </row>
    <row r="2850">
      <c r="B2850" s="30" t="n"/>
      <c r="G2850" s="9">
        <f>IF(AND(E2850&lt;&gt;"",E2850&lt;&gt;0,H2850&lt;&gt;""),H2850/E2850,"")</f>
        <v/>
      </c>
      <c r="L2850">
        <f>IF(B2850="","",IFERROR(VALUE(TEXT(B2850,"[$-1170401]yyyy")),""))</f>
        <v/>
      </c>
      <c r="M2850">
        <f>IF(B2850="","",IFERROR(VALUE(TEXT(B2850,"[$-1170401]mm")),""))</f>
        <v/>
      </c>
    </row>
    <row r="2851">
      <c r="B2851" s="30" t="n"/>
      <c r="G2851" s="9">
        <f>IF(AND(E2851&lt;&gt;"",E2851&lt;&gt;0,H2851&lt;&gt;""),H2851/E2851,"")</f>
        <v/>
      </c>
      <c r="L2851">
        <f>IF(B2851="","",IFERROR(VALUE(TEXT(B2851,"[$-1170401]yyyy")),""))</f>
        <v/>
      </c>
      <c r="M2851">
        <f>IF(B2851="","",IFERROR(VALUE(TEXT(B2851,"[$-1170401]mm")),""))</f>
        <v/>
      </c>
    </row>
    <row r="2852">
      <c r="B2852" s="30" t="n"/>
      <c r="G2852" s="9">
        <f>IF(AND(E2852&lt;&gt;"",E2852&lt;&gt;0,H2852&lt;&gt;""),H2852/E2852,"")</f>
        <v/>
      </c>
      <c r="L2852">
        <f>IF(B2852="","",IFERROR(VALUE(TEXT(B2852,"[$-1170401]yyyy")),""))</f>
        <v/>
      </c>
      <c r="M2852">
        <f>IF(B2852="","",IFERROR(VALUE(TEXT(B2852,"[$-1170401]mm")),""))</f>
        <v/>
      </c>
    </row>
    <row r="2853">
      <c r="B2853" s="30" t="n"/>
      <c r="G2853" s="9">
        <f>IF(AND(E2853&lt;&gt;"",E2853&lt;&gt;0,H2853&lt;&gt;""),H2853/E2853,"")</f>
        <v/>
      </c>
      <c r="L2853">
        <f>IF(B2853="","",IFERROR(VALUE(TEXT(B2853,"[$-1170401]yyyy")),""))</f>
        <v/>
      </c>
      <c r="M2853">
        <f>IF(B2853="","",IFERROR(VALUE(TEXT(B2853,"[$-1170401]mm")),""))</f>
        <v/>
      </c>
    </row>
    <row r="2854">
      <c r="B2854" s="30" t="n"/>
      <c r="G2854" s="9">
        <f>IF(AND(E2854&lt;&gt;"",E2854&lt;&gt;0,H2854&lt;&gt;""),H2854/E2854,"")</f>
        <v/>
      </c>
      <c r="L2854">
        <f>IF(B2854="","",IFERROR(VALUE(TEXT(B2854,"[$-1170401]yyyy")),""))</f>
        <v/>
      </c>
      <c r="M2854">
        <f>IF(B2854="","",IFERROR(VALUE(TEXT(B2854,"[$-1170401]mm")),""))</f>
        <v/>
      </c>
    </row>
    <row r="2855">
      <c r="B2855" s="30" t="n"/>
      <c r="G2855" s="9">
        <f>IF(AND(E2855&lt;&gt;"",E2855&lt;&gt;0,H2855&lt;&gt;""),H2855/E2855,"")</f>
        <v/>
      </c>
      <c r="L2855">
        <f>IF(B2855="","",IFERROR(VALUE(TEXT(B2855,"[$-1170401]yyyy")),""))</f>
        <v/>
      </c>
      <c r="M2855">
        <f>IF(B2855="","",IFERROR(VALUE(TEXT(B2855,"[$-1170401]mm")),""))</f>
        <v/>
      </c>
    </row>
    <row r="2856">
      <c r="B2856" s="30" t="n"/>
      <c r="G2856" s="9">
        <f>IF(AND(E2856&lt;&gt;"",E2856&lt;&gt;0,H2856&lt;&gt;""),H2856/E2856,"")</f>
        <v/>
      </c>
      <c r="L2856">
        <f>IF(B2856="","",IFERROR(VALUE(TEXT(B2856,"[$-1170401]yyyy")),""))</f>
        <v/>
      </c>
      <c r="M2856">
        <f>IF(B2856="","",IFERROR(VALUE(TEXT(B2856,"[$-1170401]mm")),""))</f>
        <v/>
      </c>
    </row>
    <row r="2857">
      <c r="B2857" s="30" t="n"/>
      <c r="G2857" s="9">
        <f>IF(AND(E2857&lt;&gt;"",E2857&lt;&gt;0,H2857&lt;&gt;""),H2857/E2857,"")</f>
        <v/>
      </c>
      <c r="L2857">
        <f>IF(B2857="","",IFERROR(VALUE(TEXT(B2857,"[$-1170401]yyyy")),""))</f>
        <v/>
      </c>
      <c r="M2857">
        <f>IF(B2857="","",IFERROR(VALUE(TEXT(B2857,"[$-1170401]mm")),""))</f>
        <v/>
      </c>
    </row>
    <row r="2858">
      <c r="B2858" s="30" t="n"/>
      <c r="G2858" s="9">
        <f>IF(AND(E2858&lt;&gt;"",E2858&lt;&gt;0,H2858&lt;&gt;""),H2858/E2858,"")</f>
        <v/>
      </c>
      <c r="L2858">
        <f>IF(B2858="","",IFERROR(VALUE(TEXT(B2858,"[$-1170401]yyyy")),""))</f>
        <v/>
      </c>
      <c r="M2858">
        <f>IF(B2858="","",IFERROR(VALUE(TEXT(B2858,"[$-1170401]mm")),""))</f>
        <v/>
      </c>
    </row>
    <row r="2859">
      <c r="B2859" s="30" t="n"/>
      <c r="G2859" s="9">
        <f>IF(AND(E2859&lt;&gt;"",E2859&lt;&gt;0,H2859&lt;&gt;""),H2859/E2859,"")</f>
        <v/>
      </c>
      <c r="L2859">
        <f>IF(B2859="","",IFERROR(VALUE(TEXT(B2859,"[$-1170401]yyyy")),""))</f>
        <v/>
      </c>
      <c r="M2859">
        <f>IF(B2859="","",IFERROR(VALUE(TEXT(B2859,"[$-1170401]mm")),""))</f>
        <v/>
      </c>
    </row>
    <row r="2860">
      <c r="B2860" s="30" t="n"/>
      <c r="G2860" s="9">
        <f>IF(AND(E2860&lt;&gt;"",E2860&lt;&gt;0,H2860&lt;&gt;""),H2860/E2860,"")</f>
        <v/>
      </c>
      <c r="L2860">
        <f>IF(B2860="","",IFERROR(VALUE(TEXT(B2860,"[$-1170401]yyyy")),""))</f>
        <v/>
      </c>
      <c r="M2860">
        <f>IF(B2860="","",IFERROR(VALUE(TEXT(B2860,"[$-1170401]mm")),""))</f>
        <v/>
      </c>
    </row>
    <row r="2861">
      <c r="B2861" s="30" t="n"/>
      <c r="G2861" s="9">
        <f>IF(AND(E2861&lt;&gt;"",E2861&lt;&gt;0,H2861&lt;&gt;""),H2861/E2861,"")</f>
        <v/>
      </c>
      <c r="L2861">
        <f>IF(B2861="","",IFERROR(VALUE(TEXT(B2861,"[$-1170401]yyyy")),""))</f>
        <v/>
      </c>
      <c r="M2861">
        <f>IF(B2861="","",IFERROR(VALUE(TEXT(B2861,"[$-1170401]mm")),""))</f>
        <v/>
      </c>
    </row>
    <row r="2862">
      <c r="B2862" s="30" t="n"/>
      <c r="G2862" s="9">
        <f>IF(AND(E2862&lt;&gt;"",E2862&lt;&gt;0,H2862&lt;&gt;""),H2862/E2862,"")</f>
        <v/>
      </c>
      <c r="L2862">
        <f>IF(B2862="","",IFERROR(VALUE(TEXT(B2862,"[$-1170401]yyyy")),""))</f>
        <v/>
      </c>
      <c r="M2862">
        <f>IF(B2862="","",IFERROR(VALUE(TEXT(B2862,"[$-1170401]mm")),""))</f>
        <v/>
      </c>
    </row>
    <row r="2863">
      <c r="B2863" s="30" t="n"/>
      <c r="G2863" s="9">
        <f>IF(AND(E2863&lt;&gt;"",E2863&lt;&gt;0,H2863&lt;&gt;""),H2863/E2863,"")</f>
        <v/>
      </c>
      <c r="L2863">
        <f>IF(B2863="","",IFERROR(VALUE(TEXT(B2863,"[$-1170401]yyyy")),""))</f>
        <v/>
      </c>
      <c r="M2863">
        <f>IF(B2863="","",IFERROR(VALUE(TEXT(B2863,"[$-1170401]mm")),""))</f>
        <v/>
      </c>
    </row>
    <row r="2864">
      <c r="B2864" s="30" t="n"/>
      <c r="G2864" s="9">
        <f>IF(AND(E2864&lt;&gt;"",E2864&lt;&gt;0,H2864&lt;&gt;""),H2864/E2864,"")</f>
        <v/>
      </c>
      <c r="L2864">
        <f>IF(B2864="","",IFERROR(VALUE(TEXT(B2864,"[$-1170401]yyyy")),""))</f>
        <v/>
      </c>
      <c r="M2864">
        <f>IF(B2864="","",IFERROR(VALUE(TEXT(B2864,"[$-1170401]mm")),""))</f>
        <v/>
      </c>
    </row>
    <row r="2865">
      <c r="B2865" s="30" t="n"/>
      <c r="G2865" s="9">
        <f>IF(AND(E2865&lt;&gt;"",E2865&lt;&gt;0,H2865&lt;&gt;""),H2865/E2865,"")</f>
        <v/>
      </c>
      <c r="L2865">
        <f>IF(B2865="","",IFERROR(VALUE(TEXT(B2865,"[$-1170401]yyyy")),""))</f>
        <v/>
      </c>
      <c r="M2865">
        <f>IF(B2865="","",IFERROR(VALUE(TEXT(B2865,"[$-1170401]mm")),""))</f>
        <v/>
      </c>
    </row>
    <row r="2866">
      <c r="B2866" s="30" t="n"/>
      <c r="G2866" s="9">
        <f>IF(AND(E2866&lt;&gt;"",E2866&lt;&gt;0,H2866&lt;&gt;""),H2866/E2866,"")</f>
        <v/>
      </c>
      <c r="L2866">
        <f>IF(B2866="","",IFERROR(VALUE(TEXT(B2866,"[$-1170401]yyyy")),""))</f>
        <v/>
      </c>
      <c r="M2866">
        <f>IF(B2866="","",IFERROR(VALUE(TEXT(B2866,"[$-1170401]mm")),""))</f>
        <v/>
      </c>
    </row>
    <row r="2867">
      <c r="B2867" s="30" t="n"/>
      <c r="G2867" s="9">
        <f>IF(AND(E2867&lt;&gt;"",E2867&lt;&gt;0,H2867&lt;&gt;""),H2867/E2867,"")</f>
        <v/>
      </c>
      <c r="L2867">
        <f>IF(B2867="","",IFERROR(VALUE(TEXT(B2867,"[$-1170401]yyyy")),""))</f>
        <v/>
      </c>
      <c r="M2867">
        <f>IF(B2867="","",IFERROR(VALUE(TEXT(B2867,"[$-1170401]mm")),""))</f>
        <v/>
      </c>
    </row>
    <row r="2868">
      <c r="B2868" s="30" t="n"/>
      <c r="G2868" s="9">
        <f>IF(AND(E2868&lt;&gt;"",E2868&lt;&gt;0,H2868&lt;&gt;""),H2868/E2868,"")</f>
        <v/>
      </c>
      <c r="L2868">
        <f>IF(B2868="","",IFERROR(VALUE(TEXT(B2868,"[$-1170401]yyyy")),""))</f>
        <v/>
      </c>
      <c r="M2868">
        <f>IF(B2868="","",IFERROR(VALUE(TEXT(B2868,"[$-1170401]mm")),""))</f>
        <v/>
      </c>
    </row>
    <row r="2869">
      <c r="B2869" s="30" t="n"/>
      <c r="G2869" s="9">
        <f>IF(AND(E2869&lt;&gt;"",E2869&lt;&gt;0,H2869&lt;&gt;""),H2869/E2869,"")</f>
        <v/>
      </c>
      <c r="L2869">
        <f>IF(B2869="","",IFERROR(VALUE(TEXT(B2869,"[$-1170401]yyyy")),""))</f>
        <v/>
      </c>
      <c r="M2869">
        <f>IF(B2869="","",IFERROR(VALUE(TEXT(B2869,"[$-1170401]mm")),""))</f>
        <v/>
      </c>
    </row>
    <row r="2870">
      <c r="B2870" s="30" t="n"/>
      <c r="G2870" s="9">
        <f>IF(AND(E2870&lt;&gt;"",E2870&lt;&gt;0,H2870&lt;&gt;""),H2870/E2870,"")</f>
        <v/>
      </c>
      <c r="L2870">
        <f>IF(B2870="","",IFERROR(VALUE(TEXT(B2870,"[$-1170401]yyyy")),""))</f>
        <v/>
      </c>
      <c r="M2870">
        <f>IF(B2870="","",IFERROR(VALUE(TEXT(B2870,"[$-1170401]mm")),""))</f>
        <v/>
      </c>
    </row>
    <row r="2871">
      <c r="B2871" s="30" t="n"/>
      <c r="G2871" s="9">
        <f>IF(AND(E2871&lt;&gt;"",E2871&lt;&gt;0,H2871&lt;&gt;""),H2871/E2871,"")</f>
        <v/>
      </c>
      <c r="L2871">
        <f>IF(B2871="","",IFERROR(VALUE(TEXT(B2871,"[$-1170401]yyyy")),""))</f>
        <v/>
      </c>
      <c r="M2871">
        <f>IF(B2871="","",IFERROR(VALUE(TEXT(B2871,"[$-1170401]mm")),""))</f>
        <v/>
      </c>
    </row>
    <row r="2872">
      <c r="B2872" s="30" t="n"/>
      <c r="G2872" s="9">
        <f>IF(AND(E2872&lt;&gt;"",E2872&lt;&gt;0,H2872&lt;&gt;""),H2872/E2872,"")</f>
        <v/>
      </c>
      <c r="L2872">
        <f>IF(B2872="","",IFERROR(VALUE(TEXT(B2872,"[$-1170401]yyyy")),""))</f>
        <v/>
      </c>
      <c r="M2872">
        <f>IF(B2872="","",IFERROR(VALUE(TEXT(B2872,"[$-1170401]mm")),""))</f>
        <v/>
      </c>
    </row>
    <row r="2873">
      <c r="B2873" s="30" t="n"/>
      <c r="G2873" s="9">
        <f>IF(AND(E2873&lt;&gt;"",E2873&lt;&gt;0,H2873&lt;&gt;""),H2873/E2873,"")</f>
        <v/>
      </c>
      <c r="L2873">
        <f>IF(B2873="","",IFERROR(VALUE(TEXT(B2873,"[$-1170401]yyyy")),""))</f>
        <v/>
      </c>
      <c r="M2873">
        <f>IF(B2873="","",IFERROR(VALUE(TEXT(B2873,"[$-1170401]mm")),""))</f>
        <v/>
      </c>
    </row>
    <row r="2874">
      <c r="B2874" s="30" t="n"/>
      <c r="G2874" s="9">
        <f>IF(AND(E2874&lt;&gt;"",E2874&lt;&gt;0,H2874&lt;&gt;""),H2874/E2874,"")</f>
        <v/>
      </c>
      <c r="L2874">
        <f>IF(B2874="","",IFERROR(VALUE(TEXT(B2874,"[$-1170401]yyyy")),""))</f>
        <v/>
      </c>
      <c r="M2874">
        <f>IF(B2874="","",IFERROR(VALUE(TEXT(B2874,"[$-1170401]mm")),""))</f>
        <v/>
      </c>
    </row>
    <row r="2875">
      <c r="B2875" s="30" t="n"/>
      <c r="G2875" s="9">
        <f>IF(AND(E2875&lt;&gt;"",E2875&lt;&gt;0,H2875&lt;&gt;""),H2875/E2875,"")</f>
        <v/>
      </c>
      <c r="L2875">
        <f>IF(B2875="","",IFERROR(VALUE(TEXT(B2875,"[$-1170401]yyyy")),""))</f>
        <v/>
      </c>
      <c r="M2875">
        <f>IF(B2875="","",IFERROR(VALUE(TEXT(B2875,"[$-1170401]mm")),""))</f>
        <v/>
      </c>
    </row>
    <row r="2876">
      <c r="B2876" s="30" t="n"/>
      <c r="G2876" s="9">
        <f>IF(AND(E2876&lt;&gt;"",E2876&lt;&gt;0,H2876&lt;&gt;""),H2876/E2876,"")</f>
        <v/>
      </c>
      <c r="L2876">
        <f>IF(B2876="","",IFERROR(VALUE(TEXT(B2876,"[$-1170401]yyyy")),""))</f>
        <v/>
      </c>
      <c r="M2876">
        <f>IF(B2876="","",IFERROR(VALUE(TEXT(B2876,"[$-1170401]mm")),""))</f>
        <v/>
      </c>
    </row>
    <row r="2877">
      <c r="B2877" s="30" t="n"/>
      <c r="G2877" s="9">
        <f>IF(AND(E2877&lt;&gt;"",E2877&lt;&gt;0,H2877&lt;&gt;""),H2877/E2877,"")</f>
        <v/>
      </c>
      <c r="L2877">
        <f>IF(B2877="","",IFERROR(VALUE(TEXT(B2877,"[$-1170401]yyyy")),""))</f>
        <v/>
      </c>
      <c r="M2877">
        <f>IF(B2877="","",IFERROR(VALUE(TEXT(B2877,"[$-1170401]mm")),""))</f>
        <v/>
      </c>
    </row>
    <row r="2878">
      <c r="B2878" s="30" t="n"/>
      <c r="G2878" s="9">
        <f>IF(AND(E2878&lt;&gt;"",E2878&lt;&gt;0,H2878&lt;&gt;""),H2878/E2878,"")</f>
        <v/>
      </c>
      <c r="L2878">
        <f>IF(B2878="","",IFERROR(VALUE(TEXT(B2878,"[$-1170401]yyyy")),""))</f>
        <v/>
      </c>
      <c r="M2878">
        <f>IF(B2878="","",IFERROR(VALUE(TEXT(B2878,"[$-1170401]mm")),""))</f>
        <v/>
      </c>
    </row>
    <row r="2879">
      <c r="B2879" s="30" t="n"/>
      <c r="G2879" s="9">
        <f>IF(AND(E2879&lt;&gt;"",E2879&lt;&gt;0,H2879&lt;&gt;""),H2879/E2879,"")</f>
        <v/>
      </c>
      <c r="L2879">
        <f>IF(B2879="","",IFERROR(VALUE(TEXT(B2879,"[$-1170401]yyyy")),""))</f>
        <v/>
      </c>
      <c r="M2879">
        <f>IF(B2879="","",IFERROR(VALUE(TEXT(B2879,"[$-1170401]mm")),""))</f>
        <v/>
      </c>
    </row>
    <row r="2880">
      <c r="B2880" s="30" t="n"/>
      <c r="G2880" s="9">
        <f>IF(AND(E2880&lt;&gt;"",E2880&lt;&gt;0,H2880&lt;&gt;""),H2880/E2880,"")</f>
        <v/>
      </c>
      <c r="L2880">
        <f>IF(B2880="","",IFERROR(VALUE(TEXT(B2880,"[$-1170401]yyyy")),""))</f>
        <v/>
      </c>
      <c r="M2880">
        <f>IF(B2880="","",IFERROR(VALUE(TEXT(B2880,"[$-1170401]mm")),""))</f>
        <v/>
      </c>
    </row>
    <row r="2881">
      <c r="B2881" s="30" t="n"/>
      <c r="G2881" s="9">
        <f>IF(AND(E2881&lt;&gt;"",E2881&lt;&gt;0,H2881&lt;&gt;""),H2881/E2881,"")</f>
        <v/>
      </c>
      <c r="L2881">
        <f>IF(B2881="","",IFERROR(VALUE(TEXT(B2881,"[$-1170401]yyyy")),""))</f>
        <v/>
      </c>
      <c r="M2881">
        <f>IF(B2881="","",IFERROR(VALUE(TEXT(B2881,"[$-1170401]mm")),""))</f>
        <v/>
      </c>
    </row>
    <row r="2882">
      <c r="B2882" s="30" t="n"/>
      <c r="G2882" s="9">
        <f>IF(AND(E2882&lt;&gt;"",E2882&lt;&gt;0,H2882&lt;&gt;""),H2882/E2882,"")</f>
        <v/>
      </c>
      <c r="L2882">
        <f>IF(B2882="","",IFERROR(VALUE(TEXT(B2882,"[$-1170401]yyyy")),""))</f>
        <v/>
      </c>
      <c r="M2882">
        <f>IF(B2882="","",IFERROR(VALUE(TEXT(B2882,"[$-1170401]mm")),""))</f>
        <v/>
      </c>
    </row>
    <row r="2883">
      <c r="B2883" s="30" t="n"/>
      <c r="G2883" s="9">
        <f>IF(AND(E2883&lt;&gt;"",E2883&lt;&gt;0,H2883&lt;&gt;""),H2883/E2883,"")</f>
        <v/>
      </c>
      <c r="L2883">
        <f>IF(B2883="","",IFERROR(VALUE(TEXT(B2883,"[$-1170401]yyyy")),""))</f>
        <v/>
      </c>
      <c r="M2883">
        <f>IF(B2883="","",IFERROR(VALUE(TEXT(B2883,"[$-1170401]mm")),""))</f>
        <v/>
      </c>
    </row>
    <row r="2884">
      <c r="B2884" s="30" t="n"/>
      <c r="G2884" s="9">
        <f>IF(AND(E2884&lt;&gt;"",E2884&lt;&gt;0,H2884&lt;&gt;""),H2884/E2884,"")</f>
        <v/>
      </c>
      <c r="L2884">
        <f>IF(B2884="","",IFERROR(VALUE(TEXT(B2884,"[$-1170401]yyyy")),""))</f>
        <v/>
      </c>
      <c r="M2884">
        <f>IF(B2884="","",IFERROR(VALUE(TEXT(B2884,"[$-1170401]mm")),""))</f>
        <v/>
      </c>
    </row>
    <row r="2885">
      <c r="B2885" s="30" t="n"/>
      <c r="G2885" s="9">
        <f>IF(AND(E2885&lt;&gt;"",E2885&lt;&gt;0,H2885&lt;&gt;""),H2885/E2885,"")</f>
        <v/>
      </c>
      <c r="L2885">
        <f>IF(B2885="","",IFERROR(VALUE(TEXT(B2885,"[$-1170401]yyyy")),""))</f>
        <v/>
      </c>
      <c r="M2885">
        <f>IF(B2885="","",IFERROR(VALUE(TEXT(B2885,"[$-1170401]mm")),""))</f>
        <v/>
      </c>
    </row>
    <row r="2886">
      <c r="B2886" s="30" t="n"/>
      <c r="G2886" s="9">
        <f>IF(AND(E2886&lt;&gt;"",E2886&lt;&gt;0,H2886&lt;&gt;""),H2886/E2886,"")</f>
        <v/>
      </c>
      <c r="L2886">
        <f>IF(B2886="","",IFERROR(VALUE(TEXT(B2886,"[$-1170401]yyyy")),""))</f>
        <v/>
      </c>
      <c r="M2886">
        <f>IF(B2886="","",IFERROR(VALUE(TEXT(B2886,"[$-1170401]mm")),""))</f>
        <v/>
      </c>
    </row>
    <row r="2887">
      <c r="B2887" s="30" t="n"/>
      <c r="G2887" s="9">
        <f>IF(AND(E2887&lt;&gt;"",E2887&lt;&gt;0,H2887&lt;&gt;""),H2887/E2887,"")</f>
        <v/>
      </c>
      <c r="L2887">
        <f>IF(B2887="","",IFERROR(VALUE(TEXT(B2887,"[$-1170401]yyyy")),""))</f>
        <v/>
      </c>
      <c r="M2887">
        <f>IF(B2887="","",IFERROR(VALUE(TEXT(B2887,"[$-1170401]mm")),""))</f>
        <v/>
      </c>
    </row>
    <row r="2888">
      <c r="B2888" s="30" t="n"/>
      <c r="G2888" s="9">
        <f>IF(AND(E2888&lt;&gt;"",E2888&lt;&gt;0,H2888&lt;&gt;""),H2888/E2888,"")</f>
        <v/>
      </c>
      <c r="L2888">
        <f>IF(B2888="","",IFERROR(VALUE(TEXT(B2888,"[$-1170401]yyyy")),""))</f>
        <v/>
      </c>
      <c r="M2888">
        <f>IF(B2888="","",IFERROR(VALUE(TEXT(B2888,"[$-1170401]mm")),""))</f>
        <v/>
      </c>
    </row>
    <row r="2889">
      <c r="B2889" s="30" t="n"/>
      <c r="G2889" s="9">
        <f>IF(AND(E2889&lt;&gt;"",E2889&lt;&gt;0,H2889&lt;&gt;""),H2889/E2889,"")</f>
        <v/>
      </c>
      <c r="L2889">
        <f>IF(B2889="","",IFERROR(VALUE(TEXT(B2889,"[$-1170401]yyyy")),""))</f>
        <v/>
      </c>
      <c r="M2889">
        <f>IF(B2889="","",IFERROR(VALUE(TEXT(B2889,"[$-1170401]mm")),""))</f>
        <v/>
      </c>
    </row>
    <row r="2890">
      <c r="B2890" s="30" t="n"/>
      <c r="G2890" s="9">
        <f>IF(AND(E2890&lt;&gt;"",E2890&lt;&gt;0,H2890&lt;&gt;""),H2890/E2890,"")</f>
        <v/>
      </c>
      <c r="L2890">
        <f>IF(B2890="","",IFERROR(VALUE(TEXT(B2890,"[$-1170401]yyyy")),""))</f>
        <v/>
      </c>
      <c r="M2890">
        <f>IF(B2890="","",IFERROR(VALUE(TEXT(B2890,"[$-1170401]mm")),""))</f>
        <v/>
      </c>
    </row>
    <row r="2891">
      <c r="B2891" s="30" t="n"/>
      <c r="G2891" s="9">
        <f>IF(AND(E2891&lt;&gt;"",E2891&lt;&gt;0,H2891&lt;&gt;""),H2891/E2891,"")</f>
        <v/>
      </c>
      <c r="L2891">
        <f>IF(B2891="","",IFERROR(VALUE(TEXT(B2891,"[$-1170401]yyyy")),""))</f>
        <v/>
      </c>
      <c r="M2891">
        <f>IF(B2891="","",IFERROR(VALUE(TEXT(B2891,"[$-1170401]mm")),""))</f>
        <v/>
      </c>
    </row>
    <row r="2892">
      <c r="B2892" s="30" t="n"/>
      <c r="G2892" s="9">
        <f>IF(AND(E2892&lt;&gt;"",E2892&lt;&gt;0,H2892&lt;&gt;""),H2892/E2892,"")</f>
        <v/>
      </c>
      <c r="L2892">
        <f>IF(B2892="","",IFERROR(VALUE(TEXT(B2892,"[$-1170401]yyyy")),""))</f>
        <v/>
      </c>
      <c r="M2892">
        <f>IF(B2892="","",IFERROR(VALUE(TEXT(B2892,"[$-1170401]mm")),""))</f>
        <v/>
      </c>
    </row>
    <row r="2893">
      <c r="B2893" s="30" t="n"/>
      <c r="G2893" s="9">
        <f>IF(AND(E2893&lt;&gt;"",E2893&lt;&gt;0,H2893&lt;&gt;""),H2893/E2893,"")</f>
        <v/>
      </c>
      <c r="L2893">
        <f>IF(B2893="","",IFERROR(VALUE(TEXT(B2893,"[$-1170401]yyyy")),""))</f>
        <v/>
      </c>
      <c r="M2893">
        <f>IF(B2893="","",IFERROR(VALUE(TEXT(B2893,"[$-1170401]mm")),""))</f>
        <v/>
      </c>
    </row>
    <row r="2894">
      <c r="B2894" s="30" t="n"/>
      <c r="G2894" s="9">
        <f>IF(AND(E2894&lt;&gt;"",E2894&lt;&gt;0,H2894&lt;&gt;""),H2894/E2894,"")</f>
        <v/>
      </c>
      <c r="L2894">
        <f>IF(B2894="","",IFERROR(VALUE(TEXT(B2894,"[$-1170401]yyyy")),""))</f>
        <v/>
      </c>
      <c r="M2894">
        <f>IF(B2894="","",IFERROR(VALUE(TEXT(B2894,"[$-1170401]mm")),""))</f>
        <v/>
      </c>
    </row>
    <row r="2895">
      <c r="B2895" s="30" t="n"/>
      <c r="G2895" s="9">
        <f>IF(AND(E2895&lt;&gt;"",E2895&lt;&gt;0,H2895&lt;&gt;""),H2895/E2895,"")</f>
        <v/>
      </c>
      <c r="L2895">
        <f>IF(B2895="","",IFERROR(VALUE(TEXT(B2895,"[$-1170401]yyyy")),""))</f>
        <v/>
      </c>
      <c r="M2895">
        <f>IF(B2895="","",IFERROR(VALUE(TEXT(B2895,"[$-1170401]mm")),""))</f>
        <v/>
      </c>
    </row>
    <row r="2896">
      <c r="B2896" s="30" t="n"/>
      <c r="G2896" s="9">
        <f>IF(AND(E2896&lt;&gt;"",E2896&lt;&gt;0,H2896&lt;&gt;""),H2896/E2896,"")</f>
        <v/>
      </c>
      <c r="L2896">
        <f>IF(B2896="","",IFERROR(VALUE(TEXT(B2896,"[$-1170401]yyyy")),""))</f>
        <v/>
      </c>
      <c r="M2896">
        <f>IF(B2896="","",IFERROR(VALUE(TEXT(B2896,"[$-1170401]mm")),""))</f>
        <v/>
      </c>
    </row>
    <row r="2897">
      <c r="B2897" s="30" t="n"/>
      <c r="G2897" s="9">
        <f>IF(AND(E2897&lt;&gt;"",E2897&lt;&gt;0,H2897&lt;&gt;""),H2897/E2897,"")</f>
        <v/>
      </c>
      <c r="L2897">
        <f>IF(B2897="","",IFERROR(VALUE(TEXT(B2897,"[$-1170401]yyyy")),""))</f>
        <v/>
      </c>
      <c r="M2897">
        <f>IF(B2897="","",IFERROR(VALUE(TEXT(B2897,"[$-1170401]mm")),""))</f>
        <v/>
      </c>
    </row>
    <row r="2898">
      <c r="B2898" s="30" t="n"/>
      <c r="G2898" s="9">
        <f>IF(AND(E2898&lt;&gt;"",E2898&lt;&gt;0,H2898&lt;&gt;""),H2898/E2898,"")</f>
        <v/>
      </c>
      <c r="L2898">
        <f>IF(B2898="","",IFERROR(VALUE(TEXT(B2898,"[$-1170401]yyyy")),""))</f>
        <v/>
      </c>
      <c r="M2898">
        <f>IF(B2898="","",IFERROR(VALUE(TEXT(B2898,"[$-1170401]mm")),""))</f>
        <v/>
      </c>
    </row>
    <row r="2899">
      <c r="B2899" s="30" t="n"/>
      <c r="G2899" s="9">
        <f>IF(AND(E2899&lt;&gt;"",E2899&lt;&gt;0,H2899&lt;&gt;""),H2899/E2899,"")</f>
        <v/>
      </c>
      <c r="L2899">
        <f>IF(B2899="","",IFERROR(VALUE(TEXT(B2899,"[$-1170401]yyyy")),""))</f>
        <v/>
      </c>
      <c r="M2899">
        <f>IF(B2899="","",IFERROR(VALUE(TEXT(B2899,"[$-1170401]mm")),""))</f>
        <v/>
      </c>
    </row>
    <row r="2900">
      <c r="B2900" s="30" t="n"/>
      <c r="G2900" s="9">
        <f>IF(AND(E2900&lt;&gt;"",E2900&lt;&gt;0,H2900&lt;&gt;""),H2900/E2900,"")</f>
        <v/>
      </c>
      <c r="L2900">
        <f>IF(B2900="","",IFERROR(VALUE(TEXT(B2900,"[$-1170401]yyyy")),""))</f>
        <v/>
      </c>
      <c r="M2900">
        <f>IF(B2900="","",IFERROR(VALUE(TEXT(B2900,"[$-1170401]mm")),""))</f>
        <v/>
      </c>
    </row>
    <row r="2901">
      <c r="B2901" s="30" t="n"/>
      <c r="G2901" s="9">
        <f>IF(AND(E2901&lt;&gt;"",E2901&lt;&gt;0,H2901&lt;&gt;""),H2901/E2901,"")</f>
        <v/>
      </c>
      <c r="L2901">
        <f>IF(B2901="","",IFERROR(VALUE(TEXT(B2901,"[$-1170401]yyyy")),""))</f>
        <v/>
      </c>
      <c r="M2901">
        <f>IF(B2901="","",IFERROR(VALUE(TEXT(B2901,"[$-1170401]mm")),""))</f>
        <v/>
      </c>
    </row>
    <row r="2902">
      <c r="B2902" s="30" t="n"/>
      <c r="G2902" s="9">
        <f>IF(AND(E2902&lt;&gt;"",E2902&lt;&gt;0,H2902&lt;&gt;""),H2902/E2902,"")</f>
        <v/>
      </c>
      <c r="L2902">
        <f>IF(B2902="","",IFERROR(VALUE(TEXT(B2902,"[$-1170401]yyyy")),""))</f>
        <v/>
      </c>
      <c r="M2902">
        <f>IF(B2902="","",IFERROR(VALUE(TEXT(B2902,"[$-1170401]mm")),""))</f>
        <v/>
      </c>
    </row>
    <row r="2903">
      <c r="B2903" s="30" t="n"/>
      <c r="G2903" s="9">
        <f>IF(AND(E2903&lt;&gt;"",E2903&lt;&gt;0,H2903&lt;&gt;""),H2903/E2903,"")</f>
        <v/>
      </c>
      <c r="L2903">
        <f>IF(B2903="","",IFERROR(VALUE(TEXT(B2903,"[$-1170401]yyyy")),""))</f>
        <v/>
      </c>
      <c r="M2903">
        <f>IF(B2903="","",IFERROR(VALUE(TEXT(B2903,"[$-1170401]mm")),""))</f>
        <v/>
      </c>
    </row>
    <row r="2904">
      <c r="B2904" s="30" t="n"/>
      <c r="G2904" s="9">
        <f>IF(AND(E2904&lt;&gt;"",E2904&lt;&gt;0,H2904&lt;&gt;""),H2904/E2904,"")</f>
        <v/>
      </c>
      <c r="L2904">
        <f>IF(B2904="","",IFERROR(VALUE(TEXT(B2904,"[$-1170401]yyyy")),""))</f>
        <v/>
      </c>
      <c r="M2904">
        <f>IF(B2904="","",IFERROR(VALUE(TEXT(B2904,"[$-1170401]mm")),""))</f>
        <v/>
      </c>
    </row>
    <row r="2905">
      <c r="B2905" s="30" t="n"/>
      <c r="G2905" s="9">
        <f>IF(AND(E2905&lt;&gt;"",E2905&lt;&gt;0,H2905&lt;&gt;""),H2905/E2905,"")</f>
        <v/>
      </c>
      <c r="L2905">
        <f>IF(B2905="","",IFERROR(VALUE(TEXT(B2905,"[$-1170401]yyyy")),""))</f>
        <v/>
      </c>
      <c r="M2905">
        <f>IF(B2905="","",IFERROR(VALUE(TEXT(B2905,"[$-1170401]mm")),""))</f>
        <v/>
      </c>
    </row>
    <row r="2906">
      <c r="B2906" s="30" t="n"/>
      <c r="G2906" s="9">
        <f>IF(AND(E2906&lt;&gt;"",E2906&lt;&gt;0,H2906&lt;&gt;""),H2906/E2906,"")</f>
        <v/>
      </c>
      <c r="L2906">
        <f>IF(B2906="","",IFERROR(VALUE(TEXT(B2906,"[$-1170401]yyyy")),""))</f>
        <v/>
      </c>
      <c r="M2906">
        <f>IF(B2906="","",IFERROR(VALUE(TEXT(B2906,"[$-1170401]mm")),""))</f>
        <v/>
      </c>
    </row>
    <row r="2907">
      <c r="B2907" s="30" t="n"/>
      <c r="G2907" s="9">
        <f>IF(AND(E2907&lt;&gt;"",E2907&lt;&gt;0,H2907&lt;&gt;""),H2907/E2907,"")</f>
        <v/>
      </c>
      <c r="L2907">
        <f>IF(B2907="","",IFERROR(VALUE(TEXT(B2907,"[$-1170401]yyyy")),""))</f>
        <v/>
      </c>
      <c r="M2907">
        <f>IF(B2907="","",IFERROR(VALUE(TEXT(B2907,"[$-1170401]mm")),""))</f>
        <v/>
      </c>
    </row>
    <row r="2908">
      <c r="B2908" s="30" t="n"/>
      <c r="G2908" s="9">
        <f>IF(AND(E2908&lt;&gt;"",E2908&lt;&gt;0,H2908&lt;&gt;""),H2908/E2908,"")</f>
        <v/>
      </c>
      <c r="L2908">
        <f>IF(B2908="","",IFERROR(VALUE(TEXT(B2908,"[$-1170401]yyyy")),""))</f>
        <v/>
      </c>
      <c r="M2908">
        <f>IF(B2908="","",IFERROR(VALUE(TEXT(B2908,"[$-1170401]mm")),""))</f>
        <v/>
      </c>
    </row>
    <row r="2909">
      <c r="B2909" s="30" t="n"/>
      <c r="G2909" s="9">
        <f>IF(AND(E2909&lt;&gt;"",E2909&lt;&gt;0,H2909&lt;&gt;""),H2909/E2909,"")</f>
        <v/>
      </c>
      <c r="L2909">
        <f>IF(B2909="","",IFERROR(VALUE(TEXT(B2909,"[$-1170401]yyyy")),""))</f>
        <v/>
      </c>
      <c r="M2909">
        <f>IF(B2909="","",IFERROR(VALUE(TEXT(B2909,"[$-1170401]mm")),""))</f>
        <v/>
      </c>
    </row>
    <row r="2910">
      <c r="B2910" s="30" t="n"/>
      <c r="G2910" s="9">
        <f>IF(AND(E2910&lt;&gt;"",E2910&lt;&gt;0,H2910&lt;&gt;""),H2910/E2910,"")</f>
        <v/>
      </c>
      <c r="L2910">
        <f>IF(B2910="","",IFERROR(VALUE(TEXT(B2910,"[$-1170401]yyyy")),""))</f>
        <v/>
      </c>
      <c r="M2910">
        <f>IF(B2910="","",IFERROR(VALUE(TEXT(B2910,"[$-1170401]mm")),""))</f>
        <v/>
      </c>
    </row>
    <row r="2911">
      <c r="B2911" s="30" t="n"/>
      <c r="G2911" s="9">
        <f>IF(AND(E2911&lt;&gt;"",E2911&lt;&gt;0,H2911&lt;&gt;""),H2911/E2911,"")</f>
        <v/>
      </c>
      <c r="L2911">
        <f>IF(B2911="","",IFERROR(VALUE(TEXT(B2911,"[$-1170401]yyyy")),""))</f>
        <v/>
      </c>
      <c r="M2911">
        <f>IF(B2911="","",IFERROR(VALUE(TEXT(B2911,"[$-1170401]mm")),""))</f>
        <v/>
      </c>
    </row>
    <row r="2912">
      <c r="B2912" s="30" t="n"/>
      <c r="G2912" s="9">
        <f>IF(AND(E2912&lt;&gt;"",E2912&lt;&gt;0,H2912&lt;&gt;""),H2912/E2912,"")</f>
        <v/>
      </c>
      <c r="L2912">
        <f>IF(B2912="","",IFERROR(VALUE(TEXT(B2912,"[$-1170401]yyyy")),""))</f>
        <v/>
      </c>
      <c r="M2912">
        <f>IF(B2912="","",IFERROR(VALUE(TEXT(B2912,"[$-1170401]mm")),""))</f>
        <v/>
      </c>
    </row>
    <row r="2913">
      <c r="B2913" s="30" t="n"/>
      <c r="G2913" s="9">
        <f>IF(AND(E2913&lt;&gt;"",E2913&lt;&gt;0,H2913&lt;&gt;""),H2913/E2913,"")</f>
        <v/>
      </c>
      <c r="L2913">
        <f>IF(B2913="","",IFERROR(VALUE(TEXT(B2913,"[$-1170401]yyyy")),""))</f>
        <v/>
      </c>
      <c r="M2913">
        <f>IF(B2913="","",IFERROR(VALUE(TEXT(B2913,"[$-1170401]mm")),""))</f>
        <v/>
      </c>
    </row>
    <row r="2914">
      <c r="B2914" s="30" t="n"/>
      <c r="G2914" s="9">
        <f>IF(AND(E2914&lt;&gt;"",E2914&lt;&gt;0,H2914&lt;&gt;""),H2914/E2914,"")</f>
        <v/>
      </c>
      <c r="L2914">
        <f>IF(B2914="","",IFERROR(VALUE(TEXT(B2914,"[$-1170401]yyyy")),""))</f>
        <v/>
      </c>
      <c r="M2914">
        <f>IF(B2914="","",IFERROR(VALUE(TEXT(B2914,"[$-1170401]mm")),""))</f>
        <v/>
      </c>
    </row>
    <row r="2915">
      <c r="B2915" s="30" t="n"/>
      <c r="G2915" s="9">
        <f>IF(AND(E2915&lt;&gt;"",E2915&lt;&gt;0,H2915&lt;&gt;""),H2915/E2915,"")</f>
        <v/>
      </c>
      <c r="L2915">
        <f>IF(B2915="","",IFERROR(VALUE(TEXT(B2915,"[$-1170401]yyyy")),""))</f>
        <v/>
      </c>
      <c r="M2915">
        <f>IF(B2915="","",IFERROR(VALUE(TEXT(B2915,"[$-1170401]mm")),""))</f>
        <v/>
      </c>
    </row>
    <row r="2916">
      <c r="B2916" s="30" t="n"/>
      <c r="G2916" s="9">
        <f>IF(AND(E2916&lt;&gt;"",E2916&lt;&gt;0,H2916&lt;&gt;""),H2916/E2916,"")</f>
        <v/>
      </c>
      <c r="L2916">
        <f>IF(B2916="","",IFERROR(VALUE(TEXT(B2916,"[$-1170401]yyyy")),""))</f>
        <v/>
      </c>
      <c r="M2916">
        <f>IF(B2916="","",IFERROR(VALUE(TEXT(B2916,"[$-1170401]mm")),""))</f>
        <v/>
      </c>
    </row>
    <row r="2917">
      <c r="B2917" s="30" t="n"/>
      <c r="G2917" s="9">
        <f>IF(AND(E2917&lt;&gt;"",E2917&lt;&gt;0,H2917&lt;&gt;""),H2917/E2917,"")</f>
        <v/>
      </c>
      <c r="L2917">
        <f>IF(B2917="","",IFERROR(VALUE(TEXT(B2917,"[$-1170401]yyyy")),""))</f>
        <v/>
      </c>
      <c r="M2917">
        <f>IF(B2917="","",IFERROR(VALUE(TEXT(B2917,"[$-1170401]mm")),""))</f>
        <v/>
      </c>
    </row>
    <row r="2918">
      <c r="B2918" s="30" t="n"/>
      <c r="G2918" s="9">
        <f>IF(AND(E2918&lt;&gt;"",E2918&lt;&gt;0,H2918&lt;&gt;""),H2918/E2918,"")</f>
        <v/>
      </c>
      <c r="L2918">
        <f>IF(B2918="","",IFERROR(VALUE(TEXT(B2918,"[$-1170401]yyyy")),""))</f>
        <v/>
      </c>
      <c r="M2918">
        <f>IF(B2918="","",IFERROR(VALUE(TEXT(B2918,"[$-1170401]mm")),""))</f>
        <v/>
      </c>
    </row>
    <row r="2919">
      <c r="B2919" s="30" t="n"/>
      <c r="G2919" s="9">
        <f>IF(AND(E2919&lt;&gt;"",E2919&lt;&gt;0,H2919&lt;&gt;""),H2919/E2919,"")</f>
        <v/>
      </c>
      <c r="L2919">
        <f>IF(B2919="","",IFERROR(VALUE(TEXT(B2919,"[$-1170401]yyyy")),""))</f>
        <v/>
      </c>
      <c r="M2919">
        <f>IF(B2919="","",IFERROR(VALUE(TEXT(B2919,"[$-1170401]mm")),""))</f>
        <v/>
      </c>
    </row>
    <row r="2920">
      <c r="B2920" s="30" t="n"/>
      <c r="G2920" s="9">
        <f>IF(AND(E2920&lt;&gt;"",E2920&lt;&gt;0,H2920&lt;&gt;""),H2920/E2920,"")</f>
        <v/>
      </c>
      <c r="L2920">
        <f>IF(B2920="","",IFERROR(VALUE(TEXT(B2920,"[$-1170401]yyyy")),""))</f>
        <v/>
      </c>
      <c r="M2920">
        <f>IF(B2920="","",IFERROR(VALUE(TEXT(B2920,"[$-1170401]mm")),""))</f>
        <v/>
      </c>
    </row>
    <row r="2921">
      <c r="B2921" s="30" t="n"/>
      <c r="G2921" s="9">
        <f>IF(AND(E2921&lt;&gt;"",E2921&lt;&gt;0,H2921&lt;&gt;""),H2921/E2921,"")</f>
        <v/>
      </c>
      <c r="L2921">
        <f>IF(B2921="","",IFERROR(VALUE(TEXT(B2921,"[$-1170401]yyyy")),""))</f>
        <v/>
      </c>
      <c r="M2921">
        <f>IF(B2921="","",IFERROR(VALUE(TEXT(B2921,"[$-1170401]mm")),""))</f>
        <v/>
      </c>
    </row>
    <row r="2922">
      <c r="B2922" s="30" t="n"/>
      <c r="G2922" s="9">
        <f>IF(AND(E2922&lt;&gt;"",E2922&lt;&gt;0,H2922&lt;&gt;""),H2922/E2922,"")</f>
        <v/>
      </c>
      <c r="L2922">
        <f>IF(B2922="","",IFERROR(VALUE(TEXT(B2922,"[$-1170401]yyyy")),""))</f>
        <v/>
      </c>
      <c r="M2922">
        <f>IF(B2922="","",IFERROR(VALUE(TEXT(B2922,"[$-1170401]mm")),""))</f>
        <v/>
      </c>
    </row>
    <row r="2923">
      <c r="B2923" s="30" t="n"/>
      <c r="G2923" s="9">
        <f>IF(AND(E2923&lt;&gt;"",E2923&lt;&gt;0,H2923&lt;&gt;""),H2923/E2923,"")</f>
        <v/>
      </c>
      <c r="L2923">
        <f>IF(B2923="","",IFERROR(VALUE(TEXT(B2923,"[$-1170401]yyyy")),""))</f>
        <v/>
      </c>
      <c r="M2923">
        <f>IF(B2923="","",IFERROR(VALUE(TEXT(B2923,"[$-1170401]mm")),""))</f>
        <v/>
      </c>
    </row>
    <row r="2924">
      <c r="B2924" s="30" t="n"/>
      <c r="G2924" s="9">
        <f>IF(AND(E2924&lt;&gt;"",E2924&lt;&gt;0,H2924&lt;&gt;""),H2924/E2924,"")</f>
        <v/>
      </c>
      <c r="L2924">
        <f>IF(B2924="","",IFERROR(VALUE(TEXT(B2924,"[$-1170401]yyyy")),""))</f>
        <v/>
      </c>
      <c r="M2924">
        <f>IF(B2924="","",IFERROR(VALUE(TEXT(B2924,"[$-1170401]mm")),""))</f>
        <v/>
      </c>
    </row>
    <row r="2925">
      <c r="B2925" s="30" t="n"/>
      <c r="G2925" s="9">
        <f>IF(AND(E2925&lt;&gt;"",E2925&lt;&gt;0,H2925&lt;&gt;""),H2925/E2925,"")</f>
        <v/>
      </c>
      <c r="L2925">
        <f>IF(B2925="","",IFERROR(VALUE(TEXT(B2925,"[$-1170401]yyyy")),""))</f>
        <v/>
      </c>
      <c r="M2925">
        <f>IF(B2925="","",IFERROR(VALUE(TEXT(B2925,"[$-1170401]mm")),""))</f>
        <v/>
      </c>
    </row>
    <row r="2926">
      <c r="B2926" s="30" t="n"/>
      <c r="G2926" s="9">
        <f>IF(AND(E2926&lt;&gt;"",E2926&lt;&gt;0,H2926&lt;&gt;""),H2926/E2926,"")</f>
        <v/>
      </c>
      <c r="L2926">
        <f>IF(B2926="","",IFERROR(VALUE(TEXT(B2926,"[$-1170401]yyyy")),""))</f>
        <v/>
      </c>
      <c r="M2926">
        <f>IF(B2926="","",IFERROR(VALUE(TEXT(B2926,"[$-1170401]mm")),""))</f>
        <v/>
      </c>
    </row>
    <row r="2927">
      <c r="B2927" s="30" t="n"/>
      <c r="G2927" s="9">
        <f>IF(AND(E2927&lt;&gt;"",E2927&lt;&gt;0,H2927&lt;&gt;""),H2927/E2927,"")</f>
        <v/>
      </c>
      <c r="L2927">
        <f>IF(B2927="","",IFERROR(VALUE(TEXT(B2927,"[$-1170401]yyyy")),""))</f>
        <v/>
      </c>
      <c r="M2927">
        <f>IF(B2927="","",IFERROR(VALUE(TEXT(B2927,"[$-1170401]mm")),""))</f>
        <v/>
      </c>
    </row>
    <row r="2928">
      <c r="B2928" s="30" t="n"/>
      <c r="G2928" s="9">
        <f>IF(AND(E2928&lt;&gt;"",E2928&lt;&gt;0,H2928&lt;&gt;""),H2928/E2928,"")</f>
        <v/>
      </c>
      <c r="L2928">
        <f>IF(B2928="","",IFERROR(VALUE(TEXT(B2928,"[$-1170401]yyyy")),""))</f>
        <v/>
      </c>
      <c r="M2928">
        <f>IF(B2928="","",IFERROR(VALUE(TEXT(B2928,"[$-1170401]mm")),""))</f>
        <v/>
      </c>
    </row>
    <row r="2929">
      <c r="B2929" s="30" t="n"/>
      <c r="G2929" s="9">
        <f>IF(AND(E2929&lt;&gt;"",E2929&lt;&gt;0,H2929&lt;&gt;""),H2929/E2929,"")</f>
        <v/>
      </c>
      <c r="L2929">
        <f>IF(B2929="","",IFERROR(VALUE(TEXT(B2929,"[$-1170401]yyyy")),""))</f>
        <v/>
      </c>
      <c r="M2929">
        <f>IF(B2929="","",IFERROR(VALUE(TEXT(B2929,"[$-1170401]mm")),""))</f>
        <v/>
      </c>
    </row>
    <row r="2930">
      <c r="B2930" s="30" t="n"/>
      <c r="G2930" s="9">
        <f>IF(AND(E2930&lt;&gt;"",E2930&lt;&gt;0,H2930&lt;&gt;""),H2930/E2930,"")</f>
        <v/>
      </c>
      <c r="L2930">
        <f>IF(B2930="","",IFERROR(VALUE(TEXT(B2930,"[$-1170401]yyyy")),""))</f>
        <v/>
      </c>
      <c r="M2930">
        <f>IF(B2930="","",IFERROR(VALUE(TEXT(B2930,"[$-1170401]mm")),""))</f>
        <v/>
      </c>
    </row>
    <row r="2931">
      <c r="B2931" s="30" t="n"/>
      <c r="G2931" s="9">
        <f>IF(AND(E2931&lt;&gt;"",E2931&lt;&gt;0,H2931&lt;&gt;""),H2931/E2931,"")</f>
        <v/>
      </c>
      <c r="L2931">
        <f>IF(B2931="","",IFERROR(VALUE(TEXT(B2931,"[$-1170401]yyyy")),""))</f>
        <v/>
      </c>
      <c r="M2931">
        <f>IF(B2931="","",IFERROR(VALUE(TEXT(B2931,"[$-1170401]mm")),""))</f>
        <v/>
      </c>
    </row>
    <row r="2932">
      <c r="B2932" s="30" t="n"/>
      <c r="G2932" s="9">
        <f>IF(AND(E2932&lt;&gt;"",E2932&lt;&gt;0,H2932&lt;&gt;""),H2932/E2932,"")</f>
        <v/>
      </c>
      <c r="L2932">
        <f>IF(B2932="","",IFERROR(VALUE(TEXT(B2932,"[$-1170401]yyyy")),""))</f>
        <v/>
      </c>
      <c r="M2932">
        <f>IF(B2932="","",IFERROR(VALUE(TEXT(B2932,"[$-1170401]mm")),""))</f>
        <v/>
      </c>
    </row>
    <row r="2933">
      <c r="B2933" s="30" t="n"/>
      <c r="G2933" s="9">
        <f>IF(AND(E2933&lt;&gt;"",E2933&lt;&gt;0,H2933&lt;&gt;""),H2933/E2933,"")</f>
        <v/>
      </c>
      <c r="L2933">
        <f>IF(B2933="","",IFERROR(VALUE(TEXT(B2933,"[$-1170401]yyyy")),""))</f>
        <v/>
      </c>
      <c r="M2933">
        <f>IF(B2933="","",IFERROR(VALUE(TEXT(B2933,"[$-1170401]mm")),""))</f>
        <v/>
      </c>
    </row>
    <row r="2934">
      <c r="B2934" s="30" t="n"/>
      <c r="G2934" s="9">
        <f>IF(AND(E2934&lt;&gt;"",E2934&lt;&gt;0,H2934&lt;&gt;""),H2934/E2934,"")</f>
        <v/>
      </c>
      <c r="L2934">
        <f>IF(B2934="","",IFERROR(VALUE(TEXT(B2934,"[$-1170401]yyyy")),""))</f>
        <v/>
      </c>
      <c r="M2934">
        <f>IF(B2934="","",IFERROR(VALUE(TEXT(B2934,"[$-1170401]mm")),""))</f>
        <v/>
      </c>
    </row>
    <row r="2935">
      <c r="B2935" s="30" t="n"/>
      <c r="G2935" s="9">
        <f>IF(AND(E2935&lt;&gt;"",E2935&lt;&gt;0,H2935&lt;&gt;""),H2935/E2935,"")</f>
        <v/>
      </c>
      <c r="L2935">
        <f>IF(B2935="","",IFERROR(VALUE(TEXT(B2935,"[$-1170401]yyyy")),""))</f>
        <v/>
      </c>
      <c r="M2935">
        <f>IF(B2935="","",IFERROR(VALUE(TEXT(B2935,"[$-1170401]mm")),""))</f>
        <v/>
      </c>
    </row>
    <row r="2936">
      <c r="B2936" s="30" t="n"/>
      <c r="G2936" s="9">
        <f>IF(AND(E2936&lt;&gt;"",E2936&lt;&gt;0,H2936&lt;&gt;""),H2936/E2936,"")</f>
        <v/>
      </c>
      <c r="L2936">
        <f>IF(B2936="","",IFERROR(VALUE(TEXT(B2936,"[$-1170401]yyyy")),""))</f>
        <v/>
      </c>
      <c r="M2936">
        <f>IF(B2936="","",IFERROR(VALUE(TEXT(B2936,"[$-1170401]mm")),""))</f>
        <v/>
      </c>
    </row>
    <row r="2937">
      <c r="B2937" s="30" t="n"/>
      <c r="G2937" s="9">
        <f>IF(AND(E2937&lt;&gt;"",E2937&lt;&gt;0,H2937&lt;&gt;""),H2937/E2937,"")</f>
        <v/>
      </c>
      <c r="L2937">
        <f>IF(B2937="","",IFERROR(VALUE(TEXT(B2937,"[$-1170401]yyyy")),""))</f>
        <v/>
      </c>
      <c r="M2937">
        <f>IF(B2937="","",IFERROR(VALUE(TEXT(B2937,"[$-1170401]mm")),""))</f>
        <v/>
      </c>
    </row>
    <row r="2938">
      <c r="B2938" s="30" t="n"/>
      <c r="G2938" s="9">
        <f>IF(AND(E2938&lt;&gt;"",E2938&lt;&gt;0,H2938&lt;&gt;""),H2938/E2938,"")</f>
        <v/>
      </c>
      <c r="L2938">
        <f>IF(B2938="","",IFERROR(VALUE(TEXT(B2938,"[$-1170401]yyyy")),""))</f>
        <v/>
      </c>
      <c r="M2938">
        <f>IF(B2938="","",IFERROR(VALUE(TEXT(B2938,"[$-1170401]mm")),""))</f>
        <v/>
      </c>
    </row>
    <row r="2939">
      <c r="B2939" s="30" t="n"/>
      <c r="G2939" s="9">
        <f>IF(AND(E2939&lt;&gt;"",E2939&lt;&gt;0,H2939&lt;&gt;""),H2939/E2939,"")</f>
        <v/>
      </c>
      <c r="L2939">
        <f>IF(B2939="","",IFERROR(VALUE(TEXT(B2939,"[$-1170401]yyyy")),""))</f>
        <v/>
      </c>
      <c r="M2939">
        <f>IF(B2939="","",IFERROR(VALUE(TEXT(B2939,"[$-1170401]mm")),""))</f>
        <v/>
      </c>
    </row>
    <row r="2940">
      <c r="B2940" s="30" t="n"/>
      <c r="G2940" s="9">
        <f>IF(AND(E2940&lt;&gt;"",E2940&lt;&gt;0,H2940&lt;&gt;""),H2940/E2940,"")</f>
        <v/>
      </c>
      <c r="L2940">
        <f>IF(B2940="","",IFERROR(VALUE(TEXT(B2940,"[$-1170401]yyyy")),""))</f>
        <v/>
      </c>
      <c r="M2940">
        <f>IF(B2940="","",IFERROR(VALUE(TEXT(B2940,"[$-1170401]mm")),""))</f>
        <v/>
      </c>
    </row>
    <row r="2941">
      <c r="B2941" s="30" t="n"/>
      <c r="G2941" s="9">
        <f>IF(AND(E2941&lt;&gt;"",E2941&lt;&gt;0,H2941&lt;&gt;""),H2941/E2941,"")</f>
        <v/>
      </c>
      <c r="L2941">
        <f>IF(B2941="","",IFERROR(VALUE(TEXT(B2941,"[$-1170401]yyyy")),""))</f>
        <v/>
      </c>
      <c r="M2941">
        <f>IF(B2941="","",IFERROR(VALUE(TEXT(B2941,"[$-1170401]mm")),""))</f>
        <v/>
      </c>
    </row>
    <row r="2942">
      <c r="B2942" s="30" t="n"/>
      <c r="G2942" s="9">
        <f>IF(AND(E2942&lt;&gt;"",E2942&lt;&gt;0,H2942&lt;&gt;""),H2942/E2942,"")</f>
        <v/>
      </c>
      <c r="L2942">
        <f>IF(B2942="","",IFERROR(VALUE(TEXT(B2942,"[$-1170401]yyyy")),""))</f>
        <v/>
      </c>
      <c r="M2942">
        <f>IF(B2942="","",IFERROR(VALUE(TEXT(B2942,"[$-1170401]mm")),""))</f>
        <v/>
      </c>
    </row>
    <row r="2943">
      <c r="B2943" s="30" t="n"/>
      <c r="G2943" s="9">
        <f>IF(AND(E2943&lt;&gt;"",E2943&lt;&gt;0,H2943&lt;&gt;""),H2943/E2943,"")</f>
        <v/>
      </c>
      <c r="L2943">
        <f>IF(B2943="","",IFERROR(VALUE(TEXT(B2943,"[$-1170401]yyyy")),""))</f>
        <v/>
      </c>
      <c r="M2943">
        <f>IF(B2943="","",IFERROR(VALUE(TEXT(B2943,"[$-1170401]mm")),""))</f>
        <v/>
      </c>
    </row>
    <row r="2944">
      <c r="B2944" s="30" t="n"/>
      <c r="G2944" s="9">
        <f>IF(AND(E2944&lt;&gt;"",E2944&lt;&gt;0,H2944&lt;&gt;""),H2944/E2944,"")</f>
        <v/>
      </c>
      <c r="L2944">
        <f>IF(B2944="","",IFERROR(VALUE(TEXT(B2944,"[$-1170401]yyyy")),""))</f>
        <v/>
      </c>
      <c r="M2944">
        <f>IF(B2944="","",IFERROR(VALUE(TEXT(B2944,"[$-1170401]mm")),""))</f>
        <v/>
      </c>
    </row>
    <row r="2945">
      <c r="B2945" s="30" t="n"/>
      <c r="G2945" s="9">
        <f>IF(AND(E2945&lt;&gt;"",E2945&lt;&gt;0,H2945&lt;&gt;""),H2945/E2945,"")</f>
        <v/>
      </c>
      <c r="L2945">
        <f>IF(B2945="","",IFERROR(VALUE(TEXT(B2945,"[$-1170401]yyyy")),""))</f>
        <v/>
      </c>
      <c r="M2945">
        <f>IF(B2945="","",IFERROR(VALUE(TEXT(B2945,"[$-1170401]mm")),""))</f>
        <v/>
      </c>
    </row>
    <row r="2946">
      <c r="B2946" s="30" t="n"/>
      <c r="G2946" s="9">
        <f>IF(AND(E2946&lt;&gt;"",E2946&lt;&gt;0,H2946&lt;&gt;""),H2946/E2946,"")</f>
        <v/>
      </c>
      <c r="L2946">
        <f>IF(B2946="","",IFERROR(VALUE(TEXT(B2946,"[$-1170401]yyyy")),""))</f>
        <v/>
      </c>
      <c r="M2946">
        <f>IF(B2946="","",IFERROR(VALUE(TEXT(B2946,"[$-1170401]mm")),""))</f>
        <v/>
      </c>
    </row>
    <row r="2947">
      <c r="B2947" s="30" t="n"/>
      <c r="G2947" s="9">
        <f>IF(AND(E2947&lt;&gt;"",E2947&lt;&gt;0,H2947&lt;&gt;""),H2947/E2947,"")</f>
        <v/>
      </c>
      <c r="L2947">
        <f>IF(B2947="","",IFERROR(VALUE(TEXT(B2947,"[$-1170401]yyyy")),""))</f>
        <v/>
      </c>
      <c r="M2947">
        <f>IF(B2947="","",IFERROR(VALUE(TEXT(B2947,"[$-1170401]mm")),""))</f>
        <v/>
      </c>
    </row>
    <row r="2948">
      <c r="B2948" s="30" t="n"/>
      <c r="G2948" s="9">
        <f>IF(AND(E2948&lt;&gt;"",E2948&lt;&gt;0,H2948&lt;&gt;""),H2948/E2948,"")</f>
        <v/>
      </c>
      <c r="L2948">
        <f>IF(B2948="","",IFERROR(VALUE(TEXT(B2948,"[$-1170401]yyyy")),""))</f>
        <v/>
      </c>
      <c r="M2948">
        <f>IF(B2948="","",IFERROR(VALUE(TEXT(B2948,"[$-1170401]mm")),""))</f>
        <v/>
      </c>
    </row>
    <row r="2949">
      <c r="B2949" s="30" t="n"/>
      <c r="G2949" s="9">
        <f>IF(AND(E2949&lt;&gt;"",E2949&lt;&gt;0,H2949&lt;&gt;""),H2949/E2949,"")</f>
        <v/>
      </c>
      <c r="L2949">
        <f>IF(B2949="","",IFERROR(VALUE(TEXT(B2949,"[$-1170401]yyyy")),""))</f>
        <v/>
      </c>
      <c r="M2949">
        <f>IF(B2949="","",IFERROR(VALUE(TEXT(B2949,"[$-1170401]mm")),""))</f>
        <v/>
      </c>
    </row>
    <row r="2950">
      <c r="B2950" s="30" t="n"/>
      <c r="G2950" s="9">
        <f>IF(AND(E2950&lt;&gt;"",E2950&lt;&gt;0,H2950&lt;&gt;""),H2950/E2950,"")</f>
        <v/>
      </c>
      <c r="L2950">
        <f>IF(B2950="","",IFERROR(VALUE(TEXT(B2950,"[$-1170401]yyyy")),""))</f>
        <v/>
      </c>
      <c r="M2950">
        <f>IF(B2950="","",IFERROR(VALUE(TEXT(B2950,"[$-1170401]mm")),""))</f>
        <v/>
      </c>
    </row>
    <row r="2951">
      <c r="B2951" s="30" t="n"/>
      <c r="G2951" s="9">
        <f>IF(AND(E2951&lt;&gt;"",E2951&lt;&gt;0,H2951&lt;&gt;""),H2951/E2951,"")</f>
        <v/>
      </c>
      <c r="L2951">
        <f>IF(B2951="","",IFERROR(VALUE(TEXT(B2951,"[$-1170401]yyyy")),""))</f>
        <v/>
      </c>
      <c r="M2951">
        <f>IF(B2951="","",IFERROR(VALUE(TEXT(B2951,"[$-1170401]mm")),""))</f>
        <v/>
      </c>
    </row>
    <row r="2952">
      <c r="B2952" s="30" t="n"/>
      <c r="G2952" s="9">
        <f>IF(AND(E2952&lt;&gt;"",E2952&lt;&gt;0,H2952&lt;&gt;""),H2952/E2952,"")</f>
        <v/>
      </c>
      <c r="L2952">
        <f>IF(B2952="","",IFERROR(VALUE(TEXT(B2952,"[$-1170401]yyyy")),""))</f>
        <v/>
      </c>
      <c r="M2952">
        <f>IF(B2952="","",IFERROR(VALUE(TEXT(B2952,"[$-1170401]mm")),""))</f>
        <v/>
      </c>
    </row>
    <row r="2953">
      <c r="B2953" s="30" t="n"/>
      <c r="G2953" s="9">
        <f>IF(AND(E2953&lt;&gt;"",E2953&lt;&gt;0,H2953&lt;&gt;""),H2953/E2953,"")</f>
        <v/>
      </c>
      <c r="L2953">
        <f>IF(B2953="","",IFERROR(VALUE(TEXT(B2953,"[$-1170401]yyyy")),""))</f>
        <v/>
      </c>
      <c r="M2953">
        <f>IF(B2953="","",IFERROR(VALUE(TEXT(B2953,"[$-1170401]mm")),""))</f>
        <v/>
      </c>
    </row>
    <row r="2954">
      <c r="B2954" s="30" t="n"/>
      <c r="G2954" s="9">
        <f>IF(AND(E2954&lt;&gt;"",E2954&lt;&gt;0,H2954&lt;&gt;""),H2954/E2954,"")</f>
        <v/>
      </c>
      <c r="L2954">
        <f>IF(B2954="","",IFERROR(VALUE(TEXT(B2954,"[$-1170401]yyyy")),""))</f>
        <v/>
      </c>
      <c r="M2954">
        <f>IF(B2954="","",IFERROR(VALUE(TEXT(B2954,"[$-1170401]mm")),""))</f>
        <v/>
      </c>
    </row>
    <row r="2955">
      <c r="B2955" s="30" t="n"/>
      <c r="G2955" s="9">
        <f>IF(AND(E2955&lt;&gt;"",E2955&lt;&gt;0,H2955&lt;&gt;""),H2955/E2955,"")</f>
        <v/>
      </c>
      <c r="L2955">
        <f>IF(B2955="","",IFERROR(VALUE(TEXT(B2955,"[$-1170401]yyyy")),""))</f>
        <v/>
      </c>
      <c r="M2955">
        <f>IF(B2955="","",IFERROR(VALUE(TEXT(B2955,"[$-1170401]mm")),""))</f>
        <v/>
      </c>
    </row>
    <row r="2956">
      <c r="B2956" s="30" t="n"/>
      <c r="G2956" s="9">
        <f>IF(AND(E2956&lt;&gt;"",E2956&lt;&gt;0,H2956&lt;&gt;""),H2956/E2956,"")</f>
        <v/>
      </c>
      <c r="L2956">
        <f>IF(B2956="","",IFERROR(VALUE(TEXT(B2956,"[$-1170401]yyyy")),""))</f>
        <v/>
      </c>
      <c r="M2956">
        <f>IF(B2956="","",IFERROR(VALUE(TEXT(B2956,"[$-1170401]mm")),""))</f>
        <v/>
      </c>
    </row>
    <row r="2957">
      <c r="B2957" s="30" t="n"/>
      <c r="G2957" s="9">
        <f>IF(AND(E2957&lt;&gt;"",E2957&lt;&gt;0,H2957&lt;&gt;""),H2957/E2957,"")</f>
        <v/>
      </c>
      <c r="L2957">
        <f>IF(B2957="","",IFERROR(VALUE(TEXT(B2957,"[$-1170401]yyyy")),""))</f>
        <v/>
      </c>
      <c r="M2957">
        <f>IF(B2957="","",IFERROR(VALUE(TEXT(B2957,"[$-1170401]mm")),""))</f>
        <v/>
      </c>
    </row>
    <row r="2958">
      <c r="B2958" s="30" t="n"/>
      <c r="G2958" s="9">
        <f>IF(AND(E2958&lt;&gt;"",E2958&lt;&gt;0,H2958&lt;&gt;""),H2958/E2958,"")</f>
        <v/>
      </c>
      <c r="L2958">
        <f>IF(B2958="","",IFERROR(VALUE(TEXT(B2958,"[$-1170401]yyyy")),""))</f>
        <v/>
      </c>
      <c r="M2958">
        <f>IF(B2958="","",IFERROR(VALUE(TEXT(B2958,"[$-1170401]mm")),""))</f>
        <v/>
      </c>
    </row>
    <row r="2959">
      <c r="B2959" s="30" t="n"/>
      <c r="G2959" s="9">
        <f>IF(AND(E2959&lt;&gt;"",E2959&lt;&gt;0,H2959&lt;&gt;""),H2959/E2959,"")</f>
        <v/>
      </c>
      <c r="L2959">
        <f>IF(B2959="","",IFERROR(VALUE(TEXT(B2959,"[$-1170401]yyyy")),""))</f>
        <v/>
      </c>
      <c r="M2959">
        <f>IF(B2959="","",IFERROR(VALUE(TEXT(B2959,"[$-1170401]mm")),""))</f>
        <v/>
      </c>
    </row>
    <row r="2960">
      <c r="B2960" s="30" t="n"/>
      <c r="G2960" s="9">
        <f>IF(AND(E2960&lt;&gt;"",E2960&lt;&gt;0,H2960&lt;&gt;""),H2960/E2960,"")</f>
        <v/>
      </c>
      <c r="L2960">
        <f>IF(B2960="","",IFERROR(VALUE(TEXT(B2960,"[$-1170401]yyyy")),""))</f>
        <v/>
      </c>
      <c r="M2960">
        <f>IF(B2960="","",IFERROR(VALUE(TEXT(B2960,"[$-1170401]mm")),""))</f>
        <v/>
      </c>
    </row>
    <row r="2961">
      <c r="B2961" s="30" t="n"/>
      <c r="G2961" s="9">
        <f>IF(AND(E2961&lt;&gt;"",E2961&lt;&gt;0,H2961&lt;&gt;""),H2961/E2961,"")</f>
        <v/>
      </c>
      <c r="L2961">
        <f>IF(B2961="","",IFERROR(VALUE(TEXT(B2961,"[$-1170401]yyyy")),""))</f>
        <v/>
      </c>
      <c r="M2961">
        <f>IF(B2961="","",IFERROR(VALUE(TEXT(B2961,"[$-1170401]mm")),""))</f>
        <v/>
      </c>
    </row>
    <row r="2962">
      <c r="B2962" s="30" t="n"/>
      <c r="G2962" s="9">
        <f>IF(AND(E2962&lt;&gt;"",E2962&lt;&gt;0,H2962&lt;&gt;""),H2962/E2962,"")</f>
        <v/>
      </c>
      <c r="L2962">
        <f>IF(B2962="","",IFERROR(VALUE(TEXT(B2962,"[$-1170401]yyyy")),""))</f>
        <v/>
      </c>
      <c r="M2962">
        <f>IF(B2962="","",IFERROR(VALUE(TEXT(B2962,"[$-1170401]mm")),""))</f>
        <v/>
      </c>
    </row>
    <row r="2963">
      <c r="B2963" s="30" t="n"/>
      <c r="G2963" s="9">
        <f>IF(AND(E2963&lt;&gt;"",E2963&lt;&gt;0,H2963&lt;&gt;""),H2963/E2963,"")</f>
        <v/>
      </c>
      <c r="L2963">
        <f>IF(B2963="","",IFERROR(VALUE(TEXT(B2963,"[$-1170401]yyyy")),""))</f>
        <v/>
      </c>
      <c r="M2963">
        <f>IF(B2963="","",IFERROR(VALUE(TEXT(B2963,"[$-1170401]mm")),""))</f>
        <v/>
      </c>
    </row>
    <row r="2964">
      <c r="B2964" s="30" t="n"/>
      <c r="G2964" s="9">
        <f>IF(AND(E2964&lt;&gt;"",E2964&lt;&gt;0,H2964&lt;&gt;""),H2964/E2964,"")</f>
        <v/>
      </c>
      <c r="L2964">
        <f>IF(B2964="","",IFERROR(VALUE(TEXT(B2964,"[$-1170401]yyyy")),""))</f>
        <v/>
      </c>
      <c r="M2964">
        <f>IF(B2964="","",IFERROR(VALUE(TEXT(B2964,"[$-1170401]mm")),""))</f>
        <v/>
      </c>
    </row>
    <row r="2965">
      <c r="B2965" s="30" t="n"/>
      <c r="G2965" s="9">
        <f>IF(AND(E2965&lt;&gt;"",E2965&lt;&gt;0,H2965&lt;&gt;""),H2965/E2965,"")</f>
        <v/>
      </c>
      <c r="L2965">
        <f>IF(B2965="","",IFERROR(VALUE(TEXT(B2965,"[$-1170401]yyyy")),""))</f>
        <v/>
      </c>
      <c r="M2965">
        <f>IF(B2965="","",IFERROR(VALUE(TEXT(B2965,"[$-1170401]mm")),""))</f>
        <v/>
      </c>
    </row>
    <row r="2966">
      <c r="B2966" s="30" t="n"/>
      <c r="G2966" s="9">
        <f>IF(AND(E2966&lt;&gt;"",E2966&lt;&gt;0,H2966&lt;&gt;""),H2966/E2966,"")</f>
        <v/>
      </c>
      <c r="L2966">
        <f>IF(B2966="","",IFERROR(VALUE(TEXT(B2966,"[$-1170401]yyyy")),""))</f>
        <v/>
      </c>
      <c r="M2966">
        <f>IF(B2966="","",IFERROR(VALUE(TEXT(B2966,"[$-1170401]mm")),""))</f>
        <v/>
      </c>
    </row>
    <row r="2967">
      <c r="B2967" s="30" t="n"/>
      <c r="G2967" s="9">
        <f>IF(AND(E2967&lt;&gt;"",E2967&lt;&gt;0,H2967&lt;&gt;""),H2967/E2967,"")</f>
        <v/>
      </c>
      <c r="L2967">
        <f>IF(B2967="","",IFERROR(VALUE(TEXT(B2967,"[$-1170401]yyyy")),""))</f>
        <v/>
      </c>
      <c r="M2967">
        <f>IF(B2967="","",IFERROR(VALUE(TEXT(B2967,"[$-1170401]mm")),""))</f>
        <v/>
      </c>
    </row>
    <row r="2968">
      <c r="B2968" s="30" t="n"/>
      <c r="G2968" s="9">
        <f>IF(AND(E2968&lt;&gt;"",E2968&lt;&gt;0,H2968&lt;&gt;""),H2968/E2968,"")</f>
        <v/>
      </c>
      <c r="L2968">
        <f>IF(B2968="","",IFERROR(VALUE(TEXT(B2968,"[$-1170401]yyyy")),""))</f>
        <v/>
      </c>
      <c r="M2968">
        <f>IF(B2968="","",IFERROR(VALUE(TEXT(B2968,"[$-1170401]mm")),""))</f>
        <v/>
      </c>
    </row>
    <row r="2969">
      <c r="B2969" s="30" t="n"/>
      <c r="G2969" s="9">
        <f>IF(AND(E2969&lt;&gt;"",E2969&lt;&gt;0,H2969&lt;&gt;""),H2969/E2969,"")</f>
        <v/>
      </c>
      <c r="L2969">
        <f>IF(B2969="","",IFERROR(VALUE(TEXT(B2969,"[$-1170401]yyyy")),""))</f>
        <v/>
      </c>
      <c r="M2969">
        <f>IF(B2969="","",IFERROR(VALUE(TEXT(B2969,"[$-1170401]mm")),""))</f>
        <v/>
      </c>
    </row>
    <row r="2970">
      <c r="B2970" s="30" t="n"/>
      <c r="G2970" s="9">
        <f>IF(AND(E2970&lt;&gt;"",E2970&lt;&gt;0,H2970&lt;&gt;""),H2970/E2970,"")</f>
        <v/>
      </c>
      <c r="L2970">
        <f>IF(B2970="","",IFERROR(VALUE(TEXT(B2970,"[$-1170401]yyyy")),""))</f>
        <v/>
      </c>
      <c r="M2970">
        <f>IF(B2970="","",IFERROR(VALUE(TEXT(B2970,"[$-1170401]mm")),""))</f>
        <v/>
      </c>
    </row>
    <row r="2971">
      <c r="B2971" s="30" t="n"/>
      <c r="G2971" s="9">
        <f>IF(AND(E2971&lt;&gt;"",E2971&lt;&gt;0,H2971&lt;&gt;""),H2971/E2971,"")</f>
        <v/>
      </c>
      <c r="L2971">
        <f>IF(B2971="","",IFERROR(VALUE(TEXT(B2971,"[$-1170401]yyyy")),""))</f>
        <v/>
      </c>
      <c r="M2971">
        <f>IF(B2971="","",IFERROR(VALUE(TEXT(B2971,"[$-1170401]mm")),""))</f>
        <v/>
      </c>
    </row>
    <row r="2972">
      <c r="B2972" s="30" t="n"/>
      <c r="G2972" s="9">
        <f>IF(AND(E2972&lt;&gt;"",E2972&lt;&gt;0,H2972&lt;&gt;""),H2972/E2972,"")</f>
        <v/>
      </c>
      <c r="L2972">
        <f>IF(B2972="","",IFERROR(VALUE(TEXT(B2972,"[$-1170401]yyyy")),""))</f>
        <v/>
      </c>
      <c r="M2972">
        <f>IF(B2972="","",IFERROR(VALUE(TEXT(B2972,"[$-1170401]mm")),""))</f>
        <v/>
      </c>
    </row>
    <row r="2973">
      <c r="B2973" s="30" t="n"/>
      <c r="G2973" s="9">
        <f>IF(AND(E2973&lt;&gt;"",E2973&lt;&gt;0,H2973&lt;&gt;""),H2973/E2973,"")</f>
        <v/>
      </c>
      <c r="L2973">
        <f>IF(B2973="","",IFERROR(VALUE(TEXT(B2973,"[$-1170401]yyyy")),""))</f>
        <v/>
      </c>
      <c r="M2973">
        <f>IF(B2973="","",IFERROR(VALUE(TEXT(B2973,"[$-1170401]mm")),""))</f>
        <v/>
      </c>
    </row>
    <row r="2974">
      <c r="B2974" s="30" t="n"/>
      <c r="G2974" s="9">
        <f>IF(AND(E2974&lt;&gt;"",E2974&lt;&gt;0,H2974&lt;&gt;""),H2974/E2974,"")</f>
        <v/>
      </c>
      <c r="L2974">
        <f>IF(B2974="","",IFERROR(VALUE(TEXT(B2974,"[$-1170401]yyyy")),""))</f>
        <v/>
      </c>
      <c r="M2974">
        <f>IF(B2974="","",IFERROR(VALUE(TEXT(B2974,"[$-1170401]mm")),""))</f>
        <v/>
      </c>
    </row>
    <row r="2975">
      <c r="B2975" s="30" t="n"/>
      <c r="G2975" s="9">
        <f>IF(AND(E2975&lt;&gt;"",E2975&lt;&gt;0,H2975&lt;&gt;""),H2975/E2975,"")</f>
        <v/>
      </c>
      <c r="L2975">
        <f>IF(B2975="","",IFERROR(VALUE(TEXT(B2975,"[$-1170401]yyyy")),""))</f>
        <v/>
      </c>
      <c r="M2975">
        <f>IF(B2975="","",IFERROR(VALUE(TEXT(B2975,"[$-1170401]mm")),""))</f>
        <v/>
      </c>
    </row>
    <row r="2976">
      <c r="B2976" s="30" t="n"/>
      <c r="G2976" s="9">
        <f>IF(AND(E2976&lt;&gt;"",E2976&lt;&gt;0,H2976&lt;&gt;""),H2976/E2976,"")</f>
        <v/>
      </c>
      <c r="L2976">
        <f>IF(B2976="","",IFERROR(VALUE(TEXT(B2976,"[$-1170401]yyyy")),""))</f>
        <v/>
      </c>
      <c r="M2976">
        <f>IF(B2976="","",IFERROR(VALUE(TEXT(B2976,"[$-1170401]mm")),""))</f>
        <v/>
      </c>
    </row>
    <row r="2977">
      <c r="B2977" s="30" t="n"/>
      <c r="G2977" s="9">
        <f>IF(AND(E2977&lt;&gt;"",E2977&lt;&gt;0,H2977&lt;&gt;""),H2977/E2977,"")</f>
        <v/>
      </c>
      <c r="L2977">
        <f>IF(B2977="","",IFERROR(VALUE(TEXT(B2977,"[$-1170401]yyyy")),""))</f>
        <v/>
      </c>
      <c r="M2977">
        <f>IF(B2977="","",IFERROR(VALUE(TEXT(B2977,"[$-1170401]mm")),""))</f>
        <v/>
      </c>
    </row>
    <row r="2978">
      <c r="B2978" s="30" t="n"/>
      <c r="G2978" s="9">
        <f>IF(AND(E2978&lt;&gt;"",E2978&lt;&gt;0,H2978&lt;&gt;""),H2978/E2978,"")</f>
        <v/>
      </c>
      <c r="L2978">
        <f>IF(B2978="","",IFERROR(VALUE(TEXT(B2978,"[$-1170401]yyyy")),""))</f>
        <v/>
      </c>
      <c r="M2978">
        <f>IF(B2978="","",IFERROR(VALUE(TEXT(B2978,"[$-1170401]mm")),""))</f>
        <v/>
      </c>
    </row>
    <row r="2979">
      <c r="B2979" s="30" t="n"/>
      <c r="G2979" s="9">
        <f>IF(AND(E2979&lt;&gt;"",E2979&lt;&gt;0,H2979&lt;&gt;""),H2979/E2979,"")</f>
        <v/>
      </c>
      <c r="L2979">
        <f>IF(B2979="","",IFERROR(VALUE(TEXT(B2979,"[$-1170401]yyyy")),""))</f>
        <v/>
      </c>
      <c r="M2979">
        <f>IF(B2979="","",IFERROR(VALUE(TEXT(B2979,"[$-1170401]mm")),""))</f>
        <v/>
      </c>
    </row>
    <row r="2980">
      <c r="B2980" s="30" t="n"/>
      <c r="G2980" s="9">
        <f>IF(AND(E2980&lt;&gt;"",E2980&lt;&gt;0,H2980&lt;&gt;""),H2980/E2980,"")</f>
        <v/>
      </c>
      <c r="L2980">
        <f>IF(B2980="","",IFERROR(VALUE(TEXT(B2980,"[$-1170401]yyyy")),""))</f>
        <v/>
      </c>
      <c r="M2980">
        <f>IF(B2980="","",IFERROR(VALUE(TEXT(B2980,"[$-1170401]mm")),""))</f>
        <v/>
      </c>
    </row>
    <row r="2981">
      <c r="B2981" s="30" t="n"/>
      <c r="G2981" s="9">
        <f>IF(AND(E2981&lt;&gt;"",E2981&lt;&gt;0,H2981&lt;&gt;""),H2981/E2981,"")</f>
        <v/>
      </c>
      <c r="L2981">
        <f>IF(B2981="","",IFERROR(VALUE(TEXT(B2981,"[$-1170401]yyyy")),""))</f>
        <v/>
      </c>
      <c r="M2981">
        <f>IF(B2981="","",IFERROR(VALUE(TEXT(B2981,"[$-1170401]mm")),""))</f>
        <v/>
      </c>
    </row>
    <row r="2982">
      <c r="B2982" s="30" t="n"/>
      <c r="G2982" s="9">
        <f>IF(AND(E2982&lt;&gt;"",E2982&lt;&gt;0,H2982&lt;&gt;""),H2982/E2982,"")</f>
        <v/>
      </c>
      <c r="L2982">
        <f>IF(B2982="","",IFERROR(VALUE(TEXT(B2982,"[$-1170401]yyyy")),""))</f>
        <v/>
      </c>
      <c r="M2982">
        <f>IF(B2982="","",IFERROR(VALUE(TEXT(B2982,"[$-1170401]mm")),""))</f>
        <v/>
      </c>
    </row>
    <row r="2983">
      <c r="B2983" s="30" t="n"/>
      <c r="G2983" s="9">
        <f>IF(AND(E2983&lt;&gt;"",E2983&lt;&gt;0,H2983&lt;&gt;""),H2983/E2983,"")</f>
        <v/>
      </c>
      <c r="L2983">
        <f>IF(B2983="","",IFERROR(VALUE(TEXT(B2983,"[$-1170401]yyyy")),""))</f>
        <v/>
      </c>
      <c r="M2983">
        <f>IF(B2983="","",IFERROR(VALUE(TEXT(B2983,"[$-1170401]mm")),""))</f>
        <v/>
      </c>
    </row>
    <row r="2984">
      <c r="B2984" s="30" t="n"/>
      <c r="G2984" s="9">
        <f>IF(AND(E2984&lt;&gt;"",E2984&lt;&gt;0,H2984&lt;&gt;""),H2984/E2984,"")</f>
        <v/>
      </c>
      <c r="L2984">
        <f>IF(B2984="","",IFERROR(VALUE(TEXT(B2984,"[$-1170401]yyyy")),""))</f>
        <v/>
      </c>
      <c r="M2984">
        <f>IF(B2984="","",IFERROR(VALUE(TEXT(B2984,"[$-1170401]mm")),""))</f>
        <v/>
      </c>
    </row>
    <row r="2985">
      <c r="B2985" s="30" t="n"/>
      <c r="G2985" s="9">
        <f>IF(AND(E2985&lt;&gt;"",E2985&lt;&gt;0,H2985&lt;&gt;""),H2985/E2985,"")</f>
        <v/>
      </c>
      <c r="L2985">
        <f>IF(B2985="","",IFERROR(VALUE(TEXT(B2985,"[$-1170401]yyyy")),""))</f>
        <v/>
      </c>
      <c r="M2985">
        <f>IF(B2985="","",IFERROR(VALUE(TEXT(B2985,"[$-1170401]mm")),""))</f>
        <v/>
      </c>
    </row>
    <row r="2986">
      <c r="B2986" s="30" t="n"/>
      <c r="G2986" s="9">
        <f>IF(AND(E2986&lt;&gt;"",E2986&lt;&gt;0,H2986&lt;&gt;""),H2986/E2986,"")</f>
        <v/>
      </c>
      <c r="L2986">
        <f>IF(B2986="","",IFERROR(VALUE(TEXT(B2986,"[$-1170401]yyyy")),""))</f>
        <v/>
      </c>
      <c r="M2986">
        <f>IF(B2986="","",IFERROR(VALUE(TEXT(B2986,"[$-1170401]mm")),""))</f>
        <v/>
      </c>
    </row>
    <row r="2987">
      <c r="B2987" s="30" t="n"/>
      <c r="G2987" s="9">
        <f>IF(AND(E2987&lt;&gt;"",E2987&lt;&gt;0,H2987&lt;&gt;""),H2987/E2987,"")</f>
        <v/>
      </c>
      <c r="L2987">
        <f>IF(B2987="","",IFERROR(VALUE(TEXT(B2987,"[$-1170401]yyyy")),""))</f>
        <v/>
      </c>
      <c r="M2987">
        <f>IF(B2987="","",IFERROR(VALUE(TEXT(B2987,"[$-1170401]mm")),""))</f>
        <v/>
      </c>
    </row>
    <row r="2988">
      <c r="B2988" s="30" t="n"/>
      <c r="G2988" s="9">
        <f>IF(AND(E2988&lt;&gt;"",E2988&lt;&gt;0,H2988&lt;&gt;""),H2988/E2988,"")</f>
        <v/>
      </c>
      <c r="L2988">
        <f>IF(B2988="","",IFERROR(VALUE(TEXT(B2988,"[$-1170401]yyyy")),""))</f>
        <v/>
      </c>
      <c r="M2988">
        <f>IF(B2988="","",IFERROR(VALUE(TEXT(B2988,"[$-1170401]mm")),""))</f>
        <v/>
      </c>
    </row>
    <row r="2989">
      <c r="B2989" s="30" t="n"/>
      <c r="G2989" s="9">
        <f>IF(AND(E2989&lt;&gt;"",E2989&lt;&gt;0,H2989&lt;&gt;""),H2989/E2989,"")</f>
        <v/>
      </c>
      <c r="L2989">
        <f>IF(B2989="","",IFERROR(VALUE(TEXT(B2989,"[$-1170401]yyyy")),""))</f>
        <v/>
      </c>
      <c r="M2989">
        <f>IF(B2989="","",IFERROR(VALUE(TEXT(B2989,"[$-1170401]mm")),""))</f>
        <v/>
      </c>
    </row>
    <row r="2990">
      <c r="B2990" s="30" t="n"/>
      <c r="G2990" s="9">
        <f>IF(AND(E2990&lt;&gt;"",E2990&lt;&gt;0,H2990&lt;&gt;""),H2990/E2990,"")</f>
        <v/>
      </c>
      <c r="L2990">
        <f>IF(B2990="","",IFERROR(VALUE(TEXT(B2990,"[$-1170401]yyyy")),""))</f>
        <v/>
      </c>
      <c r="M2990">
        <f>IF(B2990="","",IFERROR(VALUE(TEXT(B2990,"[$-1170401]mm")),""))</f>
        <v/>
      </c>
    </row>
    <row r="2991">
      <c r="B2991" s="30" t="n"/>
      <c r="G2991" s="9">
        <f>IF(AND(E2991&lt;&gt;"",E2991&lt;&gt;0,H2991&lt;&gt;""),H2991/E2991,"")</f>
        <v/>
      </c>
      <c r="L2991">
        <f>IF(B2991="","",IFERROR(VALUE(TEXT(B2991,"[$-1170401]yyyy")),""))</f>
        <v/>
      </c>
      <c r="M2991">
        <f>IF(B2991="","",IFERROR(VALUE(TEXT(B2991,"[$-1170401]mm")),""))</f>
        <v/>
      </c>
    </row>
    <row r="2992">
      <c r="B2992" s="30" t="n"/>
      <c r="G2992" s="9">
        <f>IF(AND(E2992&lt;&gt;"",E2992&lt;&gt;0,H2992&lt;&gt;""),H2992/E2992,"")</f>
        <v/>
      </c>
      <c r="L2992">
        <f>IF(B2992="","",IFERROR(VALUE(TEXT(B2992,"[$-1170401]yyyy")),""))</f>
        <v/>
      </c>
      <c r="M2992">
        <f>IF(B2992="","",IFERROR(VALUE(TEXT(B2992,"[$-1170401]mm")),""))</f>
        <v/>
      </c>
    </row>
    <row r="2993">
      <c r="B2993" s="30" t="n"/>
      <c r="G2993" s="9">
        <f>IF(AND(E2993&lt;&gt;"",E2993&lt;&gt;0,H2993&lt;&gt;""),H2993/E2993,"")</f>
        <v/>
      </c>
      <c r="L2993">
        <f>IF(B2993="","",IFERROR(VALUE(TEXT(B2993,"[$-1170401]yyyy")),""))</f>
        <v/>
      </c>
      <c r="M2993">
        <f>IF(B2993="","",IFERROR(VALUE(TEXT(B2993,"[$-1170401]mm")),""))</f>
        <v/>
      </c>
    </row>
    <row r="2994">
      <c r="B2994" s="30" t="n"/>
      <c r="G2994" s="9">
        <f>IF(AND(E2994&lt;&gt;"",E2994&lt;&gt;0,H2994&lt;&gt;""),H2994/E2994,"")</f>
        <v/>
      </c>
      <c r="L2994">
        <f>IF(B2994="","",IFERROR(VALUE(TEXT(B2994,"[$-1170401]yyyy")),""))</f>
        <v/>
      </c>
      <c r="M2994">
        <f>IF(B2994="","",IFERROR(VALUE(TEXT(B2994,"[$-1170401]mm")),""))</f>
        <v/>
      </c>
    </row>
    <row r="2995">
      <c r="B2995" s="30" t="n"/>
      <c r="G2995" s="9">
        <f>IF(AND(E2995&lt;&gt;"",E2995&lt;&gt;0,H2995&lt;&gt;""),H2995/E2995,"")</f>
        <v/>
      </c>
      <c r="L2995">
        <f>IF(B2995="","",IFERROR(VALUE(TEXT(B2995,"[$-1170401]yyyy")),""))</f>
        <v/>
      </c>
      <c r="M2995">
        <f>IF(B2995="","",IFERROR(VALUE(TEXT(B2995,"[$-1170401]mm")),""))</f>
        <v/>
      </c>
    </row>
    <row r="2996">
      <c r="B2996" s="30" t="n"/>
      <c r="G2996" s="9">
        <f>IF(AND(E2996&lt;&gt;"",E2996&lt;&gt;0,H2996&lt;&gt;""),H2996/E2996,"")</f>
        <v/>
      </c>
      <c r="L2996">
        <f>IF(B2996="","",IFERROR(VALUE(TEXT(B2996,"[$-1170401]yyyy")),""))</f>
        <v/>
      </c>
      <c r="M2996">
        <f>IF(B2996="","",IFERROR(VALUE(TEXT(B2996,"[$-1170401]mm")),""))</f>
        <v/>
      </c>
    </row>
    <row r="2997">
      <c r="B2997" s="30" t="n"/>
      <c r="G2997" s="9">
        <f>IF(AND(E2997&lt;&gt;"",E2997&lt;&gt;0,H2997&lt;&gt;""),H2997/E2997,"")</f>
        <v/>
      </c>
      <c r="L2997">
        <f>IF(B2997="","",IFERROR(VALUE(TEXT(B2997,"[$-1170401]yyyy")),""))</f>
        <v/>
      </c>
      <c r="M2997">
        <f>IF(B2997="","",IFERROR(VALUE(TEXT(B2997,"[$-1170401]mm")),""))</f>
        <v/>
      </c>
    </row>
    <row r="2998">
      <c r="B2998" s="30" t="n"/>
      <c r="G2998" s="9">
        <f>IF(AND(E2998&lt;&gt;"",E2998&lt;&gt;0,H2998&lt;&gt;""),H2998/E2998,"")</f>
        <v/>
      </c>
      <c r="L2998">
        <f>IF(B2998="","",IFERROR(VALUE(TEXT(B2998,"[$-1170401]yyyy")),""))</f>
        <v/>
      </c>
      <c r="M2998">
        <f>IF(B2998="","",IFERROR(VALUE(TEXT(B2998,"[$-1170401]mm")),""))</f>
        <v/>
      </c>
    </row>
    <row r="2999">
      <c r="B2999" s="30" t="n"/>
      <c r="G2999" s="9">
        <f>IF(AND(E2999&lt;&gt;"",E2999&lt;&gt;0,H2999&lt;&gt;""),H2999/E2999,"")</f>
        <v/>
      </c>
      <c r="L2999">
        <f>IF(B2999="","",IFERROR(VALUE(TEXT(B2999,"[$-1170401]yyyy")),""))</f>
        <v/>
      </c>
      <c r="M2999">
        <f>IF(B2999="","",IFERROR(VALUE(TEXT(B2999,"[$-1170401]mm")),""))</f>
        <v/>
      </c>
    </row>
    <row r="3000">
      <c r="B3000" s="30" t="n"/>
      <c r="G3000" s="9">
        <f>IF(AND(E3000&lt;&gt;"",E3000&lt;&gt;0,H3000&lt;&gt;""),H3000/E3000,"")</f>
        <v/>
      </c>
      <c r="L3000">
        <f>IF(B3000="","",IFERROR(VALUE(TEXT(B3000,"[$-1170401]yyyy")),""))</f>
        <v/>
      </c>
      <c r="M3000">
        <f>IF(B3000="","",IFERROR(VALUE(TEXT(B3000,"[$-1170401]mm")),""))</f>
        <v/>
      </c>
    </row>
    <row r="3001">
      <c r="B3001" s="30" t="n"/>
      <c r="G3001" s="9">
        <f>IF(AND(E3001&lt;&gt;"",E3001&lt;&gt;0,H3001&lt;&gt;""),H3001/E3001,"")</f>
        <v/>
      </c>
      <c r="L3001">
        <f>IF(B3001="","",IFERROR(VALUE(TEXT(B3001,"[$-1170401]yyyy")),""))</f>
        <v/>
      </c>
      <c r="M3001">
        <f>IF(B3001="","",IFERROR(VALUE(TEXT(B3001,"[$-1170401]mm")),""))</f>
        <v/>
      </c>
    </row>
    <row r="3002">
      <c r="B3002" s="30" t="n"/>
      <c r="G3002" s="9">
        <f>IF(AND(E3002&lt;&gt;"",E3002&lt;&gt;0,H3002&lt;&gt;""),H3002/E3002,"")</f>
        <v/>
      </c>
      <c r="L3002">
        <f>IF(B3002="","",IFERROR(VALUE(TEXT(B3002,"[$-1170401]yyyy")),""))</f>
        <v/>
      </c>
      <c r="M3002">
        <f>IF(B3002="","",IFERROR(VALUE(TEXT(B3002,"[$-1170401]mm")),""))</f>
        <v/>
      </c>
    </row>
    <row r="3003">
      <c r="B3003" s="30" t="n"/>
      <c r="G3003" s="9">
        <f>IF(AND(E3003&lt;&gt;"",E3003&lt;&gt;0,H3003&lt;&gt;""),H3003/E3003,"")</f>
        <v/>
      </c>
      <c r="L3003">
        <f>IF(B3003="","",IFERROR(VALUE(TEXT(B3003,"[$-1170401]yyyy")),""))</f>
        <v/>
      </c>
      <c r="M3003">
        <f>IF(B3003="","",IFERROR(VALUE(TEXT(B3003,"[$-1170401]mm")),""))</f>
        <v/>
      </c>
    </row>
    <row r="3004">
      <c r="B3004" s="30" t="n"/>
      <c r="G3004" s="9">
        <f>IF(AND(E3004&lt;&gt;"",E3004&lt;&gt;0,H3004&lt;&gt;""),H3004/E3004,"")</f>
        <v/>
      </c>
      <c r="L3004">
        <f>IF(B3004="","",IFERROR(VALUE(TEXT(B3004,"[$-1170401]yyyy")),""))</f>
        <v/>
      </c>
      <c r="M3004">
        <f>IF(B3004="","",IFERROR(VALUE(TEXT(B3004,"[$-1170401]mm")),""))</f>
        <v/>
      </c>
    </row>
    <row r="3005">
      <c r="B3005" s="30" t="n"/>
      <c r="G3005" s="9">
        <f>IF(AND(E3005&lt;&gt;"",E3005&lt;&gt;0,H3005&lt;&gt;""),H3005/E3005,"")</f>
        <v/>
      </c>
      <c r="L3005">
        <f>IF(B3005="","",IFERROR(VALUE(TEXT(B3005,"[$-1170401]yyyy")),""))</f>
        <v/>
      </c>
      <c r="M3005">
        <f>IF(B3005="","",IFERROR(VALUE(TEXT(B3005,"[$-1170401]mm")),""))</f>
        <v/>
      </c>
    </row>
    <row r="3006">
      <c r="B3006" s="30" t="n"/>
      <c r="G3006" s="9">
        <f>IF(AND(E3006&lt;&gt;"",E3006&lt;&gt;0,H3006&lt;&gt;""),H3006/E3006,"")</f>
        <v/>
      </c>
      <c r="L3006">
        <f>IF(B3006="","",IFERROR(VALUE(TEXT(B3006,"[$-1170401]yyyy")),""))</f>
        <v/>
      </c>
      <c r="M3006">
        <f>IF(B3006="","",IFERROR(VALUE(TEXT(B3006,"[$-1170401]mm")),""))</f>
        <v/>
      </c>
    </row>
    <row r="3007">
      <c r="B3007" s="30" t="n"/>
      <c r="G3007" s="9">
        <f>IF(AND(E3007&lt;&gt;"",E3007&lt;&gt;0,H3007&lt;&gt;""),H3007/E3007,"")</f>
        <v/>
      </c>
      <c r="L3007">
        <f>IF(B3007="","",IFERROR(VALUE(TEXT(B3007,"[$-1170401]yyyy")),""))</f>
        <v/>
      </c>
      <c r="M3007">
        <f>IF(B3007="","",IFERROR(VALUE(TEXT(B3007,"[$-1170401]mm")),""))</f>
        <v/>
      </c>
    </row>
    <row r="3008">
      <c r="B3008" s="30" t="n"/>
      <c r="G3008" s="9">
        <f>IF(AND(E3008&lt;&gt;"",E3008&lt;&gt;0,H3008&lt;&gt;""),H3008/E3008,"")</f>
        <v/>
      </c>
      <c r="L3008">
        <f>IF(B3008="","",IFERROR(VALUE(TEXT(B3008,"[$-1170401]yyyy")),""))</f>
        <v/>
      </c>
      <c r="M3008">
        <f>IF(B3008="","",IFERROR(VALUE(TEXT(B3008,"[$-1170401]mm")),""))</f>
        <v/>
      </c>
    </row>
    <row r="3009">
      <c r="B3009" s="30" t="n"/>
      <c r="G3009" s="9">
        <f>IF(AND(E3009&lt;&gt;"",E3009&lt;&gt;0,H3009&lt;&gt;""),H3009/E3009,"")</f>
        <v/>
      </c>
      <c r="L3009">
        <f>IF(B3009="","",IFERROR(VALUE(TEXT(B3009,"[$-1170401]yyyy")),""))</f>
        <v/>
      </c>
      <c r="M3009">
        <f>IF(B3009="","",IFERROR(VALUE(TEXT(B3009,"[$-1170401]mm")),""))</f>
        <v/>
      </c>
    </row>
    <row r="3010">
      <c r="B3010" s="30" t="n"/>
      <c r="G3010" s="9">
        <f>IF(AND(E3010&lt;&gt;"",E3010&lt;&gt;0,H3010&lt;&gt;""),H3010/E3010,"")</f>
        <v/>
      </c>
      <c r="L3010">
        <f>IF(B3010="","",IFERROR(VALUE(TEXT(B3010,"[$-1170401]yyyy")),""))</f>
        <v/>
      </c>
      <c r="M3010">
        <f>IF(B3010="","",IFERROR(VALUE(TEXT(B3010,"[$-1170401]mm")),""))</f>
        <v/>
      </c>
    </row>
    <row r="3011">
      <c r="B3011" s="30" t="n"/>
      <c r="G3011" s="9">
        <f>IF(AND(E3011&lt;&gt;"",E3011&lt;&gt;0,H3011&lt;&gt;""),H3011/E3011,"")</f>
        <v/>
      </c>
      <c r="L3011">
        <f>IF(B3011="","",IFERROR(VALUE(TEXT(B3011,"[$-1170401]yyyy")),""))</f>
        <v/>
      </c>
      <c r="M3011">
        <f>IF(B3011="","",IFERROR(VALUE(TEXT(B3011,"[$-1170401]mm")),""))</f>
        <v/>
      </c>
    </row>
    <row r="3012">
      <c r="B3012" s="30" t="n"/>
      <c r="G3012" s="9">
        <f>IF(AND(E3012&lt;&gt;"",E3012&lt;&gt;0,H3012&lt;&gt;""),H3012/E3012,"")</f>
        <v/>
      </c>
      <c r="L3012">
        <f>IF(B3012="","",IFERROR(VALUE(TEXT(B3012,"[$-1170401]yyyy")),""))</f>
        <v/>
      </c>
      <c r="M3012">
        <f>IF(B3012="","",IFERROR(VALUE(TEXT(B3012,"[$-1170401]mm")),""))</f>
        <v/>
      </c>
    </row>
    <row r="3013">
      <c r="B3013" s="30" t="n"/>
      <c r="G3013" s="9">
        <f>IF(AND(E3013&lt;&gt;"",E3013&lt;&gt;0,H3013&lt;&gt;""),H3013/E3013,"")</f>
        <v/>
      </c>
      <c r="L3013">
        <f>IF(B3013="","",IFERROR(VALUE(TEXT(B3013,"[$-1170401]yyyy")),""))</f>
        <v/>
      </c>
      <c r="M3013">
        <f>IF(B3013="","",IFERROR(VALUE(TEXT(B3013,"[$-1170401]mm")),""))</f>
        <v/>
      </c>
    </row>
    <row r="3014">
      <c r="B3014" s="30" t="n"/>
      <c r="G3014" s="9">
        <f>IF(AND(E3014&lt;&gt;"",E3014&lt;&gt;0,H3014&lt;&gt;""),H3014/E3014,"")</f>
        <v/>
      </c>
      <c r="L3014">
        <f>IF(B3014="","",IFERROR(VALUE(TEXT(B3014,"[$-1170401]yyyy")),""))</f>
        <v/>
      </c>
      <c r="M3014">
        <f>IF(B3014="","",IFERROR(VALUE(TEXT(B3014,"[$-1170401]mm")),""))</f>
        <v/>
      </c>
    </row>
    <row r="3015">
      <c r="B3015" s="30" t="n"/>
      <c r="G3015" s="9">
        <f>IF(AND(E3015&lt;&gt;"",E3015&lt;&gt;0,H3015&lt;&gt;""),H3015/E3015,"")</f>
        <v/>
      </c>
      <c r="L3015">
        <f>IF(B3015="","",IFERROR(VALUE(TEXT(B3015,"[$-1170401]yyyy")),""))</f>
        <v/>
      </c>
      <c r="M3015">
        <f>IF(B3015="","",IFERROR(VALUE(TEXT(B3015,"[$-1170401]mm")),""))</f>
        <v/>
      </c>
    </row>
    <row r="3016">
      <c r="B3016" s="30" t="n"/>
      <c r="G3016" s="9">
        <f>IF(AND(E3016&lt;&gt;"",E3016&lt;&gt;0,H3016&lt;&gt;""),H3016/E3016,"")</f>
        <v/>
      </c>
      <c r="L3016">
        <f>IF(B3016="","",IFERROR(VALUE(TEXT(B3016,"[$-1170401]yyyy")),""))</f>
        <v/>
      </c>
      <c r="M3016">
        <f>IF(B3016="","",IFERROR(VALUE(TEXT(B3016,"[$-1170401]mm")),""))</f>
        <v/>
      </c>
    </row>
    <row r="3017">
      <c r="B3017" s="30" t="n"/>
      <c r="G3017" s="9">
        <f>IF(AND(E3017&lt;&gt;"",E3017&lt;&gt;0,H3017&lt;&gt;""),H3017/E3017,"")</f>
        <v/>
      </c>
      <c r="L3017">
        <f>IF(B3017="","",IFERROR(VALUE(TEXT(B3017,"[$-1170401]yyyy")),""))</f>
        <v/>
      </c>
      <c r="M3017">
        <f>IF(B3017="","",IFERROR(VALUE(TEXT(B3017,"[$-1170401]mm")),""))</f>
        <v/>
      </c>
    </row>
    <row r="3018">
      <c r="B3018" s="30" t="n"/>
      <c r="G3018" s="9">
        <f>IF(AND(E3018&lt;&gt;"",E3018&lt;&gt;0,H3018&lt;&gt;""),H3018/E3018,"")</f>
        <v/>
      </c>
      <c r="L3018">
        <f>IF(B3018="","",IFERROR(VALUE(TEXT(B3018,"[$-1170401]yyyy")),""))</f>
        <v/>
      </c>
      <c r="M3018">
        <f>IF(B3018="","",IFERROR(VALUE(TEXT(B3018,"[$-1170401]mm")),""))</f>
        <v/>
      </c>
    </row>
    <row r="3019">
      <c r="B3019" s="30" t="n"/>
      <c r="G3019" s="9">
        <f>IF(AND(E3019&lt;&gt;"",E3019&lt;&gt;0,H3019&lt;&gt;""),H3019/E3019,"")</f>
        <v/>
      </c>
      <c r="L3019">
        <f>IF(B3019="","",IFERROR(VALUE(TEXT(B3019,"[$-1170401]yyyy")),""))</f>
        <v/>
      </c>
      <c r="M3019">
        <f>IF(B3019="","",IFERROR(VALUE(TEXT(B3019,"[$-1170401]mm")),""))</f>
        <v/>
      </c>
    </row>
    <row r="3020">
      <c r="B3020" s="30" t="n"/>
      <c r="G3020" s="9">
        <f>IF(AND(E3020&lt;&gt;"",E3020&lt;&gt;0,H3020&lt;&gt;""),H3020/E3020,"")</f>
        <v/>
      </c>
      <c r="L3020">
        <f>IF(B3020="","",IFERROR(VALUE(TEXT(B3020,"[$-1170401]yyyy")),""))</f>
        <v/>
      </c>
      <c r="M3020">
        <f>IF(B3020="","",IFERROR(VALUE(TEXT(B3020,"[$-1170401]mm")),""))</f>
        <v/>
      </c>
    </row>
    <row r="3021">
      <c r="B3021" s="30" t="n"/>
      <c r="G3021" s="9">
        <f>IF(AND(E3021&lt;&gt;"",E3021&lt;&gt;0,H3021&lt;&gt;""),H3021/E3021,"")</f>
        <v/>
      </c>
      <c r="L3021">
        <f>IF(B3021="","",IFERROR(VALUE(TEXT(B3021,"[$-1170401]yyyy")),""))</f>
        <v/>
      </c>
      <c r="M3021">
        <f>IF(B3021="","",IFERROR(VALUE(TEXT(B3021,"[$-1170401]mm")),""))</f>
        <v/>
      </c>
    </row>
    <row r="3022">
      <c r="B3022" s="30" t="n"/>
      <c r="G3022" s="9">
        <f>IF(AND(E3022&lt;&gt;"",E3022&lt;&gt;0,H3022&lt;&gt;""),H3022/E3022,"")</f>
        <v/>
      </c>
      <c r="L3022">
        <f>IF(B3022="","",IFERROR(VALUE(TEXT(B3022,"[$-1170401]yyyy")),""))</f>
        <v/>
      </c>
      <c r="M3022">
        <f>IF(B3022="","",IFERROR(VALUE(TEXT(B3022,"[$-1170401]mm")),""))</f>
        <v/>
      </c>
    </row>
    <row r="3023">
      <c r="B3023" s="30" t="n"/>
      <c r="G3023" s="9">
        <f>IF(AND(E3023&lt;&gt;"",E3023&lt;&gt;0,H3023&lt;&gt;""),H3023/E3023,"")</f>
        <v/>
      </c>
      <c r="L3023">
        <f>IF(B3023="","",IFERROR(VALUE(TEXT(B3023,"[$-1170401]yyyy")),""))</f>
        <v/>
      </c>
      <c r="M3023">
        <f>IF(B3023="","",IFERROR(VALUE(TEXT(B3023,"[$-1170401]mm")),""))</f>
        <v/>
      </c>
    </row>
    <row r="3024">
      <c r="B3024" s="30" t="n"/>
      <c r="G3024" s="9">
        <f>IF(AND(E3024&lt;&gt;"",E3024&lt;&gt;0,H3024&lt;&gt;""),H3024/E3024,"")</f>
        <v/>
      </c>
      <c r="L3024">
        <f>IF(B3024="","",IFERROR(VALUE(TEXT(B3024,"[$-1170401]yyyy")),""))</f>
        <v/>
      </c>
      <c r="M3024">
        <f>IF(B3024="","",IFERROR(VALUE(TEXT(B3024,"[$-1170401]mm")),""))</f>
        <v/>
      </c>
    </row>
    <row r="3025">
      <c r="B3025" s="30" t="n"/>
      <c r="G3025" s="9">
        <f>IF(AND(E3025&lt;&gt;"",E3025&lt;&gt;0,H3025&lt;&gt;""),H3025/E3025,"")</f>
        <v/>
      </c>
      <c r="L3025">
        <f>IF(B3025="","",IFERROR(VALUE(TEXT(B3025,"[$-1170401]yyyy")),""))</f>
        <v/>
      </c>
      <c r="M3025">
        <f>IF(B3025="","",IFERROR(VALUE(TEXT(B3025,"[$-1170401]mm")),""))</f>
        <v/>
      </c>
    </row>
    <row r="3026">
      <c r="B3026" s="30" t="n"/>
      <c r="G3026" s="9">
        <f>IF(AND(E3026&lt;&gt;"",E3026&lt;&gt;0,H3026&lt;&gt;""),H3026/E3026,"")</f>
        <v/>
      </c>
      <c r="L3026">
        <f>IF(B3026="","",IFERROR(VALUE(TEXT(B3026,"[$-1170401]yyyy")),""))</f>
        <v/>
      </c>
      <c r="M3026">
        <f>IF(B3026="","",IFERROR(VALUE(TEXT(B3026,"[$-1170401]mm")),""))</f>
        <v/>
      </c>
    </row>
    <row r="3027">
      <c r="B3027" s="30" t="n"/>
      <c r="G3027" s="9">
        <f>IF(AND(E3027&lt;&gt;"",E3027&lt;&gt;0,H3027&lt;&gt;""),H3027/E3027,"")</f>
        <v/>
      </c>
      <c r="L3027">
        <f>IF(B3027="","",IFERROR(VALUE(TEXT(B3027,"[$-1170401]yyyy")),""))</f>
        <v/>
      </c>
      <c r="M3027">
        <f>IF(B3027="","",IFERROR(VALUE(TEXT(B3027,"[$-1170401]mm")),""))</f>
        <v/>
      </c>
    </row>
    <row r="3028">
      <c r="B3028" s="30" t="n"/>
      <c r="G3028" s="9">
        <f>IF(AND(E3028&lt;&gt;"",E3028&lt;&gt;0,H3028&lt;&gt;""),H3028/E3028,"")</f>
        <v/>
      </c>
      <c r="L3028">
        <f>IF(B3028="","",IFERROR(VALUE(TEXT(B3028,"[$-1170401]yyyy")),""))</f>
        <v/>
      </c>
      <c r="M3028">
        <f>IF(B3028="","",IFERROR(VALUE(TEXT(B3028,"[$-1170401]mm")),""))</f>
        <v/>
      </c>
    </row>
    <row r="3029">
      <c r="B3029" s="30" t="n"/>
      <c r="G3029" s="9">
        <f>IF(AND(E3029&lt;&gt;"",E3029&lt;&gt;0,H3029&lt;&gt;""),H3029/E3029,"")</f>
        <v/>
      </c>
      <c r="L3029">
        <f>IF(B3029="","",IFERROR(VALUE(TEXT(B3029,"[$-1170401]yyyy")),""))</f>
        <v/>
      </c>
      <c r="M3029">
        <f>IF(B3029="","",IFERROR(VALUE(TEXT(B3029,"[$-1170401]mm")),""))</f>
        <v/>
      </c>
    </row>
    <row r="3030">
      <c r="B3030" s="30" t="n"/>
      <c r="G3030" s="9">
        <f>IF(AND(E3030&lt;&gt;"",E3030&lt;&gt;0,H3030&lt;&gt;""),H3030/E3030,"")</f>
        <v/>
      </c>
      <c r="L3030">
        <f>IF(B3030="","",IFERROR(VALUE(TEXT(B3030,"[$-1170401]yyyy")),""))</f>
        <v/>
      </c>
      <c r="M3030">
        <f>IF(B3030="","",IFERROR(VALUE(TEXT(B3030,"[$-1170401]mm")),""))</f>
        <v/>
      </c>
    </row>
    <row r="3031">
      <c r="B3031" s="30" t="n"/>
      <c r="G3031" s="9">
        <f>IF(AND(E3031&lt;&gt;"",E3031&lt;&gt;0,H3031&lt;&gt;""),H3031/E3031,"")</f>
        <v/>
      </c>
      <c r="L3031">
        <f>IF(B3031="","",IFERROR(VALUE(TEXT(B3031,"[$-1170401]yyyy")),""))</f>
        <v/>
      </c>
      <c r="M3031">
        <f>IF(B3031="","",IFERROR(VALUE(TEXT(B3031,"[$-1170401]mm")),""))</f>
        <v/>
      </c>
    </row>
    <row r="3032">
      <c r="B3032" s="30" t="n"/>
      <c r="G3032" s="9">
        <f>IF(AND(E3032&lt;&gt;"",E3032&lt;&gt;0,H3032&lt;&gt;""),H3032/E3032,"")</f>
        <v/>
      </c>
      <c r="L3032">
        <f>IF(B3032="","",IFERROR(VALUE(TEXT(B3032,"[$-1170401]yyyy")),""))</f>
        <v/>
      </c>
      <c r="M3032">
        <f>IF(B3032="","",IFERROR(VALUE(TEXT(B3032,"[$-1170401]mm")),""))</f>
        <v/>
      </c>
    </row>
    <row r="3033">
      <c r="B3033" s="30" t="n"/>
      <c r="G3033" s="9">
        <f>IF(AND(E3033&lt;&gt;"",E3033&lt;&gt;0,H3033&lt;&gt;""),H3033/E3033,"")</f>
        <v/>
      </c>
      <c r="L3033">
        <f>IF(B3033="","",IFERROR(VALUE(TEXT(B3033,"[$-1170401]yyyy")),""))</f>
        <v/>
      </c>
      <c r="M3033">
        <f>IF(B3033="","",IFERROR(VALUE(TEXT(B3033,"[$-1170401]mm")),""))</f>
        <v/>
      </c>
    </row>
    <row r="3034">
      <c r="B3034" s="30" t="n"/>
      <c r="G3034" s="9">
        <f>IF(AND(E3034&lt;&gt;"",E3034&lt;&gt;0,H3034&lt;&gt;""),H3034/E3034,"")</f>
        <v/>
      </c>
      <c r="L3034">
        <f>IF(B3034="","",IFERROR(VALUE(TEXT(B3034,"[$-1170401]yyyy")),""))</f>
        <v/>
      </c>
      <c r="M3034">
        <f>IF(B3034="","",IFERROR(VALUE(TEXT(B3034,"[$-1170401]mm")),""))</f>
        <v/>
      </c>
    </row>
    <row r="3035">
      <c r="B3035" s="30" t="n"/>
      <c r="G3035" s="9">
        <f>IF(AND(E3035&lt;&gt;"",E3035&lt;&gt;0,H3035&lt;&gt;""),H3035/E3035,"")</f>
        <v/>
      </c>
      <c r="L3035">
        <f>IF(B3035="","",IFERROR(VALUE(TEXT(B3035,"[$-1170401]yyyy")),""))</f>
        <v/>
      </c>
      <c r="M3035">
        <f>IF(B3035="","",IFERROR(VALUE(TEXT(B3035,"[$-1170401]mm")),""))</f>
        <v/>
      </c>
    </row>
    <row r="3036">
      <c r="B3036" s="30" t="n"/>
      <c r="G3036" s="9">
        <f>IF(AND(E3036&lt;&gt;"",E3036&lt;&gt;0,H3036&lt;&gt;""),H3036/E3036,"")</f>
        <v/>
      </c>
      <c r="L3036">
        <f>IF(B3036="","",IFERROR(VALUE(TEXT(B3036,"[$-1170401]yyyy")),""))</f>
        <v/>
      </c>
      <c r="M3036">
        <f>IF(B3036="","",IFERROR(VALUE(TEXT(B3036,"[$-1170401]mm")),""))</f>
        <v/>
      </c>
    </row>
    <row r="3037">
      <c r="B3037" s="30" t="n"/>
      <c r="G3037" s="9">
        <f>IF(AND(E3037&lt;&gt;"",E3037&lt;&gt;0,H3037&lt;&gt;""),H3037/E3037,"")</f>
        <v/>
      </c>
      <c r="L3037">
        <f>IF(B3037="","",IFERROR(VALUE(TEXT(B3037,"[$-1170401]yyyy")),""))</f>
        <v/>
      </c>
      <c r="M3037">
        <f>IF(B3037="","",IFERROR(VALUE(TEXT(B3037,"[$-1170401]mm")),""))</f>
        <v/>
      </c>
    </row>
    <row r="3038">
      <c r="B3038" s="30" t="n"/>
      <c r="G3038" s="9">
        <f>IF(AND(E3038&lt;&gt;"",E3038&lt;&gt;0,H3038&lt;&gt;""),H3038/E3038,"")</f>
        <v/>
      </c>
      <c r="L3038">
        <f>IF(B3038="","",IFERROR(VALUE(TEXT(B3038,"[$-1170401]yyyy")),""))</f>
        <v/>
      </c>
      <c r="M3038">
        <f>IF(B3038="","",IFERROR(VALUE(TEXT(B3038,"[$-1170401]mm")),""))</f>
        <v/>
      </c>
    </row>
    <row r="3039">
      <c r="B3039" s="30" t="n"/>
      <c r="G3039" s="9">
        <f>IF(AND(E3039&lt;&gt;"",E3039&lt;&gt;0,H3039&lt;&gt;""),H3039/E3039,"")</f>
        <v/>
      </c>
      <c r="L3039">
        <f>IF(B3039="","",IFERROR(VALUE(TEXT(B3039,"[$-1170401]yyyy")),""))</f>
        <v/>
      </c>
      <c r="M3039">
        <f>IF(B3039="","",IFERROR(VALUE(TEXT(B3039,"[$-1170401]mm")),""))</f>
        <v/>
      </c>
    </row>
    <row r="3040">
      <c r="B3040" s="30" t="n"/>
      <c r="G3040" s="9">
        <f>IF(AND(E3040&lt;&gt;"",E3040&lt;&gt;0,H3040&lt;&gt;""),H3040/E3040,"")</f>
        <v/>
      </c>
      <c r="L3040">
        <f>IF(B3040="","",IFERROR(VALUE(TEXT(B3040,"[$-1170401]yyyy")),""))</f>
        <v/>
      </c>
      <c r="M3040">
        <f>IF(B3040="","",IFERROR(VALUE(TEXT(B3040,"[$-1170401]mm")),""))</f>
        <v/>
      </c>
    </row>
    <row r="3041">
      <c r="B3041" s="30" t="n"/>
      <c r="G3041" s="9">
        <f>IF(AND(E3041&lt;&gt;"",E3041&lt;&gt;0,H3041&lt;&gt;""),H3041/E3041,"")</f>
        <v/>
      </c>
      <c r="L3041">
        <f>IF(B3041="","",IFERROR(VALUE(TEXT(B3041,"[$-1170401]yyyy")),""))</f>
        <v/>
      </c>
      <c r="M3041">
        <f>IF(B3041="","",IFERROR(VALUE(TEXT(B3041,"[$-1170401]mm")),""))</f>
        <v/>
      </c>
    </row>
    <row r="3042">
      <c r="B3042" s="30" t="n"/>
      <c r="G3042" s="9">
        <f>IF(AND(E3042&lt;&gt;"",E3042&lt;&gt;0,H3042&lt;&gt;""),H3042/E3042,"")</f>
        <v/>
      </c>
      <c r="L3042">
        <f>IF(B3042="","",IFERROR(VALUE(TEXT(B3042,"[$-1170401]yyyy")),""))</f>
        <v/>
      </c>
      <c r="M3042">
        <f>IF(B3042="","",IFERROR(VALUE(TEXT(B3042,"[$-1170401]mm")),""))</f>
        <v/>
      </c>
    </row>
    <row r="3043">
      <c r="B3043" s="30" t="n"/>
      <c r="G3043" s="9">
        <f>IF(AND(E3043&lt;&gt;"",E3043&lt;&gt;0,H3043&lt;&gt;""),H3043/E3043,"")</f>
        <v/>
      </c>
      <c r="L3043">
        <f>IF(B3043="","",IFERROR(VALUE(TEXT(B3043,"[$-1170401]yyyy")),""))</f>
        <v/>
      </c>
      <c r="M3043">
        <f>IF(B3043="","",IFERROR(VALUE(TEXT(B3043,"[$-1170401]mm")),""))</f>
        <v/>
      </c>
    </row>
    <row r="3044">
      <c r="B3044" s="30" t="n"/>
      <c r="G3044" s="9">
        <f>IF(AND(E3044&lt;&gt;"",E3044&lt;&gt;0,H3044&lt;&gt;""),H3044/E3044,"")</f>
        <v/>
      </c>
      <c r="L3044">
        <f>IF(B3044="","",IFERROR(VALUE(TEXT(B3044,"[$-1170401]yyyy")),""))</f>
        <v/>
      </c>
      <c r="M3044">
        <f>IF(B3044="","",IFERROR(VALUE(TEXT(B3044,"[$-1170401]mm")),""))</f>
        <v/>
      </c>
    </row>
    <row r="3045">
      <c r="B3045" s="30" t="n"/>
      <c r="G3045" s="9">
        <f>IF(AND(E3045&lt;&gt;"",E3045&lt;&gt;0,H3045&lt;&gt;""),H3045/E3045,"")</f>
        <v/>
      </c>
      <c r="L3045">
        <f>IF(B3045="","",IFERROR(VALUE(TEXT(B3045,"[$-1170401]yyyy")),""))</f>
        <v/>
      </c>
      <c r="M3045">
        <f>IF(B3045="","",IFERROR(VALUE(TEXT(B3045,"[$-1170401]mm")),""))</f>
        <v/>
      </c>
    </row>
    <row r="3046">
      <c r="B3046" s="30" t="n"/>
      <c r="G3046" s="9">
        <f>IF(AND(E3046&lt;&gt;"",E3046&lt;&gt;0,H3046&lt;&gt;""),H3046/E3046,"")</f>
        <v/>
      </c>
      <c r="L3046">
        <f>IF(B3046="","",IFERROR(VALUE(TEXT(B3046,"[$-1170401]yyyy")),""))</f>
        <v/>
      </c>
      <c r="M3046">
        <f>IF(B3046="","",IFERROR(VALUE(TEXT(B3046,"[$-1170401]mm")),""))</f>
        <v/>
      </c>
    </row>
    <row r="3047">
      <c r="B3047" s="30" t="n"/>
      <c r="G3047" s="9">
        <f>IF(AND(E3047&lt;&gt;"",E3047&lt;&gt;0,H3047&lt;&gt;""),H3047/E3047,"")</f>
        <v/>
      </c>
      <c r="L3047">
        <f>IF(B3047="","",IFERROR(VALUE(TEXT(B3047,"[$-1170401]yyyy")),""))</f>
        <v/>
      </c>
      <c r="M3047">
        <f>IF(B3047="","",IFERROR(VALUE(TEXT(B3047,"[$-1170401]mm")),""))</f>
        <v/>
      </c>
    </row>
    <row r="3048">
      <c r="B3048" s="30" t="n"/>
      <c r="G3048" s="9">
        <f>IF(AND(E3048&lt;&gt;"",E3048&lt;&gt;0,H3048&lt;&gt;""),H3048/E3048,"")</f>
        <v/>
      </c>
      <c r="L3048">
        <f>IF(B3048="","",IFERROR(VALUE(TEXT(B3048,"[$-1170401]yyyy")),""))</f>
        <v/>
      </c>
      <c r="M3048">
        <f>IF(B3048="","",IFERROR(VALUE(TEXT(B3048,"[$-1170401]mm")),""))</f>
        <v/>
      </c>
    </row>
    <row r="3049">
      <c r="B3049" s="30" t="n"/>
      <c r="G3049" s="9">
        <f>IF(AND(E3049&lt;&gt;"",E3049&lt;&gt;0,H3049&lt;&gt;""),H3049/E3049,"")</f>
        <v/>
      </c>
      <c r="L3049">
        <f>IF(B3049="","",IFERROR(VALUE(TEXT(B3049,"[$-1170401]yyyy")),""))</f>
        <v/>
      </c>
      <c r="M3049">
        <f>IF(B3049="","",IFERROR(VALUE(TEXT(B3049,"[$-1170401]mm")),""))</f>
        <v/>
      </c>
    </row>
    <row r="3050">
      <c r="B3050" s="30" t="n"/>
      <c r="G3050" s="9">
        <f>IF(AND(E3050&lt;&gt;"",E3050&lt;&gt;0,H3050&lt;&gt;""),H3050/E3050,"")</f>
        <v/>
      </c>
      <c r="L3050">
        <f>IF(B3050="","",IFERROR(VALUE(TEXT(B3050,"[$-1170401]yyyy")),""))</f>
        <v/>
      </c>
      <c r="M3050">
        <f>IF(B3050="","",IFERROR(VALUE(TEXT(B3050,"[$-1170401]mm")),""))</f>
        <v/>
      </c>
    </row>
    <row r="3051">
      <c r="B3051" s="30" t="n"/>
      <c r="G3051" s="9">
        <f>IF(AND(E3051&lt;&gt;"",E3051&lt;&gt;0,H3051&lt;&gt;""),H3051/E3051,"")</f>
        <v/>
      </c>
      <c r="L3051">
        <f>IF(B3051="","",IFERROR(VALUE(TEXT(B3051,"[$-1170401]yyyy")),""))</f>
        <v/>
      </c>
      <c r="M3051">
        <f>IF(B3051="","",IFERROR(VALUE(TEXT(B3051,"[$-1170401]mm")),""))</f>
        <v/>
      </c>
    </row>
    <row r="3052">
      <c r="B3052" s="30" t="n"/>
      <c r="G3052" s="9">
        <f>IF(AND(E3052&lt;&gt;"",E3052&lt;&gt;0,H3052&lt;&gt;""),H3052/E3052,"")</f>
        <v/>
      </c>
      <c r="L3052">
        <f>IF(B3052="","",IFERROR(VALUE(TEXT(B3052,"[$-1170401]yyyy")),""))</f>
        <v/>
      </c>
      <c r="M3052">
        <f>IF(B3052="","",IFERROR(VALUE(TEXT(B3052,"[$-1170401]mm")),""))</f>
        <v/>
      </c>
    </row>
    <row r="3053">
      <c r="B3053" s="30" t="n"/>
      <c r="G3053" s="9">
        <f>IF(AND(E3053&lt;&gt;"",E3053&lt;&gt;0,H3053&lt;&gt;""),H3053/E3053,"")</f>
        <v/>
      </c>
      <c r="L3053">
        <f>IF(B3053="","",IFERROR(VALUE(TEXT(B3053,"[$-1170401]yyyy")),""))</f>
        <v/>
      </c>
      <c r="M3053">
        <f>IF(B3053="","",IFERROR(VALUE(TEXT(B3053,"[$-1170401]mm")),""))</f>
        <v/>
      </c>
    </row>
    <row r="3054">
      <c r="B3054" s="30" t="n"/>
      <c r="G3054" s="9">
        <f>IF(AND(E3054&lt;&gt;"",E3054&lt;&gt;0,H3054&lt;&gt;""),H3054/E3054,"")</f>
        <v/>
      </c>
      <c r="L3054">
        <f>IF(B3054="","",IFERROR(VALUE(TEXT(B3054,"[$-1170401]yyyy")),""))</f>
        <v/>
      </c>
      <c r="M3054">
        <f>IF(B3054="","",IFERROR(VALUE(TEXT(B3054,"[$-1170401]mm")),""))</f>
        <v/>
      </c>
    </row>
    <row r="3055">
      <c r="B3055" s="30" t="n"/>
      <c r="G3055" s="9">
        <f>IF(AND(E3055&lt;&gt;"",E3055&lt;&gt;0,H3055&lt;&gt;""),H3055/E3055,"")</f>
        <v/>
      </c>
      <c r="L3055">
        <f>IF(B3055="","",IFERROR(VALUE(TEXT(B3055,"[$-1170401]yyyy")),""))</f>
        <v/>
      </c>
      <c r="M3055">
        <f>IF(B3055="","",IFERROR(VALUE(TEXT(B3055,"[$-1170401]mm")),""))</f>
        <v/>
      </c>
    </row>
    <row r="3056">
      <c r="B3056" s="30" t="n"/>
      <c r="G3056" s="9">
        <f>IF(AND(E3056&lt;&gt;"",E3056&lt;&gt;0,H3056&lt;&gt;""),H3056/E3056,"")</f>
        <v/>
      </c>
      <c r="L3056">
        <f>IF(B3056="","",IFERROR(VALUE(TEXT(B3056,"[$-1170401]yyyy")),""))</f>
        <v/>
      </c>
      <c r="M3056">
        <f>IF(B3056="","",IFERROR(VALUE(TEXT(B3056,"[$-1170401]mm")),""))</f>
        <v/>
      </c>
    </row>
    <row r="3057">
      <c r="B3057" s="30" t="n"/>
      <c r="G3057" s="9">
        <f>IF(AND(E3057&lt;&gt;"",E3057&lt;&gt;0,H3057&lt;&gt;""),H3057/E3057,"")</f>
        <v/>
      </c>
      <c r="L3057">
        <f>IF(B3057="","",IFERROR(VALUE(TEXT(B3057,"[$-1170401]yyyy")),""))</f>
        <v/>
      </c>
      <c r="M3057">
        <f>IF(B3057="","",IFERROR(VALUE(TEXT(B3057,"[$-1170401]mm")),""))</f>
        <v/>
      </c>
    </row>
    <row r="3058">
      <c r="B3058" s="30" t="n"/>
      <c r="G3058" s="9">
        <f>IF(AND(E3058&lt;&gt;"",E3058&lt;&gt;0,H3058&lt;&gt;""),H3058/E3058,"")</f>
        <v/>
      </c>
      <c r="L3058">
        <f>IF(B3058="","",IFERROR(VALUE(TEXT(B3058,"[$-1170401]yyyy")),""))</f>
        <v/>
      </c>
      <c r="M3058">
        <f>IF(B3058="","",IFERROR(VALUE(TEXT(B3058,"[$-1170401]mm")),""))</f>
        <v/>
      </c>
    </row>
    <row r="3059">
      <c r="B3059" s="30" t="n"/>
      <c r="G3059" s="9">
        <f>IF(AND(E3059&lt;&gt;"",E3059&lt;&gt;0,H3059&lt;&gt;""),H3059/E3059,"")</f>
        <v/>
      </c>
      <c r="L3059">
        <f>IF(B3059="","",IFERROR(VALUE(TEXT(B3059,"[$-1170401]yyyy")),""))</f>
        <v/>
      </c>
      <c r="M3059">
        <f>IF(B3059="","",IFERROR(VALUE(TEXT(B3059,"[$-1170401]mm")),""))</f>
        <v/>
      </c>
    </row>
    <row r="3060">
      <c r="B3060" s="30" t="n"/>
      <c r="G3060" s="9">
        <f>IF(AND(E3060&lt;&gt;"",E3060&lt;&gt;0,H3060&lt;&gt;""),H3060/E3060,"")</f>
        <v/>
      </c>
      <c r="L3060">
        <f>IF(B3060="","",IFERROR(VALUE(TEXT(B3060,"[$-1170401]yyyy")),""))</f>
        <v/>
      </c>
      <c r="M3060">
        <f>IF(B3060="","",IFERROR(VALUE(TEXT(B3060,"[$-1170401]mm")),""))</f>
        <v/>
      </c>
    </row>
    <row r="3061">
      <c r="B3061" s="30" t="n"/>
      <c r="G3061" s="9">
        <f>IF(AND(E3061&lt;&gt;"",E3061&lt;&gt;0,H3061&lt;&gt;""),H3061/E3061,"")</f>
        <v/>
      </c>
      <c r="L3061">
        <f>IF(B3061="","",IFERROR(VALUE(TEXT(B3061,"[$-1170401]yyyy")),""))</f>
        <v/>
      </c>
      <c r="M3061">
        <f>IF(B3061="","",IFERROR(VALUE(TEXT(B3061,"[$-1170401]mm")),""))</f>
        <v/>
      </c>
    </row>
    <row r="3062">
      <c r="B3062" s="30" t="n"/>
      <c r="G3062" s="9">
        <f>IF(AND(E3062&lt;&gt;"",E3062&lt;&gt;0,H3062&lt;&gt;""),H3062/E3062,"")</f>
        <v/>
      </c>
      <c r="L3062">
        <f>IF(B3062="","",IFERROR(VALUE(TEXT(B3062,"[$-1170401]yyyy")),""))</f>
        <v/>
      </c>
      <c r="M3062">
        <f>IF(B3062="","",IFERROR(VALUE(TEXT(B3062,"[$-1170401]mm")),""))</f>
        <v/>
      </c>
    </row>
    <row r="3063">
      <c r="B3063" s="30" t="n"/>
      <c r="G3063" s="9">
        <f>IF(AND(E3063&lt;&gt;"",E3063&lt;&gt;0,H3063&lt;&gt;""),H3063/E3063,"")</f>
        <v/>
      </c>
      <c r="L3063">
        <f>IF(B3063="","",IFERROR(VALUE(TEXT(B3063,"[$-1170401]yyyy")),""))</f>
        <v/>
      </c>
      <c r="M3063">
        <f>IF(B3063="","",IFERROR(VALUE(TEXT(B3063,"[$-1170401]mm")),""))</f>
        <v/>
      </c>
    </row>
    <row r="3064">
      <c r="B3064" s="30" t="n"/>
      <c r="G3064" s="9">
        <f>IF(AND(E3064&lt;&gt;"",E3064&lt;&gt;0,H3064&lt;&gt;""),H3064/E3064,"")</f>
        <v/>
      </c>
      <c r="L3064">
        <f>IF(B3064="","",IFERROR(VALUE(TEXT(B3064,"[$-1170401]yyyy")),""))</f>
        <v/>
      </c>
      <c r="M3064">
        <f>IF(B3064="","",IFERROR(VALUE(TEXT(B3064,"[$-1170401]mm")),""))</f>
        <v/>
      </c>
    </row>
    <row r="3065">
      <c r="B3065" s="30" t="n"/>
      <c r="G3065" s="9">
        <f>IF(AND(E3065&lt;&gt;"",E3065&lt;&gt;0,H3065&lt;&gt;""),H3065/E3065,"")</f>
        <v/>
      </c>
      <c r="L3065">
        <f>IF(B3065="","",IFERROR(VALUE(TEXT(B3065,"[$-1170401]yyyy")),""))</f>
        <v/>
      </c>
      <c r="M3065">
        <f>IF(B3065="","",IFERROR(VALUE(TEXT(B3065,"[$-1170401]mm")),""))</f>
        <v/>
      </c>
    </row>
    <row r="3066">
      <c r="B3066" s="30" t="n"/>
      <c r="G3066" s="9">
        <f>IF(AND(E3066&lt;&gt;"",E3066&lt;&gt;0,H3066&lt;&gt;""),H3066/E3066,"")</f>
        <v/>
      </c>
      <c r="L3066">
        <f>IF(B3066="","",IFERROR(VALUE(TEXT(B3066,"[$-1170401]yyyy")),""))</f>
        <v/>
      </c>
      <c r="M3066">
        <f>IF(B3066="","",IFERROR(VALUE(TEXT(B3066,"[$-1170401]mm")),""))</f>
        <v/>
      </c>
    </row>
    <row r="3067">
      <c r="B3067" s="30" t="n"/>
      <c r="G3067" s="9">
        <f>IF(AND(E3067&lt;&gt;"",E3067&lt;&gt;0,H3067&lt;&gt;""),H3067/E3067,"")</f>
        <v/>
      </c>
      <c r="L3067">
        <f>IF(B3067="","",IFERROR(VALUE(TEXT(B3067,"[$-1170401]yyyy")),""))</f>
        <v/>
      </c>
      <c r="M3067">
        <f>IF(B3067="","",IFERROR(VALUE(TEXT(B3067,"[$-1170401]mm")),""))</f>
        <v/>
      </c>
    </row>
    <row r="3068">
      <c r="B3068" s="30" t="n"/>
      <c r="G3068" s="9">
        <f>IF(AND(E3068&lt;&gt;"",E3068&lt;&gt;0,H3068&lt;&gt;""),H3068/E3068,"")</f>
        <v/>
      </c>
      <c r="L3068">
        <f>IF(B3068="","",IFERROR(VALUE(TEXT(B3068,"[$-1170401]yyyy")),""))</f>
        <v/>
      </c>
      <c r="M3068">
        <f>IF(B3068="","",IFERROR(VALUE(TEXT(B3068,"[$-1170401]mm")),""))</f>
        <v/>
      </c>
    </row>
    <row r="3069">
      <c r="B3069" s="30" t="n"/>
      <c r="G3069" s="9">
        <f>IF(AND(E3069&lt;&gt;"",E3069&lt;&gt;0,H3069&lt;&gt;""),H3069/E3069,"")</f>
        <v/>
      </c>
      <c r="L3069">
        <f>IF(B3069="","",IFERROR(VALUE(TEXT(B3069,"[$-1170401]yyyy")),""))</f>
        <v/>
      </c>
      <c r="M3069">
        <f>IF(B3069="","",IFERROR(VALUE(TEXT(B3069,"[$-1170401]mm")),""))</f>
        <v/>
      </c>
    </row>
    <row r="3070">
      <c r="B3070" s="30" t="n"/>
      <c r="G3070" s="9">
        <f>IF(AND(E3070&lt;&gt;"",E3070&lt;&gt;0,H3070&lt;&gt;""),H3070/E3070,"")</f>
        <v/>
      </c>
      <c r="L3070">
        <f>IF(B3070="","",IFERROR(VALUE(TEXT(B3070,"[$-1170401]yyyy")),""))</f>
        <v/>
      </c>
      <c r="M3070">
        <f>IF(B3070="","",IFERROR(VALUE(TEXT(B3070,"[$-1170401]mm")),""))</f>
        <v/>
      </c>
    </row>
    <row r="3071">
      <c r="B3071" s="30" t="n"/>
      <c r="G3071" s="9">
        <f>IF(AND(E3071&lt;&gt;"",E3071&lt;&gt;0,H3071&lt;&gt;""),H3071/E3071,"")</f>
        <v/>
      </c>
      <c r="L3071">
        <f>IF(B3071="","",IFERROR(VALUE(TEXT(B3071,"[$-1170401]yyyy")),""))</f>
        <v/>
      </c>
      <c r="M3071">
        <f>IF(B3071="","",IFERROR(VALUE(TEXT(B3071,"[$-1170401]mm")),""))</f>
        <v/>
      </c>
    </row>
    <row r="3072">
      <c r="B3072" s="30" t="n"/>
      <c r="G3072" s="9">
        <f>IF(AND(E3072&lt;&gt;"",E3072&lt;&gt;0,H3072&lt;&gt;""),H3072/E3072,"")</f>
        <v/>
      </c>
      <c r="L3072">
        <f>IF(B3072="","",IFERROR(VALUE(TEXT(B3072,"[$-1170401]yyyy")),""))</f>
        <v/>
      </c>
      <c r="M3072">
        <f>IF(B3072="","",IFERROR(VALUE(TEXT(B3072,"[$-1170401]mm")),""))</f>
        <v/>
      </c>
    </row>
    <row r="3073">
      <c r="B3073" s="30" t="n"/>
      <c r="G3073" s="9">
        <f>IF(AND(E3073&lt;&gt;"",E3073&lt;&gt;0,H3073&lt;&gt;""),H3073/E3073,"")</f>
        <v/>
      </c>
      <c r="L3073">
        <f>IF(B3073="","",IFERROR(VALUE(TEXT(B3073,"[$-1170401]yyyy")),""))</f>
        <v/>
      </c>
      <c r="M3073">
        <f>IF(B3073="","",IFERROR(VALUE(TEXT(B3073,"[$-1170401]mm")),""))</f>
        <v/>
      </c>
    </row>
    <row r="3074">
      <c r="B3074" s="30" t="n"/>
      <c r="G3074" s="9">
        <f>IF(AND(E3074&lt;&gt;"",E3074&lt;&gt;0,H3074&lt;&gt;""),H3074/E3074,"")</f>
        <v/>
      </c>
      <c r="L3074">
        <f>IF(B3074="","",IFERROR(VALUE(TEXT(B3074,"[$-1170401]yyyy")),""))</f>
        <v/>
      </c>
      <c r="M3074">
        <f>IF(B3074="","",IFERROR(VALUE(TEXT(B3074,"[$-1170401]mm")),""))</f>
        <v/>
      </c>
    </row>
    <row r="3075">
      <c r="B3075" s="30" t="n"/>
      <c r="G3075" s="9">
        <f>IF(AND(E3075&lt;&gt;"",E3075&lt;&gt;0,H3075&lt;&gt;""),H3075/E3075,"")</f>
        <v/>
      </c>
      <c r="L3075">
        <f>IF(B3075="","",IFERROR(VALUE(TEXT(B3075,"[$-1170401]yyyy")),""))</f>
        <v/>
      </c>
      <c r="M3075">
        <f>IF(B3075="","",IFERROR(VALUE(TEXT(B3075,"[$-1170401]mm")),""))</f>
        <v/>
      </c>
    </row>
    <row r="3076">
      <c r="B3076" s="30" t="n"/>
      <c r="G3076" s="9">
        <f>IF(AND(E3076&lt;&gt;"",E3076&lt;&gt;0,H3076&lt;&gt;""),H3076/E3076,"")</f>
        <v/>
      </c>
      <c r="L3076">
        <f>IF(B3076="","",IFERROR(VALUE(TEXT(B3076,"[$-1170401]yyyy")),""))</f>
        <v/>
      </c>
      <c r="M3076">
        <f>IF(B3076="","",IFERROR(VALUE(TEXT(B3076,"[$-1170401]mm")),""))</f>
        <v/>
      </c>
    </row>
    <row r="3077">
      <c r="B3077" s="30" t="n"/>
      <c r="G3077" s="9">
        <f>IF(AND(E3077&lt;&gt;"",E3077&lt;&gt;0,H3077&lt;&gt;""),H3077/E3077,"")</f>
        <v/>
      </c>
      <c r="L3077">
        <f>IF(B3077="","",IFERROR(VALUE(TEXT(B3077,"[$-1170401]yyyy")),""))</f>
        <v/>
      </c>
      <c r="M3077">
        <f>IF(B3077="","",IFERROR(VALUE(TEXT(B3077,"[$-1170401]mm")),""))</f>
        <v/>
      </c>
    </row>
    <row r="3078">
      <c r="B3078" s="30" t="n"/>
      <c r="G3078" s="9">
        <f>IF(AND(E3078&lt;&gt;"",E3078&lt;&gt;0,H3078&lt;&gt;""),H3078/E3078,"")</f>
        <v/>
      </c>
      <c r="L3078">
        <f>IF(B3078="","",IFERROR(VALUE(TEXT(B3078,"[$-1170401]yyyy")),""))</f>
        <v/>
      </c>
      <c r="M3078">
        <f>IF(B3078="","",IFERROR(VALUE(TEXT(B3078,"[$-1170401]mm")),""))</f>
        <v/>
      </c>
    </row>
    <row r="3079">
      <c r="B3079" s="30" t="n"/>
      <c r="G3079" s="9">
        <f>IF(AND(E3079&lt;&gt;"",E3079&lt;&gt;0,H3079&lt;&gt;""),H3079/E3079,"")</f>
        <v/>
      </c>
      <c r="L3079">
        <f>IF(B3079="","",IFERROR(VALUE(TEXT(B3079,"[$-1170401]yyyy")),""))</f>
        <v/>
      </c>
      <c r="M3079">
        <f>IF(B3079="","",IFERROR(VALUE(TEXT(B3079,"[$-1170401]mm")),""))</f>
        <v/>
      </c>
    </row>
    <row r="3080">
      <c r="B3080" s="30" t="n"/>
      <c r="G3080" s="9">
        <f>IF(AND(E3080&lt;&gt;"",E3080&lt;&gt;0,H3080&lt;&gt;""),H3080/E3080,"")</f>
        <v/>
      </c>
      <c r="L3080">
        <f>IF(B3080="","",IFERROR(VALUE(TEXT(B3080,"[$-1170401]yyyy")),""))</f>
        <v/>
      </c>
      <c r="M3080">
        <f>IF(B3080="","",IFERROR(VALUE(TEXT(B3080,"[$-1170401]mm")),""))</f>
        <v/>
      </c>
    </row>
    <row r="3081">
      <c r="B3081" s="30" t="n"/>
      <c r="G3081" s="9">
        <f>IF(AND(E3081&lt;&gt;"",E3081&lt;&gt;0,H3081&lt;&gt;""),H3081/E3081,"")</f>
        <v/>
      </c>
      <c r="L3081">
        <f>IF(B3081="","",IFERROR(VALUE(TEXT(B3081,"[$-1170401]yyyy")),""))</f>
        <v/>
      </c>
      <c r="M3081">
        <f>IF(B3081="","",IFERROR(VALUE(TEXT(B3081,"[$-1170401]mm")),""))</f>
        <v/>
      </c>
    </row>
    <row r="3082">
      <c r="B3082" s="30" t="n"/>
      <c r="G3082" s="9">
        <f>IF(AND(E3082&lt;&gt;"",E3082&lt;&gt;0,H3082&lt;&gt;""),H3082/E3082,"")</f>
        <v/>
      </c>
      <c r="L3082">
        <f>IF(B3082="","",IFERROR(VALUE(TEXT(B3082,"[$-1170401]yyyy")),""))</f>
        <v/>
      </c>
      <c r="M3082">
        <f>IF(B3082="","",IFERROR(VALUE(TEXT(B3082,"[$-1170401]mm")),""))</f>
        <v/>
      </c>
    </row>
    <row r="3083">
      <c r="B3083" s="30" t="n"/>
      <c r="G3083" s="9">
        <f>IF(AND(E3083&lt;&gt;"",E3083&lt;&gt;0,H3083&lt;&gt;""),H3083/E3083,"")</f>
        <v/>
      </c>
      <c r="L3083">
        <f>IF(B3083="","",IFERROR(VALUE(TEXT(B3083,"[$-1170401]yyyy")),""))</f>
        <v/>
      </c>
      <c r="M3083">
        <f>IF(B3083="","",IFERROR(VALUE(TEXT(B3083,"[$-1170401]mm")),""))</f>
        <v/>
      </c>
    </row>
    <row r="3084">
      <c r="B3084" s="30" t="n"/>
      <c r="G3084" s="9">
        <f>IF(AND(E3084&lt;&gt;"",E3084&lt;&gt;0,H3084&lt;&gt;""),H3084/E3084,"")</f>
        <v/>
      </c>
      <c r="L3084">
        <f>IF(B3084="","",IFERROR(VALUE(TEXT(B3084,"[$-1170401]yyyy")),""))</f>
        <v/>
      </c>
      <c r="M3084">
        <f>IF(B3084="","",IFERROR(VALUE(TEXT(B3084,"[$-1170401]mm")),""))</f>
        <v/>
      </c>
    </row>
    <row r="3085">
      <c r="B3085" s="30" t="n"/>
      <c r="G3085" s="9">
        <f>IF(AND(E3085&lt;&gt;"",E3085&lt;&gt;0,H3085&lt;&gt;""),H3085/E3085,"")</f>
        <v/>
      </c>
      <c r="L3085">
        <f>IF(B3085="","",IFERROR(VALUE(TEXT(B3085,"[$-1170401]yyyy")),""))</f>
        <v/>
      </c>
      <c r="M3085">
        <f>IF(B3085="","",IFERROR(VALUE(TEXT(B3085,"[$-1170401]mm")),""))</f>
        <v/>
      </c>
    </row>
    <row r="3086">
      <c r="B3086" s="30" t="n"/>
      <c r="G3086" s="9">
        <f>IF(AND(E3086&lt;&gt;"",E3086&lt;&gt;0,H3086&lt;&gt;""),H3086/E3086,"")</f>
        <v/>
      </c>
      <c r="L3086">
        <f>IF(B3086="","",IFERROR(VALUE(TEXT(B3086,"[$-1170401]yyyy")),""))</f>
        <v/>
      </c>
      <c r="M3086">
        <f>IF(B3086="","",IFERROR(VALUE(TEXT(B3086,"[$-1170401]mm")),""))</f>
        <v/>
      </c>
    </row>
    <row r="3087">
      <c r="B3087" s="30" t="n"/>
      <c r="G3087" s="9">
        <f>IF(AND(E3087&lt;&gt;"",E3087&lt;&gt;0,H3087&lt;&gt;""),H3087/E3087,"")</f>
        <v/>
      </c>
      <c r="L3087">
        <f>IF(B3087="","",IFERROR(VALUE(TEXT(B3087,"[$-1170401]yyyy")),""))</f>
        <v/>
      </c>
      <c r="M3087">
        <f>IF(B3087="","",IFERROR(VALUE(TEXT(B3087,"[$-1170401]mm")),""))</f>
        <v/>
      </c>
    </row>
    <row r="3088">
      <c r="B3088" s="30" t="n"/>
      <c r="G3088" s="9">
        <f>IF(AND(E3088&lt;&gt;"",E3088&lt;&gt;0,H3088&lt;&gt;""),H3088/E3088,"")</f>
        <v/>
      </c>
      <c r="L3088">
        <f>IF(B3088="","",IFERROR(VALUE(TEXT(B3088,"[$-1170401]yyyy")),""))</f>
        <v/>
      </c>
      <c r="M3088">
        <f>IF(B3088="","",IFERROR(VALUE(TEXT(B3088,"[$-1170401]mm")),""))</f>
        <v/>
      </c>
    </row>
    <row r="3089">
      <c r="B3089" s="30" t="n"/>
      <c r="G3089" s="9">
        <f>IF(AND(E3089&lt;&gt;"",E3089&lt;&gt;0,H3089&lt;&gt;""),H3089/E3089,"")</f>
        <v/>
      </c>
      <c r="L3089">
        <f>IF(B3089="","",IFERROR(VALUE(TEXT(B3089,"[$-1170401]yyyy")),""))</f>
        <v/>
      </c>
      <c r="M3089">
        <f>IF(B3089="","",IFERROR(VALUE(TEXT(B3089,"[$-1170401]mm")),""))</f>
        <v/>
      </c>
    </row>
    <row r="3090">
      <c r="B3090" s="30" t="n"/>
      <c r="G3090" s="9">
        <f>IF(AND(E3090&lt;&gt;"",E3090&lt;&gt;0,H3090&lt;&gt;""),H3090/E3090,"")</f>
        <v/>
      </c>
      <c r="L3090">
        <f>IF(B3090="","",IFERROR(VALUE(TEXT(B3090,"[$-1170401]yyyy")),""))</f>
        <v/>
      </c>
      <c r="M3090">
        <f>IF(B3090="","",IFERROR(VALUE(TEXT(B3090,"[$-1170401]mm")),""))</f>
        <v/>
      </c>
    </row>
    <row r="3091">
      <c r="B3091" s="30" t="n"/>
      <c r="G3091" s="9">
        <f>IF(AND(E3091&lt;&gt;"",E3091&lt;&gt;0,H3091&lt;&gt;""),H3091/E3091,"")</f>
        <v/>
      </c>
      <c r="L3091">
        <f>IF(B3091="","",IFERROR(VALUE(TEXT(B3091,"[$-1170401]yyyy")),""))</f>
        <v/>
      </c>
      <c r="M3091">
        <f>IF(B3091="","",IFERROR(VALUE(TEXT(B3091,"[$-1170401]mm")),""))</f>
        <v/>
      </c>
    </row>
    <row r="3092">
      <c r="B3092" s="30" t="n"/>
      <c r="G3092" s="9">
        <f>IF(AND(E3092&lt;&gt;"",E3092&lt;&gt;0,H3092&lt;&gt;""),H3092/E3092,"")</f>
        <v/>
      </c>
      <c r="L3092">
        <f>IF(B3092="","",IFERROR(VALUE(TEXT(B3092,"[$-1170401]yyyy")),""))</f>
        <v/>
      </c>
      <c r="M3092">
        <f>IF(B3092="","",IFERROR(VALUE(TEXT(B3092,"[$-1170401]mm")),""))</f>
        <v/>
      </c>
    </row>
    <row r="3093">
      <c r="B3093" s="30" t="n"/>
      <c r="G3093" s="9">
        <f>IF(AND(E3093&lt;&gt;"",E3093&lt;&gt;0,H3093&lt;&gt;""),H3093/E3093,"")</f>
        <v/>
      </c>
      <c r="L3093">
        <f>IF(B3093="","",IFERROR(VALUE(TEXT(B3093,"[$-1170401]yyyy")),""))</f>
        <v/>
      </c>
      <c r="M3093">
        <f>IF(B3093="","",IFERROR(VALUE(TEXT(B3093,"[$-1170401]mm")),""))</f>
        <v/>
      </c>
    </row>
    <row r="3094">
      <c r="B3094" s="30" t="n"/>
      <c r="G3094" s="9">
        <f>IF(AND(E3094&lt;&gt;"",E3094&lt;&gt;0,H3094&lt;&gt;""),H3094/E3094,"")</f>
        <v/>
      </c>
      <c r="L3094">
        <f>IF(B3094="","",IFERROR(VALUE(TEXT(B3094,"[$-1170401]yyyy")),""))</f>
        <v/>
      </c>
      <c r="M3094">
        <f>IF(B3094="","",IFERROR(VALUE(TEXT(B3094,"[$-1170401]mm")),""))</f>
        <v/>
      </c>
    </row>
    <row r="3095">
      <c r="B3095" s="30" t="n"/>
      <c r="G3095" s="9">
        <f>IF(AND(E3095&lt;&gt;"",E3095&lt;&gt;0,H3095&lt;&gt;""),H3095/E3095,"")</f>
        <v/>
      </c>
      <c r="L3095">
        <f>IF(B3095="","",IFERROR(VALUE(TEXT(B3095,"[$-1170401]yyyy")),""))</f>
        <v/>
      </c>
      <c r="M3095">
        <f>IF(B3095="","",IFERROR(VALUE(TEXT(B3095,"[$-1170401]mm")),""))</f>
        <v/>
      </c>
    </row>
    <row r="3096">
      <c r="B3096" s="30" t="n"/>
      <c r="G3096" s="9">
        <f>IF(AND(E3096&lt;&gt;"",E3096&lt;&gt;0,H3096&lt;&gt;""),H3096/E3096,"")</f>
        <v/>
      </c>
      <c r="L3096">
        <f>IF(B3096="","",IFERROR(VALUE(TEXT(B3096,"[$-1170401]yyyy")),""))</f>
        <v/>
      </c>
      <c r="M3096">
        <f>IF(B3096="","",IFERROR(VALUE(TEXT(B3096,"[$-1170401]mm")),""))</f>
        <v/>
      </c>
    </row>
    <row r="3097">
      <c r="B3097" s="30" t="n"/>
      <c r="G3097" s="9">
        <f>IF(AND(E3097&lt;&gt;"",E3097&lt;&gt;0,H3097&lt;&gt;""),H3097/E3097,"")</f>
        <v/>
      </c>
      <c r="L3097">
        <f>IF(B3097="","",IFERROR(VALUE(TEXT(B3097,"[$-1170401]yyyy")),""))</f>
        <v/>
      </c>
      <c r="M3097">
        <f>IF(B3097="","",IFERROR(VALUE(TEXT(B3097,"[$-1170401]mm")),""))</f>
        <v/>
      </c>
    </row>
    <row r="3098">
      <c r="B3098" s="30" t="n"/>
      <c r="G3098" s="9">
        <f>IF(AND(E3098&lt;&gt;"",E3098&lt;&gt;0,H3098&lt;&gt;""),H3098/E3098,"")</f>
        <v/>
      </c>
      <c r="L3098">
        <f>IF(B3098="","",IFERROR(VALUE(TEXT(B3098,"[$-1170401]yyyy")),""))</f>
        <v/>
      </c>
      <c r="M3098">
        <f>IF(B3098="","",IFERROR(VALUE(TEXT(B3098,"[$-1170401]mm")),""))</f>
        <v/>
      </c>
    </row>
    <row r="3099">
      <c r="B3099" s="30" t="n"/>
      <c r="G3099" s="9">
        <f>IF(AND(E3099&lt;&gt;"",E3099&lt;&gt;0,H3099&lt;&gt;""),H3099/E3099,"")</f>
        <v/>
      </c>
      <c r="L3099">
        <f>IF(B3099="","",IFERROR(VALUE(TEXT(B3099,"[$-1170401]yyyy")),""))</f>
        <v/>
      </c>
      <c r="M3099">
        <f>IF(B3099="","",IFERROR(VALUE(TEXT(B3099,"[$-1170401]mm")),""))</f>
        <v/>
      </c>
    </row>
    <row r="3100">
      <c r="B3100" s="30" t="n"/>
      <c r="G3100" s="9">
        <f>IF(AND(E3100&lt;&gt;"",E3100&lt;&gt;0,H3100&lt;&gt;""),H3100/E3100,"")</f>
        <v/>
      </c>
      <c r="L3100">
        <f>IF(B3100="","",IFERROR(VALUE(TEXT(B3100,"[$-1170401]yyyy")),""))</f>
        <v/>
      </c>
      <c r="M3100">
        <f>IF(B3100="","",IFERROR(VALUE(TEXT(B3100,"[$-1170401]mm")),""))</f>
        <v/>
      </c>
    </row>
    <row r="3101">
      <c r="B3101" s="30" t="n"/>
      <c r="G3101" s="9">
        <f>IF(AND(E3101&lt;&gt;"",E3101&lt;&gt;0,H3101&lt;&gt;""),H3101/E3101,"")</f>
        <v/>
      </c>
      <c r="L3101">
        <f>IF(B3101="","",IFERROR(VALUE(TEXT(B3101,"[$-1170401]yyyy")),""))</f>
        <v/>
      </c>
      <c r="M3101">
        <f>IF(B3101="","",IFERROR(VALUE(TEXT(B3101,"[$-1170401]mm")),""))</f>
        <v/>
      </c>
    </row>
    <row r="3102">
      <c r="B3102" s="30" t="n"/>
      <c r="G3102" s="9">
        <f>IF(AND(E3102&lt;&gt;"",E3102&lt;&gt;0,H3102&lt;&gt;""),H3102/E3102,"")</f>
        <v/>
      </c>
      <c r="L3102">
        <f>IF(B3102="","",IFERROR(VALUE(TEXT(B3102,"[$-1170401]yyyy")),""))</f>
        <v/>
      </c>
      <c r="M3102">
        <f>IF(B3102="","",IFERROR(VALUE(TEXT(B3102,"[$-1170401]mm")),""))</f>
        <v/>
      </c>
    </row>
    <row r="3103">
      <c r="B3103" s="30" t="n"/>
      <c r="G3103" s="9">
        <f>IF(AND(E3103&lt;&gt;"",E3103&lt;&gt;0,H3103&lt;&gt;""),H3103/E3103,"")</f>
        <v/>
      </c>
      <c r="L3103">
        <f>IF(B3103="","",IFERROR(VALUE(TEXT(B3103,"[$-1170401]yyyy")),""))</f>
        <v/>
      </c>
      <c r="M3103">
        <f>IF(B3103="","",IFERROR(VALUE(TEXT(B3103,"[$-1170401]mm")),""))</f>
        <v/>
      </c>
    </row>
    <row r="3104">
      <c r="B3104" s="30" t="n"/>
      <c r="G3104" s="9">
        <f>IF(AND(E3104&lt;&gt;"",E3104&lt;&gt;0,H3104&lt;&gt;""),H3104/E3104,"")</f>
        <v/>
      </c>
      <c r="L3104">
        <f>IF(B3104="","",IFERROR(VALUE(TEXT(B3104,"[$-1170401]yyyy")),""))</f>
        <v/>
      </c>
      <c r="M3104">
        <f>IF(B3104="","",IFERROR(VALUE(TEXT(B3104,"[$-1170401]mm")),""))</f>
        <v/>
      </c>
    </row>
    <row r="3105">
      <c r="B3105" s="30" t="n"/>
      <c r="G3105" s="9">
        <f>IF(AND(E3105&lt;&gt;"",E3105&lt;&gt;0,H3105&lt;&gt;""),H3105/E3105,"")</f>
        <v/>
      </c>
      <c r="L3105">
        <f>IF(B3105="","",IFERROR(VALUE(TEXT(B3105,"[$-1170401]yyyy")),""))</f>
        <v/>
      </c>
      <c r="M3105">
        <f>IF(B3105="","",IFERROR(VALUE(TEXT(B3105,"[$-1170401]mm")),""))</f>
        <v/>
      </c>
    </row>
    <row r="3106">
      <c r="B3106" s="30" t="n"/>
      <c r="G3106" s="9">
        <f>IF(AND(E3106&lt;&gt;"",E3106&lt;&gt;0,H3106&lt;&gt;""),H3106/E3106,"")</f>
        <v/>
      </c>
      <c r="L3106">
        <f>IF(B3106="","",IFERROR(VALUE(TEXT(B3106,"[$-1170401]yyyy")),""))</f>
        <v/>
      </c>
      <c r="M3106">
        <f>IF(B3106="","",IFERROR(VALUE(TEXT(B3106,"[$-1170401]mm")),""))</f>
        <v/>
      </c>
    </row>
    <row r="3107">
      <c r="B3107" s="30" t="n"/>
      <c r="G3107" s="9">
        <f>IF(AND(E3107&lt;&gt;"",E3107&lt;&gt;0,H3107&lt;&gt;""),H3107/E3107,"")</f>
        <v/>
      </c>
      <c r="L3107">
        <f>IF(B3107="","",IFERROR(VALUE(TEXT(B3107,"[$-1170401]yyyy")),""))</f>
        <v/>
      </c>
      <c r="M3107">
        <f>IF(B3107="","",IFERROR(VALUE(TEXT(B3107,"[$-1170401]mm")),""))</f>
        <v/>
      </c>
    </row>
    <row r="3108">
      <c r="B3108" s="30" t="n"/>
      <c r="G3108" s="9">
        <f>IF(AND(E3108&lt;&gt;"",E3108&lt;&gt;0,H3108&lt;&gt;""),H3108/E3108,"")</f>
        <v/>
      </c>
      <c r="L3108">
        <f>IF(B3108="","",IFERROR(VALUE(TEXT(B3108,"[$-1170401]yyyy")),""))</f>
        <v/>
      </c>
      <c r="M3108">
        <f>IF(B3108="","",IFERROR(VALUE(TEXT(B3108,"[$-1170401]mm")),""))</f>
        <v/>
      </c>
    </row>
    <row r="3109">
      <c r="B3109" s="30" t="n"/>
      <c r="G3109" s="9">
        <f>IF(AND(E3109&lt;&gt;"",E3109&lt;&gt;0,H3109&lt;&gt;""),H3109/E3109,"")</f>
        <v/>
      </c>
      <c r="L3109">
        <f>IF(B3109="","",IFERROR(VALUE(TEXT(B3109,"[$-1170401]yyyy")),""))</f>
        <v/>
      </c>
      <c r="M3109">
        <f>IF(B3109="","",IFERROR(VALUE(TEXT(B3109,"[$-1170401]mm")),""))</f>
        <v/>
      </c>
    </row>
    <row r="3110">
      <c r="B3110" s="30" t="n"/>
      <c r="G3110" s="9">
        <f>IF(AND(E3110&lt;&gt;"",E3110&lt;&gt;0,H3110&lt;&gt;""),H3110/E3110,"")</f>
        <v/>
      </c>
      <c r="L3110">
        <f>IF(B3110="","",IFERROR(VALUE(TEXT(B3110,"[$-1170401]yyyy")),""))</f>
        <v/>
      </c>
      <c r="M3110">
        <f>IF(B3110="","",IFERROR(VALUE(TEXT(B3110,"[$-1170401]mm")),""))</f>
        <v/>
      </c>
    </row>
    <row r="3111">
      <c r="B3111" s="30" t="n"/>
      <c r="G3111" s="9">
        <f>IF(AND(E3111&lt;&gt;"",E3111&lt;&gt;0,H3111&lt;&gt;""),H3111/E3111,"")</f>
        <v/>
      </c>
      <c r="L3111">
        <f>IF(B3111="","",IFERROR(VALUE(TEXT(B3111,"[$-1170401]yyyy")),""))</f>
        <v/>
      </c>
      <c r="M3111">
        <f>IF(B3111="","",IFERROR(VALUE(TEXT(B3111,"[$-1170401]mm")),""))</f>
        <v/>
      </c>
    </row>
    <row r="3112">
      <c r="B3112" s="30" t="n"/>
      <c r="G3112" s="9">
        <f>IF(AND(E3112&lt;&gt;"",E3112&lt;&gt;0,H3112&lt;&gt;""),H3112/E3112,"")</f>
        <v/>
      </c>
      <c r="L3112">
        <f>IF(B3112="","",IFERROR(VALUE(TEXT(B3112,"[$-1170401]yyyy")),""))</f>
        <v/>
      </c>
      <c r="M3112">
        <f>IF(B3112="","",IFERROR(VALUE(TEXT(B3112,"[$-1170401]mm")),""))</f>
        <v/>
      </c>
    </row>
    <row r="3113">
      <c r="B3113" s="30" t="n"/>
      <c r="G3113" s="9">
        <f>IF(AND(E3113&lt;&gt;"",E3113&lt;&gt;0,H3113&lt;&gt;""),H3113/E3113,"")</f>
        <v/>
      </c>
      <c r="L3113">
        <f>IF(B3113="","",IFERROR(VALUE(TEXT(B3113,"[$-1170401]yyyy")),""))</f>
        <v/>
      </c>
      <c r="M3113">
        <f>IF(B3113="","",IFERROR(VALUE(TEXT(B3113,"[$-1170401]mm")),""))</f>
        <v/>
      </c>
    </row>
    <row r="3114">
      <c r="B3114" s="30" t="n"/>
      <c r="G3114" s="9">
        <f>IF(AND(E3114&lt;&gt;"",E3114&lt;&gt;0,H3114&lt;&gt;""),H3114/E3114,"")</f>
        <v/>
      </c>
      <c r="L3114">
        <f>IF(B3114="","",IFERROR(VALUE(TEXT(B3114,"[$-1170401]yyyy")),""))</f>
        <v/>
      </c>
      <c r="M3114">
        <f>IF(B3114="","",IFERROR(VALUE(TEXT(B3114,"[$-1170401]mm")),""))</f>
        <v/>
      </c>
    </row>
    <row r="3115">
      <c r="B3115" s="30" t="n"/>
      <c r="G3115" s="9">
        <f>IF(AND(E3115&lt;&gt;"",E3115&lt;&gt;0,H3115&lt;&gt;""),H3115/E3115,"")</f>
        <v/>
      </c>
      <c r="L3115">
        <f>IF(B3115="","",IFERROR(VALUE(TEXT(B3115,"[$-1170401]yyyy")),""))</f>
        <v/>
      </c>
      <c r="M3115">
        <f>IF(B3115="","",IFERROR(VALUE(TEXT(B3115,"[$-1170401]mm")),""))</f>
        <v/>
      </c>
    </row>
    <row r="3116">
      <c r="B3116" s="30" t="n"/>
      <c r="G3116" s="9">
        <f>IF(AND(E3116&lt;&gt;"",E3116&lt;&gt;0,H3116&lt;&gt;""),H3116/E3116,"")</f>
        <v/>
      </c>
      <c r="L3116">
        <f>IF(B3116="","",IFERROR(VALUE(TEXT(B3116,"[$-1170401]yyyy")),""))</f>
        <v/>
      </c>
      <c r="M3116">
        <f>IF(B3116="","",IFERROR(VALUE(TEXT(B3116,"[$-1170401]mm")),""))</f>
        <v/>
      </c>
    </row>
    <row r="3117">
      <c r="B3117" s="30" t="n"/>
      <c r="G3117" s="9">
        <f>IF(AND(E3117&lt;&gt;"",E3117&lt;&gt;0,H3117&lt;&gt;""),H3117/E3117,"")</f>
        <v/>
      </c>
      <c r="L3117">
        <f>IF(B3117="","",IFERROR(VALUE(TEXT(B3117,"[$-1170401]yyyy")),""))</f>
        <v/>
      </c>
      <c r="M3117">
        <f>IF(B3117="","",IFERROR(VALUE(TEXT(B3117,"[$-1170401]mm")),""))</f>
        <v/>
      </c>
    </row>
    <row r="3118">
      <c r="B3118" s="30" t="n"/>
      <c r="G3118" s="9">
        <f>IF(AND(E3118&lt;&gt;"",E3118&lt;&gt;0,H3118&lt;&gt;""),H3118/E3118,"")</f>
        <v/>
      </c>
      <c r="L3118">
        <f>IF(B3118="","",IFERROR(VALUE(TEXT(B3118,"[$-1170401]yyyy")),""))</f>
        <v/>
      </c>
      <c r="M3118">
        <f>IF(B3118="","",IFERROR(VALUE(TEXT(B3118,"[$-1170401]mm")),""))</f>
        <v/>
      </c>
    </row>
    <row r="3119">
      <c r="B3119" s="30" t="n"/>
      <c r="G3119" s="9">
        <f>IF(AND(E3119&lt;&gt;"",E3119&lt;&gt;0,H3119&lt;&gt;""),H3119/E3119,"")</f>
        <v/>
      </c>
      <c r="L3119">
        <f>IF(B3119="","",IFERROR(VALUE(TEXT(B3119,"[$-1170401]yyyy")),""))</f>
        <v/>
      </c>
      <c r="M3119">
        <f>IF(B3119="","",IFERROR(VALUE(TEXT(B3119,"[$-1170401]mm")),""))</f>
        <v/>
      </c>
    </row>
    <row r="3120">
      <c r="B3120" s="30" t="n"/>
      <c r="G3120" s="9">
        <f>IF(AND(E3120&lt;&gt;"",E3120&lt;&gt;0,H3120&lt;&gt;""),H3120/E3120,"")</f>
        <v/>
      </c>
      <c r="L3120">
        <f>IF(B3120="","",IFERROR(VALUE(TEXT(B3120,"[$-1170401]yyyy")),""))</f>
        <v/>
      </c>
      <c r="M3120">
        <f>IF(B3120="","",IFERROR(VALUE(TEXT(B3120,"[$-1170401]mm")),""))</f>
        <v/>
      </c>
    </row>
    <row r="3121">
      <c r="B3121" s="30" t="n"/>
      <c r="G3121" s="9">
        <f>IF(AND(E3121&lt;&gt;"",E3121&lt;&gt;0,H3121&lt;&gt;""),H3121/E3121,"")</f>
        <v/>
      </c>
      <c r="L3121">
        <f>IF(B3121="","",IFERROR(VALUE(TEXT(B3121,"[$-1170401]yyyy")),""))</f>
        <v/>
      </c>
      <c r="M3121">
        <f>IF(B3121="","",IFERROR(VALUE(TEXT(B3121,"[$-1170401]mm")),""))</f>
        <v/>
      </c>
    </row>
    <row r="3122">
      <c r="B3122" s="30" t="n"/>
      <c r="G3122" s="9">
        <f>IF(AND(E3122&lt;&gt;"",E3122&lt;&gt;0,H3122&lt;&gt;""),H3122/E3122,"")</f>
        <v/>
      </c>
      <c r="L3122">
        <f>IF(B3122="","",IFERROR(VALUE(TEXT(B3122,"[$-1170401]yyyy")),""))</f>
        <v/>
      </c>
      <c r="M3122">
        <f>IF(B3122="","",IFERROR(VALUE(TEXT(B3122,"[$-1170401]mm")),""))</f>
        <v/>
      </c>
    </row>
    <row r="3123">
      <c r="B3123" s="30" t="n"/>
      <c r="G3123" s="9">
        <f>IF(AND(E3123&lt;&gt;"",E3123&lt;&gt;0,H3123&lt;&gt;""),H3123/E3123,"")</f>
        <v/>
      </c>
      <c r="L3123">
        <f>IF(B3123="","",IFERROR(VALUE(TEXT(B3123,"[$-1170401]yyyy")),""))</f>
        <v/>
      </c>
      <c r="M3123">
        <f>IF(B3123="","",IFERROR(VALUE(TEXT(B3123,"[$-1170401]mm")),""))</f>
        <v/>
      </c>
    </row>
    <row r="3124">
      <c r="B3124" s="30" t="n"/>
      <c r="G3124" s="9">
        <f>IF(AND(E3124&lt;&gt;"",E3124&lt;&gt;0,H3124&lt;&gt;""),H3124/E3124,"")</f>
        <v/>
      </c>
      <c r="L3124">
        <f>IF(B3124="","",IFERROR(VALUE(TEXT(B3124,"[$-1170401]yyyy")),""))</f>
        <v/>
      </c>
      <c r="M3124">
        <f>IF(B3124="","",IFERROR(VALUE(TEXT(B3124,"[$-1170401]mm")),""))</f>
        <v/>
      </c>
    </row>
    <row r="3125">
      <c r="B3125" s="30" t="n"/>
      <c r="G3125" s="9">
        <f>IF(AND(E3125&lt;&gt;"",E3125&lt;&gt;0,H3125&lt;&gt;""),H3125/E3125,"")</f>
        <v/>
      </c>
      <c r="L3125">
        <f>IF(B3125="","",IFERROR(VALUE(TEXT(B3125,"[$-1170401]yyyy")),""))</f>
        <v/>
      </c>
      <c r="M3125">
        <f>IF(B3125="","",IFERROR(VALUE(TEXT(B3125,"[$-1170401]mm")),""))</f>
        <v/>
      </c>
    </row>
    <row r="3126">
      <c r="B3126" s="30" t="n"/>
      <c r="G3126" s="9">
        <f>IF(AND(E3126&lt;&gt;"",E3126&lt;&gt;0,H3126&lt;&gt;""),H3126/E3126,"")</f>
        <v/>
      </c>
      <c r="L3126">
        <f>IF(B3126="","",IFERROR(VALUE(TEXT(B3126,"[$-1170401]yyyy")),""))</f>
        <v/>
      </c>
      <c r="M3126">
        <f>IF(B3126="","",IFERROR(VALUE(TEXT(B3126,"[$-1170401]mm")),""))</f>
        <v/>
      </c>
    </row>
    <row r="3127">
      <c r="B3127" s="30" t="n"/>
      <c r="G3127" s="9">
        <f>IF(AND(E3127&lt;&gt;"",E3127&lt;&gt;0,H3127&lt;&gt;""),H3127/E3127,"")</f>
        <v/>
      </c>
      <c r="L3127">
        <f>IF(B3127="","",IFERROR(VALUE(TEXT(B3127,"[$-1170401]yyyy")),""))</f>
        <v/>
      </c>
      <c r="M3127">
        <f>IF(B3127="","",IFERROR(VALUE(TEXT(B3127,"[$-1170401]mm")),""))</f>
        <v/>
      </c>
    </row>
    <row r="3128">
      <c r="B3128" s="30" t="n"/>
      <c r="G3128" s="9">
        <f>IF(AND(E3128&lt;&gt;"",E3128&lt;&gt;0,H3128&lt;&gt;""),H3128/E3128,"")</f>
        <v/>
      </c>
      <c r="L3128">
        <f>IF(B3128="","",IFERROR(VALUE(TEXT(B3128,"[$-1170401]yyyy")),""))</f>
        <v/>
      </c>
      <c r="M3128">
        <f>IF(B3128="","",IFERROR(VALUE(TEXT(B3128,"[$-1170401]mm")),""))</f>
        <v/>
      </c>
    </row>
    <row r="3129">
      <c r="B3129" s="30" t="n"/>
      <c r="G3129" s="9">
        <f>IF(AND(E3129&lt;&gt;"",E3129&lt;&gt;0,H3129&lt;&gt;""),H3129/E3129,"")</f>
        <v/>
      </c>
      <c r="L3129">
        <f>IF(B3129="","",IFERROR(VALUE(TEXT(B3129,"[$-1170401]yyyy")),""))</f>
        <v/>
      </c>
      <c r="M3129">
        <f>IF(B3129="","",IFERROR(VALUE(TEXT(B3129,"[$-1170401]mm")),""))</f>
        <v/>
      </c>
    </row>
    <row r="3130">
      <c r="B3130" s="30" t="n"/>
      <c r="G3130" s="9">
        <f>IF(AND(E3130&lt;&gt;"",E3130&lt;&gt;0,H3130&lt;&gt;""),H3130/E3130,"")</f>
        <v/>
      </c>
      <c r="L3130">
        <f>IF(B3130="","",IFERROR(VALUE(TEXT(B3130,"[$-1170401]yyyy")),""))</f>
        <v/>
      </c>
      <c r="M3130">
        <f>IF(B3130="","",IFERROR(VALUE(TEXT(B3130,"[$-1170401]mm")),""))</f>
        <v/>
      </c>
    </row>
    <row r="3131">
      <c r="B3131" s="30" t="n"/>
      <c r="G3131" s="9">
        <f>IF(AND(E3131&lt;&gt;"",E3131&lt;&gt;0,H3131&lt;&gt;""),H3131/E3131,"")</f>
        <v/>
      </c>
      <c r="L3131">
        <f>IF(B3131="","",IFERROR(VALUE(TEXT(B3131,"[$-1170401]yyyy")),""))</f>
        <v/>
      </c>
      <c r="M3131">
        <f>IF(B3131="","",IFERROR(VALUE(TEXT(B3131,"[$-1170401]mm")),""))</f>
        <v/>
      </c>
    </row>
    <row r="3132">
      <c r="B3132" s="30" t="n"/>
      <c r="G3132" s="9">
        <f>IF(AND(E3132&lt;&gt;"",E3132&lt;&gt;0,H3132&lt;&gt;""),H3132/E3132,"")</f>
        <v/>
      </c>
      <c r="L3132">
        <f>IF(B3132="","",IFERROR(VALUE(TEXT(B3132,"[$-1170401]yyyy")),""))</f>
        <v/>
      </c>
      <c r="M3132">
        <f>IF(B3132="","",IFERROR(VALUE(TEXT(B3132,"[$-1170401]mm")),""))</f>
        <v/>
      </c>
    </row>
    <row r="3133">
      <c r="B3133" s="30" t="n"/>
      <c r="G3133" s="9">
        <f>IF(AND(E3133&lt;&gt;"",E3133&lt;&gt;0,H3133&lt;&gt;""),H3133/E3133,"")</f>
        <v/>
      </c>
      <c r="L3133">
        <f>IF(B3133="","",IFERROR(VALUE(TEXT(B3133,"[$-1170401]yyyy")),""))</f>
        <v/>
      </c>
      <c r="M3133">
        <f>IF(B3133="","",IFERROR(VALUE(TEXT(B3133,"[$-1170401]mm")),""))</f>
        <v/>
      </c>
    </row>
    <row r="3134">
      <c r="B3134" s="30" t="n"/>
      <c r="G3134" s="9">
        <f>IF(AND(E3134&lt;&gt;"",E3134&lt;&gt;0,H3134&lt;&gt;""),H3134/E3134,"")</f>
        <v/>
      </c>
      <c r="L3134">
        <f>IF(B3134="","",IFERROR(VALUE(TEXT(B3134,"[$-1170401]yyyy")),""))</f>
        <v/>
      </c>
      <c r="M3134">
        <f>IF(B3134="","",IFERROR(VALUE(TEXT(B3134,"[$-1170401]mm")),""))</f>
        <v/>
      </c>
    </row>
    <row r="3135">
      <c r="B3135" s="30" t="n"/>
      <c r="G3135" s="9">
        <f>IF(AND(E3135&lt;&gt;"",E3135&lt;&gt;0,H3135&lt;&gt;""),H3135/E3135,"")</f>
        <v/>
      </c>
      <c r="L3135">
        <f>IF(B3135="","",IFERROR(VALUE(TEXT(B3135,"[$-1170401]yyyy")),""))</f>
        <v/>
      </c>
      <c r="M3135">
        <f>IF(B3135="","",IFERROR(VALUE(TEXT(B3135,"[$-1170401]mm")),""))</f>
        <v/>
      </c>
    </row>
    <row r="3136">
      <c r="B3136" s="30" t="n"/>
      <c r="G3136" s="9">
        <f>IF(AND(E3136&lt;&gt;"",E3136&lt;&gt;0,H3136&lt;&gt;""),H3136/E3136,"")</f>
        <v/>
      </c>
      <c r="L3136">
        <f>IF(B3136="","",IFERROR(VALUE(TEXT(B3136,"[$-1170401]yyyy")),""))</f>
        <v/>
      </c>
      <c r="M3136">
        <f>IF(B3136="","",IFERROR(VALUE(TEXT(B3136,"[$-1170401]mm")),""))</f>
        <v/>
      </c>
    </row>
    <row r="3137">
      <c r="B3137" s="30" t="n"/>
      <c r="G3137" s="9">
        <f>IF(AND(E3137&lt;&gt;"",E3137&lt;&gt;0,H3137&lt;&gt;""),H3137/E3137,"")</f>
        <v/>
      </c>
      <c r="L3137">
        <f>IF(B3137="","",IFERROR(VALUE(TEXT(B3137,"[$-1170401]yyyy")),""))</f>
        <v/>
      </c>
      <c r="M3137">
        <f>IF(B3137="","",IFERROR(VALUE(TEXT(B3137,"[$-1170401]mm")),""))</f>
        <v/>
      </c>
    </row>
    <row r="3138">
      <c r="B3138" s="30" t="n"/>
      <c r="G3138" s="9">
        <f>IF(AND(E3138&lt;&gt;"",E3138&lt;&gt;0,H3138&lt;&gt;""),H3138/E3138,"")</f>
        <v/>
      </c>
      <c r="L3138">
        <f>IF(B3138="","",IFERROR(VALUE(TEXT(B3138,"[$-1170401]yyyy")),""))</f>
        <v/>
      </c>
      <c r="M3138">
        <f>IF(B3138="","",IFERROR(VALUE(TEXT(B3138,"[$-1170401]mm")),""))</f>
        <v/>
      </c>
    </row>
    <row r="3139">
      <c r="B3139" s="30" t="n"/>
      <c r="G3139" s="9">
        <f>IF(AND(E3139&lt;&gt;"",E3139&lt;&gt;0,H3139&lt;&gt;""),H3139/E3139,"")</f>
        <v/>
      </c>
      <c r="L3139">
        <f>IF(B3139="","",IFERROR(VALUE(TEXT(B3139,"[$-1170401]yyyy")),""))</f>
        <v/>
      </c>
      <c r="M3139">
        <f>IF(B3139="","",IFERROR(VALUE(TEXT(B3139,"[$-1170401]mm")),""))</f>
        <v/>
      </c>
    </row>
    <row r="3140">
      <c r="B3140" s="30" t="n"/>
      <c r="G3140" s="9">
        <f>IF(AND(E3140&lt;&gt;"",E3140&lt;&gt;0,H3140&lt;&gt;""),H3140/E3140,"")</f>
        <v/>
      </c>
      <c r="L3140">
        <f>IF(B3140="","",IFERROR(VALUE(TEXT(B3140,"[$-1170401]yyyy")),""))</f>
        <v/>
      </c>
      <c r="M3140">
        <f>IF(B3140="","",IFERROR(VALUE(TEXT(B3140,"[$-1170401]mm")),""))</f>
        <v/>
      </c>
    </row>
    <row r="3141">
      <c r="B3141" s="30" t="n"/>
      <c r="G3141" s="9">
        <f>IF(AND(E3141&lt;&gt;"",E3141&lt;&gt;0,H3141&lt;&gt;""),H3141/E3141,"")</f>
        <v/>
      </c>
      <c r="L3141">
        <f>IF(B3141="","",IFERROR(VALUE(TEXT(B3141,"[$-1170401]yyyy")),""))</f>
        <v/>
      </c>
      <c r="M3141">
        <f>IF(B3141="","",IFERROR(VALUE(TEXT(B3141,"[$-1170401]mm")),""))</f>
        <v/>
      </c>
    </row>
    <row r="3142">
      <c r="B3142" s="30" t="n"/>
      <c r="G3142" s="9">
        <f>IF(AND(E3142&lt;&gt;"",E3142&lt;&gt;0,H3142&lt;&gt;""),H3142/E3142,"")</f>
        <v/>
      </c>
      <c r="L3142">
        <f>IF(B3142="","",IFERROR(VALUE(TEXT(B3142,"[$-1170401]yyyy")),""))</f>
        <v/>
      </c>
      <c r="M3142">
        <f>IF(B3142="","",IFERROR(VALUE(TEXT(B3142,"[$-1170401]mm")),""))</f>
        <v/>
      </c>
    </row>
    <row r="3143">
      <c r="B3143" s="30" t="n"/>
      <c r="G3143" s="9">
        <f>IF(AND(E3143&lt;&gt;"",E3143&lt;&gt;0,H3143&lt;&gt;""),H3143/E3143,"")</f>
        <v/>
      </c>
      <c r="L3143">
        <f>IF(B3143="","",IFERROR(VALUE(TEXT(B3143,"[$-1170401]yyyy")),""))</f>
        <v/>
      </c>
      <c r="M3143">
        <f>IF(B3143="","",IFERROR(VALUE(TEXT(B3143,"[$-1170401]mm")),""))</f>
        <v/>
      </c>
    </row>
    <row r="3144">
      <c r="B3144" s="30" t="n"/>
      <c r="G3144" s="9">
        <f>IF(AND(E3144&lt;&gt;"",E3144&lt;&gt;0,H3144&lt;&gt;""),H3144/E3144,"")</f>
        <v/>
      </c>
      <c r="L3144">
        <f>IF(B3144="","",IFERROR(VALUE(TEXT(B3144,"[$-1170401]yyyy")),""))</f>
        <v/>
      </c>
      <c r="M3144">
        <f>IF(B3144="","",IFERROR(VALUE(TEXT(B3144,"[$-1170401]mm")),""))</f>
        <v/>
      </c>
    </row>
    <row r="3145">
      <c r="B3145" s="30" t="n"/>
      <c r="G3145" s="9">
        <f>IF(AND(E3145&lt;&gt;"",E3145&lt;&gt;0,H3145&lt;&gt;""),H3145/E3145,"")</f>
        <v/>
      </c>
      <c r="L3145">
        <f>IF(B3145="","",IFERROR(VALUE(TEXT(B3145,"[$-1170401]yyyy")),""))</f>
        <v/>
      </c>
      <c r="M3145">
        <f>IF(B3145="","",IFERROR(VALUE(TEXT(B3145,"[$-1170401]mm")),""))</f>
        <v/>
      </c>
    </row>
    <row r="3146">
      <c r="B3146" s="30" t="n"/>
      <c r="G3146" s="9">
        <f>IF(AND(E3146&lt;&gt;"",E3146&lt;&gt;0,H3146&lt;&gt;""),H3146/E3146,"")</f>
        <v/>
      </c>
      <c r="L3146">
        <f>IF(B3146="","",IFERROR(VALUE(TEXT(B3146,"[$-1170401]yyyy")),""))</f>
        <v/>
      </c>
      <c r="M3146">
        <f>IF(B3146="","",IFERROR(VALUE(TEXT(B3146,"[$-1170401]mm")),""))</f>
        <v/>
      </c>
    </row>
    <row r="3147">
      <c r="B3147" s="30" t="n"/>
      <c r="G3147" s="9">
        <f>IF(AND(E3147&lt;&gt;"",E3147&lt;&gt;0,H3147&lt;&gt;""),H3147/E3147,"")</f>
        <v/>
      </c>
      <c r="L3147">
        <f>IF(B3147="","",IFERROR(VALUE(TEXT(B3147,"[$-1170401]yyyy")),""))</f>
        <v/>
      </c>
      <c r="M3147">
        <f>IF(B3147="","",IFERROR(VALUE(TEXT(B3147,"[$-1170401]mm")),""))</f>
        <v/>
      </c>
    </row>
    <row r="3148">
      <c r="B3148" s="30" t="n"/>
      <c r="G3148" s="9">
        <f>IF(AND(E3148&lt;&gt;"",E3148&lt;&gt;0,H3148&lt;&gt;""),H3148/E3148,"")</f>
        <v/>
      </c>
      <c r="L3148">
        <f>IF(B3148="","",IFERROR(VALUE(TEXT(B3148,"[$-1170401]yyyy")),""))</f>
        <v/>
      </c>
      <c r="M3148">
        <f>IF(B3148="","",IFERROR(VALUE(TEXT(B3148,"[$-1170401]mm")),""))</f>
        <v/>
      </c>
    </row>
    <row r="3149">
      <c r="B3149" s="30" t="n"/>
      <c r="G3149" s="9">
        <f>IF(AND(E3149&lt;&gt;"",E3149&lt;&gt;0,H3149&lt;&gt;""),H3149/E3149,"")</f>
        <v/>
      </c>
      <c r="L3149">
        <f>IF(B3149="","",IFERROR(VALUE(TEXT(B3149,"[$-1170401]yyyy")),""))</f>
        <v/>
      </c>
      <c r="M3149">
        <f>IF(B3149="","",IFERROR(VALUE(TEXT(B3149,"[$-1170401]mm")),""))</f>
        <v/>
      </c>
    </row>
    <row r="3150">
      <c r="B3150" s="30" t="n"/>
      <c r="G3150" s="9">
        <f>IF(AND(E3150&lt;&gt;"",E3150&lt;&gt;0,H3150&lt;&gt;""),H3150/E3150,"")</f>
        <v/>
      </c>
      <c r="L3150">
        <f>IF(B3150="","",IFERROR(VALUE(TEXT(B3150,"[$-1170401]yyyy")),""))</f>
        <v/>
      </c>
      <c r="M3150">
        <f>IF(B3150="","",IFERROR(VALUE(TEXT(B3150,"[$-1170401]mm")),""))</f>
        <v/>
      </c>
    </row>
    <row r="3151">
      <c r="B3151" s="30" t="n"/>
      <c r="G3151" s="9">
        <f>IF(AND(E3151&lt;&gt;"",E3151&lt;&gt;0,H3151&lt;&gt;""),H3151/E3151,"")</f>
        <v/>
      </c>
      <c r="L3151">
        <f>IF(B3151="","",IFERROR(VALUE(TEXT(B3151,"[$-1170401]yyyy")),""))</f>
        <v/>
      </c>
      <c r="M3151">
        <f>IF(B3151="","",IFERROR(VALUE(TEXT(B3151,"[$-1170401]mm")),""))</f>
        <v/>
      </c>
    </row>
    <row r="3152">
      <c r="B3152" s="30" t="n"/>
      <c r="G3152" s="9">
        <f>IF(AND(E3152&lt;&gt;"",E3152&lt;&gt;0,H3152&lt;&gt;""),H3152/E3152,"")</f>
        <v/>
      </c>
      <c r="L3152">
        <f>IF(B3152="","",IFERROR(VALUE(TEXT(B3152,"[$-1170401]yyyy")),""))</f>
        <v/>
      </c>
      <c r="M3152">
        <f>IF(B3152="","",IFERROR(VALUE(TEXT(B3152,"[$-1170401]mm")),""))</f>
        <v/>
      </c>
    </row>
    <row r="3153">
      <c r="B3153" s="30" t="n"/>
      <c r="G3153" s="9">
        <f>IF(AND(E3153&lt;&gt;"",E3153&lt;&gt;0,H3153&lt;&gt;""),H3153/E3153,"")</f>
        <v/>
      </c>
      <c r="L3153">
        <f>IF(B3153="","",IFERROR(VALUE(TEXT(B3153,"[$-1170401]yyyy")),""))</f>
        <v/>
      </c>
      <c r="M3153">
        <f>IF(B3153="","",IFERROR(VALUE(TEXT(B3153,"[$-1170401]mm")),""))</f>
        <v/>
      </c>
    </row>
    <row r="3154">
      <c r="B3154" s="30" t="n"/>
      <c r="G3154" s="9">
        <f>IF(AND(E3154&lt;&gt;"",E3154&lt;&gt;0,H3154&lt;&gt;""),H3154/E3154,"")</f>
        <v/>
      </c>
      <c r="L3154">
        <f>IF(B3154="","",IFERROR(VALUE(TEXT(B3154,"[$-1170401]yyyy")),""))</f>
        <v/>
      </c>
      <c r="M3154">
        <f>IF(B3154="","",IFERROR(VALUE(TEXT(B3154,"[$-1170401]mm")),""))</f>
        <v/>
      </c>
    </row>
    <row r="3155">
      <c r="B3155" s="30" t="n"/>
      <c r="G3155" s="9">
        <f>IF(AND(E3155&lt;&gt;"",E3155&lt;&gt;0,H3155&lt;&gt;""),H3155/E3155,"")</f>
        <v/>
      </c>
      <c r="L3155">
        <f>IF(B3155="","",IFERROR(VALUE(TEXT(B3155,"[$-1170401]yyyy")),""))</f>
        <v/>
      </c>
      <c r="M3155">
        <f>IF(B3155="","",IFERROR(VALUE(TEXT(B3155,"[$-1170401]mm")),""))</f>
        <v/>
      </c>
    </row>
    <row r="3156">
      <c r="B3156" s="30" t="n"/>
      <c r="G3156" s="9">
        <f>IF(AND(E3156&lt;&gt;"",E3156&lt;&gt;0,H3156&lt;&gt;""),H3156/E3156,"")</f>
        <v/>
      </c>
      <c r="L3156">
        <f>IF(B3156="","",IFERROR(VALUE(TEXT(B3156,"[$-1170401]yyyy")),""))</f>
        <v/>
      </c>
      <c r="M3156">
        <f>IF(B3156="","",IFERROR(VALUE(TEXT(B3156,"[$-1170401]mm")),""))</f>
        <v/>
      </c>
    </row>
    <row r="3157">
      <c r="B3157" s="30" t="n"/>
      <c r="G3157" s="9">
        <f>IF(AND(E3157&lt;&gt;"",E3157&lt;&gt;0,H3157&lt;&gt;""),H3157/E3157,"")</f>
        <v/>
      </c>
      <c r="L3157">
        <f>IF(B3157="","",IFERROR(VALUE(TEXT(B3157,"[$-1170401]yyyy")),""))</f>
        <v/>
      </c>
      <c r="M3157">
        <f>IF(B3157="","",IFERROR(VALUE(TEXT(B3157,"[$-1170401]mm")),""))</f>
        <v/>
      </c>
    </row>
    <row r="3158">
      <c r="B3158" s="30" t="n"/>
      <c r="G3158" s="9">
        <f>IF(AND(E3158&lt;&gt;"",E3158&lt;&gt;0,H3158&lt;&gt;""),H3158/E3158,"")</f>
        <v/>
      </c>
      <c r="L3158">
        <f>IF(B3158="","",IFERROR(VALUE(TEXT(B3158,"[$-1170401]yyyy")),""))</f>
        <v/>
      </c>
      <c r="M3158">
        <f>IF(B3158="","",IFERROR(VALUE(TEXT(B3158,"[$-1170401]mm")),""))</f>
        <v/>
      </c>
    </row>
    <row r="3159">
      <c r="B3159" s="30" t="n"/>
      <c r="G3159" s="9">
        <f>IF(AND(E3159&lt;&gt;"",E3159&lt;&gt;0,H3159&lt;&gt;""),H3159/E3159,"")</f>
        <v/>
      </c>
      <c r="L3159">
        <f>IF(B3159="","",IFERROR(VALUE(TEXT(B3159,"[$-1170401]yyyy")),""))</f>
        <v/>
      </c>
      <c r="M3159">
        <f>IF(B3159="","",IFERROR(VALUE(TEXT(B3159,"[$-1170401]mm")),""))</f>
        <v/>
      </c>
    </row>
    <row r="3160">
      <c r="B3160" s="30" t="n"/>
      <c r="G3160" s="9">
        <f>IF(AND(E3160&lt;&gt;"",E3160&lt;&gt;0,H3160&lt;&gt;""),H3160/E3160,"")</f>
        <v/>
      </c>
      <c r="L3160">
        <f>IF(B3160="","",IFERROR(VALUE(TEXT(B3160,"[$-1170401]yyyy")),""))</f>
        <v/>
      </c>
      <c r="M3160">
        <f>IF(B3160="","",IFERROR(VALUE(TEXT(B3160,"[$-1170401]mm")),""))</f>
        <v/>
      </c>
    </row>
    <row r="3161">
      <c r="B3161" s="30" t="n"/>
      <c r="G3161" s="9">
        <f>IF(AND(E3161&lt;&gt;"",E3161&lt;&gt;0,H3161&lt;&gt;""),H3161/E3161,"")</f>
        <v/>
      </c>
      <c r="L3161">
        <f>IF(B3161="","",IFERROR(VALUE(TEXT(B3161,"[$-1170401]yyyy")),""))</f>
        <v/>
      </c>
      <c r="M3161">
        <f>IF(B3161="","",IFERROR(VALUE(TEXT(B3161,"[$-1170401]mm")),""))</f>
        <v/>
      </c>
    </row>
    <row r="3162">
      <c r="B3162" s="30" t="n"/>
      <c r="G3162" s="9">
        <f>IF(AND(E3162&lt;&gt;"",E3162&lt;&gt;0,H3162&lt;&gt;""),H3162/E3162,"")</f>
        <v/>
      </c>
      <c r="L3162">
        <f>IF(B3162="","",IFERROR(VALUE(TEXT(B3162,"[$-1170401]yyyy")),""))</f>
        <v/>
      </c>
      <c r="M3162">
        <f>IF(B3162="","",IFERROR(VALUE(TEXT(B3162,"[$-1170401]mm")),""))</f>
        <v/>
      </c>
    </row>
    <row r="3163">
      <c r="B3163" s="30" t="n"/>
      <c r="G3163" s="9">
        <f>IF(AND(E3163&lt;&gt;"",E3163&lt;&gt;0,H3163&lt;&gt;""),H3163/E3163,"")</f>
        <v/>
      </c>
      <c r="L3163">
        <f>IF(B3163="","",IFERROR(VALUE(TEXT(B3163,"[$-1170401]yyyy")),""))</f>
        <v/>
      </c>
      <c r="M3163">
        <f>IF(B3163="","",IFERROR(VALUE(TEXT(B3163,"[$-1170401]mm")),""))</f>
        <v/>
      </c>
    </row>
    <row r="3164">
      <c r="B3164" s="30" t="n"/>
      <c r="G3164" s="9">
        <f>IF(AND(E3164&lt;&gt;"",E3164&lt;&gt;0,H3164&lt;&gt;""),H3164/E3164,"")</f>
        <v/>
      </c>
      <c r="L3164">
        <f>IF(B3164="","",IFERROR(VALUE(TEXT(B3164,"[$-1170401]yyyy")),""))</f>
        <v/>
      </c>
      <c r="M3164">
        <f>IF(B3164="","",IFERROR(VALUE(TEXT(B3164,"[$-1170401]mm")),""))</f>
        <v/>
      </c>
    </row>
    <row r="3165">
      <c r="B3165" s="30" t="n"/>
      <c r="G3165" s="9">
        <f>IF(AND(E3165&lt;&gt;"",E3165&lt;&gt;0,H3165&lt;&gt;""),H3165/E3165,"")</f>
        <v/>
      </c>
      <c r="L3165">
        <f>IF(B3165="","",IFERROR(VALUE(TEXT(B3165,"[$-1170401]yyyy")),""))</f>
        <v/>
      </c>
      <c r="M3165">
        <f>IF(B3165="","",IFERROR(VALUE(TEXT(B3165,"[$-1170401]mm")),""))</f>
        <v/>
      </c>
    </row>
    <row r="3166">
      <c r="B3166" s="30" t="n"/>
      <c r="G3166" s="9">
        <f>IF(AND(E3166&lt;&gt;"",E3166&lt;&gt;0,H3166&lt;&gt;""),H3166/E3166,"")</f>
        <v/>
      </c>
      <c r="L3166">
        <f>IF(B3166="","",IFERROR(VALUE(TEXT(B3166,"[$-1170401]yyyy")),""))</f>
        <v/>
      </c>
      <c r="M3166">
        <f>IF(B3166="","",IFERROR(VALUE(TEXT(B3166,"[$-1170401]mm")),""))</f>
        <v/>
      </c>
    </row>
    <row r="3167">
      <c r="B3167" s="30" t="n"/>
      <c r="G3167" s="9">
        <f>IF(AND(E3167&lt;&gt;"",E3167&lt;&gt;0,H3167&lt;&gt;""),H3167/E3167,"")</f>
        <v/>
      </c>
      <c r="L3167">
        <f>IF(B3167="","",IFERROR(VALUE(TEXT(B3167,"[$-1170401]yyyy")),""))</f>
        <v/>
      </c>
      <c r="M3167">
        <f>IF(B3167="","",IFERROR(VALUE(TEXT(B3167,"[$-1170401]mm")),""))</f>
        <v/>
      </c>
    </row>
    <row r="3168">
      <c r="B3168" s="30" t="n"/>
      <c r="G3168" s="9">
        <f>IF(AND(E3168&lt;&gt;"",E3168&lt;&gt;0,H3168&lt;&gt;""),H3168/E3168,"")</f>
        <v/>
      </c>
      <c r="L3168">
        <f>IF(B3168="","",IFERROR(VALUE(TEXT(B3168,"[$-1170401]yyyy")),""))</f>
        <v/>
      </c>
      <c r="M3168">
        <f>IF(B3168="","",IFERROR(VALUE(TEXT(B3168,"[$-1170401]mm")),""))</f>
        <v/>
      </c>
    </row>
    <row r="3169">
      <c r="B3169" s="30" t="n"/>
      <c r="G3169" s="9">
        <f>IF(AND(E3169&lt;&gt;"",E3169&lt;&gt;0,H3169&lt;&gt;""),H3169/E3169,"")</f>
        <v/>
      </c>
      <c r="L3169">
        <f>IF(B3169="","",IFERROR(VALUE(TEXT(B3169,"[$-1170401]yyyy")),""))</f>
        <v/>
      </c>
      <c r="M3169">
        <f>IF(B3169="","",IFERROR(VALUE(TEXT(B3169,"[$-1170401]mm")),""))</f>
        <v/>
      </c>
    </row>
    <row r="3170">
      <c r="B3170" s="30" t="n"/>
      <c r="G3170" s="9">
        <f>IF(AND(E3170&lt;&gt;"",E3170&lt;&gt;0,H3170&lt;&gt;""),H3170/E3170,"")</f>
        <v/>
      </c>
      <c r="L3170">
        <f>IF(B3170="","",IFERROR(VALUE(TEXT(B3170,"[$-1170401]yyyy")),""))</f>
        <v/>
      </c>
      <c r="M3170">
        <f>IF(B3170="","",IFERROR(VALUE(TEXT(B3170,"[$-1170401]mm")),""))</f>
        <v/>
      </c>
    </row>
    <row r="3171">
      <c r="B3171" s="30" t="n"/>
      <c r="G3171" s="9">
        <f>IF(AND(E3171&lt;&gt;"",E3171&lt;&gt;0,H3171&lt;&gt;""),H3171/E3171,"")</f>
        <v/>
      </c>
      <c r="L3171">
        <f>IF(B3171="","",IFERROR(VALUE(TEXT(B3171,"[$-1170401]yyyy")),""))</f>
        <v/>
      </c>
      <c r="M3171">
        <f>IF(B3171="","",IFERROR(VALUE(TEXT(B3171,"[$-1170401]mm")),""))</f>
        <v/>
      </c>
    </row>
    <row r="3172">
      <c r="B3172" s="30" t="n"/>
      <c r="G3172" s="9">
        <f>IF(AND(E3172&lt;&gt;"",E3172&lt;&gt;0,H3172&lt;&gt;""),H3172/E3172,"")</f>
        <v/>
      </c>
      <c r="L3172">
        <f>IF(B3172="","",IFERROR(VALUE(TEXT(B3172,"[$-1170401]yyyy")),""))</f>
        <v/>
      </c>
      <c r="M3172">
        <f>IF(B3172="","",IFERROR(VALUE(TEXT(B3172,"[$-1170401]mm")),""))</f>
        <v/>
      </c>
    </row>
    <row r="3173">
      <c r="B3173" s="30" t="n"/>
      <c r="G3173" s="9">
        <f>IF(AND(E3173&lt;&gt;"",E3173&lt;&gt;0,H3173&lt;&gt;""),H3173/E3173,"")</f>
        <v/>
      </c>
      <c r="L3173">
        <f>IF(B3173="","",IFERROR(VALUE(TEXT(B3173,"[$-1170401]yyyy")),""))</f>
        <v/>
      </c>
      <c r="M3173">
        <f>IF(B3173="","",IFERROR(VALUE(TEXT(B3173,"[$-1170401]mm")),""))</f>
        <v/>
      </c>
    </row>
    <row r="3174">
      <c r="B3174" s="30" t="n"/>
      <c r="G3174" s="9">
        <f>IF(AND(E3174&lt;&gt;"",E3174&lt;&gt;0,H3174&lt;&gt;""),H3174/E3174,"")</f>
        <v/>
      </c>
      <c r="L3174">
        <f>IF(B3174="","",IFERROR(VALUE(TEXT(B3174,"[$-1170401]yyyy")),""))</f>
        <v/>
      </c>
      <c r="M3174">
        <f>IF(B3174="","",IFERROR(VALUE(TEXT(B3174,"[$-1170401]mm")),""))</f>
        <v/>
      </c>
    </row>
    <row r="3175">
      <c r="B3175" s="30" t="n"/>
      <c r="G3175" s="9">
        <f>IF(AND(E3175&lt;&gt;"",E3175&lt;&gt;0,H3175&lt;&gt;""),H3175/E3175,"")</f>
        <v/>
      </c>
      <c r="L3175">
        <f>IF(B3175="","",IFERROR(VALUE(TEXT(B3175,"[$-1170401]yyyy")),""))</f>
        <v/>
      </c>
      <c r="M3175">
        <f>IF(B3175="","",IFERROR(VALUE(TEXT(B3175,"[$-1170401]mm")),""))</f>
        <v/>
      </c>
    </row>
    <row r="3176">
      <c r="B3176" s="30" t="n"/>
      <c r="G3176" s="9">
        <f>IF(AND(E3176&lt;&gt;"",E3176&lt;&gt;0,H3176&lt;&gt;""),H3176/E3176,"")</f>
        <v/>
      </c>
      <c r="L3176">
        <f>IF(B3176="","",IFERROR(VALUE(TEXT(B3176,"[$-1170401]yyyy")),""))</f>
        <v/>
      </c>
      <c r="M3176">
        <f>IF(B3176="","",IFERROR(VALUE(TEXT(B3176,"[$-1170401]mm")),""))</f>
        <v/>
      </c>
    </row>
    <row r="3177">
      <c r="B3177" s="30" t="n"/>
      <c r="G3177" s="9">
        <f>IF(AND(E3177&lt;&gt;"",E3177&lt;&gt;0,H3177&lt;&gt;""),H3177/E3177,"")</f>
        <v/>
      </c>
      <c r="L3177">
        <f>IF(B3177="","",IFERROR(VALUE(TEXT(B3177,"[$-1170401]yyyy")),""))</f>
        <v/>
      </c>
      <c r="M3177">
        <f>IF(B3177="","",IFERROR(VALUE(TEXT(B3177,"[$-1170401]mm")),""))</f>
        <v/>
      </c>
    </row>
    <row r="3178">
      <c r="B3178" s="30" t="n"/>
      <c r="G3178" s="9">
        <f>IF(AND(E3178&lt;&gt;"",E3178&lt;&gt;0,H3178&lt;&gt;""),H3178/E3178,"")</f>
        <v/>
      </c>
      <c r="L3178">
        <f>IF(B3178="","",IFERROR(VALUE(TEXT(B3178,"[$-1170401]yyyy")),""))</f>
        <v/>
      </c>
      <c r="M3178">
        <f>IF(B3178="","",IFERROR(VALUE(TEXT(B3178,"[$-1170401]mm")),""))</f>
        <v/>
      </c>
    </row>
    <row r="3179">
      <c r="B3179" s="30" t="n"/>
      <c r="G3179" s="9">
        <f>IF(AND(E3179&lt;&gt;"",E3179&lt;&gt;0,H3179&lt;&gt;""),H3179/E3179,"")</f>
        <v/>
      </c>
      <c r="L3179">
        <f>IF(B3179="","",IFERROR(VALUE(TEXT(B3179,"[$-1170401]yyyy")),""))</f>
        <v/>
      </c>
      <c r="M3179">
        <f>IF(B3179="","",IFERROR(VALUE(TEXT(B3179,"[$-1170401]mm")),""))</f>
        <v/>
      </c>
    </row>
    <row r="3180">
      <c r="B3180" s="30" t="n"/>
      <c r="G3180" s="9">
        <f>IF(AND(E3180&lt;&gt;"",E3180&lt;&gt;0,H3180&lt;&gt;""),H3180/E3180,"")</f>
        <v/>
      </c>
      <c r="L3180">
        <f>IF(B3180="","",IFERROR(VALUE(TEXT(B3180,"[$-1170401]yyyy")),""))</f>
        <v/>
      </c>
      <c r="M3180">
        <f>IF(B3180="","",IFERROR(VALUE(TEXT(B3180,"[$-1170401]mm")),""))</f>
        <v/>
      </c>
    </row>
    <row r="3181">
      <c r="B3181" s="30" t="n"/>
      <c r="G3181" s="9">
        <f>IF(AND(E3181&lt;&gt;"",E3181&lt;&gt;0,H3181&lt;&gt;""),H3181/E3181,"")</f>
        <v/>
      </c>
      <c r="L3181">
        <f>IF(B3181="","",IFERROR(VALUE(TEXT(B3181,"[$-1170401]yyyy")),""))</f>
        <v/>
      </c>
      <c r="M3181">
        <f>IF(B3181="","",IFERROR(VALUE(TEXT(B3181,"[$-1170401]mm")),""))</f>
        <v/>
      </c>
    </row>
    <row r="3182">
      <c r="B3182" s="30" t="n"/>
      <c r="G3182" s="9">
        <f>IF(AND(E3182&lt;&gt;"",E3182&lt;&gt;0,H3182&lt;&gt;""),H3182/E3182,"")</f>
        <v/>
      </c>
      <c r="L3182">
        <f>IF(B3182="","",IFERROR(VALUE(TEXT(B3182,"[$-1170401]yyyy")),""))</f>
        <v/>
      </c>
      <c r="M3182">
        <f>IF(B3182="","",IFERROR(VALUE(TEXT(B3182,"[$-1170401]mm")),""))</f>
        <v/>
      </c>
    </row>
    <row r="3183">
      <c r="B3183" s="30" t="n"/>
      <c r="G3183" s="9">
        <f>IF(AND(E3183&lt;&gt;"",E3183&lt;&gt;0,H3183&lt;&gt;""),H3183/E3183,"")</f>
        <v/>
      </c>
      <c r="L3183">
        <f>IF(B3183="","",IFERROR(VALUE(TEXT(B3183,"[$-1170401]yyyy")),""))</f>
        <v/>
      </c>
      <c r="M3183">
        <f>IF(B3183="","",IFERROR(VALUE(TEXT(B3183,"[$-1170401]mm")),""))</f>
        <v/>
      </c>
    </row>
    <row r="3184">
      <c r="B3184" s="30" t="n"/>
      <c r="G3184" s="9">
        <f>IF(AND(E3184&lt;&gt;"",E3184&lt;&gt;0,H3184&lt;&gt;""),H3184/E3184,"")</f>
        <v/>
      </c>
      <c r="L3184">
        <f>IF(B3184="","",IFERROR(VALUE(TEXT(B3184,"[$-1170401]yyyy")),""))</f>
        <v/>
      </c>
      <c r="M3184">
        <f>IF(B3184="","",IFERROR(VALUE(TEXT(B3184,"[$-1170401]mm")),""))</f>
        <v/>
      </c>
    </row>
    <row r="3185">
      <c r="B3185" s="30" t="n"/>
      <c r="G3185" s="9">
        <f>IF(AND(E3185&lt;&gt;"",E3185&lt;&gt;0,H3185&lt;&gt;""),H3185/E3185,"")</f>
        <v/>
      </c>
      <c r="L3185">
        <f>IF(B3185="","",IFERROR(VALUE(TEXT(B3185,"[$-1170401]yyyy")),""))</f>
        <v/>
      </c>
      <c r="M3185">
        <f>IF(B3185="","",IFERROR(VALUE(TEXT(B3185,"[$-1170401]mm")),""))</f>
        <v/>
      </c>
    </row>
    <row r="3186">
      <c r="B3186" s="30" t="n"/>
      <c r="G3186" s="9">
        <f>IF(AND(E3186&lt;&gt;"",E3186&lt;&gt;0,H3186&lt;&gt;""),H3186/E3186,"")</f>
        <v/>
      </c>
      <c r="L3186">
        <f>IF(B3186="","",IFERROR(VALUE(TEXT(B3186,"[$-1170401]yyyy")),""))</f>
        <v/>
      </c>
      <c r="M3186">
        <f>IF(B3186="","",IFERROR(VALUE(TEXT(B3186,"[$-1170401]mm")),""))</f>
        <v/>
      </c>
    </row>
    <row r="3187">
      <c r="B3187" s="30" t="n"/>
      <c r="G3187" s="9">
        <f>IF(AND(E3187&lt;&gt;"",E3187&lt;&gt;0,H3187&lt;&gt;""),H3187/E3187,"")</f>
        <v/>
      </c>
      <c r="L3187">
        <f>IF(B3187="","",IFERROR(VALUE(TEXT(B3187,"[$-1170401]yyyy")),""))</f>
        <v/>
      </c>
      <c r="M3187">
        <f>IF(B3187="","",IFERROR(VALUE(TEXT(B3187,"[$-1170401]mm")),""))</f>
        <v/>
      </c>
    </row>
    <row r="3188">
      <c r="B3188" s="30" t="n"/>
      <c r="G3188" s="9">
        <f>IF(AND(E3188&lt;&gt;"",E3188&lt;&gt;0,H3188&lt;&gt;""),H3188/E3188,"")</f>
        <v/>
      </c>
      <c r="L3188">
        <f>IF(B3188="","",IFERROR(VALUE(TEXT(B3188,"[$-1170401]yyyy")),""))</f>
        <v/>
      </c>
      <c r="M3188">
        <f>IF(B3188="","",IFERROR(VALUE(TEXT(B3188,"[$-1170401]mm")),""))</f>
        <v/>
      </c>
    </row>
    <row r="3189">
      <c r="B3189" s="30" t="n"/>
      <c r="G3189" s="9">
        <f>IF(AND(E3189&lt;&gt;"",E3189&lt;&gt;0,H3189&lt;&gt;""),H3189/E3189,"")</f>
        <v/>
      </c>
      <c r="L3189">
        <f>IF(B3189="","",IFERROR(VALUE(TEXT(B3189,"[$-1170401]yyyy")),""))</f>
        <v/>
      </c>
      <c r="M3189">
        <f>IF(B3189="","",IFERROR(VALUE(TEXT(B3189,"[$-1170401]mm")),""))</f>
        <v/>
      </c>
    </row>
    <row r="3190">
      <c r="B3190" s="30" t="n"/>
      <c r="G3190" s="9">
        <f>IF(AND(E3190&lt;&gt;"",E3190&lt;&gt;0,H3190&lt;&gt;""),H3190/E3190,"")</f>
        <v/>
      </c>
      <c r="L3190">
        <f>IF(B3190="","",IFERROR(VALUE(TEXT(B3190,"[$-1170401]yyyy")),""))</f>
        <v/>
      </c>
      <c r="M3190">
        <f>IF(B3190="","",IFERROR(VALUE(TEXT(B3190,"[$-1170401]mm")),""))</f>
        <v/>
      </c>
    </row>
    <row r="3191">
      <c r="B3191" s="30" t="n"/>
      <c r="G3191" s="9">
        <f>IF(AND(E3191&lt;&gt;"",E3191&lt;&gt;0,H3191&lt;&gt;""),H3191/E3191,"")</f>
        <v/>
      </c>
      <c r="L3191">
        <f>IF(B3191="","",IFERROR(VALUE(TEXT(B3191,"[$-1170401]yyyy")),""))</f>
        <v/>
      </c>
      <c r="M3191">
        <f>IF(B3191="","",IFERROR(VALUE(TEXT(B3191,"[$-1170401]mm")),""))</f>
        <v/>
      </c>
    </row>
    <row r="3192">
      <c r="B3192" s="30" t="n"/>
      <c r="G3192" s="9">
        <f>IF(AND(E3192&lt;&gt;"",E3192&lt;&gt;0,H3192&lt;&gt;""),H3192/E3192,"")</f>
        <v/>
      </c>
      <c r="L3192">
        <f>IF(B3192="","",IFERROR(VALUE(TEXT(B3192,"[$-1170401]yyyy")),""))</f>
        <v/>
      </c>
      <c r="M3192">
        <f>IF(B3192="","",IFERROR(VALUE(TEXT(B3192,"[$-1170401]mm")),""))</f>
        <v/>
      </c>
    </row>
    <row r="3193">
      <c r="B3193" s="30" t="n"/>
      <c r="G3193" s="9">
        <f>IF(AND(E3193&lt;&gt;"",E3193&lt;&gt;0,H3193&lt;&gt;""),H3193/E3193,"")</f>
        <v/>
      </c>
      <c r="L3193">
        <f>IF(B3193="","",IFERROR(VALUE(TEXT(B3193,"[$-1170401]yyyy")),""))</f>
        <v/>
      </c>
      <c r="M3193">
        <f>IF(B3193="","",IFERROR(VALUE(TEXT(B3193,"[$-1170401]mm")),""))</f>
        <v/>
      </c>
    </row>
    <row r="3194">
      <c r="B3194" s="30" t="n"/>
      <c r="G3194" s="9">
        <f>IF(AND(E3194&lt;&gt;"",E3194&lt;&gt;0,H3194&lt;&gt;""),H3194/E3194,"")</f>
        <v/>
      </c>
      <c r="L3194">
        <f>IF(B3194="","",IFERROR(VALUE(TEXT(B3194,"[$-1170401]yyyy")),""))</f>
        <v/>
      </c>
      <c r="M3194">
        <f>IF(B3194="","",IFERROR(VALUE(TEXT(B3194,"[$-1170401]mm")),""))</f>
        <v/>
      </c>
    </row>
    <row r="3195">
      <c r="B3195" s="30" t="n"/>
      <c r="G3195" s="9">
        <f>IF(AND(E3195&lt;&gt;"",E3195&lt;&gt;0,H3195&lt;&gt;""),H3195/E3195,"")</f>
        <v/>
      </c>
      <c r="L3195">
        <f>IF(B3195="","",IFERROR(VALUE(TEXT(B3195,"[$-1170401]yyyy")),""))</f>
        <v/>
      </c>
      <c r="M3195">
        <f>IF(B3195="","",IFERROR(VALUE(TEXT(B3195,"[$-1170401]mm")),""))</f>
        <v/>
      </c>
    </row>
    <row r="3196">
      <c r="B3196" s="30" t="n"/>
      <c r="G3196" s="9">
        <f>IF(AND(E3196&lt;&gt;"",E3196&lt;&gt;0,H3196&lt;&gt;""),H3196/E3196,"")</f>
        <v/>
      </c>
      <c r="L3196">
        <f>IF(B3196="","",IFERROR(VALUE(TEXT(B3196,"[$-1170401]yyyy")),""))</f>
        <v/>
      </c>
      <c r="M3196">
        <f>IF(B3196="","",IFERROR(VALUE(TEXT(B3196,"[$-1170401]mm")),""))</f>
        <v/>
      </c>
    </row>
    <row r="3197">
      <c r="B3197" s="30" t="n"/>
      <c r="G3197" s="9">
        <f>IF(AND(E3197&lt;&gt;"",E3197&lt;&gt;0,H3197&lt;&gt;""),H3197/E3197,"")</f>
        <v/>
      </c>
      <c r="L3197">
        <f>IF(B3197="","",IFERROR(VALUE(TEXT(B3197,"[$-1170401]yyyy")),""))</f>
        <v/>
      </c>
      <c r="M3197">
        <f>IF(B3197="","",IFERROR(VALUE(TEXT(B3197,"[$-1170401]mm")),""))</f>
        <v/>
      </c>
    </row>
    <row r="3198">
      <c r="B3198" s="30" t="n"/>
      <c r="G3198" s="9">
        <f>IF(AND(E3198&lt;&gt;"",E3198&lt;&gt;0,H3198&lt;&gt;""),H3198/E3198,"")</f>
        <v/>
      </c>
      <c r="L3198">
        <f>IF(B3198="","",IFERROR(VALUE(TEXT(B3198,"[$-1170401]yyyy")),""))</f>
        <v/>
      </c>
      <c r="M3198">
        <f>IF(B3198="","",IFERROR(VALUE(TEXT(B3198,"[$-1170401]mm")),""))</f>
        <v/>
      </c>
    </row>
    <row r="3199">
      <c r="B3199" s="30" t="n"/>
      <c r="G3199" s="9">
        <f>IF(AND(E3199&lt;&gt;"",E3199&lt;&gt;0,H3199&lt;&gt;""),H3199/E3199,"")</f>
        <v/>
      </c>
      <c r="L3199">
        <f>IF(B3199="","",IFERROR(VALUE(TEXT(B3199,"[$-1170401]yyyy")),""))</f>
        <v/>
      </c>
      <c r="M3199">
        <f>IF(B3199="","",IFERROR(VALUE(TEXT(B3199,"[$-1170401]mm")),""))</f>
        <v/>
      </c>
    </row>
    <row r="3200">
      <c r="B3200" s="30" t="n"/>
      <c r="G3200" s="9">
        <f>IF(AND(E3200&lt;&gt;"",E3200&lt;&gt;0,H3200&lt;&gt;""),H3200/E3200,"")</f>
        <v/>
      </c>
      <c r="L3200">
        <f>IF(B3200="","",IFERROR(VALUE(TEXT(B3200,"[$-1170401]yyyy")),""))</f>
        <v/>
      </c>
      <c r="M3200">
        <f>IF(B3200="","",IFERROR(VALUE(TEXT(B3200,"[$-1170401]mm")),""))</f>
        <v/>
      </c>
    </row>
    <row r="3201">
      <c r="B3201" s="30" t="n"/>
      <c r="G3201" s="9">
        <f>IF(AND(E3201&lt;&gt;"",E3201&lt;&gt;0,H3201&lt;&gt;""),H3201/E3201,"")</f>
        <v/>
      </c>
      <c r="L3201">
        <f>IF(B3201="","",IFERROR(VALUE(TEXT(B3201,"[$-1170401]yyyy")),""))</f>
        <v/>
      </c>
      <c r="M3201">
        <f>IF(B3201="","",IFERROR(VALUE(TEXT(B3201,"[$-1170401]mm")),""))</f>
        <v/>
      </c>
    </row>
    <row r="3202">
      <c r="B3202" s="30" t="n"/>
      <c r="G3202" s="9">
        <f>IF(AND(E3202&lt;&gt;"",E3202&lt;&gt;0,H3202&lt;&gt;""),H3202/E3202,"")</f>
        <v/>
      </c>
      <c r="L3202">
        <f>IF(B3202="","",IFERROR(VALUE(TEXT(B3202,"[$-1170401]yyyy")),""))</f>
        <v/>
      </c>
      <c r="M3202">
        <f>IF(B3202="","",IFERROR(VALUE(TEXT(B3202,"[$-1170401]mm")),""))</f>
        <v/>
      </c>
    </row>
    <row r="3203">
      <c r="B3203" s="30" t="n"/>
      <c r="G3203" s="9">
        <f>IF(AND(E3203&lt;&gt;"",E3203&lt;&gt;0,H3203&lt;&gt;""),H3203/E3203,"")</f>
        <v/>
      </c>
      <c r="L3203">
        <f>IF(B3203="","",IFERROR(VALUE(TEXT(B3203,"[$-1170401]yyyy")),""))</f>
        <v/>
      </c>
      <c r="M3203">
        <f>IF(B3203="","",IFERROR(VALUE(TEXT(B3203,"[$-1170401]mm")),""))</f>
        <v/>
      </c>
    </row>
    <row r="3204">
      <c r="B3204" s="30" t="n"/>
      <c r="G3204" s="9">
        <f>IF(AND(E3204&lt;&gt;"",E3204&lt;&gt;0,H3204&lt;&gt;""),H3204/E3204,"")</f>
        <v/>
      </c>
      <c r="L3204">
        <f>IF(B3204="","",IFERROR(VALUE(TEXT(B3204,"[$-1170401]yyyy")),""))</f>
        <v/>
      </c>
      <c r="M3204">
        <f>IF(B3204="","",IFERROR(VALUE(TEXT(B3204,"[$-1170401]mm")),""))</f>
        <v/>
      </c>
    </row>
    <row r="3205">
      <c r="B3205" s="30" t="n"/>
      <c r="G3205" s="9">
        <f>IF(AND(E3205&lt;&gt;"",E3205&lt;&gt;0,H3205&lt;&gt;""),H3205/E3205,"")</f>
        <v/>
      </c>
      <c r="L3205">
        <f>IF(B3205="","",IFERROR(VALUE(TEXT(B3205,"[$-1170401]yyyy")),""))</f>
        <v/>
      </c>
      <c r="M3205">
        <f>IF(B3205="","",IFERROR(VALUE(TEXT(B3205,"[$-1170401]mm")),""))</f>
        <v/>
      </c>
    </row>
    <row r="3206">
      <c r="B3206" s="30" t="n"/>
      <c r="G3206" s="9">
        <f>IF(AND(E3206&lt;&gt;"",E3206&lt;&gt;0,H3206&lt;&gt;""),H3206/E3206,"")</f>
        <v/>
      </c>
      <c r="L3206">
        <f>IF(B3206="","",IFERROR(VALUE(TEXT(B3206,"[$-1170401]yyyy")),""))</f>
        <v/>
      </c>
      <c r="M3206">
        <f>IF(B3206="","",IFERROR(VALUE(TEXT(B3206,"[$-1170401]mm")),""))</f>
        <v/>
      </c>
    </row>
    <row r="3207">
      <c r="B3207" s="30" t="n"/>
      <c r="G3207" s="9">
        <f>IF(AND(E3207&lt;&gt;"",E3207&lt;&gt;0,H3207&lt;&gt;""),H3207/E3207,"")</f>
        <v/>
      </c>
      <c r="L3207">
        <f>IF(B3207="","",IFERROR(VALUE(TEXT(B3207,"[$-1170401]yyyy")),""))</f>
        <v/>
      </c>
      <c r="M3207">
        <f>IF(B3207="","",IFERROR(VALUE(TEXT(B3207,"[$-1170401]mm")),""))</f>
        <v/>
      </c>
    </row>
    <row r="3208">
      <c r="B3208" s="30" t="n"/>
      <c r="G3208" s="9">
        <f>IF(AND(E3208&lt;&gt;"",E3208&lt;&gt;0,H3208&lt;&gt;""),H3208/E3208,"")</f>
        <v/>
      </c>
      <c r="L3208">
        <f>IF(B3208="","",IFERROR(VALUE(TEXT(B3208,"[$-1170401]yyyy")),""))</f>
        <v/>
      </c>
      <c r="M3208">
        <f>IF(B3208="","",IFERROR(VALUE(TEXT(B3208,"[$-1170401]mm")),""))</f>
        <v/>
      </c>
    </row>
    <row r="3209">
      <c r="B3209" s="30" t="n"/>
      <c r="G3209" s="9">
        <f>IF(AND(E3209&lt;&gt;"",E3209&lt;&gt;0,H3209&lt;&gt;""),H3209/E3209,"")</f>
        <v/>
      </c>
      <c r="L3209">
        <f>IF(B3209="","",IFERROR(VALUE(TEXT(B3209,"[$-1170401]yyyy")),""))</f>
        <v/>
      </c>
      <c r="M3209">
        <f>IF(B3209="","",IFERROR(VALUE(TEXT(B3209,"[$-1170401]mm")),""))</f>
        <v/>
      </c>
    </row>
    <row r="3210">
      <c r="B3210" s="30" t="n"/>
      <c r="G3210" s="9">
        <f>IF(AND(E3210&lt;&gt;"",E3210&lt;&gt;0,H3210&lt;&gt;""),H3210/E3210,"")</f>
        <v/>
      </c>
      <c r="L3210">
        <f>IF(B3210="","",IFERROR(VALUE(TEXT(B3210,"[$-1170401]yyyy")),""))</f>
        <v/>
      </c>
      <c r="M3210">
        <f>IF(B3210="","",IFERROR(VALUE(TEXT(B3210,"[$-1170401]mm")),""))</f>
        <v/>
      </c>
    </row>
    <row r="3211">
      <c r="B3211" s="30" t="n"/>
      <c r="G3211" s="9">
        <f>IF(AND(E3211&lt;&gt;"",E3211&lt;&gt;0,H3211&lt;&gt;""),H3211/E3211,"")</f>
        <v/>
      </c>
      <c r="L3211">
        <f>IF(B3211="","",IFERROR(VALUE(TEXT(B3211,"[$-1170401]yyyy")),""))</f>
        <v/>
      </c>
      <c r="M3211">
        <f>IF(B3211="","",IFERROR(VALUE(TEXT(B3211,"[$-1170401]mm")),""))</f>
        <v/>
      </c>
    </row>
    <row r="3212">
      <c r="B3212" s="30" t="n"/>
      <c r="G3212" s="9">
        <f>IF(AND(E3212&lt;&gt;"",E3212&lt;&gt;0,H3212&lt;&gt;""),H3212/E3212,"")</f>
        <v/>
      </c>
      <c r="L3212">
        <f>IF(B3212="","",IFERROR(VALUE(TEXT(B3212,"[$-1170401]yyyy")),""))</f>
        <v/>
      </c>
      <c r="M3212">
        <f>IF(B3212="","",IFERROR(VALUE(TEXT(B3212,"[$-1170401]mm")),""))</f>
        <v/>
      </c>
    </row>
    <row r="3213">
      <c r="B3213" s="30" t="n"/>
      <c r="G3213" s="9">
        <f>IF(AND(E3213&lt;&gt;"",E3213&lt;&gt;0,H3213&lt;&gt;""),H3213/E3213,"")</f>
        <v/>
      </c>
      <c r="L3213">
        <f>IF(B3213="","",IFERROR(VALUE(TEXT(B3213,"[$-1170401]yyyy")),""))</f>
        <v/>
      </c>
      <c r="M3213">
        <f>IF(B3213="","",IFERROR(VALUE(TEXT(B3213,"[$-1170401]mm")),""))</f>
        <v/>
      </c>
    </row>
    <row r="3214">
      <c r="B3214" s="30" t="n"/>
      <c r="G3214" s="9">
        <f>IF(AND(E3214&lt;&gt;"",E3214&lt;&gt;0,H3214&lt;&gt;""),H3214/E3214,"")</f>
        <v/>
      </c>
      <c r="L3214">
        <f>IF(B3214="","",IFERROR(VALUE(TEXT(B3214,"[$-1170401]yyyy")),""))</f>
        <v/>
      </c>
      <c r="M3214">
        <f>IF(B3214="","",IFERROR(VALUE(TEXT(B3214,"[$-1170401]mm")),""))</f>
        <v/>
      </c>
    </row>
    <row r="3215">
      <c r="B3215" s="30" t="n"/>
      <c r="G3215" s="9">
        <f>IF(AND(E3215&lt;&gt;"",E3215&lt;&gt;0,H3215&lt;&gt;""),H3215/E3215,"")</f>
        <v/>
      </c>
      <c r="L3215">
        <f>IF(B3215="","",IFERROR(VALUE(TEXT(B3215,"[$-1170401]yyyy")),""))</f>
        <v/>
      </c>
      <c r="M3215">
        <f>IF(B3215="","",IFERROR(VALUE(TEXT(B3215,"[$-1170401]mm")),""))</f>
        <v/>
      </c>
    </row>
    <row r="3216">
      <c r="B3216" s="30" t="n"/>
      <c r="G3216" s="9">
        <f>IF(AND(E3216&lt;&gt;"",E3216&lt;&gt;0,H3216&lt;&gt;""),H3216/E3216,"")</f>
        <v/>
      </c>
      <c r="L3216">
        <f>IF(B3216="","",IFERROR(VALUE(TEXT(B3216,"[$-1170401]yyyy")),""))</f>
        <v/>
      </c>
      <c r="M3216">
        <f>IF(B3216="","",IFERROR(VALUE(TEXT(B3216,"[$-1170401]mm")),""))</f>
        <v/>
      </c>
    </row>
    <row r="3217">
      <c r="B3217" s="30" t="n"/>
      <c r="G3217" s="9">
        <f>IF(AND(E3217&lt;&gt;"",E3217&lt;&gt;0,H3217&lt;&gt;""),H3217/E3217,"")</f>
        <v/>
      </c>
      <c r="L3217">
        <f>IF(B3217="","",IFERROR(VALUE(TEXT(B3217,"[$-1170401]yyyy")),""))</f>
        <v/>
      </c>
      <c r="M3217">
        <f>IF(B3217="","",IFERROR(VALUE(TEXT(B3217,"[$-1170401]mm")),""))</f>
        <v/>
      </c>
    </row>
    <row r="3218">
      <c r="B3218" s="30" t="n"/>
      <c r="G3218" s="9">
        <f>IF(AND(E3218&lt;&gt;"",E3218&lt;&gt;0,H3218&lt;&gt;""),H3218/E3218,"")</f>
        <v/>
      </c>
      <c r="L3218">
        <f>IF(B3218="","",IFERROR(VALUE(TEXT(B3218,"[$-1170401]yyyy")),""))</f>
        <v/>
      </c>
      <c r="M3218">
        <f>IF(B3218="","",IFERROR(VALUE(TEXT(B3218,"[$-1170401]mm")),""))</f>
        <v/>
      </c>
    </row>
    <row r="3219">
      <c r="B3219" s="30" t="n"/>
      <c r="G3219" s="9">
        <f>IF(AND(E3219&lt;&gt;"",E3219&lt;&gt;0,H3219&lt;&gt;""),H3219/E3219,"")</f>
        <v/>
      </c>
      <c r="L3219">
        <f>IF(B3219="","",IFERROR(VALUE(TEXT(B3219,"[$-1170401]yyyy")),""))</f>
        <v/>
      </c>
      <c r="M3219">
        <f>IF(B3219="","",IFERROR(VALUE(TEXT(B3219,"[$-1170401]mm")),""))</f>
        <v/>
      </c>
    </row>
    <row r="3220">
      <c r="B3220" s="30" t="n"/>
      <c r="G3220" s="9">
        <f>IF(AND(E3220&lt;&gt;"",E3220&lt;&gt;0,H3220&lt;&gt;""),H3220/E3220,"")</f>
        <v/>
      </c>
      <c r="L3220">
        <f>IF(B3220="","",IFERROR(VALUE(TEXT(B3220,"[$-1170401]yyyy")),""))</f>
        <v/>
      </c>
      <c r="M3220">
        <f>IF(B3220="","",IFERROR(VALUE(TEXT(B3220,"[$-1170401]mm")),""))</f>
        <v/>
      </c>
    </row>
    <row r="3221">
      <c r="B3221" s="30" t="n"/>
      <c r="G3221" s="9">
        <f>IF(AND(E3221&lt;&gt;"",E3221&lt;&gt;0,H3221&lt;&gt;""),H3221/E3221,"")</f>
        <v/>
      </c>
      <c r="L3221">
        <f>IF(B3221="","",IFERROR(VALUE(TEXT(B3221,"[$-1170401]yyyy")),""))</f>
        <v/>
      </c>
      <c r="M3221">
        <f>IF(B3221="","",IFERROR(VALUE(TEXT(B3221,"[$-1170401]mm")),""))</f>
        <v/>
      </c>
    </row>
    <row r="3222">
      <c r="B3222" s="30" t="n"/>
      <c r="G3222" s="9">
        <f>IF(AND(E3222&lt;&gt;"",E3222&lt;&gt;0,H3222&lt;&gt;""),H3222/E3222,"")</f>
        <v/>
      </c>
      <c r="L3222">
        <f>IF(B3222="","",IFERROR(VALUE(TEXT(B3222,"[$-1170401]yyyy")),""))</f>
        <v/>
      </c>
      <c r="M3222">
        <f>IF(B3222="","",IFERROR(VALUE(TEXT(B3222,"[$-1170401]mm")),""))</f>
        <v/>
      </c>
    </row>
    <row r="3223">
      <c r="B3223" s="30" t="n"/>
      <c r="G3223" s="9">
        <f>IF(AND(E3223&lt;&gt;"",E3223&lt;&gt;0,H3223&lt;&gt;""),H3223/E3223,"")</f>
        <v/>
      </c>
      <c r="L3223">
        <f>IF(B3223="","",IFERROR(VALUE(TEXT(B3223,"[$-1170401]yyyy")),""))</f>
        <v/>
      </c>
      <c r="M3223">
        <f>IF(B3223="","",IFERROR(VALUE(TEXT(B3223,"[$-1170401]mm")),""))</f>
        <v/>
      </c>
    </row>
    <row r="3224">
      <c r="B3224" s="30" t="n"/>
      <c r="G3224" s="9">
        <f>IF(AND(E3224&lt;&gt;"",E3224&lt;&gt;0,H3224&lt;&gt;""),H3224/E3224,"")</f>
        <v/>
      </c>
      <c r="L3224">
        <f>IF(B3224="","",IFERROR(VALUE(TEXT(B3224,"[$-1170401]yyyy")),""))</f>
        <v/>
      </c>
      <c r="M3224">
        <f>IF(B3224="","",IFERROR(VALUE(TEXT(B3224,"[$-1170401]mm")),""))</f>
        <v/>
      </c>
    </row>
    <row r="3225">
      <c r="B3225" s="30" t="n"/>
      <c r="G3225" s="9">
        <f>IF(AND(E3225&lt;&gt;"",E3225&lt;&gt;0,H3225&lt;&gt;""),H3225/E3225,"")</f>
        <v/>
      </c>
      <c r="L3225">
        <f>IF(B3225="","",IFERROR(VALUE(TEXT(B3225,"[$-1170401]yyyy")),""))</f>
        <v/>
      </c>
      <c r="M3225">
        <f>IF(B3225="","",IFERROR(VALUE(TEXT(B3225,"[$-1170401]mm")),""))</f>
        <v/>
      </c>
    </row>
    <row r="3226">
      <c r="B3226" s="30" t="n"/>
      <c r="G3226" s="9">
        <f>IF(AND(E3226&lt;&gt;"",E3226&lt;&gt;0,H3226&lt;&gt;""),H3226/E3226,"")</f>
        <v/>
      </c>
      <c r="L3226">
        <f>IF(B3226="","",IFERROR(VALUE(TEXT(B3226,"[$-1170401]yyyy")),""))</f>
        <v/>
      </c>
      <c r="M3226">
        <f>IF(B3226="","",IFERROR(VALUE(TEXT(B3226,"[$-1170401]mm")),""))</f>
        <v/>
      </c>
    </row>
    <row r="3227">
      <c r="B3227" s="30" t="n"/>
      <c r="G3227" s="9">
        <f>IF(AND(E3227&lt;&gt;"",E3227&lt;&gt;0,H3227&lt;&gt;""),H3227/E3227,"")</f>
        <v/>
      </c>
      <c r="L3227">
        <f>IF(B3227="","",IFERROR(VALUE(TEXT(B3227,"[$-1170401]yyyy")),""))</f>
        <v/>
      </c>
      <c r="M3227">
        <f>IF(B3227="","",IFERROR(VALUE(TEXT(B3227,"[$-1170401]mm")),""))</f>
        <v/>
      </c>
    </row>
    <row r="3228">
      <c r="B3228" s="30" t="n"/>
      <c r="G3228" s="9">
        <f>IF(AND(E3228&lt;&gt;"",E3228&lt;&gt;0,H3228&lt;&gt;""),H3228/E3228,"")</f>
        <v/>
      </c>
      <c r="L3228">
        <f>IF(B3228="","",IFERROR(VALUE(TEXT(B3228,"[$-1170401]yyyy")),""))</f>
        <v/>
      </c>
      <c r="M3228">
        <f>IF(B3228="","",IFERROR(VALUE(TEXT(B3228,"[$-1170401]mm")),""))</f>
        <v/>
      </c>
    </row>
    <row r="3229">
      <c r="B3229" s="30" t="n"/>
      <c r="G3229" s="9">
        <f>IF(AND(E3229&lt;&gt;"",E3229&lt;&gt;0,H3229&lt;&gt;""),H3229/E3229,"")</f>
        <v/>
      </c>
      <c r="L3229">
        <f>IF(B3229="","",IFERROR(VALUE(TEXT(B3229,"[$-1170401]yyyy")),""))</f>
        <v/>
      </c>
      <c r="M3229">
        <f>IF(B3229="","",IFERROR(VALUE(TEXT(B3229,"[$-1170401]mm")),""))</f>
        <v/>
      </c>
    </row>
    <row r="3230">
      <c r="B3230" s="30" t="n"/>
      <c r="G3230" s="9">
        <f>IF(AND(E3230&lt;&gt;"",E3230&lt;&gt;0,H3230&lt;&gt;""),H3230/E3230,"")</f>
        <v/>
      </c>
      <c r="L3230">
        <f>IF(B3230="","",IFERROR(VALUE(TEXT(B3230,"[$-1170401]yyyy")),""))</f>
        <v/>
      </c>
      <c r="M3230">
        <f>IF(B3230="","",IFERROR(VALUE(TEXT(B3230,"[$-1170401]mm")),""))</f>
        <v/>
      </c>
    </row>
    <row r="3231">
      <c r="B3231" s="30" t="n"/>
      <c r="G3231" s="9">
        <f>IF(AND(E3231&lt;&gt;"",E3231&lt;&gt;0,H3231&lt;&gt;""),H3231/E3231,"")</f>
        <v/>
      </c>
      <c r="L3231">
        <f>IF(B3231="","",IFERROR(VALUE(TEXT(B3231,"[$-1170401]yyyy")),""))</f>
        <v/>
      </c>
      <c r="M3231">
        <f>IF(B3231="","",IFERROR(VALUE(TEXT(B3231,"[$-1170401]mm")),""))</f>
        <v/>
      </c>
    </row>
    <row r="3232">
      <c r="B3232" s="30" t="n"/>
      <c r="G3232" s="9">
        <f>IF(AND(E3232&lt;&gt;"",E3232&lt;&gt;0,H3232&lt;&gt;""),H3232/E3232,"")</f>
        <v/>
      </c>
      <c r="L3232">
        <f>IF(B3232="","",IFERROR(VALUE(TEXT(B3232,"[$-1170401]yyyy")),""))</f>
        <v/>
      </c>
      <c r="M3232">
        <f>IF(B3232="","",IFERROR(VALUE(TEXT(B3232,"[$-1170401]mm")),""))</f>
        <v/>
      </c>
    </row>
    <row r="3233">
      <c r="B3233" s="30" t="n"/>
      <c r="G3233" s="9">
        <f>IF(AND(E3233&lt;&gt;"",E3233&lt;&gt;0,H3233&lt;&gt;""),H3233/E3233,"")</f>
        <v/>
      </c>
      <c r="L3233">
        <f>IF(B3233="","",IFERROR(VALUE(TEXT(B3233,"[$-1170401]yyyy")),""))</f>
        <v/>
      </c>
      <c r="M3233">
        <f>IF(B3233="","",IFERROR(VALUE(TEXT(B3233,"[$-1170401]mm")),""))</f>
        <v/>
      </c>
    </row>
    <row r="3234">
      <c r="B3234" s="30" t="n"/>
      <c r="G3234" s="9">
        <f>IF(AND(E3234&lt;&gt;"",E3234&lt;&gt;0,H3234&lt;&gt;""),H3234/E3234,"")</f>
        <v/>
      </c>
      <c r="L3234">
        <f>IF(B3234="","",IFERROR(VALUE(TEXT(B3234,"[$-1170401]yyyy")),""))</f>
        <v/>
      </c>
      <c r="M3234">
        <f>IF(B3234="","",IFERROR(VALUE(TEXT(B3234,"[$-1170401]mm")),""))</f>
        <v/>
      </c>
    </row>
    <row r="3235">
      <c r="B3235" s="30" t="n"/>
      <c r="G3235" s="9">
        <f>IF(AND(E3235&lt;&gt;"",E3235&lt;&gt;0,H3235&lt;&gt;""),H3235/E3235,"")</f>
        <v/>
      </c>
      <c r="L3235">
        <f>IF(B3235="","",IFERROR(VALUE(TEXT(B3235,"[$-1170401]yyyy")),""))</f>
        <v/>
      </c>
      <c r="M3235">
        <f>IF(B3235="","",IFERROR(VALUE(TEXT(B3235,"[$-1170401]mm")),""))</f>
        <v/>
      </c>
    </row>
    <row r="3236">
      <c r="B3236" s="30" t="n"/>
      <c r="G3236" s="9">
        <f>IF(AND(E3236&lt;&gt;"",E3236&lt;&gt;0,H3236&lt;&gt;""),H3236/E3236,"")</f>
        <v/>
      </c>
      <c r="L3236">
        <f>IF(B3236="","",IFERROR(VALUE(TEXT(B3236,"[$-1170401]yyyy")),""))</f>
        <v/>
      </c>
      <c r="M3236">
        <f>IF(B3236="","",IFERROR(VALUE(TEXT(B3236,"[$-1170401]mm")),""))</f>
        <v/>
      </c>
    </row>
    <row r="3237">
      <c r="B3237" s="30" t="n"/>
      <c r="G3237" s="9">
        <f>IF(AND(E3237&lt;&gt;"",E3237&lt;&gt;0,H3237&lt;&gt;""),H3237/E3237,"")</f>
        <v/>
      </c>
      <c r="L3237">
        <f>IF(B3237="","",IFERROR(VALUE(TEXT(B3237,"[$-1170401]yyyy")),""))</f>
        <v/>
      </c>
      <c r="M3237">
        <f>IF(B3237="","",IFERROR(VALUE(TEXT(B3237,"[$-1170401]mm")),""))</f>
        <v/>
      </c>
    </row>
    <row r="3238">
      <c r="B3238" s="30" t="n"/>
      <c r="G3238" s="9">
        <f>IF(AND(E3238&lt;&gt;"",E3238&lt;&gt;0,H3238&lt;&gt;""),H3238/E3238,"")</f>
        <v/>
      </c>
      <c r="L3238">
        <f>IF(B3238="","",IFERROR(VALUE(TEXT(B3238,"[$-1170401]yyyy")),""))</f>
        <v/>
      </c>
      <c r="M3238">
        <f>IF(B3238="","",IFERROR(VALUE(TEXT(B3238,"[$-1170401]mm")),""))</f>
        <v/>
      </c>
    </row>
    <row r="3239">
      <c r="B3239" s="30" t="n"/>
      <c r="G3239" s="9">
        <f>IF(AND(E3239&lt;&gt;"",E3239&lt;&gt;0,H3239&lt;&gt;""),H3239/E3239,"")</f>
        <v/>
      </c>
      <c r="L3239">
        <f>IF(B3239="","",IFERROR(VALUE(TEXT(B3239,"[$-1170401]yyyy")),""))</f>
        <v/>
      </c>
      <c r="M3239">
        <f>IF(B3239="","",IFERROR(VALUE(TEXT(B3239,"[$-1170401]mm")),""))</f>
        <v/>
      </c>
    </row>
    <row r="3240">
      <c r="B3240" s="30" t="n"/>
      <c r="G3240" s="9">
        <f>IF(AND(E3240&lt;&gt;"",E3240&lt;&gt;0,H3240&lt;&gt;""),H3240/E3240,"")</f>
        <v/>
      </c>
      <c r="L3240">
        <f>IF(B3240="","",IFERROR(VALUE(TEXT(B3240,"[$-1170401]yyyy")),""))</f>
        <v/>
      </c>
      <c r="M3240">
        <f>IF(B3240="","",IFERROR(VALUE(TEXT(B3240,"[$-1170401]mm")),""))</f>
        <v/>
      </c>
    </row>
    <row r="3241">
      <c r="B3241" s="30" t="n"/>
      <c r="G3241" s="9">
        <f>IF(AND(E3241&lt;&gt;"",E3241&lt;&gt;0,H3241&lt;&gt;""),H3241/E3241,"")</f>
        <v/>
      </c>
      <c r="L3241">
        <f>IF(B3241="","",IFERROR(VALUE(TEXT(B3241,"[$-1170401]yyyy")),""))</f>
        <v/>
      </c>
      <c r="M3241">
        <f>IF(B3241="","",IFERROR(VALUE(TEXT(B3241,"[$-1170401]mm")),""))</f>
        <v/>
      </c>
    </row>
    <row r="3242">
      <c r="B3242" s="30" t="n"/>
      <c r="G3242" s="9">
        <f>IF(AND(E3242&lt;&gt;"",E3242&lt;&gt;0,H3242&lt;&gt;""),H3242/E3242,"")</f>
        <v/>
      </c>
      <c r="L3242">
        <f>IF(B3242="","",IFERROR(VALUE(TEXT(B3242,"[$-1170401]yyyy")),""))</f>
        <v/>
      </c>
      <c r="M3242">
        <f>IF(B3242="","",IFERROR(VALUE(TEXT(B3242,"[$-1170401]mm")),""))</f>
        <v/>
      </c>
    </row>
    <row r="3243">
      <c r="B3243" s="30" t="n"/>
      <c r="G3243" s="9">
        <f>IF(AND(E3243&lt;&gt;"",E3243&lt;&gt;0,H3243&lt;&gt;""),H3243/E3243,"")</f>
        <v/>
      </c>
      <c r="L3243">
        <f>IF(B3243="","",IFERROR(VALUE(TEXT(B3243,"[$-1170401]yyyy")),""))</f>
        <v/>
      </c>
      <c r="M3243">
        <f>IF(B3243="","",IFERROR(VALUE(TEXT(B3243,"[$-1170401]mm")),""))</f>
        <v/>
      </c>
    </row>
    <row r="3244">
      <c r="B3244" s="30" t="n"/>
      <c r="G3244" s="9">
        <f>IF(AND(E3244&lt;&gt;"",E3244&lt;&gt;0,H3244&lt;&gt;""),H3244/E3244,"")</f>
        <v/>
      </c>
      <c r="L3244">
        <f>IF(B3244="","",IFERROR(VALUE(TEXT(B3244,"[$-1170401]yyyy")),""))</f>
        <v/>
      </c>
      <c r="M3244">
        <f>IF(B3244="","",IFERROR(VALUE(TEXT(B3244,"[$-1170401]mm")),""))</f>
        <v/>
      </c>
    </row>
    <row r="3245">
      <c r="B3245" s="30" t="n"/>
      <c r="G3245" s="9">
        <f>IF(AND(E3245&lt;&gt;"",E3245&lt;&gt;0,H3245&lt;&gt;""),H3245/E3245,"")</f>
        <v/>
      </c>
      <c r="L3245">
        <f>IF(B3245="","",IFERROR(VALUE(TEXT(B3245,"[$-1170401]yyyy")),""))</f>
        <v/>
      </c>
      <c r="M3245">
        <f>IF(B3245="","",IFERROR(VALUE(TEXT(B3245,"[$-1170401]mm")),""))</f>
        <v/>
      </c>
    </row>
    <row r="3246">
      <c r="B3246" s="30" t="n"/>
      <c r="G3246" s="9">
        <f>IF(AND(E3246&lt;&gt;"",E3246&lt;&gt;0,H3246&lt;&gt;""),H3246/E3246,"")</f>
        <v/>
      </c>
      <c r="L3246">
        <f>IF(B3246="","",IFERROR(VALUE(TEXT(B3246,"[$-1170401]yyyy")),""))</f>
        <v/>
      </c>
      <c r="M3246">
        <f>IF(B3246="","",IFERROR(VALUE(TEXT(B3246,"[$-1170401]mm")),""))</f>
        <v/>
      </c>
    </row>
    <row r="3247">
      <c r="B3247" s="30" t="n"/>
      <c r="G3247" s="9">
        <f>IF(AND(E3247&lt;&gt;"",E3247&lt;&gt;0,H3247&lt;&gt;""),H3247/E3247,"")</f>
        <v/>
      </c>
      <c r="L3247">
        <f>IF(B3247="","",IFERROR(VALUE(TEXT(B3247,"[$-1170401]yyyy")),""))</f>
        <v/>
      </c>
      <c r="M3247">
        <f>IF(B3247="","",IFERROR(VALUE(TEXT(B3247,"[$-1170401]mm")),""))</f>
        <v/>
      </c>
    </row>
    <row r="3248">
      <c r="B3248" s="30" t="n"/>
      <c r="G3248" s="9">
        <f>IF(AND(E3248&lt;&gt;"",E3248&lt;&gt;0,H3248&lt;&gt;""),H3248/E3248,"")</f>
        <v/>
      </c>
      <c r="L3248">
        <f>IF(B3248="","",IFERROR(VALUE(TEXT(B3248,"[$-1170401]yyyy")),""))</f>
        <v/>
      </c>
      <c r="M3248">
        <f>IF(B3248="","",IFERROR(VALUE(TEXT(B3248,"[$-1170401]mm")),""))</f>
        <v/>
      </c>
    </row>
    <row r="3249">
      <c r="B3249" s="30" t="n"/>
      <c r="G3249" s="9">
        <f>IF(AND(E3249&lt;&gt;"",E3249&lt;&gt;0,H3249&lt;&gt;""),H3249/E3249,"")</f>
        <v/>
      </c>
      <c r="L3249">
        <f>IF(B3249="","",IFERROR(VALUE(TEXT(B3249,"[$-1170401]yyyy")),""))</f>
        <v/>
      </c>
      <c r="M3249">
        <f>IF(B3249="","",IFERROR(VALUE(TEXT(B3249,"[$-1170401]mm")),""))</f>
        <v/>
      </c>
    </row>
    <row r="3250">
      <c r="B3250" s="30" t="n"/>
      <c r="G3250" s="9">
        <f>IF(AND(E3250&lt;&gt;"",E3250&lt;&gt;0,H3250&lt;&gt;""),H3250/E3250,"")</f>
        <v/>
      </c>
      <c r="L3250">
        <f>IF(B3250="","",IFERROR(VALUE(TEXT(B3250,"[$-1170401]yyyy")),""))</f>
        <v/>
      </c>
      <c r="M3250">
        <f>IF(B3250="","",IFERROR(VALUE(TEXT(B3250,"[$-1170401]mm")),""))</f>
        <v/>
      </c>
    </row>
    <row r="3251">
      <c r="B3251" s="30" t="n"/>
      <c r="G3251" s="9">
        <f>IF(AND(E3251&lt;&gt;"",E3251&lt;&gt;0,H3251&lt;&gt;""),H3251/E3251,"")</f>
        <v/>
      </c>
      <c r="L3251">
        <f>IF(B3251="","",IFERROR(VALUE(TEXT(B3251,"[$-1170401]yyyy")),""))</f>
        <v/>
      </c>
      <c r="M3251">
        <f>IF(B3251="","",IFERROR(VALUE(TEXT(B3251,"[$-1170401]mm")),""))</f>
        <v/>
      </c>
    </row>
    <row r="3252">
      <c r="B3252" s="30" t="n"/>
      <c r="G3252" s="9">
        <f>IF(AND(E3252&lt;&gt;"",E3252&lt;&gt;0,H3252&lt;&gt;""),H3252/E3252,"")</f>
        <v/>
      </c>
      <c r="L3252">
        <f>IF(B3252="","",IFERROR(VALUE(TEXT(B3252,"[$-1170401]yyyy")),""))</f>
        <v/>
      </c>
      <c r="M3252">
        <f>IF(B3252="","",IFERROR(VALUE(TEXT(B3252,"[$-1170401]mm")),""))</f>
        <v/>
      </c>
    </row>
    <row r="3253">
      <c r="B3253" s="30" t="n"/>
      <c r="G3253" s="9">
        <f>IF(AND(E3253&lt;&gt;"",E3253&lt;&gt;0,H3253&lt;&gt;""),H3253/E3253,"")</f>
        <v/>
      </c>
      <c r="L3253">
        <f>IF(B3253="","",IFERROR(VALUE(TEXT(B3253,"[$-1170401]yyyy")),""))</f>
        <v/>
      </c>
      <c r="M3253">
        <f>IF(B3253="","",IFERROR(VALUE(TEXT(B3253,"[$-1170401]mm")),""))</f>
        <v/>
      </c>
    </row>
    <row r="3254">
      <c r="B3254" s="30" t="n"/>
      <c r="G3254" s="9">
        <f>IF(AND(E3254&lt;&gt;"",E3254&lt;&gt;0,H3254&lt;&gt;""),H3254/E3254,"")</f>
        <v/>
      </c>
      <c r="L3254">
        <f>IF(B3254="","",IFERROR(VALUE(TEXT(B3254,"[$-1170401]yyyy")),""))</f>
        <v/>
      </c>
      <c r="M3254">
        <f>IF(B3254="","",IFERROR(VALUE(TEXT(B3254,"[$-1170401]mm")),""))</f>
        <v/>
      </c>
    </row>
    <row r="3255">
      <c r="B3255" s="30" t="n"/>
      <c r="G3255" s="9">
        <f>IF(AND(E3255&lt;&gt;"",E3255&lt;&gt;0,H3255&lt;&gt;""),H3255/E3255,"")</f>
        <v/>
      </c>
      <c r="L3255">
        <f>IF(B3255="","",IFERROR(VALUE(TEXT(B3255,"[$-1170401]yyyy")),""))</f>
        <v/>
      </c>
      <c r="M3255">
        <f>IF(B3255="","",IFERROR(VALUE(TEXT(B3255,"[$-1170401]mm")),""))</f>
        <v/>
      </c>
    </row>
    <row r="3256">
      <c r="B3256" s="30" t="n"/>
      <c r="G3256" s="9">
        <f>IF(AND(E3256&lt;&gt;"",E3256&lt;&gt;0,H3256&lt;&gt;""),H3256/E3256,"")</f>
        <v/>
      </c>
      <c r="L3256">
        <f>IF(B3256="","",IFERROR(VALUE(TEXT(B3256,"[$-1170401]yyyy")),""))</f>
        <v/>
      </c>
      <c r="M3256">
        <f>IF(B3256="","",IFERROR(VALUE(TEXT(B3256,"[$-1170401]mm")),""))</f>
        <v/>
      </c>
    </row>
    <row r="3257">
      <c r="B3257" s="30" t="n"/>
      <c r="G3257" s="9">
        <f>IF(AND(E3257&lt;&gt;"",E3257&lt;&gt;0,H3257&lt;&gt;""),H3257/E3257,"")</f>
        <v/>
      </c>
      <c r="L3257">
        <f>IF(B3257="","",IFERROR(VALUE(TEXT(B3257,"[$-1170401]yyyy")),""))</f>
        <v/>
      </c>
      <c r="M3257">
        <f>IF(B3257="","",IFERROR(VALUE(TEXT(B3257,"[$-1170401]mm")),""))</f>
        <v/>
      </c>
    </row>
    <row r="3258">
      <c r="B3258" s="30" t="n"/>
      <c r="G3258" s="9">
        <f>IF(AND(E3258&lt;&gt;"",E3258&lt;&gt;0,H3258&lt;&gt;""),H3258/E3258,"")</f>
        <v/>
      </c>
      <c r="L3258">
        <f>IF(B3258="","",IFERROR(VALUE(TEXT(B3258,"[$-1170401]yyyy")),""))</f>
        <v/>
      </c>
      <c r="M3258">
        <f>IF(B3258="","",IFERROR(VALUE(TEXT(B3258,"[$-1170401]mm")),""))</f>
        <v/>
      </c>
    </row>
    <row r="3259">
      <c r="B3259" s="30" t="n"/>
      <c r="G3259" s="9">
        <f>IF(AND(E3259&lt;&gt;"",E3259&lt;&gt;0,H3259&lt;&gt;""),H3259/E3259,"")</f>
        <v/>
      </c>
      <c r="L3259">
        <f>IF(B3259="","",IFERROR(VALUE(TEXT(B3259,"[$-1170401]yyyy")),""))</f>
        <v/>
      </c>
      <c r="M3259">
        <f>IF(B3259="","",IFERROR(VALUE(TEXT(B3259,"[$-1170401]mm")),""))</f>
        <v/>
      </c>
    </row>
    <row r="3260">
      <c r="B3260" s="30" t="n"/>
      <c r="G3260" s="9">
        <f>IF(AND(E3260&lt;&gt;"",E3260&lt;&gt;0,H3260&lt;&gt;""),H3260/E3260,"")</f>
        <v/>
      </c>
      <c r="L3260">
        <f>IF(B3260="","",IFERROR(VALUE(TEXT(B3260,"[$-1170401]yyyy")),""))</f>
        <v/>
      </c>
      <c r="M3260">
        <f>IF(B3260="","",IFERROR(VALUE(TEXT(B3260,"[$-1170401]mm")),""))</f>
        <v/>
      </c>
    </row>
    <row r="3261">
      <c r="B3261" s="30" t="n"/>
      <c r="G3261" s="9">
        <f>IF(AND(E3261&lt;&gt;"",E3261&lt;&gt;0,H3261&lt;&gt;""),H3261/E3261,"")</f>
        <v/>
      </c>
      <c r="L3261">
        <f>IF(B3261="","",IFERROR(VALUE(TEXT(B3261,"[$-1170401]yyyy")),""))</f>
        <v/>
      </c>
      <c r="M3261">
        <f>IF(B3261="","",IFERROR(VALUE(TEXT(B3261,"[$-1170401]mm")),""))</f>
        <v/>
      </c>
    </row>
    <row r="3262">
      <c r="B3262" s="30" t="n"/>
      <c r="G3262" s="9">
        <f>IF(AND(E3262&lt;&gt;"",E3262&lt;&gt;0,H3262&lt;&gt;""),H3262/E3262,"")</f>
        <v/>
      </c>
      <c r="L3262">
        <f>IF(B3262="","",IFERROR(VALUE(TEXT(B3262,"[$-1170401]yyyy")),""))</f>
        <v/>
      </c>
      <c r="M3262">
        <f>IF(B3262="","",IFERROR(VALUE(TEXT(B3262,"[$-1170401]mm")),""))</f>
        <v/>
      </c>
    </row>
    <row r="3263">
      <c r="B3263" s="30" t="n"/>
      <c r="G3263" s="9">
        <f>IF(AND(E3263&lt;&gt;"",E3263&lt;&gt;0,H3263&lt;&gt;""),H3263/E3263,"")</f>
        <v/>
      </c>
      <c r="L3263">
        <f>IF(B3263="","",IFERROR(VALUE(TEXT(B3263,"[$-1170401]yyyy")),""))</f>
        <v/>
      </c>
      <c r="M3263">
        <f>IF(B3263="","",IFERROR(VALUE(TEXT(B3263,"[$-1170401]mm")),""))</f>
        <v/>
      </c>
    </row>
    <row r="3264">
      <c r="B3264" s="30" t="n"/>
      <c r="G3264" s="9">
        <f>IF(AND(E3264&lt;&gt;"",E3264&lt;&gt;0,H3264&lt;&gt;""),H3264/E3264,"")</f>
        <v/>
      </c>
      <c r="L3264">
        <f>IF(B3264="","",IFERROR(VALUE(TEXT(B3264,"[$-1170401]yyyy")),""))</f>
        <v/>
      </c>
      <c r="M3264">
        <f>IF(B3264="","",IFERROR(VALUE(TEXT(B3264,"[$-1170401]mm")),""))</f>
        <v/>
      </c>
    </row>
    <row r="3265">
      <c r="B3265" s="30" t="n"/>
      <c r="G3265" s="9">
        <f>IF(AND(E3265&lt;&gt;"",E3265&lt;&gt;0,H3265&lt;&gt;""),H3265/E3265,"")</f>
        <v/>
      </c>
      <c r="L3265">
        <f>IF(B3265="","",IFERROR(VALUE(TEXT(B3265,"[$-1170401]yyyy")),""))</f>
        <v/>
      </c>
      <c r="M3265">
        <f>IF(B3265="","",IFERROR(VALUE(TEXT(B3265,"[$-1170401]mm")),""))</f>
        <v/>
      </c>
    </row>
    <row r="3266">
      <c r="B3266" s="30" t="n"/>
      <c r="G3266" s="9">
        <f>IF(AND(E3266&lt;&gt;"",E3266&lt;&gt;0,H3266&lt;&gt;""),H3266/E3266,"")</f>
        <v/>
      </c>
      <c r="L3266">
        <f>IF(B3266="","",IFERROR(VALUE(TEXT(B3266,"[$-1170401]yyyy")),""))</f>
        <v/>
      </c>
      <c r="M3266">
        <f>IF(B3266="","",IFERROR(VALUE(TEXT(B3266,"[$-1170401]mm")),""))</f>
        <v/>
      </c>
    </row>
    <row r="3267">
      <c r="B3267" s="30" t="n"/>
      <c r="G3267" s="9">
        <f>IF(AND(E3267&lt;&gt;"",E3267&lt;&gt;0,H3267&lt;&gt;""),H3267/E3267,"")</f>
        <v/>
      </c>
      <c r="L3267">
        <f>IF(B3267="","",IFERROR(VALUE(TEXT(B3267,"[$-1170401]yyyy")),""))</f>
        <v/>
      </c>
      <c r="M3267">
        <f>IF(B3267="","",IFERROR(VALUE(TEXT(B3267,"[$-1170401]mm")),""))</f>
        <v/>
      </c>
    </row>
    <row r="3268">
      <c r="B3268" s="30" t="n"/>
      <c r="G3268" s="9">
        <f>IF(AND(E3268&lt;&gt;"",E3268&lt;&gt;0,H3268&lt;&gt;""),H3268/E3268,"")</f>
        <v/>
      </c>
      <c r="L3268">
        <f>IF(B3268="","",IFERROR(VALUE(TEXT(B3268,"[$-1170401]yyyy")),""))</f>
        <v/>
      </c>
      <c r="M3268">
        <f>IF(B3268="","",IFERROR(VALUE(TEXT(B3268,"[$-1170401]mm")),""))</f>
        <v/>
      </c>
    </row>
    <row r="3269">
      <c r="B3269" s="30" t="n"/>
      <c r="G3269" s="9">
        <f>IF(AND(E3269&lt;&gt;"",E3269&lt;&gt;0,H3269&lt;&gt;""),H3269/E3269,"")</f>
        <v/>
      </c>
      <c r="L3269">
        <f>IF(B3269="","",IFERROR(VALUE(TEXT(B3269,"[$-1170401]yyyy")),""))</f>
        <v/>
      </c>
      <c r="M3269">
        <f>IF(B3269="","",IFERROR(VALUE(TEXT(B3269,"[$-1170401]mm")),""))</f>
        <v/>
      </c>
    </row>
    <row r="3270">
      <c r="B3270" s="30" t="n"/>
      <c r="G3270" s="9">
        <f>IF(AND(E3270&lt;&gt;"",E3270&lt;&gt;0,H3270&lt;&gt;""),H3270/E3270,"")</f>
        <v/>
      </c>
      <c r="L3270">
        <f>IF(B3270="","",IFERROR(VALUE(TEXT(B3270,"[$-1170401]yyyy")),""))</f>
        <v/>
      </c>
      <c r="M3270">
        <f>IF(B3270="","",IFERROR(VALUE(TEXT(B3270,"[$-1170401]mm")),""))</f>
        <v/>
      </c>
    </row>
    <row r="3271">
      <c r="B3271" s="30" t="n"/>
      <c r="G3271" s="9">
        <f>IF(AND(E3271&lt;&gt;"",E3271&lt;&gt;0,H3271&lt;&gt;""),H3271/E3271,"")</f>
        <v/>
      </c>
      <c r="L3271">
        <f>IF(B3271="","",IFERROR(VALUE(TEXT(B3271,"[$-1170401]yyyy")),""))</f>
        <v/>
      </c>
      <c r="M3271">
        <f>IF(B3271="","",IFERROR(VALUE(TEXT(B3271,"[$-1170401]mm")),""))</f>
        <v/>
      </c>
    </row>
    <row r="3272">
      <c r="B3272" s="30" t="n"/>
      <c r="G3272" s="9">
        <f>IF(AND(E3272&lt;&gt;"",E3272&lt;&gt;0,H3272&lt;&gt;""),H3272/E3272,"")</f>
        <v/>
      </c>
      <c r="L3272">
        <f>IF(B3272="","",IFERROR(VALUE(TEXT(B3272,"[$-1170401]yyyy")),""))</f>
        <v/>
      </c>
      <c r="M3272">
        <f>IF(B3272="","",IFERROR(VALUE(TEXT(B3272,"[$-1170401]mm")),""))</f>
        <v/>
      </c>
    </row>
    <row r="3273">
      <c r="B3273" s="30" t="n"/>
      <c r="G3273" s="9">
        <f>IF(AND(E3273&lt;&gt;"",E3273&lt;&gt;0,H3273&lt;&gt;""),H3273/E3273,"")</f>
        <v/>
      </c>
      <c r="L3273">
        <f>IF(B3273="","",IFERROR(VALUE(TEXT(B3273,"[$-1170401]yyyy")),""))</f>
        <v/>
      </c>
      <c r="M3273">
        <f>IF(B3273="","",IFERROR(VALUE(TEXT(B3273,"[$-1170401]mm")),""))</f>
        <v/>
      </c>
    </row>
    <row r="3274">
      <c r="B3274" s="30" t="n"/>
      <c r="G3274" s="9">
        <f>IF(AND(E3274&lt;&gt;"",E3274&lt;&gt;0,H3274&lt;&gt;""),H3274/E3274,"")</f>
        <v/>
      </c>
      <c r="L3274">
        <f>IF(B3274="","",IFERROR(VALUE(TEXT(B3274,"[$-1170401]yyyy")),""))</f>
        <v/>
      </c>
      <c r="M3274">
        <f>IF(B3274="","",IFERROR(VALUE(TEXT(B3274,"[$-1170401]mm")),""))</f>
        <v/>
      </c>
    </row>
    <row r="3275">
      <c r="B3275" s="30" t="n"/>
      <c r="G3275" s="9">
        <f>IF(AND(E3275&lt;&gt;"",E3275&lt;&gt;0,H3275&lt;&gt;""),H3275/E3275,"")</f>
        <v/>
      </c>
      <c r="L3275">
        <f>IF(B3275="","",IFERROR(VALUE(TEXT(B3275,"[$-1170401]yyyy")),""))</f>
        <v/>
      </c>
      <c r="M3275">
        <f>IF(B3275="","",IFERROR(VALUE(TEXT(B3275,"[$-1170401]mm")),""))</f>
        <v/>
      </c>
    </row>
    <row r="3276">
      <c r="B3276" s="30" t="n"/>
      <c r="G3276" s="9">
        <f>IF(AND(E3276&lt;&gt;"",E3276&lt;&gt;0,H3276&lt;&gt;""),H3276/E3276,"")</f>
        <v/>
      </c>
      <c r="L3276">
        <f>IF(B3276="","",IFERROR(VALUE(TEXT(B3276,"[$-1170401]yyyy")),""))</f>
        <v/>
      </c>
      <c r="M3276">
        <f>IF(B3276="","",IFERROR(VALUE(TEXT(B3276,"[$-1170401]mm")),""))</f>
        <v/>
      </c>
    </row>
    <row r="3277">
      <c r="B3277" s="30" t="n"/>
      <c r="G3277" s="9">
        <f>IF(AND(E3277&lt;&gt;"",E3277&lt;&gt;0,H3277&lt;&gt;""),H3277/E3277,"")</f>
        <v/>
      </c>
      <c r="L3277">
        <f>IF(B3277="","",IFERROR(VALUE(TEXT(B3277,"[$-1170401]yyyy")),""))</f>
        <v/>
      </c>
      <c r="M3277">
        <f>IF(B3277="","",IFERROR(VALUE(TEXT(B3277,"[$-1170401]mm")),""))</f>
        <v/>
      </c>
    </row>
    <row r="3278">
      <c r="B3278" s="30" t="n"/>
      <c r="G3278" s="9">
        <f>IF(AND(E3278&lt;&gt;"",E3278&lt;&gt;0,H3278&lt;&gt;""),H3278/E3278,"")</f>
        <v/>
      </c>
      <c r="L3278">
        <f>IF(B3278="","",IFERROR(VALUE(TEXT(B3278,"[$-1170401]yyyy")),""))</f>
        <v/>
      </c>
      <c r="M3278">
        <f>IF(B3278="","",IFERROR(VALUE(TEXT(B3278,"[$-1170401]mm")),""))</f>
        <v/>
      </c>
    </row>
    <row r="3279">
      <c r="B3279" s="30" t="n"/>
      <c r="G3279" s="9">
        <f>IF(AND(E3279&lt;&gt;"",E3279&lt;&gt;0,H3279&lt;&gt;""),H3279/E3279,"")</f>
        <v/>
      </c>
      <c r="L3279">
        <f>IF(B3279="","",IFERROR(VALUE(TEXT(B3279,"[$-1170401]yyyy")),""))</f>
        <v/>
      </c>
      <c r="M3279">
        <f>IF(B3279="","",IFERROR(VALUE(TEXT(B3279,"[$-1170401]mm")),""))</f>
        <v/>
      </c>
    </row>
    <row r="3280">
      <c r="B3280" s="30" t="n"/>
      <c r="G3280" s="9">
        <f>IF(AND(E3280&lt;&gt;"",E3280&lt;&gt;0,H3280&lt;&gt;""),H3280/E3280,"")</f>
        <v/>
      </c>
      <c r="L3280">
        <f>IF(B3280="","",IFERROR(VALUE(TEXT(B3280,"[$-1170401]yyyy")),""))</f>
        <v/>
      </c>
      <c r="M3280">
        <f>IF(B3280="","",IFERROR(VALUE(TEXT(B3280,"[$-1170401]mm")),""))</f>
        <v/>
      </c>
    </row>
    <row r="3281">
      <c r="B3281" s="30" t="n"/>
      <c r="G3281" s="9">
        <f>IF(AND(E3281&lt;&gt;"",E3281&lt;&gt;0,H3281&lt;&gt;""),H3281/E3281,"")</f>
        <v/>
      </c>
      <c r="L3281">
        <f>IF(B3281="","",IFERROR(VALUE(TEXT(B3281,"[$-1170401]yyyy")),""))</f>
        <v/>
      </c>
      <c r="M3281">
        <f>IF(B3281="","",IFERROR(VALUE(TEXT(B3281,"[$-1170401]mm")),""))</f>
        <v/>
      </c>
    </row>
    <row r="3282">
      <c r="B3282" s="30" t="n"/>
      <c r="G3282" s="9">
        <f>IF(AND(E3282&lt;&gt;"",E3282&lt;&gt;0,H3282&lt;&gt;""),H3282/E3282,"")</f>
        <v/>
      </c>
      <c r="L3282">
        <f>IF(B3282="","",IFERROR(VALUE(TEXT(B3282,"[$-1170401]yyyy")),""))</f>
        <v/>
      </c>
      <c r="M3282">
        <f>IF(B3282="","",IFERROR(VALUE(TEXT(B3282,"[$-1170401]mm")),""))</f>
        <v/>
      </c>
    </row>
    <row r="3283">
      <c r="B3283" s="30" t="n"/>
      <c r="G3283" s="9">
        <f>IF(AND(E3283&lt;&gt;"",E3283&lt;&gt;0,H3283&lt;&gt;""),H3283/E3283,"")</f>
        <v/>
      </c>
      <c r="L3283">
        <f>IF(B3283="","",IFERROR(VALUE(TEXT(B3283,"[$-1170401]yyyy")),""))</f>
        <v/>
      </c>
      <c r="M3283">
        <f>IF(B3283="","",IFERROR(VALUE(TEXT(B3283,"[$-1170401]mm")),""))</f>
        <v/>
      </c>
    </row>
    <row r="3284">
      <c r="B3284" s="30" t="n"/>
      <c r="G3284" s="9">
        <f>IF(AND(E3284&lt;&gt;"",E3284&lt;&gt;0,H3284&lt;&gt;""),H3284/E3284,"")</f>
        <v/>
      </c>
      <c r="L3284">
        <f>IF(B3284="","",IFERROR(VALUE(TEXT(B3284,"[$-1170401]yyyy")),""))</f>
        <v/>
      </c>
      <c r="M3284">
        <f>IF(B3284="","",IFERROR(VALUE(TEXT(B3284,"[$-1170401]mm")),""))</f>
        <v/>
      </c>
    </row>
    <row r="3285">
      <c r="B3285" s="30" t="n"/>
      <c r="G3285" s="9">
        <f>IF(AND(E3285&lt;&gt;"",E3285&lt;&gt;0,H3285&lt;&gt;""),H3285/E3285,"")</f>
        <v/>
      </c>
      <c r="L3285">
        <f>IF(B3285="","",IFERROR(VALUE(TEXT(B3285,"[$-1170401]yyyy")),""))</f>
        <v/>
      </c>
      <c r="M3285">
        <f>IF(B3285="","",IFERROR(VALUE(TEXT(B3285,"[$-1170401]mm")),""))</f>
        <v/>
      </c>
    </row>
    <row r="3286">
      <c r="B3286" s="30" t="n"/>
      <c r="G3286" s="9">
        <f>IF(AND(E3286&lt;&gt;"",E3286&lt;&gt;0,H3286&lt;&gt;""),H3286/E3286,"")</f>
        <v/>
      </c>
      <c r="L3286">
        <f>IF(B3286="","",IFERROR(VALUE(TEXT(B3286,"[$-1170401]yyyy")),""))</f>
        <v/>
      </c>
      <c r="M3286">
        <f>IF(B3286="","",IFERROR(VALUE(TEXT(B3286,"[$-1170401]mm")),""))</f>
        <v/>
      </c>
    </row>
    <row r="3287">
      <c r="B3287" s="30" t="n"/>
      <c r="G3287" s="9">
        <f>IF(AND(E3287&lt;&gt;"",E3287&lt;&gt;0,H3287&lt;&gt;""),H3287/E3287,"")</f>
        <v/>
      </c>
      <c r="L3287">
        <f>IF(B3287="","",IFERROR(VALUE(TEXT(B3287,"[$-1170401]yyyy")),""))</f>
        <v/>
      </c>
      <c r="M3287">
        <f>IF(B3287="","",IFERROR(VALUE(TEXT(B3287,"[$-1170401]mm")),""))</f>
        <v/>
      </c>
    </row>
    <row r="3288">
      <c r="B3288" s="30" t="n"/>
      <c r="G3288" s="9">
        <f>IF(AND(E3288&lt;&gt;"",E3288&lt;&gt;0,H3288&lt;&gt;""),H3288/E3288,"")</f>
        <v/>
      </c>
      <c r="L3288">
        <f>IF(B3288="","",IFERROR(VALUE(TEXT(B3288,"[$-1170401]yyyy")),""))</f>
        <v/>
      </c>
      <c r="M3288">
        <f>IF(B3288="","",IFERROR(VALUE(TEXT(B3288,"[$-1170401]mm")),""))</f>
        <v/>
      </c>
    </row>
    <row r="3289">
      <c r="B3289" s="30" t="n"/>
      <c r="G3289" s="9">
        <f>IF(AND(E3289&lt;&gt;"",E3289&lt;&gt;0,H3289&lt;&gt;""),H3289/E3289,"")</f>
        <v/>
      </c>
      <c r="L3289">
        <f>IF(B3289="","",IFERROR(VALUE(TEXT(B3289,"[$-1170401]yyyy")),""))</f>
        <v/>
      </c>
      <c r="M3289">
        <f>IF(B3289="","",IFERROR(VALUE(TEXT(B3289,"[$-1170401]mm")),""))</f>
        <v/>
      </c>
    </row>
    <row r="3290">
      <c r="B3290" s="30" t="n"/>
      <c r="G3290" s="9">
        <f>IF(AND(E3290&lt;&gt;"",E3290&lt;&gt;0,H3290&lt;&gt;""),H3290/E3290,"")</f>
        <v/>
      </c>
      <c r="L3290">
        <f>IF(B3290="","",IFERROR(VALUE(TEXT(B3290,"[$-1170401]yyyy")),""))</f>
        <v/>
      </c>
      <c r="M3290">
        <f>IF(B3290="","",IFERROR(VALUE(TEXT(B3290,"[$-1170401]mm")),""))</f>
        <v/>
      </c>
    </row>
    <row r="3291">
      <c r="B3291" s="30" t="n"/>
      <c r="G3291" s="9">
        <f>IF(AND(E3291&lt;&gt;"",E3291&lt;&gt;0,H3291&lt;&gt;""),H3291/E3291,"")</f>
        <v/>
      </c>
      <c r="L3291">
        <f>IF(B3291="","",IFERROR(VALUE(TEXT(B3291,"[$-1170401]yyyy")),""))</f>
        <v/>
      </c>
      <c r="M3291">
        <f>IF(B3291="","",IFERROR(VALUE(TEXT(B3291,"[$-1170401]mm")),""))</f>
        <v/>
      </c>
    </row>
    <row r="3292">
      <c r="B3292" s="30" t="n"/>
      <c r="G3292" s="9">
        <f>IF(AND(E3292&lt;&gt;"",E3292&lt;&gt;0,H3292&lt;&gt;""),H3292/E3292,"")</f>
        <v/>
      </c>
      <c r="L3292">
        <f>IF(B3292="","",IFERROR(VALUE(TEXT(B3292,"[$-1170401]yyyy")),""))</f>
        <v/>
      </c>
      <c r="M3292">
        <f>IF(B3292="","",IFERROR(VALUE(TEXT(B3292,"[$-1170401]mm")),""))</f>
        <v/>
      </c>
    </row>
    <row r="3293">
      <c r="B3293" s="30" t="n"/>
      <c r="G3293" s="9">
        <f>IF(AND(E3293&lt;&gt;"",E3293&lt;&gt;0,H3293&lt;&gt;""),H3293/E3293,"")</f>
        <v/>
      </c>
      <c r="L3293">
        <f>IF(B3293="","",IFERROR(VALUE(TEXT(B3293,"[$-1170401]yyyy")),""))</f>
        <v/>
      </c>
      <c r="M3293">
        <f>IF(B3293="","",IFERROR(VALUE(TEXT(B3293,"[$-1170401]mm")),""))</f>
        <v/>
      </c>
    </row>
    <row r="3294">
      <c r="B3294" s="30" t="n"/>
      <c r="G3294" s="9">
        <f>IF(AND(E3294&lt;&gt;"",E3294&lt;&gt;0,H3294&lt;&gt;""),H3294/E3294,"")</f>
        <v/>
      </c>
      <c r="L3294">
        <f>IF(B3294="","",IFERROR(VALUE(TEXT(B3294,"[$-1170401]yyyy")),""))</f>
        <v/>
      </c>
      <c r="M3294">
        <f>IF(B3294="","",IFERROR(VALUE(TEXT(B3294,"[$-1170401]mm")),""))</f>
        <v/>
      </c>
    </row>
    <row r="3295">
      <c r="B3295" s="30" t="n"/>
      <c r="G3295" s="9">
        <f>IF(AND(E3295&lt;&gt;"",E3295&lt;&gt;0,H3295&lt;&gt;""),H3295/E3295,"")</f>
        <v/>
      </c>
      <c r="L3295">
        <f>IF(B3295="","",IFERROR(VALUE(TEXT(B3295,"[$-1170401]yyyy")),""))</f>
        <v/>
      </c>
      <c r="M3295">
        <f>IF(B3295="","",IFERROR(VALUE(TEXT(B3295,"[$-1170401]mm")),""))</f>
        <v/>
      </c>
    </row>
    <row r="3296">
      <c r="B3296" s="30" t="n"/>
      <c r="G3296" s="9">
        <f>IF(AND(E3296&lt;&gt;"",E3296&lt;&gt;0,H3296&lt;&gt;""),H3296/E3296,"")</f>
        <v/>
      </c>
      <c r="L3296">
        <f>IF(B3296="","",IFERROR(VALUE(TEXT(B3296,"[$-1170401]yyyy")),""))</f>
        <v/>
      </c>
      <c r="M3296">
        <f>IF(B3296="","",IFERROR(VALUE(TEXT(B3296,"[$-1170401]mm")),""))</f>
        <v/>
      </c>
    </row>
    <row r="3297">
      <c r="B3297" s="30" t="n"/>
      <c r="G3297" s="9">
        <f>IF(AND(E3297&lt;&gt;"",E3297&lt;&gt;0,H3297&lt;&gt;""),H3297/E3297,"")</f>
        <v/>
      </c>
      <c r="L3297">
        <f>IF(B3297="","",IFERROR(VALUE(TEXT(B3297,"[$-1170401]yyyy")),""))</f>
        <v/>
      </c>
      <c r="M3297">
        <f>IF(B3297="","",IFERROR(VALUE(TEXT(B3297,"[$-1170401]mm")),""))</f>
        <v/>
      </c>
    </row>
    <row r="3298">
      <c r="B3298" s="30" t="n"/>
      <c r="G3298" s="9">
        <f>IF(AND(E3298&lt;&gt;"",E3298&lt;&gt;0,H3298&lt;&gt;""),H3298/E3298,"")</f>
        <v/>
      </c>
      <c r="L3298">
        <f>IF(B3298="","",IFERROR(VALUE(TEXT(B3298,"[$-1170401]yyyy")),""))</f>
        <v/>
      </c>
      <c r="M3298">
        <f>IF(B3298="","",IFERROR(VALUE(TEXT(B3298,"[$-1170401]mm")),""))</f>
        <v/>
      </c>
    </row>
    <row r="3299">
      <c r="B3299" s="30" t="n"/>
      <c r="G3299" s="9">
        <f>IF(AND(E3299&lt;&gt;"",E3299&lt;&gt;0,H3299&lt;&gt;""),H3299/E3299,"")</f>
        <v/>
      </c>
      <c r="L3299">
        <f>IF(B3299="","",IFERROR(VALUE(TEXT(B3299,"[$-1170401]yyyy")),""))</f>
        <v/>
      </c>
      <c r="M3299">
        <f>IF(B3299="","",IFERROR(VALUE(TEXT(B3299,"[$-1170401]mm")),""))</f>
        <v/>
      </c>
    </row>
    <row r="3300">
      <c r="B3300" s="30" t="n"/>
      <c r="G3300" s="9">
        <f>IF(AND(E3300&lt;&gt;"",E3300&lt;&gt;0,H3300&lt;&gt;""),H3300/E3300,"")</f>
        <v/>
      </c>
      <c r="L3300">
        <f>IF(B3300="","",IFERROR(VALUE(TEXT(B3300,"[$-1170401]yyyy")),""))</f>
        <v/>
      </c>
      <c r="M3300">
        <f>IF(B3300="","",IFERROR(VALUE(TEXT(B3300,"[$-1170401]mm")),""))</f>
        <v/>
      </c>
    </row>
    <row r="3301">
      <c r="B3301" s="30" t="n"/>
      <c r="G3301" s="9">
        <f>IF(AND(E3301&lt;&gt;"",E3301&lt;&gt;0,H3301&lt;&gt;""),H3301/E3301,"")</f>
        <v/>
      </c>
      <c r="L3301">
        <f>IF(B3301="","",IFERROR(VALUE(TEXT(B3301,"[$-1170401]yyyy")),""))</f>
        <v/>
      </c>
      <c r="M3301">
        <f>IF(B3301="","",IFERROR(VALUE(TEXT(B3301,"[$-1170401]mm")),""))</f>
        <v/>
      </c>
    </row>
    <row r="3302">
      <c r="B3302" s="30" t="n"/>
      <c r="G3302" s="9">
        <f>IF(AND(E3302&lt;&gt;"",E3302&lt;&gt;0,H3302&lt;&gt;""),H3302/E3302,"")</f>
        <v/>
      </c>
      <c r="L3302">
        <f>IF(B3302="","",IFERROR(VALUE(TEXT(B3302,"[$-1170401]yyyy")),""))</f>
        <v/>
      </c>
      <c r="M3302">
        <f>IF(B3302="","",IFERROR(VALUE(TEXT(B3302,"[$-1170401]mm")),""))</f>
        <v/>
      </c>
    </row>
    <row r="3303">
      <c r="B3303" s="30" t="n"/>
      <c r="G3303" s="9">
        <f>IF(AND(E3303&lt;&gt;"",E3303&lt;&gt;0,H3303&lt;&gt;""),H3303/E3303,"")</f>
        <v/>
      </c>
      <c r="L3303">
        <f>IF(B3303="","",IFERROR(VALUE(TEXT(B3303,"[$-1170401]yyyy")),""))</f>
        <v/>
      </c>
      <c r="M3303">
        <f>IF(B3303="","",IFERROR(VALUE(TEXT(B3303,"[$-1170401]mm")),""))</f>
        <v/>
      </c>
    </row>
    <row r="3304">
      <c r="B3304" s="30" t="n"/>
      <c r="G3304" s="9">
        <f>IF(AND(E3304&lt;&gt;"",E3304&lt;&gt;0,H3304&lt;&gt;""),H3304/E3304,"")</f>
        <v/>
      </c>
      <c r="L3304">
        <f>IF(B3304="","",IFERROR(VALUE(TEXT(B3304,"[$-1170401]yyyy")),""))</f>
        <v/>
      </c>
      <c r="M3304">
        <f>IF(B3304="","",IFERROR(VALUE(TEXT(B3304,"[$-1170401]mm")),""))</f>
        <v/>
      </c>
    </row>
    <row r="3305">
      <c r="B3305" s="30" t="n"/>
      <c r="G3305" s="9">
        <f>IF(AND(E3305&lt;&gt;"",E3305&lt;&gt;0,H3305&lt;&gt;""),H3305/E3305,"")</f>
        <v/>
      </c>
      <c r="L3305">
        <f>IF(B3305="","",IFERROR(VALUE(TEXT(B3305,"[$-1170401]yyyy")),""))</f>
        <v/>
      </c>
      <c r="M3305">
        <f>IF(B3305="","",IFERROR(VALUE(TEXT(B3305,"[$-1170401]mm")),""))</f>
        <v/>
      </c>
    </row>
    <row r="3306">
      <c r="B3306" s="30" t="n"/>
      <c r="G3306" s="9">
        <f>IF(AND(E3306&lt;&gt;"",E3306&lt;&gt;0,H3306&lt;&gt;""),H3306/E3306,"")</f>
        <v/>
      </c>
      <c r="L3306">
        <f>IF(B3306="","",IFERROR(VALUE(TEXT(B3306,"[$-1170401]yyyy")),""))</f>
        <v/>
      </c>
      <c r="M3306">
        <f>IF(B3306="","",IFERROR(VALUE(TEXT(B3306,"[$-1170401]mm")),""))</f>
        <v/>
      </c>
    </row>
    <row r="3307">
      <c r="B3307" s="30" t="n"/>
      <c r="G3307" s="9">
        <f>IF(AND(E3307&lt;&gt;"",E3307&lt;&gt;0,H3307&lt;&gt;""),H3307/E3307,"")</f>
        <v/>
      </c>
      <c r="L3307">
        <f>IF(B3307="","",IFERROR(VALUE(TEXT(B3307,"[$-1170401]yyyy")),""))</f>
        <v/>
      </c>
      <c r="M3307">
        <f>IF(B3307="","",IFERROR(VALUE(TEXT(B3307,"[$-1170401]mm")),""))</f>
        <v/>
      </c>
    </row>
    <row r="3308">
      <c r="B3308" s="30" t="n"/>
      <c r="G3308" s="9">
        <f>IF(AND(E3308&lt;&gt;"",E3308&lt;&gt;0,H3308&lt;&gt;""),H3308/E3308,"")</f>
        <v/>
      </c>
      <c r="L3308">
        <f>IF(B3308="","",IFERROR(VALUE(TEXT(B3308,"[$-1170401]yyyy")),""))</f>
        <v/>
      </c>
      <c r="M3308">
        <f>IF(B3308="","",IFERROR(VALUE(TEXT(B3308,"[$-1170401]mm")),""))</f>
        <v/>
      </c>
    </row>
    <row r="3309">
      <c r="B3309" s="30" t="n"/>
      <c r="G3309" s="9">
        <f>IF(AND(E3309&lt;&gt;"",E3309&lt;&gt;0,H3309&lt;&gt;""),H3309/E3309,"")</f>
        <v/>
      </c>
      <c r="L3309">
        <f>IF(B3309="","",IFERROR(VALUE(TEXT(B3309,"[$-1170401]yyyy")),""))</f>
        <v/>
      </c>
      <c r="M3309">
        <f>IF(B3309="","",IFERROR(VALUE(TEXT(B3309,"[$-1170401]mm")),""))</f>
        <v/>
      </c>
    </row>
    <row r="3310">
      <c r="B3310" s="30" t="n"/>
      <c r="G3310" s="9">
        <f>IF(AND(E3310&lt;&gt;"",E3310&lt;&gt;0,H3310&lt;&gt;""),H3310/E3310,"")</f>
        <v/>
      </c>
      <c r="L3310">
        <f>IF(B3310="","",IFERROR(VALUE(TEXT(B3310,"[$-1170401]yyyy")),""))</f>
        <v/>
      </c>
      <c r="M3310">
        <f>IF(B3310="","",IFERROR(VALUE(TEXT(B3310,"[$-1170401]mm")),""))</f>
        <v/>
      </c>
    </row>
    <row r="3311">
      <c r="B3311" s="30" t="n"/>
      <c r="G3311" s="9">
        <f>IF(AND(E3311&lt;&gt;"",E3311&lt;&gt;0,H3311&lt;&gt;""),H3311/E3311,"")</f>
        <v/>
      </c>
      <c r="L3311">
        <f>IF(B3311="","",IFERROR(VALUE(TEXT(B3311,"[$-1170401]yyyy")),""))</f>
        <v/>
      </c>
      <c r="M3311">
        <f>IF(B3311="","",IFERROR(VALUE(TEXT(B3311,"[$-1170401]mm")),""))</f>
        <v/>
      </c>
    </row>
    <row r="3312">
      <c r="B3312" s="30" t="n"/>
      <c r="G3312" s="9">
        <f>IF(AND(E3312&lt;&gt;"",E3312&lt;&gt;0,H3312&lt;&gt;""),H3312/E3312,"")</f>
        <v/>
      </c>
      <c r="L3312">
        <f>IF(B3312="","",IFERROR(VALUE(TEXT(B3312,"[$-1170401]yyyy")),""))</f>
        <v/>
      </c>
      <c r="M3312">
        <f>IF(B3312="","",IFERROR(VALUE(TEXT(B3312,"[$-1170401]mm")),""))</f>
        <v/>
      </c>
    </row>
    <row r="3313">
      <c r="B3313" s="30" t="n"/>
      <c r="G3313" s="9">
        <f>IF(AND(E3313&lt;&gt;"",E3313&lt;&gt;0,H3313&lt;&gt;""),H3313/E3313,"")</f>
        <v/>
      </c>
      <c r="L3313">
        <f>IF(B3313="","",IFERROR(VALUE(TEXT(B3313,"[$-1170401]yyyy")),""))</f>
        <v/>
      </c>
      <c r="M3313">
        <f>IF(B3313="","",IFERROR(VALUE(TEXT(B3313,"[$-1170401]mm")),""))</f>
        <v/>
      </c>
    </row>
    <row r="3314">
      <c r="B3314" s="30" t="n"/>
      <c r="G3314" s="9">
        <f>IF(AND(E3314&lt;&gt;"",E3314&lt;&gt;0,H3314&lt;&gt;""),H3314/E3314,"")</f>
        <v/>
      </c>
      <c r="L3314">
        <f>IF(B3314="","",IFERROR(VALUE(TEXT(B3314,"[$-1170401]yyyy")),""))</f>
        <v/>
      </c>
      <c r="M3314">
        <f>IF(B3314="","",IFERROR(VALUE(TEXT(B3314,"[$-1170401]mm")),""))</f>
        <v/>
      </c>
    </row>
    <row r="3315">
      <c r="B3315" s="30" t="n"/>
      <c r="G3315" s="9">
        <f>IF(AND(E3315&lt;&gt;"",E3315&lt;&gt;0,H3315&lt;&gt;""),H3315/E3315,"")</f>
        <v/>
      </c>
      <c r="L3315">
        <f>IF(B3315="","",IFERROR(VALUE(TEXT(B3315,"[$-1170401]yyyy")),""))</f>
        <v/>
      </c>
      <c r="M3315">
        <f>IF(B3315="","",IFERROR(VALUE(TEXT(B3315,"[$-1170401]mm")),""))</f>
        <v/>
      </c>
    </row>
    <row r="3316">
      <c r="B3316" s="30" t="n"/>
      <c r="G3316" s="9">
        <f>IF(AND(E3316&lt;&gt;"",E3316&lt;&gt;0,H3316&lt;&gt;""),H3316/E3316,"")</f>
        <v/>
      </c>
      <c r="L3316">
        <f>IF(B3316="","",IFERROR(VALUE(TEXT(B3316,"[$-1170401]yyyy")),""))</f>
        <v/>
      </c>
      <c r="M3316">
        <f>IF(B3316="","",IFERROR(VALUE(TEXT(B3316,"[$-1170401]mm")),""))</f>
        <v/>
      </c>
    </row>
    <row r="3317">
      <c r="B3317" s="30" t="n"/>
      <c r="G3317" s="9">
        <f>IF(AND(E3317&lt;&gt;"",E3317&lt;&gt;0,H3317&lt;&gt;""),H3317/E3317,"")</f>
        <v/>
      </c>
      <c r="L3317">
        <f>IF(B3317="","",IFERROR(VALUE(TEXT(B3317,"[$-1170401]yyyy")),""))</f>
        <v/>
      </c>
      <c r="M3317">
        <f>IF(B3317="","",IFERROR(VALUE(TEXT(B3317,"[$-1170401]mm")),""))</f>
        <v/>
      </c>
    </row>
    <row r="3318">
      <c r="B3318" s="30" t="n"/>
      <c r="G3318" s="9">
        <f>IF(AND(E3318&lt;&gt;"",E3318&lt;&gt;0,H3318&lt;&gt;""),H3318/E3318,"")</f>
        <v/>
      </c>
      <c r="L3318">
        <f>IF(B3318="","",IFERROR(VALUE(TEXT(B3318,"[$-1170401]yyyy")),""))</f>
        <v/>
      </c>
      <c r="M3318">
        <f>IF(B3318="","",IFERROR(VALUE(TEXT(B3318,"[$-1170401]mm")),""))</f>
        <v/>
      </c>
    </row>
    <row r="3319">
      <c r="B3319" s="30" t="n"/>
      <c r="G3319" s="9">
        <f>IF(AND(E3319&lt;&gt;"",E3319&lt;&gt;0,H3319&lt;&gt;""),H3319/E3319,"")</f>
        <v/>
      </c>
      <c r="L3319">
        <f>IF(B3319="","",IFERROR(VALUE(TEXT(B3319,"[$-1170401]yyyy")),""))</f>
        <v/>
      </c>
      <c r="M3319">
        <f>IF(B3319="","",IFERROR(VALUE(TEXT(B3319,"[$-1170401]mm")),""))</f>
        <v/>
      </c>
    </row>
    <row r="3320">
      <c r="B3320" s="30" t="n"/>
      <c r="G3320" s="9">
        <f>IF(AND(E3320&lt;&gt;"",E3320&lt;&gt;0,H3320&lt;&gt;""),H3320/E3320,"")</f>
        <v/>
      </c>
      <c r="L3320">
        <f>IF(B3320="","",IFERROR(VALUE(TEXT(B3320,"[$-1170401]yyyy")),""))</f>
        <v/>
      </c>
      <c r="M3320">
        <f>IF(B3320="","",IFERROR(VALUE(TEXT(B3320,"[$-1170401]mm")),""))</f>
        <v/>
      </c>
    </row>
    <row r="3321">
      <c r="B3321" s="30" t="n"/>
      <c r="G3321" s="9">
        <f>IF(AND(E3321&lt;&gt;"",E3321&lt;&gt;0,H3321&lt;&gt;""),H3321/E3321,"")</f>
        <v/>
      </c>
      <c r="L3321">
        <f>IF(B3321="","",IFERROR(VALUE(TEXT(B3321,"[$-1170401]yyyy")),""))</f>
        <v/>
      </c>
      <c r="M3321">
        <f>IF(B3321="","",IFERROR(VALUE(TEXT(B3321,"[$-1170401]mm")),""))</f>
        <v/>
      </c>
    </row>
    <row r="3322">
      <c r="B3322" s="30" t="n"/>
      <c r="G3322" s="9">
        <f>IF(AND(E3322&lt;&gt;"",E3322&lt;&gt;0,H3322&lt;&gt;""),H3322/E3322,"")</f>
        <v/>
      </c>
      <c r="L3322">
        <f>IF(B3322="","",IFERROR(VALUE(TEXT(B3322,"[$-1170401]yyyy")),""))</f>
        <v/>
      </c>
      <c r="M3322">
        <f>IF(B3322="","",IFERROR(VALUE(TEXT(B3322,"[$-1170401]mm")),""))</f>
        <v/>
      </c>
    </row>
    <row r="3323">
      <c r="B3323" s="30" t="n"/>
      <c r="G3323" s="9">
        <f>IF(AND(E3323&lt;&gt;"",E3323&lt;&gt;0,H3323&lt;&gt;""),H3323/E3323,"")</f>
        <v/>
      </c>
      <c r="L3323">
        <f>IF(B3323="","",IFERROR(VALUE(TEXT(B3323,"[$-1170401]yyyy")),""))</f>
        <v/>
      </c>
      <c r="M3323">
        <f>IF(B3323="","",IFERROR(VALUE(TEXT(B3323,"[$-1170401]mm")),""))</f>
        <v/>
      </c>
    </row>
    <row r="3324">
      <c r="B3324" s="30" t="n"/>
      <c r="G3324" s="9">
        <f>IF(AND(E3324&lt;&gt;"",E3324&lt;&gt;0,H3324&lt;&gt;""),H3324/E3324,"")</f>
        <v/>
      </c>
      <c r="L3324">
        <f>IF(B3324="","",IFERROR(VALUE(TEXT(B3324,"[$-1170401]yyyy")),""))</f>
        <v/>
      </c>
      <c r="M3324">
        <f>IF(B3324="","",IFERROR(VALUE(TEXT(B3324,"[$-1170401]mm")),""))</f>
        <v/>
      </c>
    </row>
    <row r="3325">
      <c r="B3325" s="30" t="n"/>
      <c r="G3325" s="9">
        <f>IF(AND(E3325&lt;&gt;"",E3325&lt;&gt;0,H3325&lt;&gt;""),H3325/E3325,"")</f>
        <v/>
      </c>
      <c r="L3325">
        <f>IF(B3325="","",IFERROR(VALUE(TEXT(B3325,"[$-1170401]yyyy")),""))</f>
        <v/>
      </c>
      <c r="M3325">
        <f>IF(B3325="","",IFERROR(VALUE(TEXT(B3325,"[$-1170401]mm")),""))</f>
        <v/>
      </c>
    </row>
    <row r="3326">
      <c r="B3326" s="30" t="n"/>
      <c r="G3326" s="9">
        <f>IF(AND(E3326&lt;&gt;"",E3326&lt;&gt;0,H3326&lt;&gt;""),H3326/E3326,"")</f>
        <v/>
      </c>
      <c r="L3326">
        <f>IF(B3326="","",IFERROR(VALUE(TEXT(B3326,"[$-1170401]yyyy")),""))</f>
        <v/>
      </c>
      <c r="M3326">
        <f>IF(B3326="","",IFERROR(VALUE(TEXT(B3326,"[$-1170401]mm")),""))</f>
        <v/>
      </c>
    </row>
    <row r="3327">
      <c r="B3327" s="30" t="n"/>
      <c r="G3327" s="9">
        <f>IF(AND(E3327&lt;&gt;"",E3327&lt;&gt;0,H3327&lt;&gt;""),H3327/E3327,"")</f>
        <v/>
      </c>
      <c r="L3327">
        <f>IF(B3327="","",IFERROR(VALUE(TEXT(B3327,"[$-1170401]yyyy")),""))</f>
        <v/>
      </c>
      <c r="M3327">
        <f>IF(B3327="","",IFERROR(VALUE(TEXT(B3327,"[$-1170401]mm")),""))</f>
        <v/>
      </c>
    </row>
    <row r="3328">
      <c r="B3328" s="30" t="n"/>
      <c r="G3328" s="9">
        <f>IF(AND(E3328&lt;&gt;"",E3328&lt;&gt;0,H3328&lt;&gt;""),H3328/E3328,"")</f>
        <v/>
      </c>
      <c r="L3328">
        <f>IF(B3328="","",IFERROR(VALUE(TEXT(B3328,"[$-1170401]yyyy")),""))</f>
        <v/>
      </c>
      <c r="M3328">
        <f>IF(B3328="","",IFERROR(VALUE(TEXT(B3328,"[$-1170401]mm")),""))</f>
        <v/>
      </c>
    </row>
    <row r="3329">
      <c r="B3329" s="30" t="n"/>
      <c r="G3329" s="9">
        <f>IF(AND(E3329&lt;&gt;"",E3329&lt;&gt;0,H3329&lt;&gt;""),H3329/E3329,"")</f>
        <v/>
      </c>
      <c r="L3329">
        <f>IF(B3329="","",IFERROR(VALUE(TEXT(B3329,"[$-1170401]yyyy")),""))</f>
        <v/>
      </c>
      <c r="M3329">
        <f>IF(B3329="","",IFERROR(VALUE(TEXT(B3329,"[$-1170401]mm")),""))</f>
        <v/>
      </c>
    </row>
    <row r="3330">
      <c r="B3330" s="30" t="n"/>
      <c r="G3330" s="9">
        <f>IF(AND(E3330&lt;&gt;"",E3330&lt;&gt;0,H3330&lt;&gt;""),H3330/E3330,"")</f>
        <v/>
      </c>
      <c r="L3330">
        <f>IF(B3330="","",IFERROR(VALUE(TEXT(B3330,"[$-1170401]yyyy")),""))</f>
        <v/>
      </c>
      <c r="M3330">
        <f>IF(B3330="","",IFERROR(VALUE(TEXT(B3330,"[$-1170401]mm")),""))</f>
        <v/>
      </c>
    </row>
    <row r="3331">
      <c r="B3331" s="30" t="n"/>
      <c r="G3331" s="9">
        <f>IF(AND(E3331&lt;&gt;"",E3331&lt;&gt;0,H3331&lt;&gt;""),H3331/E3331,"")</f>
        <v/>
      </c>
      <c r="L3331">
        <f>IF(B3331="","",IFERROR(VALUE(TEXT(B3331,"[$-1170401]yyyy")),""))</f>
        <v/>
      </c>
      <c r="M3331">
        <f>IF(B3331="","",IFERROR(VALUE(TEXT(B3331,"[$-1170401]mm")),""))</f>
        <v/>
      </c>
    </row>
    <row r="3332">
      <c r="B3332" s="30" t="n"/>
      <c r="G3332" s="9">
        <f>IF(AND(E3332&lt;&gt;"",E3332&lt;&gt;0,H3332&lt;&gt;""),H3332/E3332,"")</f>
        <v/>
      </c>
      <c r="L3332">
        <f>IF(B3332="","",IFERROR(VALUE(TEXT(B3332,"[$-1170401]yyyy")),""))</f>
        <v/>
      </c>
      <c r="M3332">
        <f>IF(B3332="","",IFERROR(VALUE(TEXT(B3332,"[$-1170401]mm")),""))</f>
        <v/>
      </c>
    </row>
    <row r="3333">
      <c r="B3333" s="30" t="n"/>
      <c r="G3333" s="9">
        <f>IF(AND(E3333&lt;&gt;"",E3333&lt;&gt;0,H3333&lt;&gt;""),H3333/E3333,"")</f>
        <v/>
      </c>
      <c r="L3333">
        <f>IF(B3333="","",IFERROR(VALUE(TEXT(B3333,"[$-1170401]yyyy")),""))</f>
        <v/>
      </c>
      <c r="M3333">
        <f>IF(B3333="","",IFERROR(VALUE(TEXT(B3333,"[$-1170401]mm")),""))</f>
        <v/>
      </c>
    </row>
    <row r="3334">
      <c r="B3334" s="30" t="n"/>
      <c r="G3334" s="9">
        <f>IF(AND(E3334&lt;&gt;"",E3334&lt;&gt;0,H3334&lt;&gt;""),H3334/E3334,"")</f>
        <v/>
      </c>
      <c r="L3334">
        <f>IF(B3334="","",IFERROR(VALUE(TEXT(B3334,"[$-1170401]yyyy")),""))</f>
        <v/>
      </c>
      <c r="M3334">
        <f>IF(B3334="","",IFERROR(VALUE(TEXT(B3334,"[$-1170401]mm")),""))</f>
        <v/>
      </c>
    </row>
    <row r="3335">
      <c r="B3335" s="30" t="n"/>
      <c r="G3335" s="9">
        <f>IF(AND(E3335&lt;&gt;"",E3335&lt;&gt;0,H3335&lt;&gt;""),H3335/E3335,"")</f>
        <v/>
      </c>
      <c r="L3335">
        <f>IF(B3335="","",IFERROR(VALUE(TEXT(B3335,"[$-1170401]yyyy")),""))</f>
        <v/>
      </c>
      <c r="M3335">
        <f>IF(B3335="","",IFERROR(VALUE(TEXT(B3335,"[$-1170401]mm")),""))</f>
        <v/>
      </c>
    </row>
    <row r="3336">
      <c r="B3336" s="30" t="n"/>
      <c r="G3336" s="9">
        <f>IF(AND(E3336&lt;&gt;"",E3336&lt;&gt;0,H3336&lt;&gt;""),H3336/E3336,"")</f>
        <v/>
      </c>
      <c r="L3336">
        <f>IF(B3336="","",IFERROR(VALUE(TEXT(B3336,"[$-1170401]yyyy")),""))</f>
        <v/>
      </c>
      <c r="M3336">
        <f>IF(B3336="","",IFERROR(VALUE(TEXT(B3336,"[$-1170401]mm")),""))</f>
        <v/>
      </c>
    </row>
    <row r="3337">
      <c r="B3337" s="30" t="n"/>
      <c r="G3337" s="9">
        <f>IF(AND(E3337&lt;&gt;"",E3337&lt;&gt;0,H3337&lt;&gt;""),H3337/E3337,"")</f>
        <v/>
      </c>
      <c r="L3337">
        <f>IF(B3337="","",IFERROR(VALUE(TEXT(B3337,"[$-1170401]yyyy")),""))</f>
        <v/>
      </c>
      <c r="M3337">
        <f>IF(B3337="","",IFERROR(VALUE(TEXT(B3337,"[$-1170401]mm")),""))</f>
        <v/>
      </c>
    </row>
    <row r="3338">
      <c r="B3338" s="30" t="n"/>
      <c r="G3338" s="9">
        <f>IF(AND(E3338&lt;&gt;"",E3338&lt;&gt;0,H3338&lt;&gt;""),H3338/E3338,"")</f>
        <v/>
      </c>
      <c r="L3338">
        <f>IF(B3338="","",IFERROR(VALUE(TEXT(B3338,"[$-1170401]yyyy")),""))</f>
        <v/>
      </c>
      <c r="M3338">
        <f>IF(B3338="","",IFERROR(VALUE(TEXT(B3338,"[$-1170401]mm")),""))</f>
        <v/>
      </c>
    </row>
    <row r="3339">
      <c r="B3339" s="30" t="n"/>
      <c r="G3339" s="9">
        <f>IF(AND(E3339&lt;&gt;"",E3339&lt;&gt;0,H3339&lt;&gt;""),H3339/E3339,"")</f>
        <v/>
      </c>
      <c r="L3339">
        <f>IF(B3339="","",IFERROR(VALUE(TEXT(B3339,"[$-1170401]yyyy")),""))</f>
        <v/>
      </c>
      <c r="M3339">
        <f>IF(B3339="","",IFERROR(VALUE(TEXT(B3339,"[$-1170401]mm")),""))</f>
        <v/>
      </c>
    </row>
    <row r="3340">
      <c r="B3340" s="30" t="n"/>
      <c r="G3340" s="9">
        <f>IF(AND(E3340&lt;&gt;"",E3340&lt;&gt;0,H3340&lt;&gt;""),H3340/E3340,"")</f>
        <v/>
      </c>
      <c r="L3340">
        <f>IF(B3340="","",IFERROR(VALUE(TEXT(B3340,"[$-1170401]yyyy")),""))</f>
        <v/>
      </c>
      <c r="M3340">
        <f>IF(B3340="","",IFERROR(VALUE(TEXT(B3340,"[$-1170401]mm")),""))</f>
        <v/>
      </c>
    </row>
    <row r="3341">
      <c r="B3341" s="30" t="n"/>
      <c r="G3341" s="9">
        <f>IF(AND(E3341&lt;&gt;"",E3341&lt;&gt;0,H3341&lt;&gt;""),H3341/E3341,"")</f>
        <v/>
      </c>
      <c r="L3341">
        <f>IF(B3341="","",IFERROR(VALUE(TEXT(B3341,"[$-1170401]yyyy")),""))</f>
        <v/>
      </c>
      <c r="M3341">
        <f>IF(B3341="","",IFERROR(VALUE(TEXT(B3341,"[$-1170401]mm")),""))</f>
        <v/>
      </c>
    </row>
    <row r="3342">
      <c r="B3342" s="30" t="n"/>
      <c r="G3342" s="9">
        <f>IF(AND(E3342&lt;&gt;"",E3342&lt;&gt;0,H3342&lt;&gt;""),H3342/E3342,"")</f>
        <v/>
      </c>
      <c r="L3342">
        <f>IF(B3342="","",IFERROR(VALUE(TEXT(B3342,"[$-1170401]yyyy")),""))</f>
        <v/>
      </c>
      <c r="M3342">
        <f>IF(B3342="","",IFERROR(VALUE(TEXT(B3342,"[$-1170401]mm")),""))</f>
        <v/>
      </c>
    </row>
    <row r="3343">
      <c r="B3343" s="30" t="n"/>
      <c r="G3343" s="9">
        <f>IF(AND(E3343&lt;&gt;"",E3343&lt;&gt;0,H3343&lt;&gt;""),H3343/E3343,"")</f>
        <v/>
      </c>
      <c r="L3343">
        <f>IF(B3343="","",IFERROR(VALUE(TEXT(B3343,"[$-1170401]yyyy")),""))</f>
        <v/>
      </c>
      <c r="M3343">
        <f>IF(B3343="","",IFERROR(VALUE(TEXT(B3343,"[$-1170401]mm")),""))</f>
        <v/>
      </c>
    </row>
    <row r="3344">
      <c r="B3344" s="30" t="n"/>
      <c r="G3344" s="9">
        <f>IF(AND(E3344&lt;&gt;"",E3344&lt;&gt;0,H3344&lt;&gt;""),H3344/E3344,"")</f>
        <v/>
      </c>
      <c r="L3344">
        <f>IF(B3344="","",IFERROR(VALUE(TEXT(B3344,"[$-1170401]yyyy")),""))</f>
        <v/>
      </c>
      <c r="M3344">
        <f>IF(B3344="","",IFERROR(VALUE(TEXT(B3344,"[$-1170401]mm")),""))</f>
        <v/>
      </c>
    </row>
    <row r="3345">
      <c r="B3345" s="30" t="n"/>
      <c r="G3345" s="9">
        <f>IF(AND(E3345&lt;&gt;"",E3345&lt;&gt;0,H3345&lt;&gt;""),H3345/E3345,"")</f>
        <v/>
      </c>
      <c r="L3345">
        <f>IF(B3345="","",IFERROR(VALUE(TEXT(B3345,"[$-1170401]yyyy")),""))</f>
        <v/>
      </c>
      <c r="M3345">
        <f>IF(B3345="","",IFERROR(VALUE(TEXT(B3345,"[$-1170401]mm")),""))</f>
        <v/>
      </c>
    </row>
    <row r="3346">
      <c r="B3346" s="30" t="n"/>
      <c r="G3346" s="9">
        <f>IF(AND(E3346&lt;&gt;"",E3346&lt;&gt;0,H3346&lt;&gt;""),H3346/E3346,"")</f>
        <v/>
      </c>
      <c r="L3346">
        <f>IF(B3346="","",IFERROR(VALUE(TEXT(B3346,"[$-1170401]yyyy")),""))</f>
        <v/>
      </c>
      <c r="M3346">
        <f>IF(B3346="","",IFERROR(VALUE(TEXT(B3346,"[$-1170401]mm")),""))</f>
        <v/>
      </c>
    </row>
    <row r="3347">
      <c r="B3347" s="30" t="n"/>
      <c r="G3347" s="9">
        <f>IF(AND(E3347&lt;&gt;"",E3347&lt;&gt;0,H3347&lt;&gt;""),H3347/E3347,"")</f>
        <v/>
      </c>
      <c r="L3347">
        <f>IF(B3347="","",IFERROR(VALUE(TEXT(B3347,"[$-1170401]yyyy")),""))</f>
        <v/>
      </c>
      <c r="M3347">
        <f>IF(B3347="","",IFERROR(VALUE(TEXT(B3347,"[$-1170401]mm")),""))</f>
        <v/>
      </c>
    </row>
    <row r="3348">
      <c r="B3348" s="30" t="n"/>
      <c r="G3348" s="9">
        <f>IF(AND(E3348&lt;&gt;"",E3348&lt;&gt;0,H3348&lt;&gt;""),H3348/E3348,"")</f>
        <v/>
      </c>
      <c r="L3348">
        <f>IF(B3348="","",IFERROR(VALUE(TEXT(B3348,"[$-1170401]yyyy")),""))</f>
        <v/>
      </c>
      <c r="M3348">
        <f>IF(B3348="","",IFERROR(VALUE(TEXT(B3348,"[$-1170401]mm")),""))</f>
        <v/>
      </c>
    </row>
    <row r="3349">
      <c r="B3349" s="30" t="n"/>
      <c r="G3349" s="9">
        <f>IF(AND(E3349&lt;&gt;"",E3349&lt;&gt;0,H3349&lt;&gt;""),H3349/E3349,"")</f>
        <v/>
      </c>
      <c r="L3349">
        <f>IF(B3349="","",IFERROR(VALUE(TEXT(B3349,"[$-1170401]yyyy")),""))</f>
        <v/>
      </c>
      <c r="M3349">
        <f>IF(B3349="","",IFERROR(VALUE(TEXT(B3349,"[$-1170401]mm")),""))</f>
        <v/>
      </c>
    </row>
    <row r="3350">
      <c r="B3350" s="30" t="n"/>
      <c r="G3350" s="9">
        <f>IF(AND(E3350&lt;&gt;"",E3350&lt;&gt;0,H3350&lt;&gt;""),H3350/E3350,"")</f>
        <v/>
      </c>
      <c r="L3350">
        <f>IF(B3350="","",IFERROR(VALUE(TEXT(B3350,"[$-1170401]yyyy")),""))</f>
        <v/>
      </c>
      <c r="M3350">
        <f>IF(B3350="","",IFERROR(VALUE(TEXT(B3350,"[$-1170401]mm")),""))</f>
        <v/>
      </c>
    </row>
    <row r="3351">
      <c r="B3351" s="30" t="n"/>
      <c r="G3351" s="9">
        <f>IF(AND(E3351&lt;&gt;"",E3351&lt;&gt;0,H3351&lt;&gt;""),H3351/E3351,"")</f>
        <v/>
      </c>
      <c r="L3351">
        <f>IF(B3351="","",IFERROR(VALUE(TEXT(B3351,"[$-1170401]yyyy")),""))</f>
        <v/>
      </c>
      <c r="M3351">
        <f>IF(B3351="","",IFERROR(VALUE(TEXT(B3351,"[$-1170401]mm")),""))</f>
        <v/>
      </c>
    </row>
    <row r="3352">
      <c r="B3352" s="30" t="n"/>
      <c r="G3352" s="9">
        <f>IF(AND(E3352&lt;&gt;"",E3352&lt;&gt;0,H3352&lt;&gt;""),H3352/E3352,"")</f>
        <v/>
      </c>
      <c r="L3352">
        <f>IF(B3352="","",IFERROR(VALUE(TEXT(B3352,"[$-1170401]yyyy")),""))</f>
        <v/>
      </c>
      <c r="M3352">
        <f>IF(B3352="","",IFERROR(VALUE(TEXT(B3352,"[$-1170401]mm")),""))</f>
        <v/>
      </c>
    </row>
    <row r="3353">
      <c r="B3353" s="30" t="n"/>
      <c r="G3353" s="9">
        <f>IF(AND(E3353&lt;&gt;"",E3353&lt;&gt;0,H3353&lt;&gt;""),H3353/E3353,"")</f>
        <v/>
      </c>
      <c r="L3353">
        <f>IF(B3353="","",IFERROR(VALUE(TEXT(B3353,"[$-1170401]yyyy")),""))</f>
        <v/>
      </c>
      <c r="M3353">
        <f>IF(B3353="","",IFERROR(VALUE(TEXT(B3353,"[$-1170401]mm")),""))</f>
        <v/>
      </c>
    </row>
    <row r="3354">
      <c r="B3354" s="30" t="n"/>
      <c r="G3354" s="9">
        <f>IF(AND(E3354&lt;&gt;"",E3354&lt;&gt;0,H3354&lt;&gt;""),H3354/E3354,"")</f>
        <v/>
      </c>
      <c r="L3354">
        <f>IF(B3354="","",IFERROR(VALUE(TEXT(B3354,"[$-1170401]yyyy")),""))</f>
        <v/>
      </c>
      <c r="M3354">
        <f>IF(B3354="","",IFERROR(VALUE(TEXT(B3354,"[$-1170401]mm")),""))</f>
        <v/>
      </c>
    </row>
    <row r="3355">
      <c r="B3355" s="30" t="n"/>
      <c r="G3355" s="9">
        <f>IF(AND(E3355&lt;&gt;"",E3355&lt;&gt;0,H3355&lt;&gt;""),H3355/E3355,"")</f>
        <v/>
      </c>
      <c r="L3355">
        <f>IF(B3355="","",IFERROR(VALUE(TEXT(B3355,"[$-1170401]yyyy")),""))</f>
        <v/>
      </c>
      <c r="M3355">
        <f>IF(B3355="","",IFERROR(VALUE(TEXT(B3355,"[$-1170401]mm")),""))</f>
        <v/>
      </c>
    </row>
    <row r="3356">
      <c r="B3356" s="30" t="n"/>
      <c r="G3356" s="9">
        <f>IF(AND(E3356&lt;&gt;"",E3356&lt;&gt;0,H3356&lt;&gt;""),H3356/E3356,"")</f>
        <v/>
      </c>
      <c r="L3356">
        <f>IF(B3356="","",IFERROR(VALUE(TEXT(B3356,"[$-1170401]yyyy")),""))</f>
        <v/>
      </c>
      <c r="M3356">
        <f>IF(B3356="","",IFERROR(VALUE(TEXT(B3356,"[$-1170401]mm")),""))</f>
        <v/>
      </c>
    </row>
    <row r="3357">
      <c r="B3357" s="30" t="n"/>
      <c r="G3357" s="9">
        <f>IF(AND(E3357&lt;&gt;"",E3357&lt;&gt;0,H3357&lt;&gt;""),H3357/E3357,"")</f>
        <v/>
      </c>
      <c r="L3357">
        <f>IF(B3357="","",IFERROR(VALUE(TEXT(B3357,"[$-1170401]yyyy")),""))</f>
        <v/>
      </c>
      <c r="M3357">
        <f>IF(B3357="","",IFERROR(VALUE(TEXT(B3357,"[$-1170401]mm")),""))</f>
        <v/>
      </c>
    </row>
    <row r="3358">
      <c r="B3358" s="30" t="n"/>
      <c r="G3358" s="9">
        <f>IF(AND(E3358&lt;&gt;"",E3358&lt;&gt;0,H3358&lt;&gt;""),H3358/E3358,"")</f>
        <v/>
      </c>
      <c r="L3358">
        <f>IF(B3358="","",IFERROR(VALUE(TEXT(B3358,"[$-1170401]yyyy")),""))</f>
        <v/>
      </c>
      <c r="M3358">
        <f>IF(B3358="","",IFERROR(VALUE(TEXT(B3358,"[$-1170401]mm")),""))</f>
        <v/>
      </c>
    </row>
    <row r="3359">
      <c r="B3359" s="30" t="n"/>
      <c r="G3359" s="9">
        <f>IF(AND(E3359&lt;&gt;"",E3359&lt;&gt;0,H3359&lt;&gt;""),H3359/E3359,"")</f>
        <v/>
      </c>
      <c r="L3359">
        <f>IF(B3359="","",IFERROR(VALUE(TEXT(B3359,"[$-1170401]yyyy")),""))</f>
        <v/>
      </c>
      <c r="M3359">
        <f>IF(B3359="","",IFERROR(VALUE(TEXT(B3359,"[$-1170401]mm")),""))</f>
        <v/>
      </c>
    </row>
    <row r="3360">
      <c r="B3360" s="30" t="n"/>
      <c r="G3360" s="9">
        <f>IF(AND(E3360&lt;&gt;"",E3360&lt;&gt;0,H3360&lt;&gt;""),H3360/E3360,"")</f>
        <v/>
      </c>
      <c r="L3360">
        <f>IF(B3360="","",IFERROR(VALUE(TEXT(B3360,"[$-1170401]yyyy")),""))</f>
        <v/>
      </c>
      <c r="M3360">
        <f>IF(B3360="","",IFERROR(VALUE(TEXT(B3360,"[$-1170401]mm")),""))</f>
        <v/>
      </c>
    </row>
    <row r="3361">
      <c r="B3361" s="30" t="n"/>
      <c r="G3361" s="9">
        <f>IF(AND(E3361&lt;&gt;"",E3361&lt;&gt;0,H3361&lt;&gt;""),H3361/E3361,"")</f>
        <v/>
      </c>
      <c r="L3361">
        <f>IF(B3361="","",IFERROR(VALUE(TEXT(B3361,"[$-1170401]yyyy")),""))</f>
        <v/>
      </c>
      <c r="M3361">
        <f>IF(B3361="","",IFERROR(VALUE(TEXT(B3361,"[$-1170401]mm")),""))</f>
        <v/>
      </c>
    </row>
    <row r="3362">
      <c r="B3362" s="30" t="n"/>
      <c r="G3362" s="9">
        <f>IF(AND(E3362&lt;&gt;"",E3362&lt;&gt;0,H3362&lt;&gt;""),H3362/E3362,"")</f>
        <v/>
      </c>
      <c r="L3362">
        <f>IF(B3362="","",IFERROR(VALUE(TEXT(B3362,"[$-1170401]yyyy")),""))</f>
        <v/>
      </c>
      <c r="M3362">
        <f>IF(B3362="","",IFERROR(VALUE(TEXT(B3362,"[$-1170401]mm")),""))</f>
        <v/>
      </c>
    </row>
    <row r="3363">
      <c r="B3363" s="30" t="n"/>
      <c r="G3363" s="9">
        <f>IF(AND(E3363&lt;&gt;"",E3363&lt;&gt;0,H3363&lt;&gt;""),H3363/E3363,"")</f>
        <v/>
      </c>
      <c r="L3363">
        <f>IF(B3363="","",IFERROR(VALUE(TEXT(B3363,"[$-1170401]yyyy")),""))</f>
        <v/>
      </c>
      <c r="M3363">
        <f>IF(B3363="","",IFERROR(VALUE(TEXT(B3363,"[$-1170401]mm")),""))</f>
        <v/>
      </c>
    </row>
    <row r="3364">
      <c r="B3364" s="30" t="n"/>
      <c r="G3364" s="9">
        <f>IF(AND(E3364&lt;&gt;"",E3364&lt;&gt;0,H3364&lt;&gt;""),H3364/E3364,"")</f>
        <v/>
      </c>
      <c r="L3364">
        <f>IF(B3364="","",IFERROR(VALUE(TEXT(B3364,"[$-1170401]yyyy")),""))</f>
        <v/>
      </c>
      <c r="M3364">
        <f>IF(B3364="","",IFERROR(VALUE(TEXT(B3364,"[$-1170401]mm")),""))</f>
        <v/>
      </c>
    </row>
    <row r="3365">
      <c r="B3365" s="30" t="n"/>
      <c r="G3365" s="9">
        <f>IF(AND(E3365&lt;&gt;"",E3365&lt;&gt;0,H3365&lt;&gt;""),H3365/E3365,"")</f>
        <v/>
      </c>
      <c r="L3365">
        <f>IF(B3365="","",IFERROR(VALUE(TEXT(B3365,"[$-1170401]yyyy")),""))</f>
        <v/>
      </c>
      <c r="M3365">
        <f>IF(B3365="","",IFERROR(VALUE(TEXT(B3365,"[$-1170401]mm")),""))</f>
        <v/>
      </c>
    </row>
    <row r="3366">
      <c r="B3366" s="30" t="n"/>
      <c r="G3366" s="9">
        <f>IF(AND(E3366&lt;&gt;"",E3366&lt;&gt;0,H3366&lt;&gt;""),H3366/E3366,"")</f>
        <v/>
      </c>
      <c r="L3366">
        <f>IF(B3366="","",IFERROR(VALUE(TEXT(B3366,"[$-1170401]yyyy")),""))</f>
        <v/>
      </c>
      <c r="M3366">
        <f>IF(B3366="","",IFERROR(VALUE(TEXT(B3366,"[$-1170401]mm")),""))</f>
        <v/>
      </c>
    </row>
    <row r="3367">
      <c r="B3367" s="30" t="n"/>
      <c r="G3367" s="9">
        <f>IF(AND(E3367&lt;&gt;"",E3367&lt;&gt;0,H3367&lt;&gt;""),H3367/E3367,"")</f>
        <v/>
      </c>
      <c r="L3367">
        <f>IF(B3367="","",IFERROR(VALUE(TEXT(B3367,"[$-1170401]yyyy")),""))</f>
        <v/>
      </c>
      <c r="M3367">
        <f>IF(B3367="","",IFERROR(VALUE(TEXT(B3367,"[$-1170401]mm")),""))</f>
        <v/>
      </c>
    </row>
    <row r="3368">
      <c r="B3368" s="30" t="n"/>
      <c r="G3368" s="9">
        <f>IF(AND(E3368&lt;&gt;"",E3368&lt;&gt;0,H3368&lt;&gt;""),H3368/E3368,"")</f>
        <v/>
      </c>
      <c r="L3368">
        <f>IF(B3368="","",IFERROR(VALUE(TEXT(B3368,"[$-1170401]yyyy")),""))</f>
        <v/>
      </c>
      <c r="M3368">
        <f>IF(B3368="","",IFERROR(VALUE(TEXT(B3368,"[$-1170401]mm")),""))</f>
        <v/>
      </c>
    </row>
    <row r="3369">
      <c r="B3369" s="30" t="n"/>
      <c r="G3369" s="9">
        <f>IF(AND(E3369&lt;&gt;"",E3369&lt;&gt;0,H3369&lt;&gt;""),H3369/E3369,"")</f>
        <v/>
      </c>
      <c r="L3369">
        <f>IF(B3369="","",IFERROR(VALUE(TEXT(B3369,"[$-1170401]yyyy")),""))</f>
        <v/>
      </c>
      <c r="M3369">
        <f>IF(B3369="","",IFERROR(VALUE(TEXT(B3369,"[$-1170401]mm")),""))</f>
        <v/>
      </c>
    </row>
    <row r="3370">
      <c r="B3370" s="30" t="n"/>
      <c r="G3370" s="9">
        <f>IF(AND(E3370&lt;&gt;"",E3370&lt;&gt;0,H3370&lt;&gt;""),H3370/E3370,"")</f>
        <v/>
      </c>
      <c r="L3370">
        <f>IF(B3370="","",IFERROR(VALUE(TEXT(B3370,"[$-1170401]yyyy")),""))</f>
        <v/>
      </c>
      <c r="M3370">
        <f>IF(B3370="","",IFERROR(VALUE(TEXT(B3370,"[$-1170401]mm")),""))</f>
        <v/>
      </c>
    </row>
    <row r="3371">
      <c r="B3371" s="30" t="n"/>
      <c r="G3371" s="9">
        <f>IF(AND(E3371&lt;&gt;"",E3371&lt;&gt;0,H3371&lt;&gt;""),H3371/E3371,"")</f>
        <v/>
      </c>
      <c r="L3371">
        <f>IF(B3371="","",IFERROR(VALUE(TEXT(B3371,"[$-1170401]yyyy")),""))</f>
        <v/>
      </c>
      <c r="M3371">
        <f>IF(B3371="","",IFERROR(VALUE(TEXT(B3371,"[$-1170401]mm")),""))</f>
        <v/>
      </c>
    </row>
    <row r="3372">
      <c r="B3372" s="30" t="n"/>
      <c r="G3372" s="9">
        <f>IF(AND(E3372&lt;&gt;"",E3372&lt;&gt;0,H3372&lt;&gt;""),H3372/E3372,"")</f>
        <v/>
      </c>
      <c r="L3372">
        <f>IF(B3372="","",IFERROR(VALUE(TEXT(B3372,"[$-1170401]yyyy")),""))</f>
        <v/>
      </c>
      <c r="M3372">
        <f>IF(B3372="","",IFERROR(VALUE(TEXT(B3372,"[$-1170401]mm")),""))</f>
        <v/>
      </c>
    </row>
    <row r="3373">
      <c r="B3373" s="30" t="n"/>
      <c r="G3373" s="9">
        <f>IF(AND(E3373&lt;&gt;"",E3373&lt;&gt;0,H3373&lt;&gt;""),H3373/E3373,"")</f>
        <v/>
      </c>
      <c r="L3373">
        <f>IF(B3373="","",IFERROR(VALUE(TEXT(B3373,"[$-1170401]yyyy")),""))</f>
        <v/>
      </c>
      <c r="M3373">
        <f>IF(B3373="","",IFERROR(VALUE(TEXT(B3373,"[$-1170401]mm")),""))</f>
        <v/>
      </c>
    </row>
    <row r="3374">
      <c r="B3374" s="30" t="n"/>
      <c r="G3374" s="9">
        <f>IF(AND(E3374&lt;&gt;"",E3374&lt;&gt;0,H3374&lt;&gt;""),H3374/E3374,"")</f>
        <v/>
      </c>
      <c r="L3374">
        <f>IF(B3374="","",IFERROR(VALUE(TEXT(B3374,"[$-1170401]yyyy")),""))</f>
        <v/>
      </c>
      <c r="M3374">
        <f>IF(B3374="","",IFERROR(VALUE(TEXT(B3374,"[$-1170401]mm")),""))</f>
        <v/>
      </c>
    </row>
    <row r="3375">
      <c r="B3375" s="30" t="n"/>
      <c r="G3375" s="9">
        <f>IF(AND(E3375&lt;&gt;"",E3375&lt;&gt;0,H3375&lt;&gt;""),H3375/E3375,"")</f>
        <v/>
      </c>
      <c r="L3375">
        <f>IF(B3375="","",IFERROR(VALUE(TEXT(B3375,"[$-1170401]yyyy")),""))</f>
        <v/>
      </c>
      <c r="M3375">
        <f>IF(B3375="","",IFERROR(VALUE(TEXT(B3375,"[$-1170401]mm")),""))</f>
        <v/>
      </c>
    </row>
    <row r="3376">
      <c r="B3376" s="30" t="n"/>
      <c r="G3376" s="9">
        <f>IF(AND(E3376&lt;&gt;"",E3376&lt;&gt;0,H3376&lt;&gt;""),H3376/E3376,"")</f>
        <v/>
      </c>
      <c r="L3376">
        <f>IF(B3376="","",IFERROR(VALUE(TEXT(B3376,"[$-1170401]yyyy")),""))</f>
        <v/>
      </c>
      <c r="M3376">
        <f>IF(B3376="","",IFERROR(VALUE(TEXT(B3376,"[$-1170401]mm")),""))</f>
        <v/>
      </c>
    </row>
    <row r="3377">
      <c r="B3377" s="30" t="n"/>
      <c r="G3377" s="9">
        <f>IF(AND(E3377&lt;&gt;"",E3377&lt;&gt;0,H3377&lt;&gt;""),H3377/E3377,"")</f>
        <v/>
      </c>
      <c r="L3377">
        <f>IF(B3377="","",IFERROR(VALUE(TEXT(B3377,"[$-1170401]yyyy")),""))</f>
        <v/>
      </c>
      <c r="M3377">
        <f>IF(B3377="","",IFERROR(VALUE(TEXT(B3377,"[$-1170401]mm")),""))</f>
        <v/>
      </c>
    </row>
    <row r="3378">
      <c r="B3378" s="30" t="n"/>
      <c r="G3378" s="9">
        <f>IF(AND(E3378&lt;&gt;"",E3378&lt;&gt;0,H3378&lt;&gt;""),H3378/E3378,"")</f>
        <v/>
      </c>
      <c r="L3378">
        <f>IF(B3378="","",IFERROR(VALUE(TEXT(B3378,"[$-1170401]yyyy")),""))</f>
        <v/>
      </c>
      <c r="M3378">
        <f>IF(B3378="","",IFERROR(VALUE(TEXT(B3378,"[$-1170401]mm")),""))</f>
        <v/>
      </c>
    </row>
    <row r="3379">
      <c r="B3379" s="30" t="n"/>
      <c r="G3379" s="9">
        <f>IF(AND(E3379&lt;&gt;"",E3379&lt;&gt;0,H3379&lt;&gt;""),H3379/E3379,"")</f>
        <v/>
      </c>
      <c r="L3379">
        <f>IF(B3379="","",IFERROR(VALUE(TEXT(B3379,"[$-1170401]yyyy")),""))</f>
        <v/>
      </c>
      <c r="M3379">
        <f>IF(B3379="","",IFERROR(VALUE(TEXT(B3379,"[$-1170401]mm")),""))</f>
        <v/>
      </c>
    </row>
    <row r="3380">
      <c r="B3380" s="30" t="n"/>
      <c r="G3380" s="9">
        <f>IF(AND(E3380&lt;&gt;"",E3380&lt;&gt;0,H3380&lt;&gt;""),H3380/E3380,"")</f>
        <v/>
      </c>
      <c r="L3380">
        <f>IF(B3380="","",IFERROR(VALUE(TEXT(B3380,"[$-1170401]yyyy")),""))</f>
        <v/>
      </c>
      <c r="M3380">
        <f>IF(B3380="","",IFERROR(VALUE(TEXT(B3380,"[$-1170401]mm")),""))</f>
        <v/>
      </c>
    </row>
    <row r="3381">
      <c r="B3381" s="30" t="n"/>
      <c r="G3381" s="9">
        <f>IF(AND(E3381&lt;&gt;"",E3381&lt;&gt;0,H3381&lt;&gt;""),H3381/E3381,"")</f>
        <v/>
      </c>
      <c r="L3381">
        <f>IF(B3381="","",IFERROR(VALUE(TEXT(B3381,"[$-1170401]yyyy")),""))</f>
        <v/>
      </c>
      <c r="M3381">
        <f>IF(B3381="","",IFERROR(VALUE(TEXT(B3381,"[$-1170401]mm")),""))</f>
        <v/>
      </c>
    </row>
    <row r="3382">
      <c r="B3382" s="30" t="n"/>
      <c r="G3382" s="9">
        <f>IF(AND(E3382&lt;&gt;"",E3382&lt;&gt;0,H3382&lt;&gt;""),H3382/E3382,"")</f>
        <v/>
      </c>
      <c r="L3382">
        <f>IF(B3382="","",IFERROR(VALUE(TEXT(B3382,"[$-1170401]yyyy")),""))</f>
        <v/>
      </c>
      <c r="M3382">
        <f>IF(B3382="","",IFERROR(VALUE(TEXT(B3382,"[$-1170401]mm")),""))</f>
        <v/>
      </c>
    </row>
    <row r="3383">
      <c r="B3383" s="30" t="n"/>
      <c r="G3383" s="9">
        <f>IF(AND(E3383&lt;&gt;"",E3383&lt;&gt;0,H3383&lt;&gt;""),H3383/E3383,"")</f>
        <v/>
      </c>
      <c r="L3383">
        <f>IF(B3383="","",IFERROR(VALUE(TEXT(B3383,"[$-1170401]yyyy")),""))</f>
        <v/>
      </c>
      <c r="M3383">
        <f>IF(B3383="","",IFERROR(VALUE(TEXT(B3383,"[$-1170401]mm")),""))</f>
        <v/>
      </c>
    </row>
    <row r="3384">
      <c r="B3384" s="30" t="n"/>
      <c r="G3384" s="9">
        <f>IF(AND(E3384&lt;&gt;"",E3384&lt;&gt;0,H3384&lt;&gt;""),H3384/E3384,"")</f>
        <v/>
      </c>
      <c r="L3384">
        <f>IF(B3384="","",IFERROR(VALUE(TEXT(B3384,"[$-1170401]yyyy")),""))</f>
        <v/>
      </c>
      <c r="M3384">
        <f>IF(B3384="","",IFERROR(VALUE(TEXT(B3384,"[$-1170401]mm")),""))</f>
        <v/>
      </c>
    </row>
    <row r="3385">
      <c r="B3385" s="30" t="n"/>
      <c r="G3385" s="9">
        <f>IF(AND(E3385&lt;&gt;"",E3385&lt;&gt;0,H3385&lt;&gt;""),H3385/E3385,"")</f>
        <v/>
      </c>
      <c r="L3385">
        <f>IF(B3385="","",IFERROR(VALUE(TEXT(B3385,"[$-1170401]yyyy")),""))</f>
        <v/>
      </c>
      <c r="M3385">
        <f>IF(B3385="","",IFERROR(VALUE(TEXT(B3385,"[$-1170401]mm")),""))</f>
        <v/>
      </c>
    </row>
    <row r="3386">
      <c r="B3386" s="30" t="n"/>
      <c r="G3386" s="9">
        <f>IF(AND(E3386&lt;&gt;"",E3386&lt;&gt;0,H3386&lt;&gt;""),H3386/E3386,"")</f>
        <v/>
      </c>
      <c r="L3386">
        <f>IF(B3386="","",IFERROR(VALUE(TEXT(B3386,"[$-1170401]yyyy")),""))</f>
        <v/>
      </c>
      <c r="M3386">
        <f>IF(B3386="","",IFERROR(VALUE(TEXT(B3386,"[$-1170401]mm")),""))</f>
        <v/>
      </c>
    </row>
    <row r="3387">
      <c r="B3387" s="30" t="n"/>
      <c r="G3387" s="9">
        <f>IF(AND(E3387&lt;&gt;"",E3387&lt;&gt;0,H3387&lt;&gt;""),H3387/E3387,"")</f>
        <v/>
      </c>
      <c r="L3387">
        <f>IF(B3387="","",IFERROR(VALUE(TEXT(B3387,"[$-1170401]yyyy")),""))</f>
        <v/>
      </c>
      <c r="M3387">
        <f>IF(B3387="","",IFERROR(VALUE(TEXT(B3387,"[$-1170401]mm")),""))</f>
        <v/>
      </c>
    </row>
    <row r="3388">
      <c r="B3388" s="30" t="n"/>
      <c r="G3388" s="9">
        <f>IF(AND(E3388&lt;&gt;"",E3388&lt;&gt;0,H3388&lt;&gt;""),H3388/E3388,"")</f>
        <v/>
      </c>
      <c r="L3388">
        <f>IF(B3388="","",IFERROR(VALUE(TEXT(B3388,"[$-1170401]yyyy")),""))</f>
        <v/>
      </c>
      <c r="M3388">
        <f>IF(B3388="","",IFERROR(VALUE(TEXT(B3388,"[$-1170401]mm")),""))</f>
        <v/>
      </c>
    </row>
    <row r="3389">
      <c r="B3389" s="30" t="n"/>
      <c r="G3389" s="9">
        <f>IF(AND(E3389&lt;&gt;"",E3389&lt;&gt;0,H3389&lt;&gt;""),H3389/E3389,"")</f>
        <v/>
      </c>
      <c r="L3389">
        <f>IF(B3389="","",IFERROR(VALUE(TEXT(B3389,"[$-1170401]yyyy")),""))</f>
        <v/>
      </c>
      <c r="M3389">
        <f>IF(B3389="","",IFERROR(VALUE(TEXT(B3389,"[$-1170401]mm")),""))</f>
        <v/>
      </c>
    </row>
    <row r="3390">
      <c r="B3390" s="30" t="n"/>
      <c r="G3390" s="9">
        <f>IF(AND(E3390&lt;&gt;"",E3390&lt;&gt;0,H3390&lt;&gt;""),H3390/E3390,"")</f>
        <v/>
      </c>
      <c r="L3390">
        <f>IF(B3390="","",IFERROR(VALUE(TEXT(B3390,"[$-1170401]yyyy")),""))</f>
        <v/>
      </c>
      <c r="M3390">
        <f>IF(B3390="","",IFERROR(VALUE(TEXT(B3390,"[$-1170401]mm")),""))</f>
        <v/>
      </c>
    </row>
    <row r="3391">
      <c r="B3391" s="30" t="n"/>
      <c r="G3391" s="9">
        <f>IF(AND(E3391&lt;&gt;"",E3391&lt;&gt;0,H3391&lt;&gt;""),H3391/E3391,"")</f>
        <v/>
      </c>
      <c r="L3391">
        <f>IF(B3391="","",IFERROR(VALUE(TEXT(B3391,"[$-1170401]yyyy")),""))</f>
        <v/>
      </c>
      <c r="M3391">
        <f>IF(B3391="","",IFERROR(VALUE(TEXT(B3391,"[$-1170401]mm")),""))</f>
        <v/>
      </c>
    </row>
    <row r="3392">
      <c r="B3392" s="30" t="n"/>
      <c r="G3392" s="9">
        <f>IF(AND(E3392&lt;&gt;"",E3392&lt;&gt;0,H3392&lt;&gt;""),H3392/E3392,"")</f>
        <v/>
      </c>
      <c r="L3392">
        <f>IF(B3392="","",IFERROR(VALUE(TEXT(B3392,"[$-1170401]yyyy")),""))</f>
        <v/>
      </c>
      <c r="M3392">
        <f>IF(B3392="","",IFERROR(VALUE(TEXT(B3392,"[$-1170401]mm")),""))</f>
        <v/>
      </c>
    </row>
    <row r="3393">
      <c r="B3393" s="30" t="n"/>
      <c r="G3393" s="9">
        <f>IF(AND(E3393&lt;&gt;"",E3393&lt;&gt;0,H3393&lt;&gt;""),H3393/E3393,"")</f>
        <v/>
      </c>
      <c r="L3393">
        <f>IF(B3393="","",IFERROR(VALUE(TEXT(B3393,"[$-1170401]yyyy")),""))</f>
        <v/>
      </c>
      <c r="M3393">
        <f>IF(B3393="","",IFERROR(VALUE(TEXT(B3393,"[$-1170401]mm")),""))</f>
        <v/>
      </c>
    </row>
    <row r="3394">
      <c r="B3394" s="30" t="n"/>
      <c r="G3394" s="9">
        <f>IF(AND(E3394&lt;&gt;"",E3394&lt;&gt;0,H3394&lt;&gt;""),H3394/E3394,"")</f>
        <v/>
      </c>
      <c r="L3394">
        <f>IF(B3394="","",IFERROR(VALUE(TEXT(B3394,"[$-1170401]yyyy")),""))</f>
        <v/>
      </c>
      <c r="M3394">
        <f>IF(B3394="","",IFERROR(VALUE(TEXT(B3394,"[$-1170401]mm")),""))</f>
        <v/>
      </c>
    </row>
    <row r="3395">
      <c r="B3395" s="30" t="n"/>
      <c r="G3395" s="9">
        <f>IF(AND(E3395&lt;&gt;"",E3395&lt;&gt;0,H3395&lt;&gt;""),H3395/E3395,"")</f>
        <v/>
      </c>
      <c r="L3395">
        <f>IF(B3395="","",IFERROR(VALUE(TEXT(B3395,"[$-1170401]yyyy")),""))</f>
        <v/>
      </c>
      <c r="M3395">
        <f>IF(B3395="","",IFERROR(VALUE(TEXT(B3395,"[$-1170401]mm")),""))</f>
        <v/>
      </c>
    </row>
    <row r="3396">
      <c r="B3396" s="30" t="n"/>
      <c r="G3396" s="9">
        <f>IF(AND(E3396&lt;&gt;"",E3396&lt;&gt;0,H3396&lt;&gt;""),H3396/E3396,"")</f>
        <v/>
      </c>
      <c r="L3396">
        <f>IF(B3396="","",IFERROR(VALUE(TEXT(B3396,"[$-1170401]yyyy")),""))</f>
        <v/>
      </c>
      <c r="M3396">
        <f>IF(B3396="","",IFERROR(VALUE(TEXT(B3396,"[$-1170401]mm")),""))</f>
        <v/>
      </c>
    </row>
    <row r="3397">
      <c r="B3397" s="30" t="n"/>
      <c r="G3397" s="9">
        <f>IF(AND(E3397&lt;&gt;"",E3397&lt;&gt;0,H3397&lt;&gt;""),H3397/E3397,"")</f>
        <v/>
      </c>
      <c r="L3397">
        <f>IF(B3397="","",IFERROR(VALUE(TEXT(B3397,"[$-1170401]yyyy")),""))</f>
        <v/>
      </c>
      <c r="M3397">
        <f>IF(B3397="","",IFERROR(VALUE(TEXT(B3397,"[$-1170401]mm")),""))</f>
        <v/>
      </c>
    </row>
    <row r="3398">
      <c r="B3398" s="30" t="n"/>
      <c r="G3398" s="9">
        <f>IF(AND(E3398&lt;&gt;"",E3398&lt;&gt;0,H3398&lt;&gt;""),H3398/E3398,"")</f>
        <v/>
      </c>
      <c r="L3398">
        <f>IF(B3398="","",IFERROR(VALUE(TEXT(B3398,"[$-1170401]yyyy")),""))</f>
        <v/>
      </c>
      <c r="M3398">
        <f>IF(B3398="","",IFERROR(VALUE(TEXT(B3398,"[$-1170401]mm")),""))</f>
        <v/>
      </c>
    </row>
    <row r="3399">
      <c r="B3399" s="30" t="n"/>
      <c r="G3399" s="9">
        <f>IF(AND(E3399&lt;&gt;"",E3399&lt;&gt;0,H3399&lt;&gt;""),H3399/E3399,"")</f>
        <v/>
      </c>
      <c r="L3399">
        <f>IF(B3399="","",IFERROR(VALUE(TEXT(B3399,"[$-1170401]yyyy")),""))</f>
        <v/>
      </c>
      <c r="M3399">
        <f>IF(B3399="","",IFERROR(VALUE(TEXT(B3399,"[$-1170401]mm")),""))</f>
        <v/>
      </c>
    </row>
    <row r="3400">
      <c r="B3400" s="30" t="n"/>
      <c r="G3400" s="9">
        <f>IF(AND(E3400&lt;&gt;"",E3400&lt;&gt;0,H3400&lt;&gt;""),H3400/E3400,"")</f>
        <v/>
      </c>
      <c r="L3400">
        <f>IF(B3400="","",IFERROR(VALUE(TEXT(B3400,"[$-1170401]yyyy")),""))</f>
        <v/>
      </c>
      <c r="M3400">
        <f>IF(B3400="","",IFERROR(VALUE(TEXT(B3400,"[$-1170401]mm")),""))</f>
        <v/>
      </c>
    </row>
    <row r="3401">
      <c r="B3401" s="30" t="n"/>
      <c r="G3401" s="9">
        <f>IF(AND(E3401&lt;&gt;"",E3401&lt;&gt;0,H3401&lt;&gt;""),H3401/E3401,"")</f>
        <v/>
      </c>
      <c r="L3401">
        <f>IF(B3401="","",IFERROR(VALUE(TEXT(B3401,"[$-1170401]yyyy")),""))</f>
        <v/>
      </c>
      <c r="M3401">
        <f>IF(B3401="","",IFERROR(VALUE(TEXT(B3401,"[$-1170401]mm")),""))</f>
        <v/>
      </c>
    </row>
    <row r="3402">
      <c r="B3402" s="30" t="n"/>
      <c r="G3402" s="9">
        <f>IF(AND(E3402&lt;&gt;"",E3402&lt;&gt;0,H3402&lt;&gt;""),H3402/E3402,"")</f>
        <v/>
      </c>
      <c r="L3402">
        <f>IF(B3402="","",IFERROR(VALUE(TEXT(B3402,"[$-1170401]yyyy")),""))</f>
        <v/>
      </c>
      <c r="M3402">
        <f>IF(B3402="","",IFERROR(VALUE(TEXT(B3402,"[$-1170401]mm")),""))</f>
        <v/>
      </c>
    </row>
    <row r="3403">
      <c r="B3403" s="30" t="n"/>
      <c r="G3403" s="9">
        <f>IF(AND(E3403&lt;&gt;"",E3403&lt;&gt;0,H3403&lt;&gt;""),H3403/E3403,"")</f>
        <v/>
      </c>
      <c r="L3403">
        <f>IF(B3403="","",IFERROR(VALUE(TEXT(B3403,"[$-1170401]yyyy")),""))</f>
        <v/>
      </c>
      <c r="M3403">
        <f>IF(B3403="","",IFERROR(VALUE(TEXT(B3403,"[$-1170401]mm")),""))</f>
        <v/>
      </c>
    </row>
    <row r="3404">
      <c r="B3404" s="30" t="n"/>
      <c r="G3404" s="9">
        <f>IF(AND(E3404&lt;&gt;"",E3404&lt;&gt;0,H3404&lt;&gt;""),H3404/E3404,"")</f>
        <v/>
      </c>
      <c r="L3404">
        <f>IF(B3404="","",IFERROR(VALUE(TEXT(B3404,"[$-1170401]yyyy")),""))</f>
        <v/>
      </c>
      <c r="M3404">
        <f>IF(B3404="","",IFERROR(VALUE(TEXT(B3404,"[$-1170401]mm")),""))</f>
        <v/>
      </c>
    </row>
    <row r="3405">
      <c r="B3405" s="30" t="n"/>
      <c r="G3405" s="9">
        <f>IF(AND(E3405&lt;&gt;"",E3405&lt;&gt;0,H3405&lt;&gt;""),H3405/E3405,"")</f>
        <v/>
      </c>
      <c r="L3405">
        <f>IF(B3405="","",IFERROR(VALUE(TEXT(B3405,"[$-1170401]yyyy")),""))</f>
        <v/>
      </c>
      <c r="M3405">
        <f>IF(B3405="","",IFERROR(VALUE(TEXT(B3405,"[$-1170401]mm")),""))</f>
        <v/>
      </c>
    </row>
    <row r="3406">
      <c r="B3406" s="30" t="n"/>
      <c r="G3406" s="9">
        <f>IF(AND(E3406&lt;&gt;"",E3406&lt;&gt;0,H3406&lt;&gt;""),H3406/E3406,"")</f>
        <v/>
      </c>
      <c r="L3406">
        <f>IF(B3406="","",IFERROR(VALUE(TEXT(B3406,"[$-1170401]yyyy")),""))</f>
        <v/>
      </c>
      <c r="M3406">
        <f>IF(B3406="","",IFERROR(VALUE(TEXT(B3406,"[$-1170401]mm")),""))</f>
        <v/>
      </c>
    </row>
    <row r="3407">
      <c r="B3407" s="30" t="n"/>
      <c r="G3407" s="9">
        <f>IF(AND(E3407&lt;&gt;"",E3407&lt;&gt;0,H3407&lt;&gt;""),H3407/E3407,"")</f>
        <v/>
      </c>
      <c r="L3407">
        <f>IF(B3407="","",IFERROR(VALUE(TEXT(B3407,"[$-1170401]yyyy")),""))</f>
        <v/>
      </c>
      <c r="M3407">
        <f>IF(B3407="","",IFERROR(VALUE(TEXT(B3407,"[$-1170401]mm")),""))</f>
        <v/>
      </c>
    </row>
    <row r="3408">
      <c r="B3408" s="30" t="n"/>
      <c r="G3408" s="9">
        <f>IF(AND(E3408&lt;&gt;"",E3408&lt;&gt;0,H3408&lt;&gt;""),H3408/E3408,"")</f>
        <v/>
      </c>
      <c r="L3408">
        <f>IF(B3408="","",IFERROR(VALUE(TEXT(B3408,"[$-1170401]yyyy")),""))</f>
        <v/>
      </c>
      <c r="M3408">
        <f>IF(B3408="","",IFERROR(VALUE(TEXT(B3408,"[$-1170401]mm")),""))</f>
        <v/>
      </c>
    </row>
    <row r="3409">
      <c r="B3409" s="30" t="n"/>
      <c r="G3409" s="9">
        <f>IF(AND(E3409&lt;&gt;"",E3409&lt;&gt;0,H3409&lt;&gt;""),H3409/E3409,"")</f>
        <v/>
      </c>
      <c r="L3409">
        <f>IF(B3409="","",IFERROR(VALUE(TEXT(B3409,"[$-1170401]yyyy")),""))</f>
        <v/>
      </c>
      <c r="M3409">
        <f>IF(B3409="","",IFERROR(VALUE(TEXT(B3409,"[$-1170401]mm")),""))</f>
        <v/>
      </c>
    </row>
    <row r="3410">
      <c r="B3410" s="30" t="n"/>
      <c r="G3410" s="9">
        <f>IF(AND(E3410&lt;&gt;"",E3410&lt;&gt;0,H3410&lt;&gt;""),H3410/E3410,"")</f>
        <v/>
      </c>
      <c r="L3410">
        <f>IF(B3410="","",IFERROR(VALUE(TEXT(B3410,"[$-1170401]yyyy")),""))</f>
        <v/>
      </c>
      <c r="M3410">
        <f>IF(B3410="","",IFERROR(VALUE(TEXT(B3410,"[$-1170401]mm")),""))</f>
        <v/>
      </c>
    </row>
    <row r="3411">
      <c r="B3411" s="30" t="n"/>
      <c r="G3411" s="9">
        <f>IF(AND(E3411&lt;&gt;"",E3411&lt;&gt;0,H3411&lt;&gt;""),H3411/E3411,"")</f>
        <v/>
      </c>
      <c r="L3411">
        <f>IF(B3411="","",IFERROR(VALUE(TEXT(B3411,"[$-1170401]yyyy")),""))</f>
        <v/>
      </c>
      <c r="M3411">
        <f>IF(B3411="","",IFERROR(VALUE(TEXT(B3411,"[$-1170401]mm")),""))</f>
        <v/>
      </c>
    </row>
    <row r="3412">
      <c r="B3412" s="30" t="n"/>
      <c r="G3412" s="9">
        <f>IF(AND(E3412&lt;&gt;"",E3412&lt;&gt;0,H3412&lt;&gt;""),H3412/E3412,"")</f>
        <v/>
      </c>
      <c r="L3412">
        <f>IF(B3412="","",IFERROR(VALUE(TEXT(B3412,"[$-1170401]yyyy")),""))</f>
        <v/>
      </c>
      <c r="M3412">
        <f>IF(B3412="","",IFERROR(VALUE(TEXT(B3412,"[$-1170401]mm")),""))</f>
        <v/>
      </c>
    </row>
    <row r="3413">
      <c r="B3413" s="30" t="n"/>
      <c r="G3413" s="9">
        <f>IF(AND(E3413&lt;&gt;"",E3413&lt;&gt;0,H3413&lt;&gt;""),H3413/E3413,"")</f>
        <v/>
      </c>
      <c r="L3413">
        <f>IF(B3413="","",IFERROR(VALUE(TEXT(B3413,"[$-1170401]yyyy")),""))</f>
        <v/>
      </c>
      <c r="M3413">
        <f>IF(B3413="","",IFERROR(VALUE(TEXT(B3413,"[$-1170401]mm")),""))</f>
        <v/>
      </c>
    </row>
    <row r="3414">
      <c r="B3414" s="30" t="n"/>
      <c r="G3414" s="9">
        <f>IF(AND(E3414&lt;&gt;"",E3414&lt;&gt;0,H3414&lt;&gt;""),H3414/E3414,"")</f>
        <v/>
      </c>
      <c r="L3414">
        <f>IF(B3414="","",IFERROR(VALUE(TEXT(B3414,"[$-1170401]yyyy")),""))</f>
        <v/>
      </c>
      <c r="M3414">
        <f>IF(B3414="","",IFERROR(VALUE(TEXT(B3414,"[$-1170401]mm")),""))</f>
        <v/>
      </c>
    </row>
    <row r="3415">
      <c r="B3415" s="30" t="n"/>
      <c r="G3415" s="9">
        <f>IF(AND(E3415&lt;&gt;"",E3415&lt;&gt;0,H3415&lt;&gt;""),H3415/E3415,"")</f>
        <v/>
      </c>
      <c r="L3415">
        <f>IF(B3415="","",IFERROR(VALUE(TEXT(B3415,"[$-1170401]yyyy")),""))</f>
        <v/>
      </c>
      <c r="M3415">
        <f>IF(B3415="","",IFERROR(VALUE(TEXT(B3415,"[$-1170401]mm")),""))</f>
        <v/>
      </c>
    </row>
    <row r="3416">
      <c r="B3416" s="30" t="n"/>
      <c r="G3416" s="9">
        <f>IF(AND(E3416&lt;&gt;"",E3416&lt;&gt;0,H3416&lt;&gt;""),H3416/E3416,"")</f>
        <v/>
      </c>
      <c r="L3416">
        <f>IF(B3416="","",IFERROR(VALUE(TEXT(B3416,"[$-1170401]yyyy")),""))</f>
        <v/>
      </c>
      <c r="M3416">
        <f>IF(B3416="","",IFERROR(VALUE(TEXT(B3416,"[$-1170401]mm")),""))</f>
        <v/>
      </c>
    </row>
    <row r="3417">
      <c r="B3417" s="30" t="n"/>
      <c r="G3417" s="9">
        <f>IF(AND(E3417&lt;&gt;"",E3417&lt;&gt;0,H3417&lt;&gt;""),H3417/E3417,"")</f>
        <v/>
      </c>
      <c r="L3417">
        <f>IF(B3417="","",IFERROR(VALUE(TEXT(B3417,"[$-1170401]yyyy")),""))</f>
        <v/>
      </c>
      <c r="M3417">
        <f>IF(B3417="","",IFERROR(VALUE(TEXT(B3417,"[$-1170401]mm")),""))</f>
        <v/>
      </c>
    </row>
    <row r="3418">
      <c r="B3418" s="30" t="n"/>
      <c r="G3418" s="9">
        <f>IF(AND(E3418&lt;&gt;"",E3418&lt;&gt;0,H3418&lt;&gt;""),H3418/E3418,"")</f>
        <v/>
      </c>
      <c r="L3418">
        <f>IF(B3418="","",IFERROR(VALUE(TEXT(B3418,"[$-1170401]yyyy")),""))</f>
        <v/>
      </c>
      <c r="M3418">
        <f>IF(B3418="","",IFERROR(VALUE(TEXT(B3418,"[$-1170401]mm")),""))</f>
        <v/>
      </c>
    </row>
    <row r="3419">
      <c r="B3419" s="30" t="n"/>
      <c r="G3419" s="9">
        <f>IF(AND(E3419&lt;&gt;"",E3419&lt;&gt;0,H3419&lt;&gt;""),H3419/E3419,"")</f>
        <v/>
      </c>
      <c r="L3419">
        <f>IF(B3419="","",IFERROR(VALUE(TEXT(B3419,"[$-1170401]yyyy")),""))</f>
        <v/>
      </c>
      <c r="M3419">
        <f>IF(B3419="","",IFERROR(VALUE(TEXT(B3419,"[$-1170401]mm")),""))</f>
        <v/>
      </c>
    </row>
    <row r="3420">
      <c r="B3420" s="30" t="n"/>
      <c r="G3420" s="9">
        <f>IF(AND(E3420&lt;&gt;"",E3420&lt;&gt;0,H3420&lt;&gt;""),H3420/E3420,"")</f>
        <v/>
      </c>
      <c r="L3420">
        <f>IF(B3420="","",IFERROR(VALUE(TEXT(B3420,"[$-1170401]yyyy")),""))</f>
        <v/>
      </c>
      <c r="M3420">
        <f>IF(B3420="","",IFERROR(VALUE(TEXT(B3420,"[$-1170401]mm")),""))</f>
        <v/>
      </c>
    </row>
    <row r="3421">
      <c r="B3421" s="30" t="n"/>
      <c r="G3421" s="9">
        <f>IF(AND(E3421&lt;&gt;"",E3421&lt;&gt;0,H3421&lt;&gt;""),H3421/E3421,"")</f>
        <v/>
      </c>
      <c r="L3421">
        <f>IF(B3421="","",IFERROR(VALUE(TEXT(B3421,"[$-1170401]yyyy")),""))</f>
        <v/>
      </c>
      <c r="M3421">
        <f>IF(B3421="","",IFERROR(VALUE(TEXT(B3421,"[$-1170401]mm")),""))</f>
        <v/>
      </c>
    </row>
    <row r="3422">
      <c r="B3422" s="30" t="n"/>
      <c r="G3422" s="9">
        <f>IF(AND(E3422&lt;&gt;"",E3422&lt;&gt;0,H3422&lt;&gt;""),H3422/E3422,"")</f>
        <v/>
      </c>
      <c r="L3422">
        <f>IF(B3422="","",IFERROR(VALUE(TEXT(B3422,"[$-1170401]yyyy")),""))</f>
        <v/>
      </c>
      <c r="M3422">
        <f>IF(B3422="","",IFERROR(VALUE(TEXT(B3422,"[$-1170401]mm")),""))</f>
        <v/>
      </c>
    </row>
    <row r="3423">
      <c r="B3423" s="30" t="n"/>
      <c r="G3423" s="9">
        <f>IF(AND(E3423&lt;&gt;"",E3423&lt;&gt;0,H3423&lt;&gt;""),H3423/E3423,"")</f>
        <v/>
      </c>
      <c r="L3423">
        <f>IF(B3423="","",IFERROR(VALUE(TEXT(B3423,"[$-1170401]yyyy")),""))</f>
        <v/>
      </c>
      <c r="M3423">
        <f>IF(B3423="","",IFERROR(VALUE(TEXT(B3423,"[$-1170401]mm")),""))</f>
        <v/>
      </c>
    </row>
    <row r="3424">
      <c r="B3424" s="30" t="n"/>
      <c r="G3424" s="9">
        <f>IF(AND(E3424&lt;&gt;"",E3424&lt;&gt;0,H3424&lt;&gt;""),H3424/E3424,"")</f>
        <v/>
      </c>
      <c r="L3424">
        <f>IF(B3424="","",IFERROR(VALUE(TEXT(B3424,"[$-1170401]yyyy")),""))</f>
        <v/>
      </c>
      <c r="M3424">
        <f>IF(B3424="","",IFERROR(VALUE(TEXT(B3424,"[$-1170401]mm")),""))</f>
        <v/>
      </c>
    </row>
    <row r="3425">
      <c r="B3425" s="30" t="n"/>
      <c r="G3425" s="9">
        <f>IF(AND(E3425&lt;&gt;"",E3425&lt;&gt;0,H3425&lt;&gt;""),H3425/E3425,"")</f>
        <v/>
      </c>
      <c r="L3425">
        <f>IF(B3425="","",IFERROR(VALUE(TEXT(B3425,"[$-1170401]yyyy")),""))</f>
        <v/>
      </c>
      <c r="M3425">
        <f>IF(B3425="","",IFERROR(VALUE(TEXT(B3425,"[$-1170401]mm")),""))</f>
        <v/>
      </c>
    </row>
    <row r="3426">
      <c r="B3426" s="30" t="n"/>
      <c r="G3426" s="9">
        <f>IF(AND(E3426&lt;&gt;"",E3426&lt;&gt;0,H3426&lt;&gt;""),H3426/E3426,"")</f>
        <v/>
      </c>
      <c r="L3426">
        <f>IF(B3426="","",IFERROR(VALUE(TEXT(B3426,"[$-1170401]yyyy")),""))</f>
        <v/>
      </c>
      <c r="M3426">
        <f>IF(B3426="","",IFERROR(VALUE(TEXT(B3426,"[$-1170401]mm")),""))</f>
        <v/>
      </c>
    </row>
    <row r="3427">
      <c r="B3427" s="30" t="n"/>
      <c r="G3427" s="9">
        <f>IF(AND(E3427&lt;&gt;"",E3427&lt;&gt;0,H3427&lt;&gt;""),H3427/E3427,"")</f>
        <v/>
      </c>
      <c r="L3427">
        <f>IF(B3427="","",IFERROR(VALUE(TEXT(B3427,"[$-1170401]yyyy")),""))</f>
        <v/>
      </c>
      <c r="M3427">
        <f>IF(B3427="","",IFERROR(VALUE(TEXT(B3427,"[$-1170401]mm")),""))</f>
        <v/>
      </c>
    </row>
    <row r="3428">
      <c r="B3428" s="30" t="n"/>
      <c r="G3428" s="9">
        <f>IF(AND(E3428&lt;&gt;"",E3428&lt;&gt;0,H3428&lt;&gt;""),H3428/E3428,"")</f>
        <v/>
      </c>
      <c r="L3428">
        <f>IF(B3428="","",IFERROR(VALUE(TEXT(B3428,"[$-1170401]yyyy")),""))</f>
        <v/>
      </c>
      <c r="M3428">
        <f>IF(B3428="","",IFERROR(VALUE(TEXT(B3428,"[$-1170401]mm")),""))</f>
        <v/>
      </c>
    </row>
    <row r="3429">
      <c r="B3429" s="30" t="n"/>
      <c r="G3429" s="9">
        <f>IF(AND(E3429&lt;&gt;"",E3429&lt;&gt;0,H3429&lt;&gt;""),H3429/E3429,"")</f>
        <v/>
      </c>
      <c r="L3429">
        <f>IF(B3429="","",IFERROR(VALUE(TEXT(B3429,"[$-1170401]yyyy")),""))</f>
        <v/>
      </c>
      <c r="M3429">
        <f>IF(B3429="","",IFERROR(VALUE(TEXT(B3429,"[$-1170401]mm")),""))</f>
        <v/>
      </c>
    </row>
    <row r="3430">
      <c r="B3430" s="30" t="n"/>
      <c r="G3430" s="9">
        <f>IF(AND(E3430&lt;&gt;"",E3430&lt;&gt;0,H3430&lt;&gt;""),H3430/E3430,"")</f>
        <v/>
      </c>
      <c r="L3430">
        <f>IF(B3430="","",IFERROR(VALUE(TEXT(B3430,"[$-1170401]yyyy")),""))</f>
        <v/>
      </c>
      <c r="M3430">
        <f>IF(B3430="","",IFERROR(VALUE(TEXT(B3430,"[$-1170401]mm")),""))</f>
        <v/>
      </c>
    </row>
    <row r="3431">
      <c r="B3431" s="30" t="n"/>
      <c r="G3431" s="9">
        <f>IF(AND(E3431&lt;&gt;"",E3431&lt;&gt;0,H3431&lt;&gt;""),H3431/E3431,"")</f>
        <v/>
      </c>
      <c r="L3431">
        <f>IF(B3431="","",IFERROR(VALUE(TEXT(B3431,"[$-1170401]yyyy")),""))</f>
        <v/>
      </c>
      <c r="M3431">
        <f>IF(B3431="","",IFERROR(VALUE(TEXT(B3431,"[$-1170401]mm")),""))</f>
        <v/>
      </c>
    </row>
    <row r="3432">
      <c r="B3432" s="30" t="n"/>
      <c r="G3432" s="9">
        <f>IF(AND(E3432&lt;&gt;"",E3432&lt;&gt;0,H3432&lt;&gt;""),H3432/E3432,"")</f>
        <v/>
      </c>
      <c r="L3432">
        <f>IF(B3432="","",IFERROR(VALUE(TEXT(B3432,"[$-1170401]yyyy")),""))</f>
        <v/>
      </c>
      <c r="M3432">
        <f>IF(B3432="","",IFERROR(VALUE(TEXT(B3432,"[$-1170401]mm")),""))</f>
        <v/>
      </c>
    </row>
    <row r="3433">
      <c r="B3433" s="30" t="n"/>
      <c r="G3433" s="9">
        <f>IF(AND(E3433&lt;&gt;"",E3433&lt;&gt;0,H3433&lt;&gt;""),H3433/E3433,"")</f>
        <v/>
      </c>
      <c r="L3433">
        <f>IF(B3433="","",IFERROR(VALUE(TEXT(B3433,"[$-1170401]yyyy")),""))</f>
        <v/>
      </c>
      <c r="M3433">
        <f>IF(B3433="","",IFERROR(VALUE(TEXT(B3433,"[$-1170401]mm")),""))</f>
        <v/>
      </c>
    </row>
    <row r="3434">
      <c r="B3434" s="30" t="n"/>
      <c r="G3434" s="9">
        <f>IF(AND(E3434&lt;&gt;"",E3434&lt;&gt;0,H3434&lt;&gt;""),H3434/E3434,"")</f>
        <v/>
      </c>
      <c r="L3434">
        <f>IF(B3434="","",IFERROR(VALUE(TEXT(B3434,"[$-1170401]yyyy")),""))</f>
        <v/>
      </c>
      <c r="M3434">
        <f>IF(B3434="","",IFERROR(VALUE(TEXT(B3434,"[$-1170401]mm")),""))</f>
        <v/>
      </c>
    </row>
    <row r="3435">
      <c r="B3435" s="30" t="n"/>
      <c r="G3435" s="9">
        <f>IF(AND(E3435&lt;&gt;"",E3435&lt;&gt;0,H3435&lt;&gt;""),H3435/E3435,"")</f>
        <v/>
      </c>
      <c r="L3435">
        <f>IF(B3435="","",IFERROR(VALUE(TEXT(B3435,"[$-1170401]yyyy")),""))</f>
        <v/>
      </c>
      <c r="M3435">
        <f>IF(B3435="","",IFERROR(VALUE(TEXT(B3435,"[$-1170401]mm")),""))</f>
        <v/>
      </c>
    </row>
    <row r="3436">
      <c r="B3436" s="30" t="n"/>
      <c r="G3436" s="9">
        <f>IF(AND(E3436&lt;&gt;"",E3436&lt;&gt;0,H3436&lt;&gt;""),H3436/E3436,"")</f>
        <v/>
      </c>
      <c r="L3436">
        <f>IF(B3436="","",IFERROR(VALUE(TEXT(B3436,"[$-1170401]yyyy")),""))</f>
        <v/>
      </c>
      <c r="M3436">
        <f>IF(B3436="","",IFERROR(VALUE(TEXT(B3436,"[$-1170401]mm")),""))</f>
        <v/>
      </c>
    </row>
    <row r="3437">
      <c r="B3437" s="30" t="n"/>
      <c r="G3437" s="9">
        <f>IF(AND(E3437&lt;&gt;"",E3437&lt;&gt;0,H3437&lt;&gt;""),H3437/E3437,"")</f>
        <v/>
      </c>
      <c r="L3437">
        <f>IF(B3437="","",IFERROR(VALUE(TEXT(B3437,"[$-1170401]yyyy")),""))</f>
        <v/>
      </c>
      <c r="M3437">
        <f>IF(B3437="","",IFERROR(VALUE(TEXT(B3437,"[$-1170401]mm")),""))</f>
        <v/>
      </c>
    </row>
    <row r="3438">
      <c r="B3438" s="30" t="n"/>
      <c r="G3438" s="9">
        <f>IF(AND(E3438&lt;&gt;"",E3438&lt;&gt;0,H3438&lt;&gt;""),H3438/E3438,"")</f>
        <v/>
      </c>
      <c r="L3438">
        <f>IF(B3438="","",IFERROR(VALUE(TEXT(B3438,"[$-1170401]yyyy")),""))</f>
        <v/>
      </c>
      <c r="M3438">
        <f>IF(B3438="","",IFERROR(VALUE(TEXT(B3438,"[$-1170401]mm")),""))</f>
        <v/>
      </c>
    </row>
    <row r="3439">
      <c r="B3439" s="30" t="n"/>
      <c r="G3439" s="9">
        <f>IF(AND(E3439&lt;&gt;"",E3439&lt;&gt;0,H3439&lt;&gt;""),H3439/E3439,"")</f>
        <v/>
      </c>
      <c r="L3439">
        <f>IF(B3439="","",IFERROR(VALUE(TEXT(B3439,"[$-1170401]yyyy")),""))</f>
        <v/>
      </c>
      <c r="M3439">
        <f>IF(B3439="","",IFERROR(VALUE(TEXT(B3439,"[$-1170401]mm")),""))</f>
        <v/>
      </c>
    </row>
    <row r="3440">
      <c r="B3440" s="30" t="n"/>
      <c r="G3440" s="9">
        <f>IF(AND(E3440&lt;&gt;"",E3440&lt;&gt;0,H3440&lt;&gt;""),H3440/E3440,"")</f>
        <v/>
      </c>
      <c r="L3440">
        <f>IF(B3440="","",IFERROR(VALUE(TEXT(B3440,"[$-1170401]yyyy")),""))</f>
        <v/>
      </c>
      <c r="M3440">
        <f>IF(B3440="","",IFERROR(VALUE(TEXT(B3440,"[$-1170401]mm")),""))</f>
        <v/>
      </c>
    </row>
    <row r="3441">
      <c r="B3441" s="30" t="n"/>
      <c r="G3441" s="9">
        <f>IF(AND(E3441&lt;&gt;"",E3441&lt;&gt;0,H3441&lt;&gt;""),H3441/E3441,"")</f>
        <v/>
      </c>
      <c r="L3441">
        <f>IF(B3441="","",IFERROR(VALUE(TEXT(B3441,"[$-1170401]yyyy")),""))</f>
        <v/>
      </c>
      <c r="M3441">
        <f>IF(B3441="","",IFERROR(VALUE(TEXT(B3441,"[$-1170401]mm")),""))</f>
        <v/>
      </c>
    </row>
    <row r="3442">
      <c r="B3442" s="30" t="n"/>
      <c r="G3442" s="9">
        <f>IF(AND(E3442&lt;&gt;"",E3442&lt;&gt;0,H3442&lt;&gt;""),H3442/E3442,"")</f>
        <v/>
      </c>
      <c r="L3442">
        <f>IF(B3442="","",IFERROR(VALUE(TEXT(B3442,"[$-1170401]yyyy")),""))</f>
        <v/>
      </c>
      <c r="M3442">
        <f>IF(B3442="","",IFERROR(VALUE(TEXT(B3442,"[$-1170401]mm")),""))</f>
        <v/>
      </c>
    </row>
    <row r="3443">
      <c r="B3443" s="30" t="n"/>
      <c r="G3443" s="9">
        <f>IF(AND(E3443&lt;&gt;"",E3443&lt;&gt;0,H3443&lt;&gt;""),H3443/E3443,"")</f>
        <v/>
      </c>
      <c r="L3443">
        <f>IF(B3443="","",IFERROR(VALUE(TEXT(B3443,"[$-1170401]yyyy")),""))</f>
        <v/>
      </c>
      <c r="M3443">
        <f>IF(B3443="","",IFERROR(VALUE(TEXT(B3443,"[$-1170401]mm")),""))</f>
        <v/>
      </c>
    </row>
    <row r="3444">
      <c r="B3444" s="30" t="n"/>
      <c r="G3444" s="9">
        <f>IF(AND(E3444&lt;&gt;"",E3444&lt;&gt;0,H3444&lt;&gt;""),H3444/E3444,"")</f>
        <v/>
      </c>
      <c r="L3444">
        <f>IF(B3444="","",IFERROR(VALUE(TEXT(B3444,"[$-1170401]yyyy")),""))</f>
        <v/>
      </c>
      <c r="M3444">
        <f>IF(B3444="","",IFERROR(VALUE(TEXT(B3444,"[$-1170401]mm")),""))</f>
        <v/>
      </c>
    </row>
    <row r="3445">
      <c r="B3445" s="30" t="n"/>
      <c r="G3445" s="9">
        <f>IF(AND(E3445&lt;&gt;"",E3445&lt;&gt;0,H3445&lt;&gt;""),H3445/E3445,"")</f>
        <v/>
      </c>
      <c r="L3445">
        <f>IF(B3445="","",IFERROR(VALUE(TEXT(B3445,"[$-1170401]yyyy")),""))</f>
        <v/>
      </c>
      <c r="M3445">
        <f>IF(B3445="","",IFERROR(VALUE(TEXT(B3445,"[$-1170401]mm")),""))</f>
        <v/>
      </c>
    </row>
    <row r="3446">
      <c r="B3446" s="30" t="n"/>
      <c r="G3446" s="9">
        <f>IF(AND(E3446&lt;&gt;"",E3446&lt;&gt;0,H3446&lt;&gt;""),H3446/E3446,"")</f>
        <v/>
      </c>
      <c r="L3446">
        <f>IF(B3446="","",IFERROR(VALUE(TEXT(B3446,"[$-1170401]yyyy")),""))</f>
        <v/>
      </c>
      <c r="M3446">
        <f>IF(B3446="","",IFERROR(VALUE(TEXT(B3446,"[$-1170401]mm")),""))</f>
        <v/>
      </c>
    </row>
    <row r="3447">
      <c r="B3447" s="30" t="n"/>
      <c r="G3447" s="9">
        <f>IF(AND(E3447&lt;&gt;"",E3447&lt;&gt;0,H3447&lt;&gt;""),H3447/E3447,"")</f>
        <v/>
      </c>
      <c r="L3447">
        <f>IF(B3447="","",IFERROR(VALUE(TEXT(B3447,"[$-1170401]yyyy")),""))</f>
        <v/>
      </c>
      <c r="M3447">
        <f>IF(B3447="","",IFERROR(VALUE(TEXT(B3447,"[$-1170401]mm")),""))</f>
        <v/>
      </c>
    </row>
    <row r="3448">
      <c r="B3448" s="30" t="n"/>
      <c r="G3448" s="9">
        <f>IF(AND(E3448&lt;&gt;"",E3448&lt;&gt;0,H3448&lt;&gt;""),H3448/E3448,"")</f>
        <v/>
      </c>
      <c r="L3448">
        <f>IF(B3448="","",IFERROR(VALUE(TEXT(B3448,"[$-1170401]yyyy")),""))</f>
        <v/>
      </c>
      <c r="M3448">
        <f>IF(B3448="","",IFERROR(VALUE(TEXT(B3448,"[$-1170401]mm")),""))</f>
        <v/>
      </c>
    </row>
    <row r="3449">
      <c r="B3449" s="30" t="n"/>
      <c r="G3449" s="9">
        <f>IF(AND(E3449&lt;&gt;"",E3449&lt;&gt;0,H3449&lt;&gt;""),H3449/E3449,"")</f>
        <v/>
      </c>
      <c r="L3449">
        <f>IF(B3449="","",IFERROR(VALUE(TEXT(B3449,"[$-1170401]yyyy")),""))</f>
        <v/>
      </c>
      <c r="M3449">
        <f>IF(B3449="","",IFERROR(VALUE(TEXT(B3449,"[$-1170401]mm")),""))</f>
        <v/>
      </c>
    </row>
    <row r="3450">
      <c r="B3450" s="30" t="n"/>
      <c r="G3450" s="9">
        <f>IF(AND(E3450&lt;&gt;"",E3450&lt;&gt;0,H3450&lt;&gt;""),H3450/E3450,"")</f>
        <v/>
      </c>
      <c r="L3450">
        <f>IF(B3450="","",IFERROR(VALUE(TEXT(B3450,"[$-1170401]yyyy")),""))</f>
        <v/>
      </c>
      <c r="M3450">
        <f>IF(B3450="","",IFERROR(VALUE(TEXT(B3450,"[$-1170401]mm")),""))</f>
        <v/>
      </c>
    </row>
    <row r="3451">
      <c r="B3451" s="30" t="n"/>
      <c r="G3451" s="9">
        <f>IF(AND(E3451&lt;&gt;"",E3451&lt;&gt;0,H3451&lt;&gt;""),H3451/E3451,"")</f>
        <v/>
      </c>
      <c r="L3451">
        <f>IF(B3451="","",IFERROR(VALUE(TEXT(B3451,"[$-1170401]yyyy")),""))</f>
        <v/>
      </c>
      <c r="M3451">
        <f>IF(B3451="","",IFERROR(VALUE(TEXT(B3451,"[$-1170401]mm")),""))</f>
        <v/>
      </c>
    </row>
    <row r="3452">
      <c r="B3452" s="30" t="n"/>
      <c r="G3452" s="9">
        <f>IF(AND(E3452&lt;&gt;"",E3452&lt;&gt;0,H3452&lt;&gt;""),H3452/E3452,"")</f>
        <v/>
      </c>
      <c r="L3452">
        <f>IF(B3452="","",IFERROR(VALUE(TEXT(B3452,"[$-1170401]yyyy")),""))</f>
        <v/>
      </c>
      <c r="M3452">
        <f>IF(B3452="","",IFERROR(VALUE(TEXT(B3452,"[$-1170401]mm")),""))</f>
        <v/>
      </c>
    </row>
    <row r="3453">
      <c r="B3453" s="30" t="n"/>
      <c r="G3453" s="9">
        <f>IF(AND(E3453&lt;&gt;"",E3453&lt;&gt;0,H3453&lt;&gt;""),H3453/E3453,"")</f>
        <v/>
      </c>
      <c r="L3453">
        <f>IF(B3453="","",IFERROR(VALUE(TEXT(B3453,"[$-1170401]yyyy")),""))</f>
        <v/>
      </c>
      <c r="M3453">
        <f>IF(B3453="","",IFERROR(VALUE(TEXT(B3453,"[$-1170401]mm")),""))</f>
        <v/>
      </c>
    </row>
    <row r="3454">
      <c r="B3454" s="30" t="n"/>
      <c r="G3454" s="9">
        <f>IF(AND(E3454&lt;&gt;"",E3454&lt;&gt;0,H3454&lt;&gt;""),H3454/E3454,"")</f>
        <v/>
      </c>
      <c r="L3454">
        <f>IF(B3454="","",IFERROR(VALUE(TEXT(B3454,"[$-1170401]yyyy")),""))</f>
        <v/>
      </c>
      <c r="M3454">
        <f>IF(B3454="","",IFERROR(VALUE(TEXT(B3454,"[$-1170401]mm")),""))</f>
        <v/>
      </c>
    </row>
    <row r="3455">
      <c r="B3455" s="30" t="n"/>
      <c r="G3455" s="9">
        <f>IF(AND(E3455&lt;&gt;"",E3455&lt;&gt;0,H3455&lt;&gt;""),H3455/E3455,"")</f>
        <v/>
      </c>
      <c r="L3455">
        <f>IF(B3455="","",IFERROR(VALUE(TEXT(B3455,"[$-1170401]yyyy")),""))</f>
        <v/>
      </c>
      <c r="M3455">
        <f>IF(B3455="","",IFERROR(VALUE(TEXT(B3455,"[$-1170401]mm")),""))</f>
        <v/>
      </c>
    </row>
    <row r="3456">
      <c r="B3456" s="30" t="n"/>
      <c r="G3456" s="9">
        <f>IF(AND(E3456&lt;&gt;"",E3456&lt;&gt;0,H3456&lt;&gt;""),H3456/E3456,"")</f>
        <v/>
      </c>
      <c r="L3456">
        <f>IF(B3456="","",IFERROR(VALUE(TEXT(B3456,"[$-1170401]yyyy")),""))</f>
        <v/>
      </c>
      <c r="M3456">
        <f>IF(B3456="","",IFERROR(VALUE(TEXT(B3456,"[$-1170401]mm")),""))</f>
        <v/>
      </c>
    </row>
    <row r="3457">
      <c r="B3457" s="30" t="n"/>
      <c r="G3457" s="9">
        <f>IF(AND(E3457&lt;&gt;"",E3457&lt;&gt;0,H3457&lt;&gt;""),H3457/E3457,"")</f>
        <v/>
      </c>
      <c r="L3457">
        <f>IF(B3457="","",IFERROR(VALUE(TEXT(B3457,"[$-1170401]yyyy")),""))</f>
        <v/>
      </c>
      <c r="M3457">
        <f>IF(B3457="","",IFERROR(VALUE(TEXT(B3457,"[$-1170401]mm")),""))</f>
        <v/>
      </c>
    </row>
    <row r="3458">
      <c r="B3458" s="30" t="n"/>
      <c r="G3458" s="9">
        <f>IF(AND(E3458&lt;&gt;"",E3458&lt;&gt;0,H3458&lt;&gt;""),H3458/E3458,"")</f>
        <v/>
      </c>
      <c r="L3458">
        <f>IF(B3458="","",IFERROR(VALUE(TEXT(B3458,"[$-1170401]yyyy")),""))</f>
        <v/>
      </c>
      <c r="M3458">
        <f>IF(B3458="","",IFERROR(VALUE(TEXT(B3458,"[$-1170401]mm")),""))</f>
        <v/>
      </c>
    </row>
    <row r="3459">
      <c r="B3459" s="30" t="n"/>
      <c r="G3459" s="9">
        <f>IF(AND(E3459&lt;&gt;"",E3459&lt;&gt;0,H3459&lt;&gt;""),H3459/E3459,"")</f>
        <v/>
      </c>
      <c r="L3459">
        <f>IF(B3459="","",IFERROR(VALUE(TEXT(B3459,"[$-1170401]yyyy")),""))</f>
        <v/>
      </c>
      <c r="M3459">
        <f>IF(B3459="","",IFERROR(VALUE(TEXT(B3459,"[$-1170401]mm")),""))</f>
        <v/>
      </c>
    </row>
    <row r="3460">
      <c r="B3460" s="30" t="n"/>
      <c r="G3460" s="9">
        <f>IF(AND(E3460&lt;&gt;"",E3460&lt;&gt;0,H3460&lt;&gt;""),H3460/E3460,"")</f>
        <v/>
      </c>
      <c r="L3460">
        <f>IF(B3460="","",IFERROR(VALUE(TEXT(B3460,"[$-1170401]yyyy")),""))</f>
        <v/>
      </c>
      <c r="M3460">
        <f>IF(B3460="","",IFERROR(VALUE(TEXT(B3460,"[$-1170401]mm")),""))</f>
        <v/>
      </c>
    </row>
    <row r="3461">
      <c r="B3461" s="30" t="n"/>
      <c r="G3461" s="9">
        <f>IF(AND(E3461&lt;&gt;"",E3461&lt;&gt;0,H3461&lt;&gt;""),H3461/E3461,"")</f>
        <v/>
      </c>
      <c r="L3461">
        <f>IF(B3461="","",IFERROR(VALUE(TEXT(B3461,"[$-1170401]yyyy")),""))</f>
        <v/>
      </c>
      <c r="M3461">
        <f>IF(B3461="","",IFERROR(VALUE(TEXT(B3461,"[$-1170401]mm")),""))</f>
        <v/>
      </c>
    </row>
    <row r="3462">
      <c r="B3462" s="30" t="n"/>
      <c r="G3462" s="9">
        <f>IF(AND(E3462&lt;&gt;"",E3462&lt;&gt;0,H3462&lt;&gt;""),H3462/E3462,"")</f>
        <v/>
      </c>
      <c r="L3462">
        <f>IF(B3462="","",IFERROR(VALUE(TEXT(B3462,"[$-1170401]yyyy")),""))</f>
        <v/>
      </c>
      <c r="M3462">
        <f>IF(B3462="","",IFERROR(VALUE(TEXT(B3462,"[$-1170401]mm")),""))</f>
        <v/>
      </c>
    </row>
    <row r="3463">
      <c r="B3463" s="30" t="n"/>
      <c r="G3463" s="9">
        <f>IF(AND(E3463&lt;&gt;"",E3463&lt;&gt;0,H3463&lt;&gt;""),H3463/E3463,"")</f>
        <v/>
      </c>
      <c r="L3463">
        <f>IF(B3463="","",IFERROR(VALUE(TEXT(B3463,"[$-1170401]yyyy")),""))</f>
        <v/>
      </c>
      <c r="M3463">
        <f>IF(B3463="","",IFERROR(VALUE(TEXT(B3463,"[$-1170401]mm")),""))</f>
        <v/>
      </c>
    </row>
    <row r="3464">
      <c r="B3464" s="30" t="n"/>
      <c r="G3464" s="9">
        <f>IF(AND(E3464&lt;&gt;"",E3464&lt;&gt;0,H3464&lt;&gt;""),H3464/E3464,"")</f>
        <v/>
      </c>
      <c r="L3464">
        <f>IF(B3464="","",IFERROR(VALUE(TEXT(B3464,"[$-1170401]yyyy")),""))</f>
        <v/>
      </c>
      <c r="M3464">
        <f>IF(B3464="","",IFERROR(VALUE(TEXT(B3464,"[$-1170401]mm")),""))</f>
        <v/>
      </c>
    </row>
    <row r="3465">
      <c r="B3465" s="30" t="n"/>
      <c r="G3465" s="9">
        <f>IF(AND(E3465&lt;&gt;"",E3465&lt;&gt;0,H3465&lt;&gt;""),H3465/E3465,"")</f>
        <v/>
      </c>
      <c r="L3465">
        <f>IF(B3465="","",IFERROR(VALUE(TEXT(B3465,"[$-1170401]yyyy")),""))</f>
        <v/>
      </c>
      <c r="M3465">
        <f>IF(B3465="","",IFERROR(VALUE(TEXT(B3465,"[$-1170401]mm")),""))</f>
        <v/>
      </c>
    </row>
    <row r="3466">
      <c r="B3466" s="30" t="n"/>
      <c r="G3466" s="9">
        <f>IF(AND(E3466&lt;&gt;"",E3466&lt;&gt;0,H3466&lt;&gt;""),H3466/E3466,"")</f>
        <v/>
      </c>
      <c r="L3466">
        <f>IF(B3466="","",IFERROR(VALUE(TEXT(B3466,"[$-1170401]yyyy")),""))</f>
        <v/>
      </c>
      <c r="M3466">
        <f>IF(B3466="","",IFERROR(VALUE(TEXT(B3466,"[$-1170401]mm")),""))</f>
        <v/>
      </c>
    </row>
    <row r="3467">
      <c r="B3467" s="30" t="n"/>
      <c r="G3467" s="9">
        <f>IF(AND(E3467&lt;&gt;"",E3467&lt;&gt;0,H3467&lt;&gt;""),H3467/E3467,"")</f>
        <v/>
      </c>
      <c r="L3467">
        <f>IF(B3467="","",IFERROR(VALUE(TEXT(B3467,"[$-1170401]yyyy")),""))</f>
        <v/>
      </c>
      <c r="M3467">
        <f>IF(B3467="","",IFERROR(VALUE(TEXT(B3467,"[$-1170401]mm")),""))</f>
        <v/>
      </c>
    </row>
    <row r="3468">
      <c r="B3468" s="30" t="n"/>
      <c r="G3468" s="9">
        <f>IF(AND(E3468&lt;&gt;"",E3468&lt;&gt;0,H3468&lt;&gt;""),H3468/E3468,"")</f>
        <v/>
      </c>
      <c r="L3468">
        <f>IF(B3468="","",IFERROR(VALUE(TEXT(B3468,"[$-1170401]yyyy")),""))</f>
        <v/>
      </c>
      <c r="M3468">
        <f>IF(B3468="","",IFERROR(VALUE(TEXT(B3468,"[$-1170401]mm")),""))</f>
        <v/>
      </c>
    </row>
    <row r="3469">
      <c r="B3469" s="30" t="n"/>
      <c r="G3469" s="9">
        <f>IF(AND(E3469&lt;&gt;"",E3469&lt;&gt;0,H3469&lt;&gt;""),H3469/E3469,"")</f>
        <v/>
      </c>
      <c r="L3469">
        <f>IF(B3469="","",IFERROR(VALUE(TEXT(B3469,"[$-1170401]yyyy")),""))</f>
        <v/>
      </c>
      <c r="M3469">
        <f>IF(B3469="","",IFERROR(VALUE(TEXT(B3469,"[$-1170401]mm")),""))</f>
        <v/>
      </c>
    </row>
    <row r="3470">
      <c r="B3470" s="30" t="n"/>
      <c r="G3470" s="9">
        <f>IF(AND(E3470&lt;&gt;"",E3470&lt;&gt;0,H3470&lt;&gt;""),H3470/E3470,"")</f>
        <v/>
      </c>
      <c r="L3470">
        <f>IF(B3470="","",IFERROR(VALUE(TEXT(B3470,"[$-1170401]yyyy")),""))</f>
        <v/>
      </c>
      <c r="M3470">
        <f>IF(B3470="","",IFERROR(VALUE(TEXT(B3470,"[$-1170401]mm")),""))</f>
        <v/>
      </c>
    </row>
    <row r="3471">
      <c r="B3471" s="30" t="n"/>
      <c r="G3471" s="9">
        <f>IF(AND(E3471&lt;&gt;"",E3471&lt;&gt;0,H3471&lt;&gt;""),H3471/E3471,"")</f>
        <v/>
      </c>
      <c r="L3471">
        <f>IF(B3471="","",IFERROR(VALUE(TEXT(B3471,"[$-1170401]yyyy")),""))</f>
        <v/>
      </c>
      <c r="M3471">
        <f>IF(B3471="","",IFERROR(VALUE(TEXT(B3471,"[$-1170401]mm")),""))</f>
        <v/>
      </c>
    </row>
    <row r="3472">
      <c r="B3472" s="30" t="n"/>
      <c r="G3472" s="9">
        <f>IF(AND(E3472&lt;&gt;"",E3472&lt;&gt;0,H3472&lt;&gt;""),H3472/E3472,"")</f>
        <v/>
      </c>
      <c r="L3472">
        <f>IF(B3472="","",IFERROR(VALUE(TEXT(B3472,"[$-1170401]yyyy")),""))</f>
        <v/>
      </c>
      <c r="M3472">
        <f>IF(B3472="","",IFERROR(VALUE(TEXT(B3472,"[$-1170401]mm")),""))</f>
        <v/>
      </c>
    </row>
    <row r="3473">
      <c r="B3473" s="30" t="n"/>
      <c r="G3473" s="9">
        <f>IF(AND(E3473&lt;&gt;"",E3473&lt;&gt;0,H3473&lt;&gt;""),H3473/E3473,"")</f>
        <v/>
      </c>
      <c r="L3473">
        <f>IF(B3473="","",IFERROR(VALUE(TEXT(B3473,"[$-1170401]yyyy")),""))</f>
        <v/>
      </c>
      <c r="M3473">
        <f>IF(B3473="","",IFERROR(VALUE(TEXT(B3473,"[$-1170401]mm")),""))</f>
        <v/>
      </c>
    </row>
    <row r="3474">
      <c r="B3474" s="30" t="n"/>
      <c r="G3474" s="9">
        <f>IF(AND(E3474&lt;&gt;"",E3474&lt;&gt;0,H3474&lt;&gt;""),H3474/E3474,"")</f>
        <v/>
      </c>
      <c r="L3474">
        <f>IF(B3474="","",IFERROR(VALUE(TEXT(B3474,"[$-1170401]yyyy")),""))</f>
        <v/>
      </c>
      <c r="M3474">
        <f>IF(B3474="","",IFERROR(VALUE(TEXT(B3474,"[$-1170401]mm")),""))</f>
        <v/>
      </c>
    </row>
    <row r="3475">
      <c r="B3475" s="30" t="n"/>
      <c r="G3475" s="9">
        <f>IF(AND(E3475&lt;&gt;"",E3475&lt;&gt;0,H3475&lt;&gt;""),H3475/E3475,"")</f>
        <v/>
      </c>
      <c r="L3475">
        <f>IF(B3475="","",IFERROR(VALUE(TEXT(B3475,"[$-1170401]yyyy")),""))</f>
        <v/>
      </c>
      <c r="M3475">
        <f>IF(B3475="","",IFERROR(VALUE(TEXT(B3475,"[$-1170401]mm")),""))</f>
        <v/>
      </c>
    </row>
    <row r="3476">
      <c r="B3476" s="30" t="n"/>
      <c r="G3476" s="9">
        <f>IF(AND(E3476&lt;&gt;"",E3476&lt;&gt;0,H3476&lt;&gt;""),H3476/E3476,"")</f>
        <v/>
      </c>
      <c r="L3476">
        <f>IF(B3476="","",IFERROR(VALUE(TEXT(B3476,"[$-1170401]yyyy")),""))</f>
        <v/>
      </c>
      <c r="M3476">
        <f>IF(B3476="","",IFERROR(VALUE(TEXT(B3476,"[$-1170401]mm")),""))</f>
        <v/>
      </c>
    </row>
    <row r="3477">
      <c r="B3477" s="30" t="n"/>
      <c r="G3477" s="9">
        <f>IF(AND(E3477&lt;&gt;"",E3477&lt;&gt;0,H3477&lt;&gt;""),H3477/E3477,"")</f>
        <v/>
      </c>
      <c r="L3477">
        <f>IF(B3477="","",IFERROR(VALUE(TEXT(B3477,"[$-1170401]yyyy")),""))</f>
        <v/>
      </c>
      <c r="M3477">
        <f>IF(B3477="","",IFERROR(VALUE(TEXT(B3477,"[$-1170401]mm")),""))</f>
        <v/>
      </c>
    </row>
    <row r="3478">
      <c r="B3478" s="30" t="n"/>
      <c r="G3478" s="9">
        <f>IF(AND(E3478&lt;&gt;"",E3478&lt;&gt;0,H3478&lt;&gt;""),H3478/E3478,"")</f>
        <v/>
      </c>
      <c r="L3478">
        <f>IF(B3478="","",IFERROR(VALUE(TEXT(B3478,"[$-1170401]yyyy")),""))</f>
        <v/>
      </c>
      <c r="M3478">
        <f>IF(B3478="","",IFERROR(VALUE(TEXT(B3478,"[$-1170401]mm")),""))</f>
        <v/>
      </c>
    </row>
    <row r="3479">
      <c r="B3479" s="30" t="n"/>
      <c r="G3479" s="9">
        <f>IF(AND(E3479&lt;&gt;"",E3479&lt;&gt;0,H3479&lt;&gt;""),H3479/E3479,"")</f>
        <v/>
      </c>
      <c r="L3479">
        <f>IF(B3479="","",IFERROR(VALUE(TEXT(B3479,"[$-1170401]yyyy")),""))</f>
        <v/>
      </c>
      <c r="M3479">
        <f>IF(B3479="","",IFERROR(VALUE(TEXT(B3479,"[$-1170401]mm")),""))</f>
        <v/>
      </c>
    </row>
    <row r="3480">
      <c r="B3480" s="30" t="n"/>
      <c r="G3480" s="9">
        <f>IF(AND(E3480&lt;&gt;"",E3480&lt;&gt;0,H3480&lt;&gt;""),H3480/E3480,"")</f>
        <v/>
      </c>
      <c r="L3480">
        <f>IF(B3480="","",IFERROR(VALUE(TEXT(B3480,"[$-1170401]yyyy")),""))</f>
        <v/>
      </c>
      <c r="M3480">
        <f>IF(B3480="","",IFERROR(VALUE(TEXT(B3480,"[$-1170401]mm")),""))</f>
        <v/>
      </c>
    </row>
    <row r="3481">
      <c r="B3481" s="30" t="n"/>
      <c r="G3481" s="9">
        <f>IF(AND(E3481&lt;&gt;"",E3481&lt;&gt;0,H3481&lt;&gt;""),H3481/E3481,"")</f>
        <v/>
      </c>
      <c r="L3481">
        <f>IF(B3481="","",IFERROR(VALUE(TEXT(B3481,"[$-1170401]yyyy")),""))</f>
        <v/>
      </c>
      <c r="M3481">
        <f>IF(B3481="","",IFERROR(VALUE(TEXT(B3481,"[$-1170401]mm")),""))</f>
        <v/>
      </c>
    </row>
    <row r="3482">
      <c r="B3482" s="30" t="n"/>
      <c r="G3482" s="9">
        <f>IF(AND(E3482&lt;&gt;"",E3482&lt;&gt;0,H3482&lt;&gt;""),H3482/E3482,"")</f>
        <v/>
      </c>
      <c r="L3482">
        <f>IF(B3482="","",IFERROR(VALUE(TEXT(B3482,"[$-1170401]yyyy")),""))</f>
        <v/>
      </c>
      <c r="M3482">
        <f>IF(B3482="","",IFERROR(VALUE(TEXT(B3482,"[$-1170401]mm")),""))</f>
        <v/>
      </c>
    </row>
    <row r="3483">
      <c r="B3483" s="30" t="n"/>
      <c r="G3483" s="9">
        <f>IF(AND(E3483&lt;&gt;"",E3483&lt;&gt;0,H3483&lt;&gt;""),H3483/E3483,"")</f>
        <v/>
      </c>
      <c r="L3483">
        <f>IF(B3483="","",IFERROR(VALUE(TEXT(B3483,"[$-1170401]yyyy")),""))</f>
        <v/>
      </c>
      <c r="M3483">
        <f>IF(B3483="","",IFERROR(VALUE(TEXT(B3483,"[$-1170401]mm")),""))</f>
        <v/>
      </c>
    </row>
    <row r="3484">
      <c r="B3484" s="30" t="n"/>
      <c r="G3484" s="9">
        <f>IF(AND(E3484&lt;&gt;"",E3484&lt;&gt;0,H3484&lt;&gt;""),H3484/E3484,"")</f>
        <v/>
      </c>
      <c r="L3484">
        <f>IF(B3484="","",IFERROR(VALUE(TEXT(B3484,"[$-1170401]yyyy")),""))</f>
        <v/>
      </c>
      <c r="M3484">
        <f>IF(B3484="","",IFERROR(VALUE(TEXT(B3484,"[$-1170401]mm")),""))</f>
        <v/>
      </c>
    </row>
    <row r="3485">
      <c r="B3485" s="30" t="n"/>
      <c r="G3485" s="9">
        <f>IF(AND(E3485&lt;&gt;"",E3485&lt;&gt;0,H3485&lt;&gt;""),H3485/E3485,"")</f>
        <v/>
      </c>
      <c r="L3485">
        <f>IF(B3485="","",IFERROR(VALUE(TEXT(B3485,"[$-1170401]yyyy")),""))</f>
        <v/>
      </c>
      <c r="M3485">
        <f>IF(B3485="","",IFERROR(VALUE(TEXT(B3485,"[$-1170401]mm")),""))</f>
        <v/>
      </c>
    </row>
    <row r="3486">
      <c r="B3486" s="30" t="n"/>
      <c r="G3486" s="9">
        <f>IF(AND(E3486&lt;&gt;"",E3486&lt;&gt;0,H3486&lt;&gt;""),H3486/E3486,"")</f>
        <v/>
      </c>
      <c r="L3486">
        <f>IF(B3486="","",IFERROR(VALUE(TEXT(B3486,"[$-1170401]yyyy")),""))</f>
        <v/>
      </c>
      <c r="M3486">
        <f>IF(B3486="","",IFERROR(VALUE(TEXT(B3486,"[$-1170401]mm")),""))</f>
        <v/>
      </c>
    </row>
    <row r="3487">
      <c r="B3487" s="30" t="n"/>
      <c r="G3487" s="9">
        <f>IF(AND(E3487&lt;&gt;"",E3487&lt;&gt;0,H3487&lt;&gt;""),H3487/E3487,"")</f>
        <v/>
      </c>
      <c r="L3487">
        <f>IF(B3487="","",IFERROR(VALUE(TEXT(B3487,"[$-1170401]yyyy")),""))</f>
        <v/>
      </c>
      <c r="M3487">
        <f>IF(B3487="","",IFERROR(VALUE(TEXT(B3487,"[$-1170401]mm")),""))</f>
        <v/>
      </c>
    </row>
    <row r="3488">
      <c r="B3488" s="30" t="n"/>
      <c r="G3488" s="9">
        <f>IF(AND(E3488&lt;&gt;"",E3488&lt;&gt;0,H3488&lt;&gt;""),H3488/E3488,"")</f>
        <v/>
      </c>
      <c r="L3488">
        <f>IF(B3488="","",IFERROR(VALUE(TEXT(B3488,"[$-1170401]yyyy")),""))</f>
        <v/>
      </c>
      <c r="M3488">
        <f>IF(B3488="","",IFERROR(VALUE(TEXT(B3488,"[$-1170401]mm")),""))</f>
        <v/>
      </c>
    </row>
    <row r="3489">
      <c r="B3489" s="30" t="n"/>
      <c r="G3489" s="9">
        <f>IF(AND(E3489&lt;&gt;"",E3489&lt;&gt;0,H3489&lt;&gt;""),H3489/E3489,"")</f>
        <v/>
      </c>
      <c r="L3489">
        <f>IF(B3489="","",IFERROR(VALUE(TEXT(B3489,"[$-1170401]yyyy")),""))</f>
        <v/>
      </c>
      <c r="M3489">
        <f>IF(B3489="","",IFERROR(VALUE(TEXT(B3489,"[$-1170401]mm")),""))</f>
        <v/>
      </c>
    </row>
    <row r="3490">
      <c r="B3490" s="30" t="n"/>
      <c r="G3490" s="9">
        <f>IF(AND(E3490&lt;&gt;"",E3490&lt;&gt;0,H3490&lt;&gt;""),H3490/E3490,"")</f>
        <v/>
      </c>
      <c r="L3490">
        <f>IF(B3490="","",IFERROR(VALUE(TEXT(B3490,"[$-1170401]yyyy")),""))</f>
        <v/>
      </c>
      <c r="M3490">
        <f>IF(B3490="","",IFERROR(VALUE(TEXT(B3490,"[$-1170401]mm")),""))</f>
        <v/>
      </c>
    </row>
    <row r="3491">
      <c r="B3491" s="30" t="n"/>
      <c r="G3491" s="9">
        <f>IF(AND(E3491&lt;&gt;"",E3491&lt;&gt;0,H3491&lt;&gt;""),H3491/E3491,"")</f>
        <v/>
      </c>
      <c r="L3491">
        <f>IF(B3491="","",IFERROR(VALUE(TEXT(B3491,"[$-1170401]yyyy")),""))</f>
        <v/>
      </c>
      <c r="M3491">
        <f>IF(B3491="","",IFERROR(VALUE(TEXT(B3491,"[$-1170401]mm")),""))</f>
        <v/>
      </c>
    </row>
    <row r="3492">
      <c r="B3492" s="30" t="n"/>
      <c r="G3492" s="9">
        <f>IF(AND(E3492&lt;&gt;"",E3492&lt;&gt;0,H3492&lt;&gt;""),H3492/E3492,"")</f>
        <v/>
      </c>
      <c r="L3492">
        <f>IF(B3492="","",IFERROR(VALUE(TEXT(B3492,"[$-1170401]yyyy")),""))</f>
        <v/>
      </c>
      <c r="M3492">
        <f>IF(B3492="","",IFERROR(VALUE(TEXT(B3492,"[$-1170401]mm")),""))</f>
        <v/>
      </c>
    </row>
    <row r="3493">
      <c r="B3493" s="30" t="n"/>
      <c r="G3493" s="9">
        <f>IF(AND(E3493&lt;&gt;"",E3493&lt;&gt;0,H3493&lt;&gt;""),H3493/E3493,"")</f>
        <v/>
      </c>
      <c r="L3493">
        <f>IF(B3493="","",IFERROR(VALUE(TEXT(B3493,"[$-1170401]yyyy")),""))</f>
        <v/>
      </c>
      <c r="M3493">
        <f>IF(B3493="","",IFERROR(VALUE(TEXT(B3493,"[$-1170401]mm")),""))</f>
        <v/>
      </c>
    </row>
    <row r="3494">
      <c r="B3494" s="30" t="n"/>
      <c r="G3494" s="9">
        <f>IF(AND(E3494&lt;&gt;"",E3494&lt;&gt;0,H3494&lt;&gt;""),H3494/E3494,"")</f>
        <v/>
      </c>
      <c r="L3494">
        <f>IF(B3494="","",IFERROR(VALUE(TEXT(B3494,"[$-1170401]yyyy")),""))</f>
        <v/>
      </c>
      <c r="M3494">
        <f>IF(B3494="","",IFERROR(VALUE(TEXT(B3494,"[$-1170401]mm")),""))</f>
        <v/>
      </c>
    </row>
    <row r="3495">
      <c r="B3495" s="30" t="n"/>
      <c r="G3495" s="9">
        <f>IF(AND(E3495&lt;&gt;"",E3495&lt;&gt;0,H3495&lt;&gt;""),H3495/E3495,"")</f>
        <v/>
      </c>
      <c r="L3495">
        <f>IF(B3495="","",IFERROR(VALUE(TEXT(B3495,"[$-1170401]yyyy")),""))</f>
        <v/>
      </c>
      <c r="M3495">
        <f>IF(B3495="","",IFERROR(VALUE(TEXT(B3495,"[$-1170401]mm")),""))</f>
        <v/>
      </c>
    </row>
    <row r="3496">
      <c r="B3496" s="30" t="n"/>
      <c r="G3496" s="9">
        <f>IF(AND(E3496&lt;&gt;"",E3496&lt;&gt;0,H3496&lt;&gt;""),H3496/E3496,"")</f>
        <v/>
      </c>
      <c r="L3496">
        <f>IF(B3496="","",IFERROR(VALUE(TEXT(B3496,"[$-1170401]yyyy")),""))</f>
        <v/>
      </c>
      <c r="M3496">
        <f>IF(B3496="","",IFERROR(VALUE(TEXT(B3496,"[$-1170401]mm")),""))</f>
        <v/>
      </c>
    </row>
    <row r="3497">
      <c r="B3497" s="30" t="n"/>
      <c r="G3497" s="9">
        <f>IF(AND(E3497&lt;&gt;"",E3497&lt;&gt;0,H3497&lt;&gt;""),H3497/E3497,"")</f>
        <v/>
      </c>
      <c r="L3497">
        <f>IF(B3497="","",IFERROR(VALUE(TEXT(B3497,"[$-1170401]yyyy")),""))</f>
        <v/>
      </c>
      <c r="M3497">
        <f>IF(B3497="","",IFERROR(VALUE(TEXT(B3497,"[$-1170401]mm")),""))</f>
        <v/>
      </c>
    </row>
    <row r="3498">
      <c r="B3498" s="30" t="n"/>
      <c r="G3498" s="9">
        <f>IF(AND(E3498&lt;&gt;"",E3498&lt;&gt;0,H3498&lt;&gt;""),H3498/E3498,"")</f>
        <v/>
      </c>
      <c r="L3498">
        <f>IF(B3498="","",IFERROR(VALUE(TEXT(B3498,"[$-1170401]yyyy")),""))</f>
        <v/>
      </c>
      <c r="M3498">
        <f>IF(B3498="","",IFERROR(VALUE(TEXT(B3498,"[$-1170401]mm")),""))</f>
        <v/>
      </c>
    </row>
    <row r="3499">
      <c r="B3499" s="30" t="n"/>
      <c r="G3499" s="9">
        <f>IF(AND(E3499&lt;&gt;"",E3499&lt;&gt;0,H3499&lt;&gt;""),H3499/E3499,"")</f>
        <v/>
      </c>
      <c r="L3499">
        <f>IF(B3499="","",IFERROR(VALUE(TEXT(B3499,"[$-1170401]yyyy")),""))</f>
        <v/>
      </c>
      <c r="M3499">
        <f>IF(B3499="","",IFERROR(VALUE(TEXT(B3499,"[$-1170401]mm")),""))</f>
        <v/>
      </c>
    </row>
    <row r="3500">
      <c r="B3500" s="30" t="n"/>
      <c r="G3500" s="9">
        <f>IF(AND(E3500&lt;&gt;"",E3500&lt;&gt;0,H3500&lt;&gt;""),H3500/E3500,"")</f>
        <v/>
      </c>
      <c r="L3500">
        <f>IF(B3500="","",IFERROR(VALUE(TEXT(B3500,"[$-1170401]yyyy")),""))</f>
        <v/>
      </c>
      <c r="M3500">
        <f>IF(B3500="","",IFERROR(VALUE(TEXT(B3500,"[$-1170401]mm")),""))</f>
        <v/>
      </c>
    </row>
    <row r="3501">
      <c r="B3501" s="30" t="n"/>
      <c r="G3501" s="9">
        <f>IF(AND(E3501&lt;&gt;"",E3501&lt;&gt;0,H3501&lt;&gt;""),H3501/E3501,"")</f>
        <v/>
      </c>
      <c r="L3501">
        <f>IF(B3501="","",IFERROR(VALUE(TEXT(B3501,"[$-1170401]yyyy")),""))</f>
        <v/>
      </c>
      <c r="M3501">
        <f>IF(B3501="","",IFERROR(VALUE(TEXT(B3501,"[$-1170401]mm")),""))</f>
        <v/>
      </c>
    </row>
    <row r="3502">
      <c r="B3502" s="30" t="n"/>
      <c r="G3502" s="9">
        <f>IF(AND(E3502&lt;&gt;"",E3502&lt;&gt;0,H3502&lt;&gt;""),H3502/E3502,"")</f>
        <v/>
      </c>
      <c r="L3502">
        <f>IF(B3502="","",IFERROR(VALUE(TEXT(B3502,"[$-1170401]yyyy")),""))</f>
        <v/>
      </c>
      <c r="M3502">
        <f>IF(B3502="","",IFERROR(VALUE(TEXT(B3502,"[$-1170401]mm")),""))</f>
        <v/>
      </c>
    </row>
    <row r="3503">
      <c r="B3503" s="30" t="n"/>
      <c r="G3503" s="9">
        <f>IF(AND(E3503&lt;&gt;"",E3503&lt;&gt;0,H3503&lt;&gt;""),H3503/E3503,"")</f>
        <v/>
      </c>
      <c r="L3503">
        <f>IF(B3503="","",IFERROR(VALUE(TEXT(B3503,"[$-1170401]yyyy")),""))</f>
        <v/>
      </c>
      <c r="M3503">
        <f>IF(B3503="","",IFERROR(VALUE(TEXT(B3503,"[$-1170401]mm")),""))</f>
        <v/>
      </c>
    </row>
    <row r="3504">
      <c r="B3504" s="30" t="n"/>
      <c r="G3504" s="9">
        <f>IF(AND(E3504&lt;&gt;"",E3504&lt;&gt;0,H3504&lt;&gt;""),H3504/E3504,"")</f>
        <v/>
      </c>
      <c r="L3504">
        <f>IF(B3504="","",IFERROR(VALUE(TEXT(B3504,"[$-1170401]yyyy")),""))</f>
        <v/>
      </c>
      <c r="M3504">
        <f>IF(B3504="","",IFERROR(VALUE(TEXT(B3504,"[$-1170401]mm")),""))</f>
        <v/>
      </c>
    </row>
    <row r="3505">
      <c r="B3505" s="30" t="n"/>
      <c r="G3505" s="9">
        <f>IF(AND(E3505&lt;&gt;"",E3505&lt;&gt;0,H3505&lt;&gt;""),H3505/E3505,"")</f>
        <v/>
      </c>
      <c r="L3505">
        <f>IF(B3505="","",IFERROR(VALUE(TEXT(B3505,"[$-1170401]yyyy")),""))</f>
        <v/>
      </c>
      <c r="M3505">
        <f>IF(B3505="","",IFERROR(VALUE(TEXT(B3505,"[$-1170401]mm")),""))</f>
        <v/>
      </c>
    </row>
    <row r="3506">
      <c r="B3506" s="30" t="n"/>
      <c r="G3506" s="9">
        <f>IF(AND(E3506&lt;&gt;"",E3506&lt;&gt;0,H3506&lt;&gt;""),H3506/E3506,"")</f>
        <v/>
      </c>
      <c r="L3506">
        <f>IF(B3506="","",IFERROR(VALUE(TEXT(B3506,"[$-1170401]yyyy")),""))</f>
        <v/>
      </c>
      <c r="M3506">
        <f>IF(B3506="","",IFERROR(VALUE(TEXT(B3506,"[$-1170401]mm")),""))</f>
        <v/>
      </c>
    </row>
    <row r="3507">
      <c r="B3507" s="30" t="n"/>
      <c r="G3507" s="9">
        <f>IF(AND(E3507&lt;&gt;"",E3507&lt;&gt;0,H3507&lt;&gt;""),H3507/E3507,"")</f>
        <v/>
      </c>
      <c r="L3507">
        <f>IF(B3507="","",IFERROR(VALUE(TEXT(B3507,"[$-1170401]yyyy")),""))</f>
        <v/>
      </c>
      <c r="M3507">
        <f>IF(B3507="","",IFERROR(VALUE(TEXT(B3507,"[$-1170401]mm")),""))</f>
        <v/>
      </c>
    </row>
    <row r="3508">
      <c r="B3508" s="30" t="n"/>
      <c r="G3508" s="9">
        <f>IF(AND(E3508&lt;&gt;"",E3508&lt;&gt;0,H3508&lt;&gt;""),H3508/E3508,"")</f>
        <v/>
      </c>
      <c r="L3508">
        <f>IF(B3508="","",IFERROR(VALUE(TEXT(B3508,"[$-1170401]yyyy")),""))</f>
        <v/>
      </c>
      <c r="M3508">
        <f>IF(B3508="","",IFERROR(VALUE(TEXT(B3508,"[$-1170401]mm")),""))</f>
        <v/>
      </c>
    </row>
    <row r="3509">
      <c r="B3509" s="30" t="n"/>
      <c r="G3509" s="9">
        <f>IF(AND(E3509&lt;&gt;"",E3509&lt;&gt;0,H3509&lt;&gt;""),H3509/E3509,"")</f>
        <v/>
      </c>
      <c r="L3509">
        <f>IF(B3509="","",IFERROR(VALUE(TEXT(B3509,"[$-1170401]yyyy")),""))</f>
        <v/>
      </c>
      <c r="M3509">
        <f>IF(B3509="","",IFERROR(VALUE(TEXT(B3509,"[$-1170401]mm")),""))</f>
        <v/>
      </c>
    </row>
    <row r="3510">
      <c r="B3510" s="30" t="n"/>
      <c r="G3510" s="9">
        <f>IF(AND(E3510&lt;&gt;"",E3510&lt;&gt;0,H3510&lt;&gt;""),H3510/E3510,"")</f>
        <v/>
      </c>
      <c r="L3510">
        <f>IF(B3510="","",IFERROR(VALUE(TEXT(B3510,"[$-1170401]yyyy")),""))</f>
        <v/>
      </c>
      <c r="M3510">
        <f>IF(B3510="","",IFERROR(VALUE(TEXT(B3510,"[$-1170401]mm")),""))</f>
        <v/>
      </c>
    </row>
    <row r="3511">
      <c r="B3511" s="30" t="n"/>
      <c r="G3511" s="9">
        <f>IF(AND(E3511&lt;&gt;"",E3511&lt;&gt;0,H3511&lt;&gt;""),H3511/E3511,"")</f>
        <v/>
      </c>
      <c r="L3511">
        <f>IF(B3511="","",IFERROR(VALUE(TEXT(B3511,"[$-1170401]yyyy")),""))</f>
        <v/>
      </c>
      <c r="M3511">
        <f>IF(B3511="","",IFERROR(VALUE(TEXT(B3511,"[$-1170401]mm")),""))</f>
        <v/>
      </c>
    </row>
    <row r="3512">
      <c r="B3512" s="30" t="n"/>
      <c r="G3512" s="9">
        <f>IF(AND(E3512&lt;&gt;"",E3512&lt;&gt;0,H3512&lt;&gt;""),H3512/E3512,"")</f>
        <v/>
      </c>
      <c r="L3512">
        <f>IF(B3512="","",IFERROR(VALUE(TEXT(B3512,"[$-1170401]yyyy")),""))</f>
        <v/>
      </c>
      <c r="M3512">
        <f>IF(B3512="","",IFERROR(VALUE(TEXT(B3512,"[$-1170401]mm")),""))</f>
        <v/>
      </c>
    </row>
    <row r="3513">
      <c r="B3513" s="30" t="n"/>
      <c r="G3513" s="9">
        <f>IF(AND(E3513&lt;&gt;"",E3513&lt;&gt;0,H3513&lt;&gt;""),H3513/E3513,"")</f>
        <v/>
      </c>
      <c r="L3513">
        <f>IF(B3513="","",IFERROR(VALUE(TEXT(B3513,"[$-1170401]yyyy")),""))</f>
        <v/>
      </c>
      <c r="M3513">
        <f>IF(B3513="","",IFERROR(VALUE(TEXT(B3513,"[$-1170401]mm")),""))</f>
        <v/>
      </c>
    </row>
    <row r="3514">
      <c r="B3514" s="30" t="n"/>
      <c r="G3514" s="9">
        <f>IF(AND(E3514&lt;&gt;"",E3514&lt;&gt;0,H3514&lt;&gt;""),H3514/E3514,"")</f>
        <v/>
      </c>
      <c r="L3514">
        <f>IF(B3514="","",IFERROR(VALUE(TEXT(B3514,"[$-1170401]yyyy")),""))</f>
        <v/>
      </c>
      <c r="M3514">
        <f>IF(B3514="","",IFERROR(VALUE(TEXT(B3514,"[$-1170401]mm")),""))</f>
        <v/>
      </c>
    </row>
    <row r="3515">
      <c r="B3515" s="30" t="n"/>
      <c r="G3515" s="9">
        <f>IF(AND(E3515&lt;&gt;"",E3515&lt;&gt;0,H3515&lt;&gt;""),H3515/E3515,"")</f>
        <v/>
      </c>
      <c r="L3515">
        <f>IF(B3515="","",IFERROR(VALUE(TEXT(B3515,"[$-1170401]yyyy")),""))</f>
        <v/>
      </c>
      <c r="M3515">
        <f>IF(B3515="","",IFERROR(VALUE(TEXT(B3515,"[$-1170401]mm")),""))</f>
        <v/>
      </c>
    </row>
    <row r="3516">
      <c r="B3516" s="30" t="n"/>
      <c r="G3516" s="9">
        <f>IF(AND(E3516&lt;&gt;"",E3516&lt;&gt;0,H3516&lt;&gt;""),H3516/E3516,"")</f>
        <v/>
      </c>
      <c r="L3516">
        <f>IF(B3516="","",IFERROR(VALUE(TEXT(B3516,"[$-1170401]yyyy")),""))</f>
        <v/>
      </c>
      <c r="M3516">
        <f>IF(B3516="","",IFERROR(VALUE(TEXT(B3516,"[$-1170401]mm")),""))</f>
        <v/>
      </c>
    </row>
    <row r="3517">
      <c r="B3517" s="30" t="n"/>
      <c r="G3517" s="9">
        <f>IF(AND(E3517&lt;&gt;"",E3517&lt;&gt;0,H3517&lt;&gt;""),H3517/E3517,"")</f>
        <v/>
      </c>
      <c r="L3517">
        <f>IF(B3517="","",IFERROR(VALUE(TEXT(B3517,"[$-1170401]yyyy")),""))</f>
        <v/>
      </c>
      <c r="M3517">
        <f>IF(B3517="","",IFERROR(VALUE(TEXT(B3517,"[$-1170401]mm")),""))</f>
        <v/>
      </c>
    </row>
    <row r="3518">
      <c r="B3518" s="30" t="n"/>
      <c r="G3518" s="9">
        <f>IF(AND(E3518&lt;&gt;"",E3518&lt;&gt;0,H3518&lt;&gt;""),H3518/E3518,"")</f>
        <v/>
      </c>
      <c r="L3518">
        <f>IF(B3518="","",IFERROR(VALUE(TEXT(B3518,"[$-1170401]yyyy")),""))</f>
        <v/>
      </c>
      <c r="M3518">
        <f>IF(B3518="","",IFERROR(VALUE(TEXT(B3518,"[$-1170401]mm")),""))</f>
        <v/>
      </c>
    </row>
    <row r="3519">
      <c r="B3519" s="30" t="n"/>
      <c r="G3519" s="9">
        <f>IF(AND(E3519&lt;&gt;"",E3519&lt;&gt;0,H3519&lt;&gt;""),H3519/E3519,"")</f>
        <v/>
      </c>
      <c r="L3519">
        <f>IF(B3519="","",IFERROR(VALUE(TEXT(B3519,"[$-1170401]yyyy")),""))</f>
        <v/>
      </c>
      <c r="M3519">
        <f>IF(B3519="","",IFERROR(VALUE(TEXT(B3519,"[$-1170401]mm")),""))</f>
        <v/>
      </c>
    </row>
    <row r="3520">
      <c r="B3520" s="30" t="n"/>
      <c r="G3520" s="9">
        <f>IF(AND(E3520&lt;&gt;"",E3520&lt;&gt;0,H3520&lt;&gt;""),H3520/E3520,"")</f>
        <v/>
      </c>
      <c r="L3520">
        <f>IF(B3520="","",IFERROR(VALUE(TEXT(B3520,"[$-1170401]yyyy")),""))</f>
        <v/>
      </c>
      <c r="M3520">
        <f>IF(B3520="","",IFERROR(VALUE(TEXT(B3520,"[$-1170401]mm")),""))</f>
        <v/>
      </c>
    </row>
    <row r="3521">
      <c r="B3521" s="30" t="n"/>
      <c r="G3521" s="9">
        <f>IF(AND(E3521&lt;&gt;"",E3521&lt;&gt;0,H3521&lt;&gt;""),H3521/E3521,"")</f>
        <v/>
      </c>
      <c r="L3521">
        <f>IF(B3521="","",IFERROR(VALUE(TEXT(B3521,"[$-1170401]yyyy")),""))</f>
        <v/>
      </c>
      <c r="M3521">
        <f>IF(B3521="","",IFERROR(VALUE(TEXT(B3521,"[$-1170401]mm")),""))</f>
        <v/>
      </c>
    </row>
    <row r="3522">
      <c r="B3522" s="30" t="n"/>
      <c r="G3522" s="9">
        <f>IF(AND(E3522&lt;&gt;"",E3522&lt;&gt;0,H3522&lt;&gt;""),H3522/E3522,"")</f>
        <v/>
      </c>
      <c r="L3522">
        <f>IF(B3522="","",IFERROR(VALUE(TEXT(B3522,"[$-1170401]yyyy")),""))</f>
        <v/>
      </c>
      <c r="M3522">
        <f>IF(B3522="","",IFERROR(VALUE(TEXT(B3522,"[$-1170401]mm")),""))</f>
        <v/>
      </c>
    </row>
    <row r="3523">
      <c r="B3523" s="30" t="n"/>
      <c r="G3523" s="9">
        <f>IF(AND(E3523&lt;&gt;"",E3523&lt;&gt;0,H3523&lt;&gt;""),H3523/E3523,"")</f>
        <v/>
      </c>
      <c r="L3523">
        <f>IF(B3523="","",IFERROR(VALUE(TEXT(B3523,"[$-1170401]yyyy")),""))</f>
        <v/>
      </c>
      <c r="M3523">
        <f>IF(B3523="","",IFERROR(VALUE(TEXT(B3523,"[$-1170401]mm")),""))</f>
        <v/>
      </c>
    </row>
    <row r="3524">
      <c r="B3524" s="30" t="n"/>
      <c r="G3524" s="9">
        <f>IF(AND(E3524&lt;&gt;"",E3524&lt;&gt;0,H3524&lt;&gt;""),H3524/E3524,"")</f>
        <v/>
      </c>
      <c r="L3524">
        <f>IF(B3524="","",IFERROR(VALUE(TEXT(B3524,"[$-1170401]yyyy")),""))</f>
        <v/>
      </c>
      <c r="M3524">
        <f>IF(B3524="","",IFERROR(VALUE(TEXT(B3524,"[$-1170401]mm")),""))</f>
        <v/>
      </c>
    </row>
    <row r="3525">
      <c r="B3525" s="30" t="n"/>
      <c r="G3525" s="9">
        <f>IF(AND(E3525&lt;&gt;"",E3525&lt;&gt;0,H3525&lt;&gt;""),H3525/E3525,"")</f>
        <v/>
      </c>
      <c r="L3525">
        <f>IF(B3525="","",IFERROR(VALUE(TEXT(B3525,"[$-1170401]yyyy")),""))</f>
        <v/>
      </c>
      <c r="M3525">
        <f>IF(B3525="","",IFERROR(VALUE(TEXT(B3525,"[$-1170401]mm")),""))</f>
        <v/>
      </c>
    </row>
    <row r="3526">
      <c r="B3526" s="30" t="n"/>
      <c r="G3526" s="9">
        <f>IF(AND(E3526&lt;&gt;"",E3526&lt;&gt;0,H3526&lt;&gt;""),H3526/E3526,"")</f>
        <v/>
      </c>
      <c r="L3526">
        <f>IF(B3526="","",IFERROR(VALUE(TEXT(B3526,"[$-1170401]yyyy")),""))</f>
        <v/>
      </c>
      <c r="M3526">
        <f>IF(B3526="","",IFERROR(VALUE(TEXT(B3526,"[$-1170401]mm")),""))</f>
        <v/>
      </c>
    </row>
    <row r="3527">
      <c r="B3527" s="30" t="n"/>
      <c r="G3527" s="9">
        <f>IF(AND(E3527&lt;&gt;"",E3527&lt;&gt;0,H3527&lt;&gt;""),H3527/E3527,"")</f>
        <v/>
      </c>
      <c r="L3527">
        <f>IF(B3527="","",IFERROR(VALUE(TEXT(B3527,"[$-1170401]yyyy")),""))</f>
        <v/>
      </c>
      <c r="M3527">
        <f>IF(B3527="","",IFERROR(VALUE(TEXT(B3527,"[$-1170401]mm")),""))</f>
        <v/>
      </c>
    </row>
    <row r="3528">
      <c r="B3528" s="30" t="n"/>
      <c r="G3528" s="9">
        <f>IF(AND(E3528&lt;&gt;"",E3528&lt;&gt;0,H3528&lt;&gt;""),H3528/E3528,"")</f>
        <v/>
      </c>
      <c r="L3528">
        <f>IF(B3528="","",IFERROR(VALUE(TEXT(B3528,"[$-1170401]yyyy")),""))</f>
        <v/>
      </c>
      <c r="M3528">
        <f>IF(B3528="","",IFERROR(VALUE(TEXT(B3528,"[$-1170401]mm")),""))</f>
        <v/>
      </c>
    </row>
    <row r="3529">
      <c r="B3529" s="30" t="n"/>
      <c r="G3529" s="9">
        <f>IF(AND(E3529&lt;&gt;"",E3529&lt;&gt;0,H3529&lt;&gt;""),H3529/E3529,"")</f>
        <v/>
      </c>
      <c r="L3529">
        <f>IF(B3529="","",IFERROR(VALUE(TEXT(B3529,"[$-1170401]yyyy")),""))</f>
        <v/>
      </c>
      <c r="M3529">
        <f>IF(B3529="","",IFERROR(VALUE(TEXT(B3529,"[$-1170401]mm")),""))</f>
        <v/>
      </c>
    </row>
    <row r="3530">
      <c r="B3530" s="30" t="n"/>
      <c r="G3530" s="9">
        <f>IF(AND(E3530&lt;&gt;"",E3530&lt;&gt;0,H3530&lt;&gt;""),H3530/E3530,"")</f>
        <v/>
      </c>
      <c r="L3530">
        <f>IF(B3530="","",IFERROR(VALUE(TEXT(B3530,"[$-1170401]yyyy")),""))</f>
        <v/>
      </c>
      <c r="M3530">
        <f>IF(B3530="","",IFERROR(VALUE(TEXT(B3530,"[$-1170401]mm")),""))</f>
        <v/>
      </c>
    </row>
    <row r="3531">
      <c r="B3531" s="30" t="n"/>
      <c r="G3531" s="9">
        <f>IF(AND(E3531&lt;&gt;"",E3531&lt;&gt;0,H3531&lt;&gt;""),H3531/E3531,"")</f>
        <v/>
      </c>
      <c r="L3531">
        <f>IF(B3531="","",IFERROR(VALUE(TEXT(B3531,"[$-1170401]yyyy")),""))</f>
        <v/>
      </c>
      <c r="M3531">
        <f>IF(B3531="","",IFERROR(VALUE(TEXT(B3531,"[$-1170401]mm")),""))</f>
        <v/>
      </c>
    </row>
    <row r="3532">
      <c r="B3532" s="30" t="n"/>
      <c r="G3532" s="9">
        <f>IF(AND(E3532&lt;&gt;"",E3532&lt;&gt;0,H3532&lt;&gt;""),H3532/E3532,"")</f>
        <v/>
      </c>
      <c r="L3532">
        <f>IF(B3532="","",IFERROR(VALUE(TEXT(B3532,"[$-1170401]yyyy")),""))</f>
        <v/>
      </c>
      <c r="M3532">
        <f>IF(B3532="","",IFERROR(VALUE(TEXT(B3532,"[$-1170401]mm")),""))</f>
        <v/>
      </c>
    </row>
    <row r="3533">
      <c r="B3533" s="30" t="n"/>
      <c r="G3533" s="9">
        <f>IF(AND(E3533&lt;&gt;"",E3533&lt;&gt;0,H3533&lt;&gt;""),H3533/E3533,"")</f>
        <v/>
      </c>
      <c r="L3533">
        <f>IF(B3533="","",IFERROR(VALUE(TEXT(B3533,"[$-1170401]yyyy")),""))</f>
        <v/>
      </c>
      <c r="M3533">
        <f>IF(B3533="","",IFERROR(VALUE(TEXT(B3533,"[$-1170401]mm")),""))</f>
        <v/>
      </c>
    </row>
    <row r="3534">
      <c r="B3534" s="30" t="n"/>
      <c r="G3534" s="9">
        <f>IF(AND(E3534&lt;&gt;"",E3534&lt;&gt;0,H3534&lt;&gt;""),H3534/E3534,"")</f>
        <v/>
      </c>
      <c r="L3534">
        <f>IF(B3534="","",IFERROR(VALUE(TEXT(B3534,"[$-1170401]yyyy")),""))</f>
        <v/>
      </c>
      <c r="M3534">
        <f>IF(B3534="","",IFERROR(VALUE(TEXT(B3534,"[$-1170401]mm")),""))</f>
        <v/>
      </c>
    </row>
    <row r="3535">
      <c r="B3535" s="30" t="n"/>
      <c r="G3535" s="9">
        <f>IF(AND(E3535&lt;&gt;"",E3535&lt;&gt;0,H3535&lt;&gt;""),H3535/E3535,"")</f>
        <v/>
      </c>
      <c r="L3535">
        <f>IF(B3535="","",IFERROR(VALUE(TEXT(B3535,"[$-1170401]yyyy")),""))</f>
        <v/>
      </c>
      <c r="M3535">
        <f>IF(B3535="","",IFERROR(VALUE(TEXT(B3535,"[$-1170401]mm")),""))</f>
        <v/>
      </c>
    </row>
    <row r="3536">
      <c r="B3536" s="30" t="n"/>
      <c r="G3536" s="9">
        <f>IF(AND(E3536&lt;&gt;"",E3536&lt;&gt;0,H3536&lt;&gt;""),H3536/E3536,"")</f>
        <v/>
      </c>
      <c r="L3536">
        <f>IF(B3536="","",IFERROR(VALUE(TEXT(B3536,"[$-1170401]yyyy")),""))</f>
        <v/>
      </c>
      <c r="M3536">
        <f>IF(B3536="","",IFERROR(VALUE(TEXT(B3536,"[$-1170401]mm")),""))</f>
        <v/>
      </c>
    </row>
    <row r="3537">
      <c r="B3537" s="30" t="n"/>
      <c r="G3537" s="9">
        <f>IF(AND(E3537&lt;&gt;"",E3537&lt;&gt;0,H3537&lt;&gt;""),H3537/E3537,"")</f>
        <v/>
      </c>
      <c r="L3537">
        <f>IF(B3537="","",IFERROR(VALUE(TEXT(B3537,"[$-1170401]yyyy")),""))</f>
        <v/>
      </c>
      <c r="M3537">
        <f>IF(B3537="","",IFERROR(VALUE(TEXT(B3537,"[$-1170401]mm")),""))</f>
        <v/>
      </c>
    </row>
    <row r="3538">
      <c r="B3538" s="30" t="n"/>
      <c r="G3538" s="9">
        <f>IF(AND(E3538&lt;&gt;"",E3538&lt;&gt;0,H3538&lt;&gt;""),H3538/E3538,"")</f>
        <v/>
      </c>
      <c r="L3538">
        <f>IF(B3538="","",IFERROR(VALUE(TEXT(B3538,"[$-1170401]yyyy")),""))</f>
        <v/>
      </c>
      <c r="M3538">
        <f>IF(B3538="","",IFERROR(VALUE(TEXT(B3538,"[$-1170401]mm")),""))</f>
        <v/>
      </c>
    </row>
    <row r="3539">
      <c r="B3539" s="30" t="n"/>
      <c r="G3539" s="9">
        <f>IF(AND(E3539&lt;&gt;"",E3539&lt;&gt;0,H3539&lt;&gt;""),H3539/E3539,"")</f>
        <v/>
      </c>
      <c r="L3539">
        <f>IF(B3539="","",IFERROR(VALUE(TEXT(B3539,"[$-1170401]yyyy")),""))</f>
        <v/>
      </c>
      <c r="M3539">
        <f>IF(B3539="","",IFERROR(VALUE(TEXT(B3539,"[$-1170401]mm")),""))</f>
        <v/>
      </c>
    </row>
    <row r="3540">
      <c r="B3540" s="30" t="n"/>
      <c r="G3540" s="9">
        <f>IF(AND(E3540&lt;&gt;"",E3540&lt;&gt;0,H3540&lt;&gt;""),H3540/E3540,"")</f>
        <v/>
      </c>
      <c r="L3540">
        <f>IF(B3540="","",IFERROR(VALUE(TEXT(B3540,"[$-1170401]yyyy")),""))</f>
        <v/>
      </c>
      <c r="M3540">
        <f>IF(B3540="","",IFERROR(VALUE(TEXT(B3540,"[$-1170401]mm")),""))</f>
        <v/>
      </c>
    </row>
    <row r="3541">
      <c r="B3541" s="30" t="n"/>
      <c r="G3541" s="9">
        <f>IF(AND(E3541&lt;&gt;"",E3541&lt;&gt;0,H3541&lt;&gt;""),H3541/E3541,"")</f>
        <v/>
      </c>
      <c r="L3541">
        <f>IF(B3541="","",IFERROR(VALUE(TEXT(B3541,"[$-1170401]yyyy")),""))</f>
        <v/>
      </c>
      <c r="M3541">
        <f>IF(B3541="","",IFERROR(VALUE(TEXT(B3541,"[$-1170401]mm")),""))</f>
        <v/>
      </c>
    </row>
    <row r="3542">
      <c r="B3542" s="30" t="n"/>
      <c r="G3542" s="9">
        <f>IF(AND(E3542&lt;&gt;"",E3542&lt;&gt;0,H3542&lt;&gt;""),H3542/E3542,"")</f>
        <v/>
      </c>
      <c r="L3542">
        <f>IF(B3542="","",IFERROR(VALUE(TEXT(B3542,"[$-1170401]yyyy")),""))</f>
        <v/>
      </c>
      <c r="M3542">
        <f>IF(B3542="","",IFERROR(VALUE(TEXT(B3542,"[$-1170401]mm")),""))</f>
        <v/>
      </c>
    </row>
    <row r="3543">
      <c r="B3543" s="30" t="n"/>
      <c r="G3543" s="9">
        <f>IF(AND(E3543&lt;&gt;"",E3543&lt;&gt;0,H3543&lt;&gt;""),H3543/E3543,"")</f>
        <v/>
      </c>
      <c r="L3543">
        <f>IF(B3543="","",IFERROR(VALUE(TEXT(B3543,"[$-1170401]yyyy")),""))</f>
        <v/>
      </c>
      <c r="M3543">
        <f>IF(B3543="","",IFERROR(VALUE(TEXT(B3543,"[$-1170401]mm")),""))</f>
        <v/>
      </c>
    </row>
    <row r="3544">
      <c r="B3544" s="30" t="n"/>
      <c r="G3544" s="9">
        <f>IF(AND(E3544&lt;&gt;"",E3544&lt;&gt;0,H3544&lt;&gt;""),H3544/E3544,"")</f>
        <v/>
      </c>
      <c r="L3544">
        <f>IF(B3544="","",IFERROR(VALUE(TEXT(B3544,"[$-1170401]yyyy")),""))</f>
        <v/>
      </c>
      <c r="M3544">
        <f>IF(B3544="","",IFERROR(VALUE(TEXT(B3544,"[$-1170401]mm")),""))</f>
        <v/>
      </c>
    </row>
    <row r="3545">
      <c r="B3545" s="30" t="n"/>
      <c r="G3545" s="9">
        <f>IF(AND(E3545&lt;&gt;"",E3545&lt;&gt;0,H3545&lt;&gt;""),H3545/E3545,"")</f>
        <v/>
      </c>
      <c r="L3545">
        <f>IF(B3545="","",IFERROR(VALUE(TEXT(B3545,"[$-1170401]yyyy")),""))</f>
        <v/>
      </c>
      <c r="M3545">
        <f>IF(B3545="","",IFERROR(VALUE(TEXT(B3545,"[$-1170401]mm")),""))</f>
        <v/>
      </c>
    </row>
    <row r="3546">
      <c r="B3546" s="30" t="n"/>
      <c r="G3546" s="9">
        <f>IF(AND(E3546&lt;&gt;"",E3546&lt;&gt;0,H3546&lt;&gt;""),H3546/E3546,"")</f>
        <v/>
      </c>
      <c r="L3546">
        <f>IF(B3546="","",IFERROR(VALUE(TEXT(B3546,"[$-1170401]yyyy")),""))</f>
        <v/>
      </c>
      <c r="M3546">
        <f>IF(B3546="","",IFERROR(VALUE(TEXT(B3546,"[$-1170401]mm")),""))</f>
        <v/>
      </c>
    </row>
    <row r="3547">
      <c r="B3547" s="30" t="n"/>
      <c r="G3547" s="9">
        <f>IF(AND(E3547&lt;&gt;"",E3547&lt;&gt;0,H3547&lt;&gt;""),H3547/E3547,"")</f>
        <v/>
      </c>
      <c r="L3547">
        <f>IF(B3547="","",IFERROR(VALUE(TEXT(B3547,"[$-1170401]yyyy")),""))</f>
        <v/>
      </c>
      <c r="M3547">
        <f>IF(B3547="","",IFERROR(VALUE(TEXT(B3547,"[$-1170401]mm")),""))</f>
        <v/>
      </c>
    </row>
    <row r="3548">
      <c r="B3548" s="30" t="n"/>
      <c r="G3548" s="9">
        <f>IF(AND(E3548&lt;&gt;"",E3548&lt;&gt;0,H3548&lt;&gt;""),H3548/E3548,"")</f>
        <v/>
      </c>
      <c r="L3548">
        <f>IF(B3548="","",IFERROR(VALUE(TEXT(B3548,"[$-1170401]yyyy")),""))</f>
        <v/>
      </c>
      <c r="M3548">
        <f>IF(B3548="","",IFERROR(VALUE(TEXT(B3548,"[$-1170401]mm")),""))</f>
        <v/>
      </c>
    </row>
    <row r="3549">
      <c r="B3549" s="30" t="n"/>
      <c r="G3549" s="9">
        <f>IF(AND(E3549&lt;&gt;"",E3549&lt;&gt;0,H3549&lt;&gt;""),H3549/E3549,"")</f>
        <v/>
      </c>
      <c r="L3549">
        <f>IF(B3549="","",IFERROR(VALUE(TEXT(B3549,"[$-1170401]yyyy")),""))</f>
        <v/>
      </c>
      <c r="M3549">
        <f>IF(B3549="","",IFERROR(VALUE(TEXT(B3549,"[$-1170401]mm")),""))</f>
        <v/>
      </c>
    </row>
    <row r="3550">
      <c r="B3550" s="30" t="n"/>
      <c r="G3550" s="9">
        <f>IF(AND(E3550&lt;&gt;"",E3550&lt;&gt;0,H3550&lt;&gt;""),H3550/E3550,"")</f>
        <v/>
      </c>
      <c r="L3550">
        <f>IF(B3550="","",IFERROR(VALUE(TEXT(B3550,"[$-1170401]yyyy")),""))</f>
        <v/>
      </c>
      <c r="M3550">
        <f>IF(B3550="","",IFERROR(VALUE(TEXT(B3550,"[$-1170401]mm")),""))</f>
        <v/>
      </c>
    </row>
    <row r="3551">
      <c r="B3551" s="30" t="n"/>
      <c r="G3551" s="9">
        <f>IF(AND(E3551&lt;&gt;"",E3551&lt;&gt;0,H3551&lt;&gt;""),H3551/E3551,"")</f>
        <v/>
      </c>
      <c r="L3551">
        <f>IF(B3551="","",IFERROR(VALUE(TEXT(B3551,"[$-1170401]yyyy")),""))</f>
        <v/>
      </c>
      <c r="M3551">
        <f>IF(B3551="","",IFERROR(VALUE(TEXT(B3551,"[$-1170401]mm")),""))</f>
        <v/>
      </c>
    </row>
    <row r="3552">
      <c r="B3552" s="30" t="n"/>
      <c r="G3552" s="9">
        <f>IF(AND(E3552&lt;&gt;"",E3552&lt;&gt;0,H3552&lt;&gt;""),H3552/E3552,"")</f>
        <v/>
      </c>
      <c r="L3552">
        <f>IF(B3552="","",IFERROR(VALUE(TEXT(B3552,"[$-1170401]yyyy")),""))</f>
        <v/>
      </c>
      <c r="M3552">
        <f>IF(B3552="","",IFERROR(VALUE(TEXT(B3552,"[$-1170401]mm")),""))</f>
        <v/>
      </c>
    </row>
    <row r="3553">
      <c r="B3553" s="30" t="n"/>
      <c r="G3553" s="9">
        <f>IF(AND(E3553&lt;&gt;"",E3553&lt;&gt;0,H3553&lt;&gt;""),H3553/E3553,"")</f>
        <v/>
      </c>
      <c r="L3553">
        <f>IF(B3553="","",IFERROR(VALUE(TEXT(B3553,"[$-1170401]yyyy")),""))</f>
        <v/>
      </c>
      <c r="M3553">
        <f>IF(B3553="","",IFERROR(VALUE(TEXT(B3553,"[$-1170401]mm")),""))</f>
        <v/>
      </c>
    </row>
    <row r="3554">
      <c r="B3554" s="30" t="n"/>
      <c r="G3554" s="9">
        <f>IF(AND(E3554&lt;&gt;"",E3554&lt;&gt;0,H3554&lt;&gt;""),H3554/E3554,"")</f>
        <v/>
      </c>
      <c r="L3554">
        <f>IF(B3554="","",IFERROR(VALUE(TEXT(B3554,"[$-1170401]yyyy")),""))</f>
        <v/>
      </c>
      <c r="M3554">
        <f>IF(B3554="","",IFERROR(VALUE(TEXT(B3554,"[$-1170401]mm")),""))</f>
        <v/>
      </c>
    </row>
    <row r="3555">
      <c r="B3555" s="30" t="n"/>
      <c r="G3555" s="9">
        <f>IF(AND(E3555&lt;&gt;"",E3555&lt;&gt;0,H3555&lt;&gt;""),H3555/E3555,"")</f>
        <v/>
      </c>
      <c r="L3555">
        <f>IF(B3555="","",IFERROR(VALUE(TEXT(B3555,"[$-1170401]yyyy")),""))</f>
        <v/>
      </c>
      <c r="M3555">
        <f>IF(B3555="","",IFERROR(VALUE(TEXT(B3555,"[$-1170401]mm")),""))</f>
        <v/>
      </c>
    </row>
    <row r="3556">
      <c r="B3556" s="30" t="n"/>
      <c r="G3556" s="9">
        <f>IF(AND(E3556&lt;&gt;"",E3556&lt;&gt;0,H3556&lt;&gt;""),H3556/E3556,"")</f>
        <v/>
      </c>
      <c r="L3556">
        <f>IF(B3556="","",IFERROR(VALUE(TEXT(B3556,"[$-1170401]yyyy")),""))</f>
        <v/>
      </c>
      <c r="M3556">
        <f>IF(B3556="","",IFERROR(VALUE(TEXT(B3556,"[$-1170401]mm")),""))</f>
        <v/>
      </c>
    </row>
    <row r="3557">
      <c r="B3557" s="30" t="n"/>
      <c r="G3557" s="9">
        <f>IF(AND(E3557&lt;&gt;"",E3557&lt;&gt;0,H3557&lt;&gt;""),H3557/E3557,"")</f>
        <v/>
      </c>
      <c r="L3557">
        <f>IF(B3557="","",IFERROR(VALUE(TEXT(B3557,"[$-1170401]yyyy")),""))</f>
        <v/>
      </c>
      <c r="M3557">
        <f>IF(B3557="","",IFERROR(VALUE(TEXT(B3557,"[$-1170401]mm")),""))</f>
        <v/>
      </c>
    </row>
    <row r="3558">
      <c r="B3558" s="30" t="n"/>
      <c r="G3558" s="9">
        <f>IF(AND(E3558&lt;&gt;"",E3558&lt;&gt;0,H3558&lt;&gt;""),H3558/E3558,"")</f>
        <v/>
      </c>
      <c r="L3558">
        <f>IF(B3558="","",IFERROR(VALUE(TEXT(B3558,"[$-1170401]yyyy")),""))</f>
        <v/>
      </c>
      <c r="M3558">
        <f>IF(B3558="","",IFERROR(VALUE(TEXT(B3558,"[$-1170401]mm")),""))</f>
        <v/>
      </c>
    </row>
    <row r="3559">
      <c r="B3559" s="30" t="n"/>
      <c r="G3559" s="9">
        <f>IF(AND(E3559&lt;&gt;"",E3559&lt;&gt;0,H3559&lt;&gt;""),H3559/E3559,"")</f>
        <v/>
      </c>
      <c r="L3559">
        <f>IF(B3559="","",IFERROR(VALUE(TEXT(B3559,"[$-1170401]yyyy")),""))</f>
        <v/>
      </c>
      <c r="M3559">
        <f>IF(B3559="","",IFERROR(VALUE(TEXT(B3559,"[$-1170401]mm")),""))</f>
        <v/>
      </c>
    </row>
    <row r="3560">
      <c r="B3560" s="30" t="n"/>
      <c r="G3560" s="9">
        <f>IF(AND(E3560&lt;&gt;"",E3560&lt;&gt;0,H3560&lt;&gt;""),H3560/E3560,"")</f>
        <v/>
      </c>
      <c r="L3560">
        <f>IF(B3560="","",IFERROR(VALUE(TEXT(B3560,"[$-1170401]yyyy")),""))</f>
        <v/>
      </c>
      <c r="M3560">
        <f>IF(B3560="","",IFERROR(VALUE(TEXT(B3560,"[$-1170401]mm")),""))</f>
        <v/>
      </c>
    </row>
    <row r="3561">
      <c r="B3561" s="30" t="n"/>
      <c r="G3561" s="9">
        <f>IF(AND(E3561&lt;&gt;"",E3561&lt;&gt;0,H3561&lt;&gt;""),H3561/E3561,"")</f>
        <v/>
      </c>
      <c r="L3561">
        <f>IF(B3561="","",IFERROR(VALUE(TEXT(B3561,"[$-1170401]yyyy")),""))</f>
        <v/>
      </c>
      <c r="M3561">
        <f>IF(B3561="","",IFERROR(VALUE(TEXT(B3561,"[$-1170401]mm")),""))</f>
        <v/>
      </c>
    </row>
    <row r="3562">
      <c r="B3562" s="30" t="n"/>
      <c r="G3562" s="9">
        <f>IF(AND(E3562&lt;&gt;"",E3562&lt;&gt;0,H3562&lt;&gt;""),H3562/E3562,"")</f>
        <v/>
      </c>
      <c r="L3562">
        <f>IF(B3562="","",IFERROR(VALUE(TEXT(B3562,"[$-1170401]yyyy")),""))</f>
        <v/>
      </c>
      <c r="M3562">
        <f>IF(B3562="","",IFERROR(VALUE(TEXT(B3562,"[$-1170401]mm")),""))</f>
        <v/>
      </c>
    </row>
    <row r="3563">
      <c r="B3563" s="30" t="n"/>
      <c r="G3563" s="9">
        <f>IF(AND(E3563&lt;&gt;"",E3563&lt;&gt;0,H3563&lt;&gt;""),H3563/E3563,"")</f>
        <v/>
      </c>
      <c r="L3563">
        <f>IF(B3563="","",IFERROR(VALUE(TEXT(B3563,"[$-1170401]yyyy")),""))</f>
        <v/>
      </c>
      <c r="M3563">
        <f>IF(B3563="","",IFERROR(VALUE(TEXT(B3563,"[$-1170401]mm")),""))</f>
        <v/>
      </c>
    </row>
    <row r="3564">
      <c r="B3564" s="30" t="n"/>
      <c r="G3564" s="9">
        <f>IF(AND(E3564&lt;&gt;"",E3564&lt;&gt;0,H3564&lt;&gt;""),H3564/E3564,"")</f>
        <v/>
      </c>
      <c r="L3564">
        <f>IF(B3564="","",IFERROR(VALUE(TEXT(B3564,"[$-1170401]yyyy")),""))</f>
        <v/>
      </c>
      <c r="M3564">
        <f>IF(B3564="","",IFERROR(VALUE(TEXT(B3564,"[$-1170401]mm")),""))</f>
        <v/>
      </c>
    </row>
    <row r="3565">
      <c r="B3565" s="30" t="n"/>
      <c r="G3565" s="9">
        <f>IF(AND(E3565&lt;&gt;"",E3565&lt;&gt;0,H3565&lt;&gt;""),H3565/E3565,"")</f>
        <v/>
      </c>
      <c r="L3565">
        <f>IF(B3565="","",IFERROR(VALUE(TEXT(B3565,"[$-1170401]yyyy")),""))</f>
        <v/>
      </c>
      <c r="M3565">
        <f>IF(B3565="","",IFERROR(VALUE(TEXT(B3565,"[$-1170401]mm")),""))</f>
        <v/>
      </c>
    </row>
    <row r="3566">
      <c r="B3566" s="30" t="n"/>
      <c r="G3566" s="9">
        <f>IF(AND(E3566&lt;&gt;"",E3566&lt;&gt;0,H3566&lt;&gt;""),H3566/E3566,"")</f>
        <v/>
      </c>
      <c r="L3566">
        <f>IF(B3566="","",IFERROR(VALUE(TEXT(B3566,"[$-1170401]yyyy")),""))</f>
        <v/>
      </c>
      <c r="M3566">
        <f>IF(B3566="","",IFERROR(VALUE(TEXT(B3566,"[$-1170401]mm")),""))</f>
        <v/>
      </c>
    </row>
    <row r="3567">
      <c r="B3567" s="30" t="n"/>
      <c r="G3567" s="9">
        <f>IF(AND(E3567&lt;&gt;"",E3567&lt;&gt;0,H3567&lt;&gt;""),H3567/E3567,"")</f>
        <v/>
      </c>
      <c r="L3567">
        <f>IF(B3567="","",IFERROR(VALUE(TEXT(B3567,"[$-1170401]yyyy")),""))</f>
        <v/>
      </c>
      <c r="M3567">
        <f>IF(B3567="","",IFERROR(VALUE(TEXT(B3567,"[$-1170401]mm")),""))</f>
        <v/>
      </c>
    </row>
    <row r="3568">
      <c r="B3568" s="30" t="n"/>
      <c r="G3568" s="9">
        <f>IF(AND(E3568&lt;&gt;"",E3568&lt;&gt;0,H3568&lt;&gt;""),H3568/E3568,"")</f>
        <v/>
      </c>
      <c r="L3568">
        <f>IF(B3568="","",IFERROR(VALUE(TEXT(B3568,"[$-1170401]yyyy")),""))</f>
        <v/>
      </c>
      <c r="M3568">
        <f>IF(B3568="","",IFERROR(VALUE(TEXT(B3568,"[$-1170401]mm")),""))</f>
        <v/>
      </c>
    </row>
    <row r="3569">
      <c r="B3569" s="30" t="n"/>
      <c r="G3569" s="9">
        <f>IF(AND(E3569&lt;&gt;"",E3569&lt;&gt;0,H3569&lt;&gt;""),H3569/E3569,"")</f>
        <v/>
      </c>
      <c r="L3569">
        <f>IF(B3569="","",IFERROR(VALUE(TEXT(B3569,"[$-1170401]yyyy")),""))</f>
        <v/>
      </c>
      <c r="M3569">
        <f>IF(B3569="","",IFERROR(VALUE(TEXT(B3569,"[$-1170401]mm")),""))</f>
        <v/>
      </c>
    </row>
    <row r="3570">
      <c r="B3570" s="30" t="n"/>
      <c r="G3570" s="9">
        <f>IF(AND(E3570&lt;&gt;"",E3570&lt;&gt;0,H3570&lt;&gt;""),H3570/E3570,"")</f>
        <v/>
      </c>
      <c r="L3570">
        <f>IF(B3570="","",IFERROR(VALUE(TEXT(B3570,"[$-1170401]yyyy")),""))</f>
        <v/>
      </c>
      <c r="M3570">
        <f>IF(B3570="","",IFERROR(VALUE(TEXT(B3570,"[$-1170401]mm")),""))</f>
        <v/>
      </c>
    </row>
    <row r="3571">
      <c r="B3571" s="30" t="n"/>
      <c r="G3571" s="9">
        <f>IF(AND(E3571&lt;&gt;"",E3571&lt;&gt;0,H3571&lt;&gt;""),H3571/E3571,"")</f>
        <v/>
      </c>
      <c r="L3571">
        <f>IF(B3571="","",IFERROR(VALUE(TEXT(B3571,"[$-1170401]yyyy")),""))</f>
        <v/>
      </c>
      <c r="M3571">
        <f>IF(B3571="","",IFERROR(VALUE(TEXT(B3571,"[$-1170401]mm")),""))</f>
        <v/>
      </c>
    </row>
    <row r="3572">
      <c r="B3572" s="30" t="n"/>
      <c r="G3572" s="9">
        <f>IF(AND(E3572&lt;&gt;"",E3572&lt;&gt;0,H3572&lt;&gt;""),H3572/E3572,"")</f>
        <v/>
      </c>
      <c r="L3572">
        <f>IF(B3572="","",IFERROR(VALUE(TEXT(B3572,"[$-1170401]yyyy")),""))</f>
        <v/>
      </c>
      <c r="M3572">
        <f>IF(B3572="","",IFERROR(VALUE(TEXT(B3572,"[$-1170401]mm")),""))</f>
        <v/>
      </c>
    </row>
    <row r="3573">
      <c r="B3573" s="30" t="n"/>
      <c r="G3573" s="9">
        <f>IF(AND(E3573&lt;&gt;"",E3573&lt;&gt;0,H3573&lt;&gt;""),H3573/E3573,"")</f>
        <v/>
      </c>
      <c r="L3573">
        <f>IF(B3573="","",IFERROR(VALUE(TEXT(B3573,"[$-1170401]yyyy")),""))</f>
        <v/>
      </c>
      <c r="M3573">
        <f>IF(B3573="","",IFERROR(VALUE(TEXT(B3573,"[$-1170401]mm")),""))</f>
        <v/>
      </c>
    </row>
    <row r="3574">
      <c r="B3574" s="30" t="n"/>
      <c r="G3574" s="9">
        <f>IF(AND(E3574&lt;&gt;"",E3574&lt;&gt;0,H3574&lt;&gt;""),H3574/E3574,"")</f>
        <v/>
      </c>
      <c r="L3574">
        <f>IF(B3574="","",IFERROR(VALUE(TEXT(B3574,"[$-1170401]yyyy")),""))</f>
        <v/>
      </c>
      <c r="M3574">
        <f>IF(B3574="","",IFERROR(VALUE(TEXT(B3574,"[$-1170401]mm")),""))</f>
        <v/>
      </c>
    </row>
    <row r="3575">
      <c r="B3575" s="30" t="n"/>
      <c r="G3575" s="9">
        <f>IF(AND(E3575&lt;&gt;"",E3575&lt;&gt;0,H3575&lt;&gt;""),H3575/E3575,"")</f>
        <v/>
      </c>
      <c r="L3575">
        <f>IF(B3575="","",IFERROR(VALUE(TEXT(B3575,"[$-1170401]yyyy")),""))</f>
        <v/>
      </c>
      <c r="M3575">
        <f>IF(B3575="","",IFERROR(VALUE(TEXT(B3575,"[$-1170401]mm")),""))</f>
        <v/>
      </c>
    </row>
    <row r="3576">
      <c r="B3576" s="30" t="n"/>
      <c r="G3576" s="9">
        <f>IF(AND(E3576&lt;&gt;"",E3576&lt;&gt;0,H3576&lt;&gt;""),H3576/E3576,"")</f>
        <v/>
      </c>
      <c r="L3576">
        <f>IF(B3576="","",IFERROR(VALUE(TEXT(B3576,"[$-1170401]yyyy")),""))</f>
        <v/>
      </c>
      <c r="M3576">
        <f>IF(B3576="","",IFERROR(VALUE(TEXT(B3576,"[$-1170401]mm")),""))</f>
        <v/>
      </c>
    </row>
    <row r="3577">
      <c r="B3577" s="30" t="n"/>
      <c r="G3577" s="9">
        <f>IF(AND(E3577&lt;&gt;"",E3577&lt;&gt;0,H3577&lt;&gt;""),H3577/E3577,"")</f>
        <v/>
      </c>
      <c r="L3577">
        <f>IF(B3577="","",IFERROR(VALUE(TEXT(B3577,"[$-1170401]yyyy")),""))</f>
        <v/>
      </c>
      <c r="M3577">
        <f>IF(B3577="","",IFERROR(VALUE(TEXT(B3577,"[$-1170401]mm")),""))</f>
        <v/>
      </c>
    </row>
    <row r="3578">
      <c r="B3578" s="30" t="n"/>
      <c r="G3578" s="9">
        <f>IF(AND(E3578&lt;&gt;"",E3578&lt;&gt;0,H3578&lt;&gt;""),H3578/E3578,"")</f>
        <v/>
      </c>
      <c r="L3578">
        <f>IF(B3578="","",IFERROR(VALUE(TEXT(B3578,"[$-1170401]yyyy")),""))</f>
        <v/>
      </c>
      <c r="M3578">
        <f>IF(B3578="","",IFERROR(VALUE(TEXT(B3578,"[$-1170401]mm")),""))</f>
        <v/>
      </c>
    </row>
    <row r="3579">
      <c r="B3579" s="30" t="n"/>
      <c r="G3579" s="9">
        <f>IF(AND(E3579&lt;&gt;"",E3579&lt;&gt;0,H3579&lt;&gt;""),H3579/E3579,"")</f>
        <v/>
      </c>
      <c r="L3579">
        <f>IF(B3579="","",IFERROR(VALUE(TEXT(B3579,"[$-1170401]yyyy")),""))</f>
        <v/>
      </c>
      <c r="M3579">
        <f>IF(B3579="","",IFERROR(VALUE(TEXT(B3579,"[$-1170401]mm")),""))</f>
        <v/>
      </c>
    </row>
    <row r="3580">
      <c r="B3580" s="30" t="n"/>
      <c r="G3580" s="9">
        <f>IF(AND(E3580&lt;&gt;"",E3580&lt;&gt;0,H3580&lt;&gt;""),H3580/E3580,"")</f>
        <v/>
      </c>
      <c r="L3580">
        <f>IF(B3580="","",IFERROR(VALUE(TEXT(B3580,"[$-1170401]yyyy")),""))</f>
        <v/>
      </c>
      <c r="M3580">
        <f>IF(B3580="","",IFERROR(VALUE(TEXT(B3580,"[$-1170401]mm")),""))</f>
        <v/>
      </c>
    </row>
    <row r="3581">
      <c r="B3581" s="30" t="n"/>
      <c r="G3581" s="9">
        <f>IF(AND(E3581&lt;&gt;"",E3581&lt;&gt;0,H3581&lt;&gt;""),H3581/E3581,"")</f>
        <v/>
      </c>
      <c r="L3581">
        <f>IF(B3581="","",IFERROR(VALUE(TEXT(B3581,"[$-1170401]yyyy")),""))</f>
        <v/>
      </c>
      <c r="M3581">
        <f>IF(B3581="","",IFERROR(VALUE(TEXT(B3581,"[$-1170401]mm")),""))</f>
        <v/>
      </c>
    </row>
    <row r="3582">
      <c r="B3582" s="30" t="n"/>
      <c r="G3582" s="9">
        <f>IF(AND(E3582&lt;&gt;"",E3582&lt;&gt;0,H3582&lt;&gt;""),H3582/E3582,"")</f>
        <v/>
      </c>
      <c r="L3582">
        <f>IF(B3582="","",IFERROR(VALUE(TEXT(B3582,"[$-1170401]yyyy")),""))</f>
        <v/>
      </c>
      <c r="M3582">
        <f>IF(B3582="","",IFERROR(VALUE(TEXT(B3582,"[$-1170401]mm")),""))</f>
        <v/>
      </c>
    </row>
    <row r="3583">
      <c r="B3583" s="30" t="n"/>
      <c r="G3583" s="9">
        <f>IF(AND(E3583&lt;&gt;"",E3583&lt;&gt;0,H3583&lt;&gt;""),H3583/E3583,"")</f>
        <v/>
      </c>
      <c r="L3583">
        <f>IF(B3583="","",IFERROR(VALUE(TEXT(B3583,"[$-1170401]yyyy")),""))</f>
        <v/>
      </c>
      <c r="M3583">
        <f>IF(B3583="","",IFERROR(VALUE(TEXT(B3583,"[$-1170401]mm")),""))</f>
        <v/>
      </c>
    </row>
    <row r="3584">
      <c r="B3584" s="30" t="n"/>
      <c r="G3584" s="9">
        <f>IF(AND(E3584&lt;&gt;"",E3584&lt;&gt;0,H3584&lt;&gt;""),H3584/E3584,"")</f>
        <v/>
      </c>
      <c r="L3584">
        <f>IF(B3584="","",IFERROR(VALUE(TEXT(B3584,"[$-1170401]yyyy")),""))</f>
        <v/>
      </c>
      <c r="M3584">
        <f>IF(B3584="","",IFERROR(VALUE(TEXT(B3584,"[$-1170401]mm")),""))</f>
        <v/>
      </c>
    </row>
    <row r="3585">
      <c r="B3585" s="30" t="n"/>
      <c r="G3585" s="9">
        <f>IF(AND(E3585&lt;&gt;"",E3585&lt;&gt;0,H3585&lt;&gt;""),H3585/E3585,"")</f>
        <v/>
      </c>
      <c r="L3585">
        <f>IF(B3585="","",IFERROR(VALUE(TEXT(B3585,"[$-1170401]yyyy")),""))</f>
        <v/>
      </c>
      <c r="M3585">
        <f>IF(B3585="","",IFERROR(VALUE(TEXT(B3585,"[$-1170401]mm")),""))</f>
        <v/>
      </c>
    </row>
    <row r="3586">
      <c r="B3586" s="30" t="n"/>
      <c r="G3586" s="9">
        <f>IF(AND(E3586&lt;&gt;"",E3586&lt;&gt;0,H3586&lt;&gt;""),H3586/E3586,"")</f>
        <v/>
      </c>
      <c r="L3586">
        <f>IF(B3586="","",IFERROR(VALUE(TEXT(B3586,"[$-1170401]yyyy")),""))</f>
        <v/>
      </c>
      <c r="M3586">
        <f>IF(B3586="","",IFERROR(VALUE(TEXT(B3586,"[$-1170401]mm")),""))</f>
        <v/>
      </c>
    </row>
    <row r="3587">
      <c r="B3587" s="30" t="n"/>
      <c r="G3587" s="9">
        <f>IF(AND(E3587&lt;&gt;"",E3587&lt;&gt;0,H3587&lt;&gt;""),H3587/E3587,"")</f>
        <v/>
      </c>
      <c r="L3587">
        <f>IF(B3587="","",IFERROR(VALUE(TEXT(B3587,"[$-1170401]yyyy")),""))</f>
        <v/>
      </c>
      <c r="M3587">
        <f>IF(B3587="","",IFERROR(VALUE(TEXT(B3587,"[$-1170401]mm")),""))</f>
        <v/>
      </c>
    </row>
    <row r="3588">
      <c r="B3588" s="30" t="n"/>
      <c r="G3588" s="9">
        <f>IF(AND(E3588&lt;&gt;"",E3588&lt;&gt;0,H3588&lt;&gt;""),H3588/E3588,"")</f>
        <v/>
      </c>
      <c r="L3588">
        <f>IF(B3588="","",IFERROR(VALUE(TEXT(B3588,"[$-1170401]yyyy")),""))</f>
        <v/>
      </c>
      <c r="M3588">
        <f>IF(B3588="","",IFERROR(VALUE(TEXT(B3588,"[$-1170401]mm")),""))</f>
        <v/>
      </c>
    </row>
    <row r="3589">
      <c r="B3589" s="30" t="n"/>
      <c r="G3589" s="9">
        <f>IF(AND(E3589&lt;&gt;"",E3589&lt;&gt;0,H3589&lt;&gt;""),H3589/E3589,"")</f>
        <v/>
      </c>
      <c r="L3589">
        <f>IF(B3589="","",IFERROR(VALUE(TEXT(B3589,"[$-1170401]yyyy")),""))</f>
        <v/>
      </c>
      <c r="M3589">
        <f>IF(B3589="","",IFERROR(VALUE(TEXT(B3589,"[$-1170401]mm")),""))</f>
        <v/>
      </c>
    </row>
    <row r="3590">
      <c r="B3590" s="30" t="n"/>
      <c r="G3590" s="9">
        <f>IF(AND(E3590&lt;&gt;"",E3590&lt;&gt;0,H3590&lt;&gt;""),H3590/E3590,"")</f>
        <v/>
      </c>
      <c r="L3590">
        <f>IF(B3590="","",IFERROR(VALUE(TEXT(B3590,"[$-1170401]yyyy")),""))</f>
        <v/>
      </c>
      <c r="M3590">
        <f>IF(B3590="","",IFERROR(VALUE(TEXT(B3590,"[$-1170401]mm")),""))</f>
        <v/>
      </c>
    </row>
    <row r="3591">
      <c r="B3591" s="30" t="n"/>
      <c r="G3591" s="9">
        <f>IF(AND(E3591&lt;&gt;"",E3591&lt;&gt;0,H3591&lt;&gt;""),H3591/E3591,"")</f>
        <v/>
      </c>
      <c r="L3591">
        <f>IF(B3591="","",IFERROR(VALUE(TEXT(B3591,"[$-1170401]yyyy")),""))</f>
        <v/>
      </c>
      <c r="M3591">
        <f>IF(B3591="","",IFERROR(VALUE(TEXT(B3591,"[$-1170401]mm")),""))</f>
        <v/>
      </c>
    </row>
    <row r="3592">
      <c r="B3592" s="30" t="n"/>
      <c r="G3592" s="9">
        <f>IF(AND(E3592&lt;&gt;"",E3592&lt;&gt;0,H3592&lt;&gt;""),H3592/E3592,"")</f>
        <v/>
      </c>
      <c r="L3592">
        <f>IF(B3592="","",IFERROR(VALUE(TEXT(B3592,"[$-1170401]yyyy")),""))</f>
        <v/>
      </c>
      <c r="M3592">
        <f>IF(B3592="","",IFERROR(VALUE(TEXT(B3592,"[$-1170401]mm")),""))</f>
        <v/>
      </c>
    </row>
    <row r="3593">
      <c r="B3593" s="30" t="n"/>
      <c r="G3593" s="9">
        <f>IF(AND(E3593&lt;&gt;"",E3593&lt;&gt;0,H3593&lt;&gt;""),H3593/E3593,"")</f>
        <v/>
      </c>
      <c r="L3593">
        <f>IF(B3593="","",IFERROR(VALUE(TEXT(B3593,"[$-1170401]yyyy")),""))</f>
        <v/>
      </c>
      <c r="M3593">
        <f>IF(B3593="","",IFERROR(VALUE(TEXT(B3593,"[$-1170401]mm")),""))</f>
        <v/>
      </c>
    </row>
    <row r="3594">
      <c r="B3594" s="30" t="n"/>
      <c r="G3594" s="9">
        <f>IF(AND(E3594&lt;&gt;"",E3594&lt;&gt;0,H3594&lt;&gt;""),H3594/E3594,"")</f>
        <v/>
      </c>
      <c r="L3594">
        <f>IF(B3594="","",IFERROR(VALUE(TEXT(B3594,"[$-1170401]yyyy")),""))</f>
        <v/>
      </c>
      <c r="M3594">
        <f>IF(B3594="","",IFERROR(VALUE(TEXT(B3594,"[$-1170401]mm")),""))</f>
        <v/>
      </c>
    </row>
    <row r="3595">
      <c r="B3595" s="30" t="n"/>
      <c r="G3595" s="9">
        <f>IF(AND(E3595&lt;&gt;"",E3595&lt;&gt;0,H3595&lt;&gt;""),H3595/E3595,"")</f>
        <v/>
      </c>
      <c r="L3595">
        <f>IF(B3595="","",IFERROR(VALUE(TEXT(B3595,"[$-1170401]yyyy")),""))</f>
        <v/>
      </c>
      <c r="M3595">
        <f>IF(B3595="","",IFERROR(VALUE(TEXT(B3595,"[$-1170401]mm")),""))</f>
        <v/>
      </c>
    </row>
    <row r="3596">
      <c r="B3596" s="30" t="n"/>
      <c r="G3596" s="9">
        <f>IF(AND(E3596&lt;&gt;"",E3596&lt;&gt;0,H3596&lt;&gt;""),H3596/E3596,"")</f>
        <v/>
      </c>
      <c r="L3596">
        <f>IF(B3596="","",IFERROR(VALUE(TEXT(B3596,"[$-1170401]yyyy")),""))</f>
        <v/>
      </c>
      <c r="M3596">
        <f>IF(B3596="","",IFERROR(VALUE(TEXT(B3596,"[$-1170401]mm")),""))</f>
        <v/>
      </c>
    </row>
    <row r="3597">
      <c r="B3597" s="30" t="n"/>
      <c r="G3597" s="9">
        <f>IF(AND(E3597&lt;&gt;"",E3597&lt;&gt;0,H3597&lt;&gt;""),H3597/E3597,"")</f>
        <v/>
      </c>
      <c r="L3597">
        <f>IF(B3597="","",IFERROR(VALUE(TEXT(B3597,"[$-1170401]yyyy")),""))</f>
        <v/>
      </c>
      <c r="M3597">
        <f>IF(B3597="","",IFERROR(VALUE(TEXT(B3597,"[$-1170401]mm")),""))</f>
        <v/>
      </c>
    </row>
    <row r="3598">
      <c r="B3598" s="30" t="n"/>
      <c r="G3598" s="9">
        <f>IF(AND(E3598&lt;&gt;"",E3598&lt;&gt;0,H3598&lt;&gt;""),H3598/E3598,"")</f>
        <v/>
      </c>
      <c r="L3598">
        <f>IF(B3598="","",IFERROR(VALUE(TEXT(B3598,"[$-1170401]yyyy")),""))</f>
        <v/>
      </c>
      <c r="M3598">
        <f>IF(B3598="","",IFERROR(VALUE(TEXT(B3598,"[$-1170401]mm")),""))</f>
        <v/>
      </c>
    </row>
    <row r="3599">
      <c r="B3599" s="30" t="n"/>
      <c r="G3599" s="9">
        <f>IF(AND(E3599&lt;&gt;"",E3599&lt;&gt;0,H3599&lt;&gt;""),H3599/E3599,"")</f>
        <v/>
      </c>
      <c r="L3599">
        <f>IF(B3599="","",IFERROR(VALUE(TEXT(B3599,"[$-1170401]yyyy")),""))</f>
        <v/>
      </c>
      <c r="M3599">
        <f>IF(B3599="","",IFERROR(VALUE(TEXT(B3599,"[$-1170401]mm")),""))</f>
        <v/>
      </c>
    </row>
    <row r="3600">
      <c r="B3600" s="30" t="n"/>
      <c r="G3600" s="9">
        <f>IF(AND(E3600&lt;&gt;"",E3600&lt;&gt;0,H3600&lt;&gt;""),H3600/E3600,"")</f>
        <v/>
      </c>
      <c r="L3600">
        <f>IF(B3600="","",IFERROR(VALUE(TEXT(B3600,"[$-1170401]yyyy")),""))</f>
        <v/>
      </c>
      <c r="M3600">
        <f>IF(B3600="","",IFERROR(VALUE(TEXT(B3600,"[$-1170401]mm")),""))</f>
        <v/>
      </c>
    </row>
    <row r="3601">
      <c r="B3601" s="30" t="n"/>
      <c r="G3601" s="9">
        <f>IF(AND(E3601&lt;&gt;"",E3601&lt;&gt;0,H3601&lt;&gt;""),H3601/E3601,"")</f>
        <v/>
      </c>
      <c r="L3601">
        <f>IF(B3601="","",IFERROR(VALUE(TEXT(B3601,"[$-1170401]yyyy")),""))</f>
        <v/>
      </c>
      <c r="M3601">
        <f>IF(B3601="","",IFERROR(VALUE(TEXT(B3601,"[$-1170401]mm")),""))</f>
        <v/>
      </c>
    </row>
    <row r="3602">
      <c r="B3602" s="30" t="n"/>
      <c r="G3602" s="9">
        <f>IF(AND(E3602&lt;&gt;"",E3602&lt;&gt;0,H3602&lt;&gt;""),H3602/E3602,"")</f>
        <v/>
      </c>
      <c r="L3602">
        <f>IF(B3602="","",IFERROR(VALUE(TEXT(B3602,"[$-1170401]yyyy")),""))</f>
        <v/>
      </c>
      <c r="M3602">
        <f>IF(B3602="","",IFERROR(VALUE(TEXT(B3602,"[$-1170401]mm")),""))</f>
        <v/>
      </c>
    </row>
    <row r="3603">
      <c r="B3603" s="30" t="n"/>
      <c r="G3603" s="9">
        <f>IF(AND(E3603&lt;&gt;"",E3603&lt;&gt;0,H3603&lt;&gt;""),H3603/E3603,"")</f>
        <v/>
      </c>
      <c r="L3603">
        <f>IF(B3603="","",IFERROR(VALUE(TEXT(B3603,"[$-1170401]yyyy")),""))</f>
        <v/>
      </c>
      <c r="M3603">
        <f>IF(B3603="","",IFERROR(VALUE(TEXT(B3603,"[$-1170401]mm")),""))</f>
        <v/>
      </c>
    </row>
    <row r="3604">
      <c r="B3604" s="30" t="n"/>
      <c r="G3604" s="9">
        <f>IF(AND(E3604&lt;&gt;"",E3604&lt;&gt;0,H3604&lt;&gt;""),H3604/E3604,"")</f>
        <v/>
      </c>
      <c r="L3604">
        <f>IF(B3604="","",IFERROR(VALUE(TEXT(B3604,"[$-1170401]yyyy")),""))</f>
        <v/>
      </c>
      <c r="M3604">
        <f>IF(B3604="","",IFERROR(VALUE(TEXT(B3604,"[$-1170401]mm")),""))</f>
        <v/>
      </c>
    </row>
    <row r="3605">
      <c r="B3605" s="30" t="n"/>
      <c r="G3605" s="9">
        <f>IF(AND(E3605&lt;&gt;"",E3605&lt;&gt;0,H3605&lt;&gt;""),H3605/E3605,"")</f>
        <v/>
      </c>
      <c r="L3605">
        <f>IF(B3605="","",IFERROR(VALUE(TEXT(B3605,"[$-1170401]yyyy")),""))</f>
        <v/>
      </c>
      <c r="M3605">
        <f>IF(B3605="","",IFERROR(VALUE(TEXT(B3605,"[$-1170401]mm")),""))</f>
        <v/>
      </c>
    </row>
    <row r="3606">
      <c r="B3606" s="30" t="n"/>
      <c r="G3606" s="9">
        <f>IF(AND(E3606&lt;&gt;"",E3606&lt;&gt;0,H3606&lt;&gt;""),H3606/E3606,"")</f>
        <v/>
      </c>
      <c r="L3606">
        <f>IF(B3606="","",IFERROR(VALUE(TEXT(B3606,"[$-1170401]yyyy")),""))</f>
        <v/>
      </c>
      <c r="M3606">
        <f>IF(B3606="","",IFERROR(VALUE(TEXT(B3606,"[$-1170401]mm")),""))</f>
        <v/>
      </c>
    </row>
    <row r="3607">
      <c r="B3607" s="30" t="n"/>
      <c r="G3607" s="9">
        <f>IF(AND(E3607&lt;&gt;"",E3607&lt;&gt;0,H3607&lt;&gt;""),H3607/E3607,"")</f>
        <v/>
      </c>
      <c r="L3607">
        <f>IF(B3607="","",IFERROR(VALUE(TEXT(B3607,"[$-1170401]yyyy")),""))</f>
        <v/>
      </c>
      <c r="M3607">
        <f>IF(B3607="","",IFERROR(VALUE(TEXT(B3607,"[$-1170401]mm")),""))</f>
        <v/>
      </c>
    </row>
    <row r="3608">
      <c r="B3608" s="30" t="n"/>
      <c r="G3608" s="9">
        <f>IF(AND(E3608&lt;&gt;"",E3608&lt;&gt;0,H3608&lt;&gt;""),H3608/E3608,"")</f>
        <v/>
      </c>
      <c r="L3608">
        <f>IF(B3608="","",IFERROR(VALUE(TEXT(B3608,"[$-1170401]yyyy")),""))</f>
        <v/>
      </c>
      <c r="M3608">
        <f>IF(B3608="","",IFERROR(VALUE(TEXT(B3608,"[$-1170401]mm")),""))</f>
        <v/>
      </c>
    </row>
    <row r="3609">
      <c r="B3609" s="30" t="n"/>
      <c r="G3609" s="9">
        <f>IF(AND(E3609&lt;&gt;"",E3609&lt;&gt;0,H3609&lt;&gt;""),H3609/E3609,"")</f>
        <v/>
      </c>
      <c r="L3609">
        <f>IF(B3609="","",IFERROR(VALUE(TEXT(B3609,"[$-1170401]yyyy")),""))</f>
        <v/>
      </c>
      <c r="M3609">
        <f>IF(B3609="","",IFERROR(VALUE(TEXT(B3609,"[$-1170401]mm")),""))</f>
        <v/>
      </c>
    </row>
    <row r="3610">
      <c r="B3610" s="30" t="n"/>
      <c r="G3610" s="9">
        <f>IF(AND(E3610&lt;&gt;"",E3610&lt;&gt;0,H3610&lt;&gt;""),H3610/E3610,"")</f>
        <v/>
      </c>
      <c r="L3610">
        <f>IF(B3610="","",IFERROR(VALUE(TEXT(B3610,"[$-1170401]yyyy")),""))</f>
        <v/>
      </c>
      <c r="M3610">
        <f>IF(B3610="","",IFERROR(VALUE(TEXT(B3610,"[$-1170401]mm")),""))</f>
        <v/>
      </c>
    </row>
    <row r="3611">
      <c r="B3611" s="30" t="n"/>
      <c r="G3611" s="9">
        <f>IF(AND(E3611&lt;&gt;"",E3611&lt;&gt;0,H3611&lt;&gt;""),H3611/E3611,"")</f>
        <v/>
      </c>
      <c r="L3611">
        <f>IF(B3611="","",IFERROR(VALUE(TEXT(B3611,"[$-1170401]yyyy")),""))</f>
        <v/>
      </c>
      <c r="M3611">
        <f>IF(B3611="","",IFERROR(VALUE(TEXT(B3611,"[$-1170401]mm")),""))</f>
        <v/>
      </c>
    </row>
    <row r="3612">
      <c r="B3612" s="30" t="n"/>
      <c r="G3612" s="9">
        <f>IF(AND(E3612&lt;&gt;"",E3612&lt;&gt;0,H3612&lt;&gt;""),H3612/E3612,"")</f>
        <v/>
      </c>
      <c r="L3612">
        <f>IF(B3612="","",IFERROR(VALUE(TEXT(B3612,"[$-1170401]yyyy")),""))</f>
        <v/>
      </c>
      <c r="M3612">
        <f>IF(B3612="","",IFERROR(VALUE(TEXT(B3612,"[$-1170401]mm")),""))</f>
        <v/>
      </c>
    </row>
    <row r="3613">
      <c r="B3613" s="30" t="n"/>
      <c r="G3613" s="9">
        <f>IF(AND(E3613&lt;&gt;"",E3613&lt;&gt;0,H3613&lt;&gt;""),H3613/E3613,"")</f>
        <v/>
      </c>
      <c r="L3613">
        <f>IF(B3613="","",IFERROR(VALUE(TEXT(B3613,"[$-1170401]yyyy")),""))</f>
        <v/>
      </c>
      <c r="M3613">
        <f>IF(B3613="","",IFERROR(VALUE(TEXT(B3613,"[$-1170401]mm")),""))</f>
        <v/>
      </c>
    </row>
    <row r="3614">
      <c r="B3614" s="30" t="n"/>
      <c r="G3614" s="9">
        <f>IF(AND(E3614&lt;&gt;"",E3614&lt;&gt;0,H3614&lt;&gt;""),H3614/E3614,"")</f>
        <v/>
      </c>
      <c r="L3614">
        <f>IF(B3614="","",IFERROR(VALUE(TEXT(B3614,"[$-1170401]yyyy")),""))</f>
        <v/>
      </c>
      <c r="M3614">
        <f>IF(B3614="","",IFERROR(VALUE(TEXT(B3614,"[$-1170401]mm")),""))</f>
        <v/>
      </c>
    </row>
    <row r="3615">
      <c r="B3615" s="30" t="n"/>
      <c r="G3615" s="9">
        <f>IF(AND(E3615&lt;&gt;"",E3615&lt;&gt;0,H3615&lt;&gt;""),H3615/E3615,"")</f>
        <v/>
      </c>
      <c r="L3615">
        <f>IF(B3615="","",IFERROR(VALUE(TEXT(B3615,"[$-1170401]yyyy")),""))</f>
        <v/>
      </c>
      <c r="M3615">
        <f>IF(B3615="","",IFERROR(VALUE(TEXT(B3615,"[$-1170401]mm")),""))</f>
        <v/>
      </c>
    </row>
    <row r="3616">
      <c r="B3616" s="30" t="n"/>
      <c r="G3616" s="9">
        <f>IF(AND(E3616&lt;&gt;"",E3616&lt;&gt;0,H3616&lt;&gt;""),H3616/E3616,"")</f>
        <v/>
      </c>
      <c r="L3616">
        <f>IF(B3616="","",IFERROR(VALUE(TEXT(B3616,"[$-1170401]yyyy")),""))</f>
        <v/>
      </c>
      <c r="M3616">
        <f>IF(B3616="","",IFERROR(VALUE(TEXT(B3616,"[$-1170401]mm")),""))</f>
        <v/>
      </c>
    </row>
    <row r="3617">
      <c r="B3617" s="30" t="n"/>
      <c r="G3617" s="9">
        <f>IF(AND(E3617&lt;&gt;"",E3617&lt;&gt;0,H3617&lt;&gt;""),H3617/E3617,"")</f>
        <v/>
      </c>
      <c r="L3617">
        <f>IF(B3617="","",IFERROR(VALUE(TEXT(B3617,"[$-1170401]yyyy")),""))</f>
        <v/>
      </c>
      <c r="M3617">
        <f>IF(B3617="","",IFERROR(VALUE(TEXT(B3617,"[$-1170401]mm")),""))</f>
        <v/>
      </c>
    </row>
    <row r="3618">
      <c r="B3618" s="30" t="n"/>
      <c r="G3618" s="9">
        <f>IF(AND(E3618&lt;&gt;"",E3618&lt;&gt;0,H3618&lt;&gt;""),H3618/E3618,"")</f>
        <v/>
      </c>
      <c r="L3618">
        <f>IF(B3618="","",IFERROR(VALUE(TEXT(B3618,"[$-1170401]yyyy")),""))</f>
        <v/>
      </c>
      <c r="M3618">
        <f>IF(B3618="","",IFERROR(VALUE(TEXT(B3618,"[$-1170401]mm")),""))</f>
        <v/>
      </c>
    </row>
    <row r="3619">
      <c r="B3619" s="30" t="n"/>
      <c r="G3619" s="9">
        <f>IF(AND(E3619&lt;&gt;"",E3619&lt;&gt;0,H3619&lt;&gt;""),H3619/E3619,"")</f>
        <v/>
      </c>
      <c r="L3619">
        <f>IF(B3619="","",IFERROR(VALUE(TEXT(B3619,"[$-1170401]yyyy")),""))</f>
        <v/>
      </c>
      <c r="M3619">
        <f>IF(B3619="","",IFERROR(VALUE(TEXT(B3619,"[$-1170401]mm")),""))</f>
        <v/>
      </c>
    </row>
    <row r="3620">
      <c r="B3620" s="30" t="n"/>
      <c r="G3620" s="9">
        <f>IF(AND(E3620&lt;&gt;"",E3620&lt;&gt;0,H3620&lt;&gt;""),H3620/E3620,"")</f>
        <v/>
      </c>
      <c r="L3620">
        <f>IF(B3620="","",IFERROR(VALUE(TEXT(B3620,"[$-1170401]yyyy")),""))</f>
        <v/>
      </c>
      <c r="M3620">
        <f>IF(B3620="","",IFERROR(VALUE(TEXT(B3620,"[$-1170401]mm")),""))</f>
        <v/>
      </c>
    </row>
    <row r="3621">
      <c r="B3621" s="30" t="n"/>
      <c r="G3621" s="9">
        <f>IF(AND(E3621&lt;&gt;"",E3621&lt;&gt;0,H3621&lt;&gt;""),H3621/E3621,"")</f>
        <v/>
      </c>
      <c r="L3621">
        <f>IF(B3621="","",IFERROR(VALUE(TEXT(B3621,"[$-1170401]yyyy")),""))</f>
        <v/>
      </c>
      <c r="M3621">
        <f>IF(B3621="","",IFERROR(VALUE(TEXT(B3621,"[$-1170401]mm")),""))</f>
        <v/>
      </c>
    </row>
    <row r="3622">
      <c r="B3622" s="30" t="n"/>
      <c r="G3622" s="9">
        <f>IF(AND(E3622&lt;&gt;"",E3622&lt;&gt;0,H3622&lt;&gt;""),H3622/E3622,"")</f>
        <v/>
      </c>
      <c r="L3622">
        <f>IF(B3622="","",IFERROR(VALUE(TEXT(B3622,"[$-1170401]yyyy")),""))</f>
        <v/>
      </c>
      <c r="M3622">
        <f>IF(B3622="","",IFERROR(VALUE(TEXT(B3622,"[$-1170401]mm")),""))</f>
        <v/>
      </c>
    </row>
    <row r="3623">
      <c r="B3623" s="30" t="n"/>
      <c r="G3623" s="9">
        <f>IF(AND(E3623&lt;&gt;"",E3623&lt;&gt;0,H3623&lt;&gt;""),H3623/E3623,"")</f>
        <v/>
      </c>
      <c r="L3623">
        <f>IF(B3623="","",IFERROR(VALUE(TEXT(B3623,"[$-1170401]yyyy")),""))</f>
        <v/>
      </c>
      <c r="M3623">
        <f>IF(B3623="","",IFERROR(VALUE(TEXT(B3623,"[$-1170401]mm")),""))</f>
        <v/>
      </c>
    </row>
    <row r="3624">
      <c r="B3624" s="30" t="n"/>
      <c r="G3624" s="9">
        <f>IF(AND(E3624&lt;&gt;"",E3624&lt;&gt;0,H3624&lt;&gt;""),H3624/E3624,"")</f>
        <v/>
      </c>
      <c r="L3624">
        <f>IF(B3624="","",IFERROR(VALUE(TEXT(B3624,"[$-1170401]yyyy")),""))</f>
        <v/>
      </c>
      <c r="M3624">
        <f>IF(B3624="","",IFERROR(VALUE(TEXT(B3624,"[$-1170401]mm")),""))</f>
        <v/>
      </c>
    </row>
    <row r="3625">
      <c r="B3625" s="30" t="n"/>
      <c r="G3625" s="9">
        <f>IF(AND(E3625&lt;&gt;"",E3625&lt;&gt;0,H3625&lt;&gt;""),H3625/E3625,"")</f>
        <v/>
      </c>
      <c r="L3625">
        <f>IF(B3625="","",IFERROR(VALUE(TEXT(B3625,"[$-1170401]yyyy")),""))</f>
        <v/>
      </c>
      <c r="M3625">
        <f>IF(B3625="","",IFERROR(VALUE(TEXT(B3625,"[$-1170401]mm")),""))</f>
        <v/>
      </c>
    </row>
    <row r="3626">
      <c r="B3626" s="30" t="n"/>
      <c r="G3626" s="9">
        <f>IF(AND(E3626&lt;&gt;"",E3626&lt;&gt;0,H3626&lt;&gt;""),H3626/E3626,"")</f>
        <v/>
      </c>
      <c r="L3626">
        <f>IF(B3626="","",IFERROR(VALUE(TEXT(B3626,"[$-1170401]yyyy")),""))</f>
        <v/>
      </c>
      <c r="M3626">
        <f>IF(B3626="","",IFERROR(VALUE(TEXT(B3626,"[$-1170401]mm")),""))</f>
        <v/>
      </c>
    </row>
    <row r="3627">
      <c r="B3627" s="30" t="n"/>
      <c r="G3627" s="9">
        <f>IF(AND(E3627&lt;&gt;"",E3627&lt;&gt;0,H3627&lt;&gt;""),H3627/E3627,"")</f>
        <v/>
      </c>
      <c r="L3627">
        <f>IF(B3627="","",IFERROR(VALUE(TEXT(B3627,"[$-1170401]yyyy")),""))</f>
        <v/>
      </c>
      <c r="M3627">
        <f>IF(B3627="","",IFERROR(VALUE(TEXT(B3627,"[$-1170401]mm")),""))</f>
        <v/>
      </c>
    </row>
    <row r="3628">
      <c r="B3628" s="30" t="n"/>
      <c r="G3628" s="9">
        <f>IF(AND(E3628&lt;&gt;"",E3628&lt;&gt;0,H3628&lt;&gt;""),H3628/E3628,"")</f>
        <v/>
      </c>
      <c r="L3628">
        <f>IF(B3628="","",IFERROR(VALUE(TEXT(B3628,"[$-1170401]yyyy")),""))</f>
        <v/>
      </c>
      <c r="M3628">
        <f>IF(B3628="","",IFERROR(VALUE(TEXT(B3628,"[$-1170401]mm")),""))</f>
        <v/>
      </c>
    </row>
    <row r="3629">
      <c r="B3629" s="30" t="n"/>
      <c r="G3629" s="9">
        <f>IF(AND(E3629&lt;&gt;"",E3629&lt;&gt;0,H3629&lt;&gt;""),H3629/E3629,"")</f>
        <v/>
      </c>
      <c r="L3629">
        <f>IF(B3629="","",IFERROR(VALUE(TEXT(B3629,"[$-1170401]yyyy")),""))</f>
        <v/>
      </c>
      <c r="M3629">
        <f>IF(B3629="","",IFERROR(VALUE(TEXT(B3629,"[$-1170401]mm")),""))</f>
        <v/>
      </c>
    </row>
    <row r="3630">
      <c r="B3630" s="30" t="n"/>
      <c r="G3630" s="9">
        <f>IF(AND(E3630&lt;&gt;"",E3630&lt;&gt;0,H3630&lt;&gt;""),H3630/E3630,"")</f>
        <v/>
      </c>
      <c r="L3630">
        <f>IF(B3630="","",IFERROR(VALUE(TEXT(B3630,"[$-1170401]yyyy")),""))</f>
        <v/>
      </c>
      <c r="M3630">
        <f>IF(B3630="","",IFERROR(VALUE(TEXT(B3630,"[$-1170401]mm")),""))</f>
        <v/>
      </c>
    </row>
    <row r="3631">
      <c r="B3631" s="30" t="n"/>
      <c r="G3631" s="9">
        <f>IF(AND(E3631&lt;&gt;"",E3631&lt;&gt;0,H3631&lt;&gt;""),H3631/E3631,"")</f>
        <v/>
      </c>
      <c r="L3631">
        <f>IF(B3631="","",IFERROR(VALUE(TEXT(B3631,"[$-1170401]yyyy")),""))</f>
        <v/>
      </c>
      <c r="M3631">
        <f>IF(B3631="","",IFERROR(VALUE(TEXT(B3631,"[$-1170401]mm")),""))</f>
        <v/>
      </c>
    </row>
    <row r="3632">
      <c r="B3632" s="30" t="n"/>
      <c r="G3632" s="9">
        <f>IF(AND(E3632&lt;&gt;"",E3632&lt;&gt;0,H3632&lt;&gt;""),H3632/E3632,"")</f>
        <v/>
      </c>
      <c r="L3632">
        <f>IF(B3632="","",IFERROR(VALUE(TEXT(B3632,"[$-1170401]yyyy")),""))</f>
        <v/>
      </c>
      <c r="M3632">
        <f>IF(B3632="","",IFERROR(VALUE(TEXT(B3632,"[$-1170401]mm")),""))</f>
        <v/>
      </c>
    </row>
    <row r="3633">
      <c r="B3633" s="30" t="n"/>
      <c r="G3633" s="9">
        <f>IF(AND(E3633&lt;&gt;"",E3633&lt;&gt;0,H3633&lt;&gt;""),H3633/E3633,"")</f>
        <v/>
      </c>
      <c r="L3633">
        <f>IF(B3633="","",IFERROR(VALUE(TEXT(B3633,"[$-1170401]yyyy")),""))</f>
        <v/>
      </c>
      <c r="M3633">
        <f>IF(B3633="","",IFERROR(VALUE(TEXT(B3633,"[$-1170401]mm")),""))</f>
        <v/>
      </c>
    </row>
    <row r="3634">
      <c r="B3634" s="30" t="n"/>
      <c r="G3634" s="9">
        <f>IF(AND(E3634&lt;&gt;"",E3634&lt;&gt;0,H3634&lt;&gt;""),H3634/E3634,"")</f>
        <v/>
      </c>
      <c r="L3634">
        <f>IF(B3634="","",IFERROR(VALUE(TEXT(B3634,"[$-1170401]yyyy")),""))</f>
        <v/>
      </c>
      <c r="M3634">
        <f>IF(B3634="","",IFERROR(VALUE(TEXT(B3634,"[$-1170401]mm")),""))</f>
        <v/>
      </c>
    </row>
    <row r="3635">
      <c r="B3635" s="30" t="n"/>
      <c r="G3635" s="9">
        <f>IF(AND(E3635&lt;&gt;"",E3635&lt;&gt;0,H3635&lt;&gt;""),H3635/E3635,"")</f>
        <v/>
      </c>
      <c r="L3635">
        <f>IF(B3635="","",IFERROR(VALUE(TEXT(B3635,"[$-1170401]yyyy")),""))</f>
        <v/>
      </c>
      <c r="M3635">
        <f>IF(B3635="","",IFERROR(VALUE(TEXT(B3635,"[$-1170401]mm")),""))</f>
        <v/>
      </c>
    </row>
    <row r="3636">
      <c r="B3636" s="30" t="n"/>
      <c r="G3636" s="9">
        <f>IF(AND(E3636&lt;&gt;"",E3636&lt;&gt;0,H3636&lt;&gt;""),H3636/E3636,"")</f>
        <v/>
      </c>
      <c r="L3636">
        <f>IF(B3636="","",IFERROR(VALUE(TEXT(B3636,"[$-1170401]yyyy")),""))</f>
        <v/>
      </c>
      <c r="M3636">
        <f>IF(B3636="","",IFERROR(VALUE(TEXT(B3636,"[$-1170401]mm")),""))</f>
        <v/>
      </c>
    </row>
    <row r="3637">
      <c r="B3637" s="30" t="n"/>
      <c r="G3637" s="9">
        <f>IF(AND(E3637&lt;&gt;"",E3637&lt;&gt;0,H3637&lt;&gt;""),H3637/E3637,"")</f>
        <v/>
      </c>
      <c r="L3637">
        <f>IF(B3637="","",IFERROR(VALUE(TEXT(B3637,"[$-1170401]yyyy")),""))</f>
        <v/>
      </c>
      <c r="M3637">
        <f>IF(B3637="","",IFERROR(VALUE(TEXT(B3637,"[$-1170401]mm")),""))</f>
        <v/>
      </c>
    </row>
    <row r="3638">
      <c r="B3638" s="30" t="n"/>
      <c r="G3638" s="9">
        <f>IF(AND(E3638&lt;&gt;"",E3638&lt;&gt;0,H3638&lt;&gt;""),H3638/E3638,"")</f>
        <v/>
      </c>
      <c r="L3638">
        <f>IF(B3638="","",IFERROR(VALUE(TEXT(B3638,"[$-1170401]yyyy")),""))</f>
        <v/>
      </c>
      <c r="M3638">
        <f>IF(B3638="","",IFERROR(VALUE(TEXT(B3638,"[$-1170401]mm")),""))</f>
        <v/>
      </c>
    </row>
    <row r="3639">
      <c r="B3639" s="30" t="n"/>
      <c r="G3639" s="9">
        <f>IF(AND(E3639&lt;&gt;"",E3639&lt;&gt;0,H3639&lt;&gt;""),H3639/E3639,"")</f>
        <v/>
      </c>
      <c r="L3639">
        <f>IF(B3639="","",IFERROR(VALUE(TEXT(B3639,"[$-1170401]yyyy")),""))</f>
        <v/>
      </c>
      <c r="M3639">
        <f>IF(B3639="","",IFERROR(VALUE(TEXT(B3639,"[$-1170401]mm")),""))</f>
        <v/>
      </c>
    </row>
    <row r="3640">
      <c r="B3640" s="30" t="n"/>
      <c r="G3640" s="9">
        <f>IF(AND(E3640&lt;&gt;"",E3640&lt;&gt;0,H3640&lt;&gt;""),H3640/E3640,"")</f>
        <v/>
      </c>
      <c r="L3640">
        <f>IF(B3640="","",IFERROR(VALUE(TEXT(B3640,"[$-1170401]yyyy")),""))</f>
        <v/>
      </c>
      <c r="M3640">
        <f>IF(B3640="","",IFERROR(VALUE(TEXT(B3640,"[$-1170401]mm")),""))</f>
        <v/>
      </c>
    </row>
    <row r="3641">
      <c r="B3641" s="30" t="n"/>
      <c r="G3641" s="9">
        <f>IF(AND(E3641&lt;&gt;"",E3641&lt;&gt;0,H3641&lt;&gt;""),H3641/E3641,"")</f>
        <v/>
      </c>
      <c r="L3641">
        <f>IF(B3641="","",IFERROR(VALUE(TEXT(B3641,"[$-1170401]yyyy")),""))</f>
        <v/>
      </c>
      <c r="M3641">
        <f>IF(B3641="","",IFERROR(VALUE(TEXT(B3641,"[$-1170401]mm")),""))</f>
        <v/>
      </c>
    </row>
    <row r="3642">
      <c r="B3642" s="30" t="n"/>
      <c r="G3642" s="9">
        <f>IF(AND(E3642&lt;&gt;"",E3642&lt;&gt;0,H3642&lt;&gt;""),H3642/E3642,"")</f>
        <v/>
      </c>
      <c r="L3642">
        <f>IF(B3642="","",IFERROR(VALUE(TEXT(B3642,"[$-1170401]yyyy")),""))</f>
        <v/>
      </c>
      <c r="M3642">
        <f>IF(B3642="","",IFERROR(VALUE(TEXT(B3642,"[$-1170401]mm")),""))</f>
        <v/>
      </c>
    </row>
    <row r="3643">
      <c r="B3643" s="30" t="n"/>
      <c r="G3643" s="9">
        <f>IF(AND(E3643&lt;&gt;"",E3643&lt;&gt;0,H3643&lt;&gt;""),H3643/E3643,"")</f>
        <v/>
      </c>
      <c r="L3643">
        <f>IF(B3643="","",IFERROR(VALUE(TEXT(B3643,"[$-1170401]yyyy")),""))</f>
        <v/>
      </c>
      <c r="M3643">
        <f>IF(B3643="","",IFERROR(VALUE(TEXT(B3643,"[$-1170401]mm")),""))</f>
        <v/>
      </c>
    </row>
    <row r="3644">
      <c r="B3644" s="30" t="n"/>
      <c r="G3644" s="9">
        <f>IF(AND(E3644&lt;&gt;"",E3644&lt;&gt;0,H3644&lt;&gt;""),H3644/E3644,"")</f>
        <v/>
      </c>
      <c r="L3644">
        <f>IF(B3644="","",IFERROR(VALUE(TEXT(B3644,"[$-1170401]yyyy")),""))</f>
        <v/>
      </c>
      <c r="M3644">
        <f>IF(B3644="","",IFERROR(VALUE(TEXT(B3644,"[$-1170401]mm")),""))</f>
        <v/>
      </c>
    </row>
    <row r="3645">
      <c r="B3645" s="30" t="n"/>
      <c r="G3645" s="9">
        <f>IF(AND(E3645&lt;&gt;"",E3645&lt;&gt;0,H3645&lt;&gt;""),H3645/E3645,"")</f>
        <v/>
      </c>
      <c r="L3645">
        <f>IF(B3645="","",IFERROR(VALUE(TEXT(B3645,"[$-1170401]yyyy")),""))</f>
        <v/>
      </c>
      <c r="M3645">
        <f>IF(B3645="","",IFERROR(VALUE(TEXT(B3645,"[$-1170401]mm")),""))</f>
        <v/>
      </c>
    </row>
    <row r="3646">
      <c r="B3646" s="30" t="n"/>
      <c r="G3646" s="9">
        <f>IF(AND(E3646&lt;&gt;"",E3646&lt;&gt;0,H3646&lt;&gt;""),H3646/E3646,"")</f>
        <v/>
      </c>
      <c r="L3646">
        <f>IF(B3646="","",IFERROR(VALUE(TEXT(B3646,"[$-1170401]yyyy")),""))</f>
        <v/>
      </c>
      <c r="M3646">
        <f>IF(B3646="","",IFERROR(VALUE(TEXT(B3646,"[$-1170401]mm")),""))</f>
        <v/>
      </c>
    </row>
    <row r="3647">
      <c r="B3647" s="30" t="n"/>
      <c r="G3647" s="9">
        <f>IF(AND(E3647&lt;&gt;"",E3647&lt;&gt;0,H3647&lt;&gt;""),H3647/E3647,"")</f>
        <v/>
      </c>
      <c r="L3647">
        <f>IF(B3647="","",IFERROR(VALUE(TEXT(B3647,"[$-1170401]yyyy")),""))</f>
        <v/>
      </c>
      <c r="M3647">
        <f>IF(B3647="","",IFERROR(VALUE(TEXT(B3647,"[$-1170401]mm")),""))</f>
        <v/>
      </c>
    </row>
    <row r="3648">
      <c r="B3648" s="30" t="n"/>
      <c r="G3648" s="9">
        <f>IF(AND(E3648&lt;&gt;"",E3648&lt;&gt;0,H3648&lt;&gt;""),H3648/E3648,"")</f>
        <v/>
      </c>
      <c r="L3648">
        <f>IF(B3648="","",IFERROR(VALUE(TEXT(B3648,"[$-1170401]yyyy")),""))</f>
        <v/>
      </c>
      <c r="M3648">
        <f>IF(B3648="","",IFERROR(VALUE(TEXT(B3648,"[$-1170401]mm")),""))</f>
        <v/>
      </c>
    </row>
    <row r="3649">
      <c r="B3649" s="30" t="n"/>
      <c r="G3649" s="9">
        <f>IF(AND(E3649&lt;&gt;"",E3649&lt;&gt;0,H3649&lt;&gt;""),H3649/E3649,"")</f>
        <v/>
      </c>
      <c r="L3649">
        <f>IF(B3649="","",IFERROR(VALUE(TEXT(B3649,"[$-1170401]yyyy")),""))</f>
        <v/>
      </c>
      <c r="M3649">
        <f>IF(B3649="","",IFERROR(VALUE(TEXT(B3649,"[$-1170401]mm")),""))</f>
        <v/>
      </c>
    </row>
    <row r="3650">
      <c r="B3650" s="30" t="n"/>
      <c r="G3650" s="9">
        <f>IF(AND(E3650&lt;&gt;"",E3650&lt;&gt;0,H3650&lt;&gt;""),H3650/E3650,"")</f>
        <v/>
      </c>
      <c r="L3650">
        <f>IF(B3650="","",IFERROR(VALUE(TEXT(B3650,"[$-1170401]yyyy")),""))</f>
        <v/>
      </c>
      <c r="M3650">
        <f>IF(B3650="","",IFERROR(VALUE(TEXT(B3650,"[$-1170401]mm")),""))</f>
        <v/>
      </c>
    </row>
    <row r="3651">
      <c r="B3651" s="30" t="n"/>
      <c r="G3651" s="9">
        <f>IF(AND(E3651&lt;&gt;"",E3651&lt;&gt;0,H3651&lt;&gt;""),H3651/E3651,"")</f>
        <v/>
      </c>
      <c r="L3651">
        <f>IF(B3651="","",IFERROR(VALUE(TEXT(B3651,"[$-1170401]yyyy")),""))</f>
        <v/>
      </c>
      <c r="M3651">
        <f>IF(B3651="","",IFERROR(VALUE(TEXT(B3651,"[$-1170401]mm")),""))</f>
        <v/>
      </c>
    </row>
    <row r="3652">
      <c r="B3652" s="30" t="n"/>
      <c r="G3652" s="9">
        <f>IF(AND(E3652&lt;&gt;"",E3652&lt;&gt;0,H3652&lt;&gt;""),H3652/E3652,"")</f>
        <v/>
      </c>
      <c r="L3652">
        <f>IF(B3652="","",IFERROR(VALUE(TEXT(B3652,"[$-1170401]yyyy")),""))</f>
        <v/>
      </c>
      <c r="M3652">
        <f>IF(B3652="","",IFERROR(VALUE(TEXT(B3652,"[$-1170401]mm")),""))</f>
        <v/>
      </c>
    </row>
    <row r="3653">
      <c r="B3653" s="30" t="n"/>
      <c r="G3653" s="9">
        <f>IF(AND(E3653&lt;&gt;"",E3653&lt;&gt;0,H3653&lt;&gt;""),H3653/E3653,"")</f>
        <v/>
      </c>
      <c r="L3653">
        <f>IF(B3653="","",IFERROR(VALUE(TEXT(B3653,"[$-1170401]yyyy")),""))</f>
        <v/>
      </c>
      <c r="M3653">
        <f>IF(B3653="","",IFERROR(VALUE(TEXT(B3653,"[$-1170401]mm")),""))</f>
        <v/>
      </c>
    </row>
    <row r="3654">
      <c r="B3654" s="30" t="n"/>
      <c r="G3654" s="9">
        <f>IF(AND(E3654&lt;&gt;"",E3654&lt;&gt;0,H3654&lt;&gt;""),H3654/E3654,"")</f>
        <v/>
      </c>
      <c r="L3654">
        <f>IF(B3654="","",IFERROR(VALUE(TEXT(B3654,"[$-1170401]yyyy")),""))</f>
        <v/>
      </c>
      <c r="M3654">
        <f>IF(B3654="","",IFERROR(VALUE(TEXT(B3654,"[$-1170401]mm")),""))</f>
        <v/>
      </c>
    </row>
    <row r="3655">
      <c r="B3655" s="30" t="n"/>
      <c r="G3655" s="9">
        <f>IF(AND(E3655&lt;&gt;"",E3655&lt;&gt;0,H3655&lt;&gt;""),H3655/E3655,"")</f>
        <v/>
      </c>
      <c r="L3655">
        <f>IF(B3655="","",IFERROR(VALUE(TEXT(B3655,"[$-1170401]yyyy")),""))</f>
        <v/>
      </c>
      <c r="M3655">
        <f>IF(B3655="","",IFERROR(VALUE(TEXT(B3655,"[$-1170401]mm")),""))</f>
        <v/>
      </c>
    </row>
    <row r="3656">
      <c r="B3656" s="30" t="n"/>
      <c r="G3656" s="9">
        <f>IF(AND(E3656&lt;&gt;"",E3656&lt;&gt;0,H3656&lt;&gt;""),H3656/E3656,"")</f>
        <v/>
      </c>
      <c r="L3656">
        <f>IF(B3656="","",IFERROR(VALUE(TEXT(B3656,"[$-1170401]yyyy")),""))</f>
        <v/>
      </c>
      <c r="M3656">
        <f>IF(B3656="","",IFERROR(VALUE(TEXT(B3656,"[$-1170401]mm")),""))</f>
        <v/>
      </c>
    </row>
    <row r="3657">
      <c r="B3657" s="30" t="n"/>
      <c r="G3657" s="9">
        <f>IF(AND(E3657&lt;&gt;"",E3657&lt;&gt;0,H3657&lt;&gt;""),H3657/E3657,"")</f>
        <v/>
      </c>
      <c r="L3657">
        <f>IF(B3657="","",IFERROR(VALUE(TEXT(B3657,"[$-1170401]yyyy")),""))</f>
        <v/>
      </c>
      <c r="M3657">
        <f>IF(B3657="","",IFERROR(VALUE(TEXT(B3657,"[$-1170401]mm")),""))</f>
        <v/>
      </c>
    </row>
    <row r="3658">
      <c r="B3658" s="30" t="n"/>
      <c r="G3658" s="9">
        <f>IF(AND(E3658&lt;&gt;"",E3658&lt;&gt;0,H3658&lt;&gt;""),H3658/E3658,"")</f>
        <v/>
      </c>
      <c r="L3658">
        <f>IF(B3658="","",IFERROR(VALUE(TEXT(B3658,"[$-1170401]yyyy")),""))</f>
        <v/>
      </c>
      <c r="M3658">
        <f>IF(B3658="","",IFERROR(VALUE(TEXT(B3658,"[$-1170401]mm")),""))</f>
        <v/>
      </c>
    </row>
    <row r="3659">
      <c r="B3659" s="30" t="n"/>
      <c r="G3659" s="9">
        <f>IF(AND(E3659&lt;&gt;"",E3659&lt;&gt;0,H3659&lt;&gt;""),H3659/E3659,"")</f>
        <v/>
      </c>
      <c r="L3659">
        <f>IF(B3659="","",IFERROR(VALUE(TEXT(B3659,"[$-1170401]yyyy")),""))</f>
        <v/>
      </c>
      <c r="M3659">
        <f>IF(B3659="","",IFERROR(VALUE(TEXT(B3659,"[$-1170401]mm")),""))</f>
        <v/>
      </c>
    </row>
    <row r="3660">
      <c r="B3660" s="30" t="n"/>
      <c r="G3660" s="9">
        <f>IF(AND(E3660&lt;&gt;"",E3660&lt;&gt;0,H3660&lt;&gt;""),H3660/E3660,"")</f>
        <v/>
      </c>
      <c r="L3660">
        <f>IF(B3660="","",IFERROR(VALUE(TEXT(B3660,"[$-1170401]yyyy")),""))</f>
        <v/>
      </c>
      <c r="M3660">
        <f>IF(B3660="","",IFERROR(VALUE(TEXT(B3660,"[$-1170401]mm")),""))</f>
        <v/>
      </c>
    </row>
    <row r="3661">
      <c r="B3661" s="30" t="n"/>
      <c r="G3661" s="9">
        <f>IF(AND(E3661&lt;&gt;"",E3661&lt;&gt;0,H3661&lt;&gt;""),H3661/E3661,"")</f>
        <v/>
      </c>
      <c r="L3661">
        <f>IF(B3661="","",IFERROR(VALUE(TEXT(B3661,"[$-1170401]yyyy")),""))</f>
        <v/>
      </c>
      <c r="M3661">
        <f>IF(B3661="","",IFERROR(VALUE(TEXT(B3661,"[$-1170401]mm")),""))</f>
        <v/>
      </c>
    </row>
    <row r="3662">
      <c r="B3662" s="30" t="n"/>
      <c r="G3662" s="9">
        <f>IF(AND(E3662&lt;&gt;"",E3662&lt;&gt;0,H3662&lt;&gt;""),H3662/E3662,"")</f>
        <v/>
      </c>
      <c r="L3662">
        <f>IF(B3662="","",IFERROR(VALUE(TEXT(B3662,"[$-1170401]yyyy")),""))</f>
        <v/>
      </c>
      <c r="M3662">
        <f>IF(B3662="","",IFERROR(VALUE(TEXT(B3662,"[$-1170401]mm")),""))</f>
        <v/>
      </c>
    </row>
    <row r="3663">
      <c r="B3663" s="30" t="n"/>
      <c r="G3663" s="9">
        <f>IF(AND(E3663&lt;&gt;"",E3663&lt;&gt;0,H3663&lt;&gt;""),H3663/E3663,"")</f>
        <v/>
      </c>
      <c r="L3663">
        <f>IF(B3663="","",IFERROR(VALUE(TEXT(B3663,"[$-1170401]yyyy")),""))</f>
        <v/>
      </c>
      <c r="M3663">
        <f>IF(B3663="","",IFERROR(VALUE(TEXT(B3663,"[$-1170401]mm")),""))</f>
        <v/>
      </c>
    </row>
    <row r="3664">
      <c r="B3664" s="30" t="n"/>
      <c r="G3664" s="9">
        <f>IF(AND(E3664&lt;&gt;"",E3664&lt;&gt;0,H3664&lt;&gt;""),H3664/E3664,"")</f>
        <v/>
      </c>
      <c r="L3664">
        <f>IF(B3664="","",IFERROR(VALUE(TEXT(B3664,"[$-1170401]yyyy")),""))</f>
        <v/>
      </c>
      <c r="M3664">
        <f>IF(B3664="","",IFERROR(VALUE(TEXT(B3664,"[$-1170401]mm")),""))</f>
        <v/>
      </c>
    </row>
    <row r="3665">
      <c r="B3665" s="30" t="n"/>
      <c r="G3665" s="9">
        <f>IF(AND(E3665&lt;&gt;"",E3665&lt;&gt;0,H3665&lt;&gt;""),H3665/E3665,"")</f>
        <v/>
      </c>
      <c r="L3665">
        <f>IF(B3665="","",IFERROR(VALUE(TEXT(B3665,"[$-1170401]yyyy")),""))</f>
        <v/>
      </c>
      <c r="M3665">
        <f>IF(B3665="","",IFERROR(VALUE(TEXT(B3665,"[$-1170401]mm")),""))</f>
        <v/>
      </c>
    </row>
    <row r="3666">
      <c r="B3666" s="30" t="n"/>
      <c r="G3666" s="9">
        <f>IF(AND(E3666&lt;&gt;"",E3666&lt;&gt;0,H3666&lt;&gt;""),H3666/E3666,"")</f>
        <v/>
      </c>
      <c r="L3666">
        <f>IF(B3666="","",IFERROR(VALUE(TEXT(B3666,"[$-1170401]yyyy")),""))</f>
        <v/>
      </c>
      <c r="M3666">
        <f>IF(B3666="","",IFERROR(VALUE(TEXT(B3666,"[$-1170401]mm")),""))</f>
        <v/>
      </c>
    </row>
    <row r="3667">
      <c r="B3667" s="30" t="n"/>
      <c r="G3667" s="9">
        <f>IF(AND(E3667&lt;&gt;"",E3667&lt;&gt;0,H3667&lt;&gt;""),H3667/E3667,"")</f>
        <v/>
      </c>
      <c r="L3667">
        <f>IF(B3667="","",IFERROR(VALUE(TEXT(B3667,"[$-1170401]yyyy")),""))</f>
        <v/>
      </c>
      <c r="M3667">
        <f>IF(B3667="","",IFERROR(VALUE(TEXT(B3667,"[$-1170401]mm")),""))</f>
        <v/>
      </c>
    </row>
    <row r="3668">
      <c r="B3668" s="30" t="n"/>
      <c r="G3668" s="9">
        <f>IF(AND(E3668&lt;&gt;"",E3668&lt;&gt;0,H3668&lt;&gt;""),H3668/E3668,"")</f>
        <v/>
      </c>
      <c r="L3668">
        <f>IF(B3668="","",IFERROR(VALUE(TEXT(B3668,"[$-1170401]yyyy")),""))</f>
        <v/>
      </c>
      <c r="M3668">
        <f>IF(B3668="","",IFERROR(VALUE(TEXT(B3668,"[$-1170401]mm")),""))</f>
        <v/>
      </c>
    </row>
    <row r="3669">
      <c r="B3669" s="30" t="n"/>
      <c r="G3669" s="9">
        <f>IF(AND(E3669&lt;&gt;"",E3669&lt;&gt;0,H3669&lt;&gt;""),H3669/E3669,"")</f>
        <v/>
      </c>
      <c r="L3669">
        <f>IF(B3669="","",IFERROR(VALUE(TEXT(B3669,"[$-1170401]yyyy")),""))</f>
        <v/>
      </c>
      <c r="M3669">
        <f>IF(B3669="","",IFERROR(VALUE(TEXT(B3669,"[$-1170401]mm")),""))</f>
        <v/>
      </c>
    </row>
    <row r="3670">
      <c r="B3670" s="30" t="n"/>
      <c r="G3670" s="9">
        <f>IF(AND(E3670&lt;&gt;"",E3670&lt;&gt;0,H3670&lt;&gt;""),H3670/E3670,"")</f>
        <v/>
      </c>
      <c r="L3670">
        <f>IF(B3670="","",IFERROR(VALUE(TEXT(B3670,"[$-1170401]yyyy")),""))</f>
        <v/>
      </c>
      <c r="M3670">
        <f>IF(B3670="","",IFERROR(VALUE(TEXT(B3670,"[$-1170401]mm")),""))</f>
        <v/>
      </c>
    </row>
    <row r="3671">
      <c r="B3671" s="30" t="n"/>
      <c r="G3671" s="9">
        <f>IF(AND(E3671&lt;&gt;"",E3671&lt;&gt;0,H3671&lt;&gt;""),H3671/E3671,"")</f>
        <v/>
      </c>
      <c r="L3671">
        <f>IF(B3671="","",IFERROR(VALUE(TEXT(B3671,"[$-1170401]yyyy")),""))</f>
        <v/>
      </c>
      <c r="M3671">
        <f>IF(B3671="","",IFERROR(VALUE(TEXT(B3671,"[$-1170401]mm")),""))</f>
        <v/>
      </c>
    </row>
    <row r="3672">
      <c r="B3672" s="30" t="n"/>
      <c r="G3672" s="9">
        <f>IF(AND(E3672&lt;&gt;"",E3672&lt;&gt;0,H3672&lt;&gt;""),H3672/E3672,"")</f>
        <v/>
      </c>
      <c r="L3672">
        <f>IF(B3672="","",IFERROR(VALUE(TEXT(B3672,"[$-1170401]yyyy")),""))</f>
        <v/>
      </c>
      <c r="M3672">
        <f>IF(B3672="","",IFERROR(VALUE(TEXT(B3672,"[$-1170401]mm")),""))</f>
        <v/>
      </c>
    </row>
    <row r="3673">
      <c r="B3673" s="30" t="n"/>
      <c r="G3673" s="9">
        <f>IF(AND(E3673&lt;&gt;"",E3673&lt;&gt;0,H3673&lt;&gt;""),H3673/E3673,"")</f>
        <v/>
      </c>
      <c r="L3673">
        <f>IF(B3673="","",IFERROR(VALUE(TEXT(B3673,"[$-1170401]yyyy")),""))</f>
        <v/>
      </c>
      <c r="M3673">
        <f>IF(B3673="","",IFERROR(VALUE(TEXT(B3673,"[$-1170401]mm")),""))</f>
        <v/>
      </c>
    </row>
    <row r="3674">
      <c r="B3674" s="30" t="n"/>
      <c r="G3674" s="9">
        <f>IF(AND(E3674&lt;&gt;"",E3674&lt;&gt;0,H3674&lt;&gt;""),H3674/E3674,"")</f>
        <v/>
      </c>
      <c r="L3674">
        <f>IF(B3674="","",IFERROR(VALUE(TEXT(B3674,"[$-1170401]yyyy")),""))</f>
        <v/>
      </c>
      <c r="M3674">
        <f>IF(B3674="","",IFERROR(VALUE(TEXT(B3674,"[$-1170401]mm")),""))</f>
        <v/>
      </c>
    </row>
    <row r="3675">
      <c r="B3675" s="30" t="n"/>
      <c r="G3675" s="9">
        <f>IF(AND(E3675&lt;&gt;"",E3675&lt;&gt;0,H3675&lt;&gt;""),H3675/E3675,"")</f>
        <v/>
      </c>
      <c r="L3675">
        <f>IF(B3675="","",IFERROR(VALUE(TEXT(B3675,"[$-1170401]yyyy")),""))</f>
        <v/>
      </c>
      <c r="M3675">
        <f>IF(B3675="","",IFERROR(VALUE(TEXT(B3675,"[$-1170401]mm")),""))</f>
        <v/>
      </c>
    </row>
    <row r="3676">
      <c r="B3676" s="30" t="n"/>
      <c r="G3676" s="9">
        <f>IF(AND(E3676&lt;&gt;"",E3676&lt;&gt;0,H3676&lt;&gt;""),H3676/E3676,"")</f>
        <v/>
      </c>
      <c r="L3676">
        <f>IF(B3676="","",IFERROR(VALUE(TEXT(B3676,"[$-1170401]yyyy")),""))</f>
        <v/>
      </c>
      <c r="M3676">
        <f>IF(B3676="","",IFERROR(VALUE(TEXT(B3676,"[$-1170401]mm")),""))</f>
        <v/>
      </c>
    </row>
    <row r="3677">
      <c r="B3677" s="30" t="n"/>
      <c r="G3677" s="9">
        <f>IF(AND(E3677&lt;&gt;"",E3677&lt;&gt;0,H3677&lt;&gt;""),H3677/E3677,"")</f>
        <v/>
      </c>
      <c r="L3677">
        <f>IF(B3677="","",IFERROR(VALUE(TEXT(B3677,"[$-1170401]yyyy")),""))</f>
        <v/>
      </c>
      <c r="M3677">
        <f>IF(B3677="","",IFERROR(VALUE(TEXT(B3677,"[$-1170401]mm")),""))</f>
        <v/>
      </c>
    </row>
    <row r="3678">
      <c r="B3678" s="30" t="n"/>
      <c r="G3678" s="9">
        <f>IF(AND(E3678&lt;&gt;"",E3678&lt;&gt;0,H3678&lt;&gt;""),H3678/E3678,"")</f>
        <v/>
      </c>
      <c r="L3678">
        <f>IF(B3678="","",IFERROR(VALUE(TEXT(B3678,"[$-1170401]yyyy")),""))</f>
        <v/>
      </c>
      <c r="M3678">
        <f>IF(B3678="","",IFERROR(VALUE(TEXT(B3678,"[$-1170401]mm")),""))</f>
        <v/>
      </c>
    </row>
    <row r="3679">
      <c r="B3679" s="30" t="n"/>
      <c r="G3679" s="9">
        <f>IF(AND(E3679&lt;&gt;"",E3679&lt;&gt;0,H3679&lt;&gt;""),H3679/E3679,"")</f>
        <v/>
      </c>
      <c r="L3679">
        <f>IF(B3679="","",IFERROR(VALUE(TEXT(B3679,"[$-1170401]yyyy")),""))</f>
        <v/>
      </c>
      <c r="M3679">
        <f>IF(B3679="","",IFERROR(VALUE(TEXT(B3679,"[$-1170401]mm")),""))</f>
        <v/>
      </c>
    </row>
    <row r="3680">
      <c r="B3680" s="30" t="n"/>
      <c r="G3680" s="9">
        <f>IF(AND(E3680&lt;&gt;"",E3680&lt;&gt;0,H3680&lt;&gt;""),H3680/E3680,"")</f>
        <v/>
      </c>
      <c r="L3680">
        <f>IF(B3680="","",IFERROR(VALUE(TEXT(B3680,"[$-1170401]yyyy")),""))</f>
        <v/>
      </c>
      <c r="M3680">
        <f>IF(B3680="","",IFERROR(VALUE(TEXT(B3680,"[$-1170401]mm")),""))</f>
        <v/>
      </c>
    </row>
    <row r="3681">
      <c r="B3681" s="30" t="n"/>
      <c r="G3681" s="9">
        <f>IF(AND(E3681&lt;&gt;"",E3681&lt;&gt;0,H3681&lt;&gt;""),H3681/E3681,"")</f>
        <v/>
      </c>
      <c r="L3681">
        <f>IF(B3681="","",IFERROR(VALUE(TEXT(B3681,"[$-1170401]yyyy")),""))</f>
        <v/>
      </c>
      <c r="M3681">
        <f>IF(B3681="","",IFERROR(VALUE(TEXT(B3681,"[$-1170401]mm")),""))</f>
        <v/>
      </c>
    </row>
    <row r="3682">
      <c r="B3682" s="30" t="n"/>
      <c r="G3682" s="9">
        <f>IF(AND(E3682&lt;&gt;"",E3682&lt;&gt;0,H3682&lt;&gt;""),H3682/E3682,"")</f>
        <v/>
      </c>
      <c r="L3682">
        <f>IF(B3682="","",IFERROR(VALUE(TEXT(B3682,"[$-1170401]yyyy")),""))</f>
        <v/>
      </c>
      <c r="M3682">
        <f>IF(B3682="","",IFERROR(VALUE(TEXT(B3682,"[$-1170401]mm")),""))</f>
        <v/>
      </c>
    </row>
    <row r="3683">
      <c r="B3683" s="30" t="n"/>
      <c r="G3683" s="9">
        <f>IF(AND(E3683&lt;&gt;"",E3683&lt;&gt;0,H3683&lt;&gt;""),H3683/E3683,"")</f>
        <v/>
      </c>
      <c r="L3683">
        <f>IF(B3683="","",IFERROR(VALUE(TEXT(B3683,"[$-1170401]yyyy")),""))</f>
        <v/>
      </c>
      <c r="M3683">
        <f>IF(B3683="","",IFERROR(VALUE(TEXT(B3683,"[$-1170401]mm")),""))</f>
        <v/>
      </c>
    </row>
    <row r="3684">
      <c r="B3684" s="30" t="n"/>
      <c r="G3684" s="9">
        <f>IF(AND(E3684&lt;&gt;"",E3684&lt;&gt;0,H3684&lt;&gt;""),H3684/E3684,"")</f>
        <v/>
      </c>
      <c r="L3684">
        <f>IF(B3684="","",IFERROR(VALUE(TEXT(B3684,"[$-1170401]yyyy")),""))</f>
        <v/>
      </c>
      <c r="M3684">
        <f>IF(B3684="","",IFERROR(VALUE(TEXT(B3684,"[$-1170401]mm")),""))</f>
        <v/>
      </c>
    </row>
    <row r="3685">
      <c r="B3685" s="30" t="n"/>
      <c r="G3685" s="9">
        <f>IF(AND(E3685&lt;&gt;"",E3685&lt;&gt;0,H3685&lt;&gt;""),H3685/E3685,"")</f>
        <v/>
      </c>
      <c r="L3685">
        <f>IF(B3685="","",IFERROR(VALUE(TEXT(B3685,"[$-1170401]yyyy")),""))</f>
        <v/>
      </c>
      <c r="M3685">
        <f>IF(B3685="","",IFERROR(VALUE(TEXT(B3685,"[$-1170401]mm")),""))</f>
        <v/>
      </c>
    </row>
    <row r="3686">
      <c r="B3686" s="30" t="n"/>
      <c r="G3686" s="9">
        <f>IF(AND(E3686&lt;&gt;"",E3686&lt;&gt;0,H3686&lt;&gt;""),H3686/E3686,"")</f>
        <v/>
      </c>
      <c r="L3686">
        <f>IF(B3686="","",IFERROR(VALUE(TEXT(B3686,"[$-1170401]yyyy")),""))</f>
        <v/>
      </c>
      <c r="M3686">
        <f>IF(B3686="","",IFERROR(VALUE(TEXT(B3686,"[$-1170401]mm")),""))</f>
        <v/>
      </c>
    </row>
    <row r="3687">
      <c r="B3687" s="30" t="n"/>
      <c r="G3687" s="9">
        <f>IF(AND(E3687&lt;&gt;"",E3687&lt;&gt;0,H3687&lt;&gt;""),H3687/E3687,"")</f>
        <v/>
      </c>
      <c r="L3687">
        <f>IF(B3687="","",IFERROR(VALUE(TEXT(B3687,"[$-1170401]yyyy")),""))</f>
        <v/>
      </c>
      <c r="M3687">
        <f>IF(B3687="","",IFERROR(VALUE(TEXT(B3687,"[$-1170401]mm")),""))</f>
        <v/>
      </c>
    </row>
    <row r="3688">
      <c r="B3688" s="30" t="n"/>
      <c r="G3688" s="9">
        <f>IF(AND(E3688&lt;&gt;"",E3688&lt;&gt;0,H3688&lt;&gt;""),H3688/E3688,"")</f>
        <v/>
      </c>
      <c r="L3688">
        <f>IF(B3688="","",IFERROR(VALUE(TEXT(B3688,"[$-1170401]yyyy")),""))</f>
        <v/>
      </c>
      <c r="M3688">
        <f>IF(B3688="","",IFERROR(VALUE(TEXT(B3688,"[$-1170401]mm")),""))</f>
        <v/>
      </c>
    </row>
    <row r="3689">
      <c r="B3689" s="30" t="n"/>
      <c r="G3689" s="9">
        <f>IF(AND(E3689&lt;&gt;"",E3689&lt;&gt;0,H3689&lt;&gt;""),H3689/E3689,"")</f>
        <v/>
      </c>
      <c r="L3689">
        <f>IF(B3689="","",IFERROR(VALUE(TEXT(B3689,"[$-1170401]yyyy")),""))</f>
        <v/>
      </c>
      <c r="M3689">
        <f>IF(B3689="","",IFERROR(VALUE(TEXT(B3689,"[$-1170401]mm")),""))</f>
        <v/>
      </c>
    </row>
    <row r="3690">
      <c r="B3690" s="30" t="n"/>
      <c r="G3690" s="9">
        <f>IF(AND(E3690&lt;&gt;"",E3690&lt;&gt;0,H3690&lt;&gt;""),H3690/E3690,"")</f>
        <v/>
      </c>
      <c r="L3690">
        <f>IF(B3690="","",IFERROR(VALUE(TEXT(B3690,"[$-1170401]yyyy")),""))</f>
        <v/>
      </c>
      <c r="M3690">
        <f>IF(B3690="","",IFERROR(VALUE(TEXT(B3690,"[$-1170401]mm")),""))</f>
        <v/>
      </c>
    </row>
    <row r="3691">
      <c r="B3691" s="30" t="n"/>
      <c r="G3691" s="9">
        <f>IF(AND(E3691&lt;&gt;"",E3691&lt;&gt;0,H3691&lt;&gt;""),H3691/E3691,"")</f>
        <v/>
      </c>
      <c r="L3691">
        <f>IF(B3691="","",IFERROR(VALUE(TEXT(B3691,"[$-1170401]yyyy")),""))</f>
        <v/>
      </c>
      <c r="M3691">
        <f>IF(B3691="","",IFERROR(VALUE(TEXT(B3691,"[$-1170401]mm")),""))</f>
        <v/>
      </c>
    </row>
    <row r="3692">
      <c r="B3692" s="30" t="n"/>
      <c r="G3692" s="9">
        <f>IF(AND(E3692&lt;&gt;"",E3692&lt;&gt;0,H3692&lt;&gt;""),H3692/E3692,"")</f>
        <v/>
      </c>
      <c r="L3692">
        <f>IF(B3692="","",IFERROR(VALUE(TEXT(B3692,"[$-1170401]yyyy")),""))</f>
        <v/>
      </c>
      <c r="M3692">
        <f>IF(B3692="","",IFERROR(VALUE(TEXT(B3692,"[$-1170401]mm")),""))</f>
        <v/>
      </c>
    </row>
    <row r="3693">
      <c r="B3693" s="30" t="n"/>
      <c r="G3693" s="9">
        <f>IF(AND(E3693&lt;&gt;"",E3693&lt;&gt;0,H3693&lt;&gt;""),H3693/E3693,"")</f>
        <v/>
      </c>
      <c r="L3693">
        <f>IF(B3693="","",IFERROR(VALUE(TEXT(B3693,"[$-1170401]yyyy")),""))</f>
        <v/>
      </c>
      <c r="M3693">
        <f>IF(B3693="","",IFERROR(VALUE(TEXT(B3693,"[$-1170401]mm")),""))</f>
        <v/>
      </c>
    </row>
    <row r="3694">
      <c r="B3694" s="30" t="n"/>
      <c r="G3694" s="9">
        <f>IF(AND(E3694&lt;&gt;"",E3694&lt;&gt;0,H3694&lt;&gt;""),H3694/E3694,"")</f>
        <v/>
      </c>
      <c r="L3694">
        <f>IF(B3694="","",IFERROR(VALUE(TEXT(B3694,"[$-1170401]yyyy")),""))</f>
        <v/>
      </c>
      <c r="M3694">
        <f>IF(B3694="","",IFERROR(VALUE(TEXT(B3694,"[$-1170401]mm")),""))</f>
        <v/>
      </c>
    </row>
    <row r="3695">
      <c r="B3695" s="30" t="n"/>
      <c r="G3695" s="9">
        <f>IF(AND(E3695&lt;&gt;"",E3695&lt;&gt;0,H3695&lt;&gt;""),H3695/E3695,"")</f>
        <v/>
      </c>
      <c r="L3695">
        <f>IF(B3695="","",IFERROR(VALUE(TEXT(B3695,"[$-1170401]yyyy")),""))</f>
        <v/>
      </c>
      <c r="M3695">
        <f>IF(B3695="","",IFERROR(VALUE(TEXT(B3695,"[$-1170401]mm")),""))</f>
        <v/>
      </c>
    </row>
    <row r="3696">
      <c r="B3696" s="30" t="n"/>
      <c r="G3696" s="9">
        <f>IF(AND(E3696&lt;&gt;"",E3696&lt;&gt;0,H3696&lt;&gt;""),H3696/E3696,"")</f>
        <v/>
      </c>
      <c r="L3696">
        <f>IF(B3696="","",IFERROR(VALUE(TEXT(B3696,"[$-1170401]yyyy")),""))</f>
        <v/>
      </c>
      <c r="M3696">
        <f>IF(B3696="","",IFERROR(VALUE(TEXT(B3696,"[$-1170401]mm")),""))</f>
        <v/>
      </c>
    </row>
    <row r="3697">
      <c r="B3697" s="30" t="n"/>
      <c r="G3697" s="9">
        <f>IF(AND(E3697&lt;&gt;"",E3697&lt;&gt;0,H3697&lt;&gt;""),H3697/E3697,"")</f>
        <v/>
      </c>
      <c r="L3697">
        <f>IF(B3697="","",IFERROR(VALUE(TEXT(B3697,"[$-1170401]yyyy")),""))</f>
        <v/>
      </c>
      <c r="M3697">
        <f>IF(B3697="","",IFERROR(VALUE(TEXT(B3697,"[$-1170401]mm")),""))</f>
        <v/>
      </c>
    </row>
    <row r="3698">
      <c r="B3698" s="30" t="n"/>
      <c r="G3698" s="9">
        <f>IF(AND(E3698&lt;&gt;"",E3698&lt;&gt;0,H3698&lt;&gt;""),H3698/E3698,"")</f>
        <v/>
      </c>
      <c r="L3698">
        <f>IF(B3698="","",IFERROR(VALUE(TEXT(B3698,"[$-1170401]yyyy")),""))</f>
        <v/>
      </c>
      <c r="M3698">
        <f>IF(B3698="","",IFERROR(VALUE(TEXT(B3698,"[$-1170401]mm")),""))</f>
        <v/>
      </c>
    </row>
    <row r="3699">
      <c r="B3699" s="30" t="n"/>
      <c r="G3699" s="9">
        <f>IF(AND(E3699&lt;&gt;"",E3699&lt;&gt;0,H3699&lt;&gt;""),H3699/E3699,"")</f>
        <v/>
      </c>
      <c r="L3699">
        <f>IF(B3699="","",IFERROR(VALUE(TEXT(B3699,"[$-1170401]yyyy")),""))</f>
        <v/>
      </c>
      <c r="M3699">
        <f>IF(B3699="","",IFERROR(VALUE(TEXT(B3699,"[$-1170401]mm")),""))</f>
        <v/>
      </c>
    </row>
    <row r="3700">
      <c r="B3700" s="30" t="n"/>
      <c r="G3700" s="9">
        <f>IF(AND(E3700&lt;&gt;"",E3700&lt;&gt;0,H3700&lt;&gt;""),H3700/E3700,"")</f>
        <v/>
      </c>
      <c r="L3700">
        <f>IF(B3700="","",IFERROR(VALUE(TEXT(B3700,"[$-1170401]yyyy")),""))</f>
        <v/>
      </c>
      <c r="M3700">
        <f>IF(B3700="","",IFERROR(VALUE(TEXT(B3700,"[$-1170401]mm")),""))</f>
        <v/>
      </c>
    </row>
    <row r="3701">
      <c r="B3701" s="30" t="n"/>
      <c r="G3701" s="9">
        <f>IF(AND(E3701&lt;&gt;"",E3701&lt;&gt;0,H3701&lt;&gt;""),H3701/E3701,"")</f>
        <v/>
      </c>
      <c r="L3701">
        <f>IF(B3701="","",IFERROR(VALUE(TEXT(B3701,"[$-1170401]yyyy")),""))</f>
        <v/>
      </c>
      <c r="M3701">
        <f>IF(B3701="","",IFERROR(VALUE(TEXT(B3701,"[$-1170401]mm")),""))</f>
        <v/>
      </c>
    </row>
    <row r="3702">
      <c r="B3702" s="30" t="n"/>
      <c r="G3702" s="9">
        <f>IF(AND(E3702&lt;&gt;"",E3702&lt;&gt;0,H3702&lt;&gt;""),H3702/E3702,"")</f>
        <v/>
      </c>
      <c r="L3702">
        <f>IF(B3702="","",IFERROR(VALUE(TEXT(B3702,"[$-1170401]yyyy")),""))</f>
        <v/>
      </c>
      <c r="M3702">
        <f>IF(B3702="","",IFERROR(VALUE(TEXT(B3702,"[$-1170401]mm")),""))</f>
        <v/>
      </c>
    </row>
    <row r="3703">
      <c r="B3703" s="30" t="n"/>
      <c r="G3703" s="9">
        <f>IF(AND(E3703&lt;&gt;"",E3703&lt;&gt;0,H3703&lt;&gt;""),H3703/E3703,"")</f>
        <v/>
      </c>
      <c r="L3703">
        <f>IF(B3703="","",IFERROR(VALUE(TEXT(B3703,"[$-1170401]yyyy")),""))</f>
        <v/>
      </c>
      <c r="M3703">
        <f>IF(B3703="","",IFERROR(VALUE(TEXT(B3703,"[$-1170401]mm")),""))</f>
        <v/>
      </c>
    </row>
    <row r="3704">
      <c r="B3704" s="30" t="n"/>
      <c r="G3704" s="9">
        <f>IF(AND(E3704&lt;&gt;"",E3704&lt;&gt;0,H3704&lt;&gt;""),H3704/E3704,"")</f>
        <v/>
      </c>
      <c r="L3704">
        <f>IF(B3704="","",IFERROR(VALUE(TEXT(B3704,"[$-1170401]yyyy")),""))</f>
        <v/>
      </c>
      <c r="M3704">
        <f>IF(B3704="","",IFERROR(VALUE(TEXT(B3704,"[$-1170401]mm")),""))</f>
        <v/>
      </c>
    </row>
    <row r="3705">
      <c r="B3705" s="30" t="n"/>
      <c r="G3705" s="9">
        <f>IF(AND(E3705&lt;&gt;"",E3705&lt;&gt;0,H3705&lt;&gt;""),H3705/E3705,"")</f>
        <v/>
      </c>
      <c r="L3705">
        <f>IF(B3705="","",IFERROR(VALUE(TEXT(B3705,"[$-1170401]yyyy")),""))</f>
        <v/>
      </c>
      <c r="M3705">
        <f>IF(B3705="","",IFERROR(VALUE(TEXT(B3705,"[$-1170401]mm")),""))</f>
        <v/>
      </c>
    </row>
    <row r="3706">
      <c r="B3706" s="30" t="n"/>
      <c r="G3706" s="9">
        <f>IF(AND(E3706&lt;&gt;"",E3706&lt;&gt;0,H3706&lt;&gt;""),H3706/E3706,"")</f>
        <v/>
      </c>
      <c r="L3706">
        <f>IF(B3706="","",IFERROR(VALUE(TEXT(B3706,"[$-1170401]yyyy")),""))</f>
        <v/>
      </c>
      <c r="M3706">
        <f>IF(B3706="","",IFERROR(VALUE(TEXT(B3706,"[$-1170401]mm")),""))</f>
        <v/>
      </c>
    </row>
    <row r="3707">
      <c r="B3707" s="30" t="n"/>
      <c r="G3707" s="9">
        <f>IF(AND(E3707&lt;&gt;"",E3707&lt;&gt;0,H3707&lt;&gt;""),H3707/E3707,"")</f>
        <v/>
      </c>
      <c r="L3707">
        <f>IF(B3707="","",IFERROR(VALUE(TEXT(B3707,"[$-1170401]yyyy")),""))</f>
        <v/>
      </c>
      <c r="M3707">
        <f>IF(B3707="","",IFERROR(VALUE(TEXT(B3707,"[$-1170401]mm")),""))</f>
        <v/>
      </c>
    </row>
    <row r="3708">
      <c r="B3708" s="30" t="n"/>
      <c r="G3708" s="9">
        <f>IF(AND(E3708&lt;&gt;"",E3708&lt;&gt;0,H3708&lt;&gt;""),H3708/E3708,"")</f>
        <v/>
      </c>
      <c r="L3708">
        <f>IF(B3708="","",IFERROR(VALUE(TEXT(B3708,"[$-1170401]yyyy")),""))</f>
        <v/>
      </c>
      <c r="M3708">
        <f>IF(B3708="","",IFERROR(VALUE(TEXT(B3708,"[$-1170401]mm")),""))</f>
        <v/>
      </c>
    </row>
    <row r="3709">
      <c r="B3709" s="30" t="n"/>
      <c r="G3709" s="9">
        <f>IF(AND(E3709&lt;&gt;"",E3709&lt;&gt;0,H3709&lt;&gt;""),H3709/E3709,"")</f>
        <v/>
      </c>
      <c r="L3709">
        <f>IF(B3709="","",IFERROR(VALUE(TEXT(B3709,"[$-1170401]yyyy")),""))</f>
        <v/>
      </c>
      <c r="M3709">
        <f>IF(B3709="","",IFERROR(VALUE(TEXT(B3709,"[$-1170401]mm")),""))</f>
        <v/>
      </c>
    </row>
    <row r="3710">
      <c r="B3710" s="30" t="n"/>
      <c r="G3710" s="9">
        <f>IF(AND(E3710&lt;&gt;"",E3710&lt;&gt;0,H3710&lt;&gt;""),H3710/E3710,"")</f>
        <v/>
      </c>
      <c r="L3710">
        <f>IF(B3710="","",IFERROR(VALUE(TEXT(B3710,"[$-1170401]yyyy")),""))</f>
        <v/>
      </c>
      <c r="M3710">
        <f>IF(B3710="","",IFERROR(VALUE(TEXT(B3710,"[$-1170401]mm")),""))</f>
        <v/>
      </c>
    </row>
    <row r="3711">
      <c r="B3711" s="30" t="n"/>
      <c r="G3711" s="9">
        <f>IF(AND(E3711&lt;&gt;"",E3711&lt;&gt;0,H3711&lt;&gt;""),H3711/E3711,"")</f>
        <v/>
      </c>
      <c r="L3711">
        <f>IF(B3711="","",IFERROR(VALUE(TEXT(B3711,"[$-1170401]yyyy")),""))</f>
        <v/>
      </c>
      <c r="M3711">
        <f>IF(B3711="","",IFERROR(VALUE(TEXT(B3711,"[$-1170401]mm")),""))</f>
        <v/>
      </c>
    </row>
    <row r="3712">
      <c r="B3712" s="30" t="n"/>
      <c r="G3712" s="9">
        <f>IF(AND(E3712&lt;&gt;"",E3712&lt;&gt;0,H3712&lt;&gt;""),H3712/E3712,"")</f>
        <v/>
      </c>
      <c r="L3712">
        <f>IF(B3712="","",IFERROR(VALUE(TEXT(B3712,"[$-1170401]yyyy")),""))</f>
        <v/>
      </c>
      <c r="M3712">
        <f>IF(B3712="","",IFERROR(VALUE(TEXT(B3712,"[$-1170401]mm")),""))</f>
        <v/>
      </c>
    </row>
    <row r="3713">
      <c r="B3713" s="30" t="n"/>
      <c r="G3713" s="9">
        <f>IF(AND(E3713&lt;&gt;"",E3713&lt;&gt;0,H3713&lt;&gt;""),H3713/E3713,"")</f>
        <v/>
      </c>
      <c r="L3713">
        <f>IF(B3713="","",IFERROR(VALUE(TEXT(B3713,"[$-1170401]yyyy")),""))</f>
        <v/>
      </c>
      <c r="M3713">
        <f>IF(B3713="","",IFERROR(VALUE(TEXT(B3713,"[$-1170401]mm")),""))</f>
        <v/>
      </c>
    </row>
    <row r="3714">
      <c r="B3714" s="30" t="n"/>
      <c r="G3714" s="9">
        <f>IF(AND(E3714&lt;&gt;"",E3714&lt;&gt;0,H3714&lt;&gt;""),H3714/E3714,"")</f>
        <v/>
      </c>
      <c r="L3714">
        <f>IF(B3714="","",IFERROR(VALUE(TEXT(B3714,"[$-1170401]yyyy")),""))</f>
        <v/>
      </c>
      <c r="M3714">
        <f>IF(B3714="","",IFERROR(VALUE(TEXT(B3714,"[$-1170401]mm")),""))</f>
        <v/>
      </c>
    </row>
    <row r="3715">
      <c r="B3715" s="30" t="n"/>
      <c r="G3715" s="9">
        <f>IF(AND(E3715&lt;&gt;"",E3715&lt;&gt;0,H3715&lt;&gt;""),H3715/E3715,"")</f>
        <v/>
      </c>
      <c r="L3715">
        <f>IF(B3715="","",IFERROR(VALUE(TEXT(B3715,"[$-1170401]yyyy")),""))</f>
        <v/>
      </c>
      <c r="M3715">
        <f>IF(B3715="","",IFERROR(VALUE(TEXT(B3715,"[$-1170401]mm")),""))</f>
        <v/>
      </c>
    </row>
    <row r="3716">
      <c r="B3716" s="30" t="n"/>
      <c r="G3716" s="9">
        <f>IF(AND(E3716&lt;&gt;"",E3716&lt;&gt;0,H3716&lt;&gt;""),H3716/E3716,"")</f>
        <v/>
      </c>
      <c r="L3716">
        <f>IF(B3716="","",IFERROR(VALUE(TEXT(B3716,"[$-1170401]yyyy")),""))</f>
        <v/>
      </c>
      <c r="M3716">
        <f>IF(B3716="","",IFERROR(VALUE(TEXT(B3716,"[$-1170401]mm")),""))</f>
        <v/>
      </c>
    </row>
    <row r="3717">
      <c r="B3717" s="30" t="n"/>
      <c r="G3717" s="9">
        <f>IF(AND(E3717&lt;&gt;"",E3717&lt;&gt;0,H3717&lt;&gt;""),H3717/E3717,"")</f>
        <v/>
      </c>
      <c r="L3717">
        <f>IF(B3717="","",IFERROR(VALUE(TEXT(B3717,"[$-1170401]yyyy")),""))</f>
        <v/>
      </c>
      <c r="M3717">
        <f>IF(B3717="","",IFERROR(VALUE(TEXT(B3717,"[$-1170401]mm")),""))</f>
        <v/>
      </c>
    </row>
    <row r="3718">
      <c r="B3718" s="30" t="n"/>
      <c r="G3718" s="9">
        <f>IF(AND(E3718&lt;&gt;"",E3718&lt;&gt;0,H3718&lt;&gt;""),H3718/E3718,"")</f>
        <v/>
      </c>
      <c r="L3718">
        <f>IF(B3718="","",IFERROR(VALUE(TEXT(B3718,"[$-1170401]yyyy")),""))</f>
        <v/>
      </c>
      <c r="M3718">
        <f>IF(B3718="","",IFERROR(VALUE(TEXT(B3718,"[$-1170401]mm")),""))</f>
        <v/>
      </c>
    </row>
    <row r="3719">
      <c r="B3719" s="30" t="n"/>
      <c r="G3719" s="9">
        <f>IF(AND(E3719&lt;&gt;"",E3719&lt;&gt;0,H3719&lt;&gt;""),H3719/E3719,"")</f>
        <v/>
      </c>
      <c r="L3719">
        <f>IF(B3719="","",IFERROR(VALUE(TEXT(B3719,"[$-1170401]yyyy")),""))</f>
        <v/>
      </c>
      <c r="M3719">
        <f>IF(B3719="","",IFERROR(VALUE(TEXT(B3719,"[$-1170401]mm")),""))</f>
        <v/>
      </c>
    </row>
    <row r="3720">
      <c r="B3720" s="30" t="n"/>
      <c r="G3720" s="9">
        <f>IF(AND(E3720&lt;&gt;"",E3720&lt;&gt;0,H3720&lt;&gt;""),H3720/E3720,"")</f>
        <v/>
      </c>
      <c r="L3720">
        <f>IF(B3720="","",IFERROR(VALUE(TEXT(B3720,"[$-1170401]yyyy")),""))</f>
        <v/>
      </c>
      <c r="M3720">
        <f>IF(B3720="","",IFERROR(VALUE(TEXT(B3720,"[$-1170401]mm")),""))</f>
        <v/>
      </c>
    </row>
    <row r="3721">
      <c r="B3721" s="30" t="n"/>
      <c r="G3721" s="9">
        <f>IF(AND(E3721&lt;&gt;"",E3721&lt;&gt;0,H3721&lt;&gt;""),H3721/E3721,"")</f>
        <v/>
      </c>
      <c r="L3721">
        <f>IF(B3721="","",IFERROR(VALUE(TEXT(B3721,"[$-1170401]yyyy")),""))</f>
        <v/>
      </c>
      <c r="M3721">
        <f>IF(B3721="","",IFERROR(VALUE(TEXT(B3721,"[$-1170401]mm")),""))</f>
        <v/>
      </c>
    </row>
    <row r="3722">
      <c r="B3722" s="30" t="n"/>
      <c r="G3722" s="9">
        <f>IF(AND(E3722&lt;&gt;"",E3722&lt;&gt;0,H3722&lt;&gt;""),H3722/E3722,"")</f>
        <v/>
      </c>
      <c r="L3722">
        <f>IF(B3722="","",IFERROR(VALUE(TEXT(B3722,"[$-1170401]yyyy")),""))</f>
        <v/>
      </c>
      <c r="M3722">
        <f>IF(B3722="","",IFERROR(VALUE(TEXT(B3722,"[$-1170401]mm")),""))</f>
        <v/>
      </c>
    </row>
    <row r="3723">
      <c r="B3723" s="30" t="n"/>
      <c r="G3723" s="9">
        <f>IF(AND(E3723&lt;&gt;"",E3723&lt;&gt;0,H3723&lt;&gt;""),H3723/E3723,"")</f>
        <v/>
      </c>
      <c r="L3723">
        <f>IF(B3723="","",IFERROR(VALUE(TEXT(B3723,"[$-1170401]yyyy")),""))</f>
        <v/>
      </c>
      <c r="M3723">
        <f>IF(B3723="","",IFERROR(VALUE(TEXT(B3723,"[$-1170401]mm")),""))</f>
        <v/>
      </c>
    </row>
    <row r="3724">
      <c r="B3724" s="30" t="n"/>
      <c r="G3724" s="9">
        <f>IF(AND(E3724&lt;&gt;"",E3724&lt;&gt;0,H3724&lt;&gt;""),H3724/E3724,"")</f>
        <v/>
      </c>
      <c r="L3724">
        <f>IF(B3724="","",IFERROR(VALUE(TEXT(B3724,"[$-1170401]yyyy")),""))</f>
        <v/>
      </c>
      <c r="M3724">
        <f>IF(B3724="","",IFERROR(VALUE(TEXT(B3724,"[$-1170401]mm")),""))</f>
        <v/>
      </c>
    </row>
    <row r="3725">
      <c r="B3725" s="30" t="n"/>
      <c r="G3725" s="9">
        <f>IF(AND(E3725&lt;&gt;"",E3725&lt;&gt;0,H3725&lt;&gt;""),H3725/E3725,"")</f>
        <v/>
      </c>
      <c r="L3725">
        <f>IF(B3725="","",IFERROR(VALUE(TEXT(B3725,"[$-1170401]yyyy")),""))</f>
        <v/>
      </c>
      <c r="M3725">
        <f>IF(B3725="","",IFERROR(VALUE(TEXT(B3725,"[$-1170401]mm")),""))</f>
        <v/>
      </c>
    </row>
    <row r="3726">
      <c r="B3726" s="30" t="n"/>
      <c r="G3726" s="9">
        <f>IF(AND(E3726&lt;&gt;"",E3726&lt;&gt;0,H3726&lt;&gt;""),H3726/E3726,"")</f>
        <v/>
      </c>
      <c r="L3726">
        <f>IF(B3726="","",IFERROR(VALUE(TEXT(B3726,"[$-1170401]yyyy")),""))</f>
        <v/>
      </c>
      <c r="M3726">
        <f>IF(B3726="","",IFERROR(VALUE(TEXT(B3726,"[$-1170401]mm")),""))</f>
        <v/>
      </c>
    </row>
    <row r="3727">
      <c r="B3727" s="30" t="n"/>
      <c r="G3727" s="9">
        <f>IF(AND(E3727&lt;&gt;"",E3727&lt;&gt;0,H3727&lt;&gt;""),H3727/E3727,"")</f>
        <v/>
      </c>
      <c r="L3727">
        <f>IF(B3727="","",IFERROR(VALUE(TEXT(B3727,"[$-1170401]yyyy")),""))</f>
        <v/>
      </c>
      <c r="M3727">
        <f>IF(B3727="","",IFERROR(VALUE(TEXT(B3727,"[$-1170401]mm")),""))</f>
        <v/>
      </c>
    </row>
    <row r="3728">
      <c r="B3728" s="30" t="n"/>
      <c r="G3728" s="9">
        <f>IF(AND(E3728&lt;&gt;"",E3728&lt;&gt;0,H3728&lt;&gt;""),H3728/E3728,"")</f>
        <v/>
      </c>
      <c r="L3728">
        <f>IF(B3728="","",IFERROR(VALUE(TEXT(B3728,"[$-1170401]yyyy")),""))</f>
        <v/>
      </c>
      <c r="M3728">
        <f>IF(B3728="","",IFERROR(VALUE(TEXT(B3728,"[$-1170401]mm")),""))</f>
        <v/>
      </c>
    </row>
    <row r="3729">
      <c r="B3729" s="30" t="n"/>
      <c r="G3729" s="9">
        <f>IF(AND(E3729&lt;&gt;"",E3729&lt;&gt;0,H3729&lt;&gt;""),H3729/E3729,"")</f>
        <v/>
      </c>
      <c r="L3729">
        <f>IF(B3729="","",IFERROR(VALUE(TEXT(B3729,"[$-1170401]yyyy")),""))</f>
        <v/>
      </c>
      <c r="M3729">
        <f>IF(B3729="","",IFERROR(VALUE(TEXT(B3729,"[$-1170401]mm")),""))</f>
        <v/>
      </c>
    </row>
    <row r="3730">
      <c r="B3730" s="30" t="n"/>
      <c r="G3730" s="9">
        <f>IF(AND(E3730&lt;&gt;"",E3730&lt;&gt;0,H3730&lt;&gt;""),H3730/E3730,"")</f>
        <v/>
      </c>
      <c r="L3730">
        <f>IF(B3730="","",IFERROR(VALUE(TEXT(B3730,"[$-1170401]yyyy")),""))</f>
        <v/>
      </c>
      <c r="M3730">
        <f>IF(B3730="","",IFERROR(VALUE(TEXT(B3730,"[$-1170401]mm")),""))</f>
        <v/>
      </c>
    </row>
    <row r="3731">
      <c r="B3731" s="30" t="n"/>
      <c r="G3731" s="9">
        <f>IF(AND(E3731&lt;&gt;"",E3731&lt;&gt;0,H3731&lt;&gt;""),H3731/E3731,"")</f>
        <v/>
      </c>
      <c r="L3731">
        <f>IF(B3731="","",IFERROR(VALUE(TEXT(B3731,"[$-1170401]yyyy")),""))</f>
        <v/>
      </c>
      <c r="M3731">
        <f>IF(B3731="","",IFERROR(VALUE(TEXT(B3731,"[$-1170401]mm")),""))</f>
        <v/>
      </c>
    </row>
    <row r="3732">
      <c r="B3732" s="30" t="n"/>
      <c r="G3732" s="9">
        <f>IF(AND(E3732&lt;&gt;"",E3732&lt;&gt;0,H3732&lt;&gt;""),H3732/E3732,"")</f>
        <v/>
      </c>
      <c r="L3732">
        <f>IF(B3732="","",IFERROR(VALUE(TEXT(B3732,"[$-1170401]yyyy")),""))</f>
        <v/>
      </c>
      <c r="M3732">
        <f>IF(B3732="","",IFERROR(VALUE(TEXT(B3732,"[$-1170401]mm")),""))</f>
        <v/>
      </c>
    </row>
    <row r="3733">
      <c r="B3733" s="30" t="n"/>
      <c r="G3733" s="9">
        <f>IF(AND(E3733&lt;&gt;"",E3733&lt;&gt;0,H3733&lt;&gt;""),H3733/E3733,"")</f>
        <v/>
      </c>
      <c r="L3733">
        <f>IF(B3733="","",IFERROR(VALUE(TEXT(B3733,"[$-1170401]yyyy")),""))</f>
        <v/>
      </c>
      <c r="M3733">
        <f>IF(B3733="","",IFERROR(VALUE(TEXT(B3733,"[$-1170401]mm")),""))</f>
        <v/>
      </c>
    </row>
    <row r="3734">
      <c r="B3734" s="30" t="n"/>
      <c r="G3734" s="9">
        <f>IF(AND(E3734&lt;&gt;"",E3734&lt;&gt;0,H3734&lt;&gt;""),H3734/E3734,"")</f>
        <v/>
      </c>
      <c r="L3734">
        <f>IF(B3734="","",IFERROR(VALUE(TEXT(B3734,"[$-1170401]yyyy")),""))</f>
        <v/>
      </c>
      <c r="M3734">
        <f>IF(B3734="","",IFERROR(VALUE(TEXT(B3734,"[$-1170401]mm")),""))</f>
        <v/>
      </c>
    </row>
    <row r="3735">
      <c r="B3735" s="30" t="n"/>
      <c r="G3735" s="9">
        <f>IF(AND(E3735&lt;&gt;"",E3735&lt;&gt;0,H3735&lt;&gt;""),H3735/E3735,"")</f>
        <v/>
      </c>
      <c r="L3735">
        <f>IF(B3735="","",IFERROR(VALUE(TEXT(B3735,"[$-1170401]yyyy")),""))</f>
        <v/>
      </c>
      <c r="M3735">
        <f>IF(B3735="","",IFERROR(VALUE(TEXT(B3735,"[$-1170401]mm")),""))</f>
        <v/>
      </c>
    </row>
    <row r="3736">
      <c r="B3736" s="30" t="n"/>
      <c r="G3736" s="9">
        <f>IF(AND(E3736&lt;&gt;"",E3736&lt;&gt;0,H3736&lt;&gt;""),H3736/E3736,"")</f>
        <v/>
      </c>
      <c r="L3736">
        <f>IF(B3736="","",IFERROR(VALUE(TEXT(B3736,"[$-1170401]yyyy")),""))</f>
        <v/>
      </c>
      <c r="M3736">
        <f>IF(B3736="","",IFERROR(VALUE(TEXT(B3736,"[$-1170401]mm")),""))</f>
        <v/>
      </c>
    </row>
    <row r="3737">
      <c r="B3737" s="30" t="n"/>
      <c r="G3737" s="9">
        <f>IF(AND(E3737&lt;&gt;"",E3737&lt;&gt;0,H3737&lt;&gt;""),H3737/E3737,"")</f>
        <v/>
      </c>
      <c r="L3737">
        <f>IF(B3737="","",IFERROR(VALUE(TEXT(B3737,"[$-1170401]yyyy")),""))</f>
        <v/>
      </c>
      <c r="M3737">
        <f>IF(B3737="","",IFERROR(VALUE(TEXT(B3737,"[$-1170401]mm")),""))</f>
        <v/>
      </c>
    </row>
    <row r="3738">
      <c r="B3738" s="30" t="n"/>
      <c r="G3738" s="9">
        <f>IF(AND(E3738&lt;&gt;"",E3738&lt;&gt;0,H3738&lt;&gt;""),H3738/E3738,"")</f>
        <v/>
      </c>
      <c r="L3738">
        <f>IF(B3738="","",IFERROR(VALUE(TEXT(B3738,"[$-1170401]yyyy")),""))</f>
        <v/>
      </c>
      <c r="M3738">
        <f>IF(B3738="","",IFERROR(VALUE(TEXT(B3738,"[$-1170401]mm")),""))</f>
        <v/>
      </c>
    </row>
    <row r="3739">
      <c r="B3739" s="30" t="n"/>
      <c r="G3739" s="9">
        <f>IF(AND(E3739&lt;&gt;"",E3739&lt;&gt;0,H3739&lt;&gt;""),H3739/E3739,"")</f>
        <v/>
      </c>
      <c r="L3739">
        <f>IF(B3739="","",IFERROR(VALUE(TEXT(B3739,"[$-1170401]yyyy")),""))</f>
        <v/>
      </c>
      <c r="M3739">
        <f>IF(B3739="","",IFERROR(VALUE(TEXT(B3739,"[$-1170401]mm")),""))</f>
        <v/>
      </c>
    </row>
    <row r="3740">
      <c r="B3740" s="30" t="n"/>
      <c r="G3740" s="9">
        <f>IF(AND(E3740&lt;&gt;"",E3740&lt;&gt;0,H3740&lt;&gt;""),H3740/E3740,"")</f>
        <v/>
      </c>
      <c r="L3740">
        <f>IF(B3740="","",IFERROR(VALUE(TEXT(B3740,"[$-1170401]yyyy")),""))</f>
        <v/>
      </c>
      <c r="M3740">
        <f>IF(B3740="","",IFERROR(VALUE(TEXT(B3740,"[$-1170401]mm")),""))</f>
        <v/>
      </c>
    </row>
    <row r="3741">
      <c r="B3741" s="30" t="n"/>
      <c r="G3741" s="9">
        <f>IF(AND(E3741&lt;&gt;"",E3741&lt;&gt;0,H3741&lt;&gt;""),H3741/E3741,"")</f>
        <v/>
      </c>
      <c r="L3741">
        <f>IF(B3741="","",IFERROR(VALUE(TEXT(B3741,"[$-1170401]yyyy")),""))</f>
        <v/>
      </c>
      <c r="M3741">
        <f>IF(B3741="","",IFERROR(VALUE(TEXT(B3741,"[$-1170401]mm")),""))</f>
        <v/>
      </c>
    </row>
    <row r="3742">
      <c r="B3742" s="30" t="n"/>
      <c r="G3742" s="9">
        <f>IF(AND(E3742&lt;&gt;"",E3742&lt;&gt;0,H3742&lt;&gt;""),H3742/E3742,"")</f>
        <v/>
      </c>
      <c r="L3742">
        <f>IF(B3742="","",IFERROR(VALUE(TEXT(B3742,"[$-1170401]yyyy")),""))</f>
        <v/>
      </c>
      <c r="M3742">
        <f>IF(B3742="","",IFERROR(VALUE(TEXT(B3742,"[$-1170401]mm")),""))</f>
        <v/>
      </c>
    </row>
    <row r="3743">
      <c r="B3743" s="30" t="n"/>
      <c r="G3743" s="9">
        <f>IF(AND(E3743&lt;&gt;"",E3743&lt;&gt;0,H3743&lt;&gt;""),H3743/E3743,"")</f>
        <v/>
      </c>
      <c r="L3743">
        <f>IF(B3743="","",IFERROR(VALUE(TEXT(B3743,"[$-1170401]yyyy")),""))</f>
        <v/>
      </c>
      <c r="M3743">
        <f>IF(B3743="","",IFERROR(VALUE(TEXT(B3743,"[$-1170401]mm")),""))</f>
        <v/>
      </c>
    </row>
    <row r="3744">
      <c r="B3744" s="30" t="n"/>
      <c r="G3744" s="9">
        <f>IF(AND(E3744&lt;&gt;"",E3744&lt;&gt;0,H3744&lt;&gt;""),H3744/E3744,"")</f>
        <v/>
      </c>
      <c r="L3744">
        <f>IF(B3744="","",IFERROR(VALUE(TEXT(B3744,"[$-1170401]yyyy")),""))</f>
        <v/>
      </c>
      <c r="M3744">
        <f>IF(B3744="","",IFERROR(VALUE(TEXT(B3744,"[$-1170401]mm")),""))</f>
        <v/>
      </c>
    </row>
    <row r="3745">
      <c r="B3745" s="30" t="n"/>
      <c r="G3745" s="9">
        <f>IF(AND(E3745&lt;&gt;"",E3745&lt;&gt;0,H3745&lt;&gt;""),H3745/E3745,"")</f>
        <v/>
      </c>
      <c r="L3745">
        <f>IF(B3745="","",IFERROR(VALUE(TEXT(B3745,"[$-1170401]yyyy")),""))</f>
        <v/>
      </c>
      <c r="M3745">
        <f>IF(B3745="","",IFERROR(VALUE(TEXT(B3745,"[$-1170401]mm")),""))</f>
        <v/>
      </c>
    </row>
    <row r="3746">
      <c r="B3746" s="30" t="n"/>
      <c r="G3746" s="9">
        <f>IF(AND(E3746&lt;&gt;"",E3746&lt;&gt;0,H3746&lt;&gt;""),H3746/E3746,"")</f>
        <v/>
      </c>
      <c r="L3746">
        <f>IF(B3746="","",IFERROR(VALUE(TEXT(B3746,"[$-1170401]yyyy")),""))</f>
        <v/>
      </c>
      <c r="M3746">
        <f>IF(B3746="","",IFERROR(VALUE(TEXT(B3746,"[$-1170401]mm")),""))</f>
        <v/>
      </c>
    </row>
    <row r="3747">
      <c r="B3747" s="30" t="n"/>
      <c r="G3747" s="9">
        <f>IF(AND(E3747&lt;&gt;"",E3747&lt;&gt;0,H3747&lt;&gt;""),H3747/E3747,"")</f>
        <v/>
      </c>
      <c r="L3747">
        <f>IF(B3747="","",IFERROR(VALUE(TEXT(B3747,"[$-1170401]yyyy")),""))</f>
        <v/>
      </c>
      <c r="M3747">
        <f>IF(B3747="","",IFERROR(VALUE(TEXT(B3747,"[$-1170401]mm")),""))</f>
        <v/>
      </c>
    </row>
    <row r="3748">
      <c r="B3748" s="30" t="n"/>
      <c r="G3748" s="9">
        <f>IF(AND(E3748&lt;&gt;"",E3748&lt;&gt;0,H3748&lt;&gt;""),H3748/E3748,"")</f>
        <v/>
      </c>
      <c r="L3748">
        <f>IF(B3748="","",IFERROR(VALUE(TEXT(B3748,"[$-1170401]yyyy")),""))</f>
        <v/>
      </c>
      <c r="M3748">
        <f>IF(B3748="","",IFERROR(VALUE(TEXT(B3748,"[$-1170401]mm")),""))</f>
        <v/>
      </c>
    </row>
    <row r="3749">
      <c r="B3749" s="30" t="n"/>
      <c r="G3749" s="9">
        <f>IF(AND(E3749&lt;&gt;"",E3749&lt;&gt;0,H3749&lt;&gt;""),H3749/E3749,"")</f>
        <v/>
      </c>
      <c r="L3749">
        <f>IF(B3749="","",IFERROR(VALUE(TEXT(B3749,"[$-1170401]yyyy")),""))</f>
        <v/>
      </c>
      <c r="M3749">
        <f>IF(B3749="","",IFERROR(VALUE(TEXT(B3749,"[$-1170401]mm")),""))</f>
        <v/>
      </c>
    </row>
    <row r="3750">
      <c r="B3750" s="30" t="n"/>
      <c r="G3750" s="9">
        <f>IF(AND(E3750&lt;&gt;"",E3750&lt;&gt;0,H3750&lt;&gt;""),H3750/E3750,"")</f>
        <v/>
      </c>
      <c r="L3750">
        <f>IF(B3750="","",IFERROR(VALUE(TEXT(B3750,"[$-1170401]yyyy")),""))</f>
        <v/>
      </c>
      <c r="M3750">
        <f>IF(B3750="","",IFERROR(VALUE(TEXT(B3750,"[$-1170401]mm")),""))</f>
        <v/>
      </c>
    </row>
    <row r="3751">
      <c r="B3751" s="30" t="n"/>
      <c r="G3751" s="9">
        <f>IF(AND(E3751&lt;&gt;"",E3751&lt;&gt;0,H3751&lt;&gt;""),H3751/E3751,"")</f>
        <v/>
      </c>
      <c r="L3751">
        <f>IF(B3751="","",IFERROR(VALUE(TEXT(B3751,"[$-1170401]yyyy")),""))</f>
        <v/>
      </c>
      <c r="M3751">
        <f>IF(B3751="","",IFERROR(VALUE(TEXT(B3751,"[$-1170401]mm")),""))</f>
        <v/>
      </c>
    </row>
    <row r="3752">
      <c r="B3752" s="30" t="n"/>
      <c r="G3752" s="9">
        <f>IF(AND(E3752&lt;&gt;"",E3752&lt;&gt;0,H3752&lt;&gt;""),H3752/E3752,"")</f>
        <v/>
      </c>
      <c r="L3752">
        <f>IF(B3752="","",IFERROR(VALUE(TEXT(B3752,"[$-1170401]yyyy")),""))</f>
        <v/>
      </c>
      <c r="M3752">
        <f>IF(B3752="","",IFERROR(VALUE(TEXT(B3752,"[$-1170401]mm")),""))</f>
        <v/>
      </c>
    </row>
    <row r="3753">
      <c r="B3753" s="30" t="n"/>
      <c r="G3753" s="9">
        <f>IF(AND(E3753&lt;&gt;"",E3753&lt;&gt;0,H3753&lt;&gt;""),H3753/E3753,"")</f>
        <v/>
      </c>
      <c r="L3753">
        <f>IF(B3753="","",IFERROR(VALUE(TEXT(B3753,"[$-1170401]yyyy")),""))</f>
        <v/>
      </c>
      <c r="M3753">
        <f>IF(B3753="","",IFERROR(VALUE(TEXT(B3753,"[$-1170401]mm")),""))</f>
        <v/>
      </c>
    </row>
    <row r="3754">
      <c r="B3754" s="30" t="n"/>
      <c r="G3754" s="9">
        <f>IF(AND(E3754&lt;&gt;"",E3754&lt;&gt;0,H3754&lt;&gt;""),H3754/E3754,"")</f>
        <v/>
      </c>
      <c r="L3754">
        <f>IF(B3754="","",IFERROR(VALUE(TEXT(B3754,"[$-1170401]yyyy")),""))</f>
        <v/>
      </c>
      <c r="M3754">
        <f>IF(B3754="","",IFERROR(VALUE(TEXT(B3754,"[$-1170401]mm")),""))</f>
        <v/>
      </c>
    </row>
    <row r="3755">
      <c r="B3755" s="30" t="n"/>
      <c r="G3755" s="9">
        <f>IF(AND(E3755&lt;&gt;"",E3755&lt;&gt;0,H3755&lt;&gt;""),H3755/E3755,"")</f>
        <v/>
      </c>
      <c r="L3755">
        <f>IF(B3755="","",IFERROR(VALUE(TEXT(B3755,"[$-1170401]yyyy")),""))</f>
        <v/>
      </c>
      <c r="M3755">
        <f>IF(B3755="","",IFERROR(VALUE(TEXT(B3755,"[$-1170401]mm")),""))</f>
        <v/>
      </c>
    </row>
    <row r="3756">
      <c r="B3756" s="30" t="n"/>
      <c r="G3756" s="9">
        <f>IF(AND(E3756&lt;&gt;"",E3756&lt;&gt;0,H3756&lt;&gt;""),H3756/E3756,"")</f>
        <v/>
      </c>
      <c r="L3756">
        <f>IF(B3756="","",IFERROR(VALUE(TEXT(B3756,"[$-1170401]yyyy")),""))</f>
        <v/>
      </c>
      <c r="M3756">
        <f>IF(B3756="","",IFERROR(VALUE(TEXT(B3756,"[$-1170401]mm")),""))</f>
        <v/>
      </c>
    </row>
    <row r="3757">
      <c r="B3757" s="30" t="n"/>
      <c r="G3757" s="9">
        <f>IF(AND(E3757&lt;&gt;"",E3757&lt;&gt;0,H3757&lt;&gt;""),H3757/E3757,"")</f>
        <v/>
      </c>
      <c r="L3757">
        <f>IF(B3757="","",IFERROR(VALUE(TEXT(B3757,"[$-1170401]yyyy")),""))</f>
        <v/>
      </c>
      <c r="M3757">
        <f>IF(B3757="","",IFERROR(VALUE(TEXT(B3757,"[$-1170401]mm")),""))</f>
        <v/>
      </c>
    </row>
    <row r="3758">
      <c r="B3758" s="30" t="n"/>
      <c r="G3758" s="9">
        <f>IF(AND(E3758&lt;&gt;"",E3758&lt;&gt;0,H3758&lt;&gt;""),H3758/E3758,"")</f>
        <v/>
      </c>
      <c r="L3758">
        <f>IF(B3758="","",IFERROR(VALUE(TEXT(B3758,"[$-1170401]yyyy")),""))</f>
        <v/>
      </c>
      <c r="M3758">
        <f>IF(B3758="","",IFERROR(VALUE(TEXT(B3758,"[$-1170401]mm")),""))</f>
        <v/>
      </c>
    </row>
    <row r="3759">
      <c r="B3759" s="30" t="n"/>
      <c r="G3759" s="9">
        <f>IF(AND(E3759&lt;&gt;"",E3759&lt;&gt;0,H3759&lt;&gt;""),H3759/E3759,"")</f>
        <v/>
      </c>
      <c r="L3759">
        <f>IF(B3759="","",IFERROR(VALUE(TEXT(B3759,"[$-1170401]yyyy")),""))</f>
        <v/>
      </c>
      <c r="M3759">
        <f>IF(B3759="","",IFERROR(VALUE(TEXT(B3759,"[$-1170401]mm")),""))</f>
        <v/>
      </c>
    </row>
    <row r="3760">
      <c r="B3760" s="30" t="n"/>
      <c r="G3760" s="9">
        <f>IF(AND(E3760&lt;&gt;"",E3760&lt;&gt;0,H3760&lt;&gt;""),H3760/E3760,"")</f>
        <v/>
      </c>
      <c r="L3760">
        <f>IF(B3760="","",IFERROR(VALUE(TEXT(B3760,"[$-1170401]yyyy")),""))</f>
        <v/>
      </c>
      <c r="M3760">
        <f>IF(B3760="","",IFERROR(VALUE(TEXT(B3760,"[$-1170401]mm")),""))</f>
        <v/>
      </c>
    </row>
    <row r="3761">
      <c r="B3761" s="30" t="n"/>
      <c r="G3761" s="9">
        <f>IF(AND(E3761&lt;&gt;"",E3761&lt;&gt;0,H3761&lt;&gt;""),H3761/E3761,"")</f>
        <v/>
      </c>
      <c r="L3761">
        <f>IF(B3761="","",IFERROR(VALUE(TEXT(B3761,"[$-1170401]yyyy")),""))</f>
        <v/>
      </c>
      <c r="M3761">
        <f>IF(B3761="","",IFERROR(VALUE(TEXT(B3761,"[$-1170401]mm")),""))</f>
        <v/>
      </c>
    </row>
    <row r="3762">
      <c r="B3762" s="30" t="n"/>
      <c r="G3762" s="9">
        <f>IF(AND(E3762&lt;&gt;"",E3762&lt;&gt;0,H3762&lt;&gt;""),H3762/E3762,"")</f>
        <v/>
      </c>
      <c r="L3762">
        <f>IF(B3762="","",IFERROR(VALUE(TEXT(B3762,"[$-1170401]yyyy")),""))</f>
        <v/>
      </c>
      <c r="M3762">
        <f>IF(B3762="","",IFERROR(VALUE(TEXT(B3762,"[$-1170401]mm")),""))</f>
        <v/>
      </c>
    </row>
    <row r="3763">
      <c r="B3763" s="30" t="n"/>
      <c r="G3763" s="9">
        <f>IF(AND(E3763&lt;&gt;"",E3763&lt;&gt;0,H3763&lt;&gt;""),H3763/E3763,"")</f>
        <v/>
      </c>
      <c r="L3763">
        <f>IF(B3763="","",IFERROR(VALUE(TEXT(B3763,"[$-1170401]yyyy")),""))</f>
        <v/>
      </c>
      <c r="M3763">
        <f>IF(B3763="","",IFERROR(VALUE(TEXT(B3763,"[$-1170401]mm")),""))</f>
        <v/>
      </c>
    </row>
    <row r="3764">
      <c r="B3764" s="30" t="n"/>
      <c r="G3764" s="9">
        <f>IF(AND(E3764&lt;&gt;"",E3764&lt;&gt;0,H3764&lt;&gt;""),H3764/E3764,"")</f>
        <v/>
      </c>
      <c r="L3764">
        <f>IF(B3764="","",IFERROR(VALUE(TEXT(B3764,"[$-1170401]yyyy")),""))</f>
        <v/>
      </c>
      <c r="M3764">
        <f>IF(B3764="","",IFERROR(VALUE(TEXT(B3764,"[$-1170401]mm")),""))</f>
        <v/>
      </c>
    </row>
    <row r="3765">
      <c r="B3765" s="30" t="n"/>
      <c r="G3765" s="9">
        <f>IF(AND(E3765&lt;&gt;"",E3765&lt;&gt;0,H3765&lt;&gt;""),H3765/E3765,"")</f>
        <v/>
      </c>
      <c r="L3765">
        <f>IF(B3765="","",IFERROR(VALUE(TEXT(B3765,"[$-1170401]yyyy")),""))</f>
        <v/>
      </c>
      <c r="M3765">
        <f>IF(B3765="","",IFERROR(VALUE(TEXT(B3765,"[$-1170401]mm")),""))</f>
        <v/>
      </c>
    </row>
    <row r="3766">
      <c r="B3766" s="30" t="n"/>
      <c r="G3766" s="9">
        <f>IF(AND(E3766&lt;&gt;"",E3766&lt;&gt;0,H3766&lt;&gt;""),H3766/E3766,"")</f>
        <v/>
      </c>
      <c r="L3766">
        <f>IF(B3766="","",IFERROR(VALUE(TEXT(B3766,"[$-1170401]yyyy")),""))</f>
        <v/>
      </c>
      <c r="M3766">
        <f>IF(B3766="","",IFERROR(VALUE(TEXT(B3766,"[$-1170401]mm")),""))</f>
        <v/>
      </c>
    </row>
    <row r="3767">
      <c r="B3767" s="30" t="n"/>
      <c r="G3767" s="9">
        <f>IF(AND(E3767&lt;&gt;"",E3767&lt;&gt;0,H3767&lt;&gt;""),H3767/E3767,"")</f>
        <v/>
      </c>
      <c r="L3767">
        <f>IF(B3767="","",IFERROR(VALUE(TEXT(B3767,"[$-1170401]yyyy")),""))</f>
        <v/>
      </c>
      <c r="M3767">
        <f>IF(B3767="","",IFERROR(VALUE(TEXT(B3767,"[$-1170401]mm")),""))</f>
        <v/>
      </c>
    </row>
    <row r="3768">
      <c r="B3768" s="30" t="n"/>
      <c r="G3768" s="9">
        <f>IF(AND(E3768&lt;&gt;"",E3768&lt;&gt;0,H3768&lt;&gt;""),H3768/E3768,"")</f>
        <v/>
      </c>
      <c r="L3768">
        <f>IF(B3768="","",IFERROR(VALUE(TEXT(B3768,"[$-1170401]yyyy")),""))</f>
        <v/>
      </c>
      <c r="M3768">
        <f>IF(B3768="","",IFERROR(VALUE(TEXT(B3768,"[$-1170401]mm")),""))</f>
        <v/>
      </c>
    </row>
    <row r="3769">
      <c r="B3769" s="30" t="n"/>
      <c r="G3769" s="9">
        <f>IF(AND(E3769&lt;&gt;"",E3769&lt;&gt;0,H3769&lt;&gt;""),H3769/E3769,"")</f>
        <v/>
      </c>
      <c r="L3769">
        <f>IF(B3769="","",IFERROR(VALUE(TEXT(B3769,"[$-1170401]yyyy")),""))</f>
        <v/>
      </c>
      <c r="M3769">
        <f>IF(B3769="","",IFERROR(VALUE(TEXT(B3769,"[$-1170401]mm")),""))</f>
        <v/>
      </c>
    </row>
    <row r="3770">
      <c r="B3770" s="30" t="n"/>
      <c r="G3770" s="9">
        <f>IF(AND(E3770&lt;&gt;"",E3770&lt;&gt;0,H3770&lt;&gt;""),H3770/E3770,"")</f>
        <v/>
      </c>
      <c r="L3770">
        <f>IF(B3770="","",IFERROR(VALUE(TEXT(B3770,"[$-1170401]yyyy")),""))</f>
        <v/>
      </c>
      <c r="M3770">
        <f>IF(B3770="","",IFERROR(VALUE(TEXT(B3770,"[$-1170401]mm")),""))</f>
        <v/>
      </c>
    </row>
    <row r="3771">
      <c r="B3771" s="30" t="n"/>
      <c r="G3771" s="9">
        <f>IF(AND(E3771&lt;&gt;"",E3771&lt;&gt;0,H3771&lt;&gt;""),H3771/E3771,"")</f>
        <v/>
      </c>
      <c r="L3771">
        <f>IF(B3771="","",IFERROR(VALUE(TEXT(B3771,"[$-1170401]yyyy")),""))</f>
        <v/>
      </c>
      <c r="M3771">
        <f>IF(B3771="","",IFERROR(VALUE(TEXT(B3771,"[$-1170401]mm")),""))</f>
        <v/>
      </c>
    </row>
    <row r="3772">
      <c r="B3772" s="30" t="n"/>
      <c r="G3772" s="9">
        <f>IF(AND(E3772&lt;&gt;"",E3772&lt;&gt;0,H3772&lt;&gt;""),H3772/E3772,"")</f>
        <v/>
      </c>
      <c r="L3772">
        <f>IF(B3772="","",IFERROR(VALUE(TEXT(B3772,"[$-1170401]yyyy")),""))</f>
        <v/>
      </c>
      <c r="M3772">
        <f>IF(B3772="","",IFERROR(VALUE(TEXT(B3772,"[$-1170401]mm")),""))</f>
        <v/>
      </c>
    </row>
    <row r="3773">
      <c r="B3773" s="30" t="n"/>
      <c r="G3773" s="9">
        <f>IF(AND(E3773&lt;&gt;"",E3773&lt;&gt;0,H3773&lt;&gt;""),H3773/E3773,"")</f>
        <v/>
      </c>
      <c r="L3773">
        <f>IF(B3773="","",IFERROR(VALUE(TEXT(B3773,"[$-1170401]yyyy")),""))</f>
        <v/>
      </c>
      <c r="M3773">
        <f>IF(B3773="","",IFERROR(VALUE(TEXT(B3773,"[$-1170401]mm")),""))</f>
        <v/>
      </c>
    </row>
    <row r="3774">
      <c r="B3774" s="30" t="n"/>
      <c r="G3774" s="9">
        <f>IF(AND(E3774&lt;&gt;"",E3774&lt;&gt;0,H3774&lt;&gt;""),H3774/E3774,"")</f>
        <v/>
      </c>
      <c r="L3774">
        <f>IF(B3774="","",IFERROR(VALUE(TEXT(B3774,"[$-1170401]yyyy")),""))</f>
        <v/>
      </c>
      <c r="M3774">
        <f>IF(B3774="","",IFERROR(VALUE(TEXT(B3774,"[$-1170401]mm")),""))</f>
        <v/>
      </c>
    </row>
    <row r="3775">
      <c r="B3775" s="30" t="n"/>
      <c r="G3775" s="9">
        <f>IF(AND(E3775&lt;&gt;"",E3775&lt;&gt;0,H3775&lt;&gt;""),H3775/E3775,"")</f>
        <v/>
      </c>
      <c r="L3775">
        <f>IF(B3775="","",IFERROR(VALUE(TEXT(B3775,"[$-1170401]yyyy")),""))</f>
        <v/>
      </c>
      <c r="M3775">
        <f>IF(B3775="","",IFERROR(VALUE(TEXT(B3775,"[$-1170401]mm")),""))</f>
        <v/>
      </c>
    </row>
    <row r="3776">
      <c r="B3776" s="30" t="n"/>
      <c r="G3776" s="9">
        <f>IF(AND(E3776&lt;&gt;"",E3776&lt;&gt;0,H3776&lt;&gt;""),H3776/E3776,"")</f>
        <v/>
      </c>
      <c r="L3776">
        <f>IF(B3776="","",IFERROR(VALUE(TEXT(B3776,"[$-1170401]yyyy")),""))</f>
        <v/>
      </c>
      <c r="M3776">
        <f>IF(B3776="","",IFERROR(VALUE(TEXT(B3776,"[$-1170401]mm")),""))</f>
        <v/>
      </c>
    </row>
    <row r="3777">
      <c r="B3777" s="30" t="n"/>
      <c r="G3777" s="9">
        <f>IF(AND(E3777&lt;&gt;"",E3777&lt;&gt;0,H3777&lt;&gt;""),H3777/E3777,"")</f>
        <v/>
      </c>
      <c r="L3777">
        <f>IF(B3777="","",IFERROR(VALUE(TEXT(B3777,"[$-1170401]yyyy")),""))</f>
        <v/>
      </c>
      <c r="M3777">
        <f>IF(B3777="","",IFERROR(VALUE(TEXT(B3777,"[$-1170401]mm")),""))</f>
        <v/>
      </c>
    </row>
    <row r="3778">
      <c r="B3778" s="30" t="n"/>
      <c r="G3778" s="9">
        <f>IF(AND(E3778&lt;&gt;"",E3778&lt;&gt;0,H3778&lt;&gt;""),H3778/E3778,"")</f>
        <v/>
      </c>
      <c r="L3778">
        <f>IF(B3778="","",IFERROR(VALUE(TEXT(B3778,"[$-1170401]yyyy")),""))</f>
        <v/>
      </c>
      <c r="M3778">
        <f>IF(B3778="","",IFERROR(VALUE(TEXT(B3778,"[$-1170401]mm")),""))</f>
        <v/>
      </c>
    </row>
    <row r="3779">
      <c r="B3779" s="30" t="n"/>
      <c r="G3779" s="9">
        <f>IF(AND(E3779&lt;&gt;"",E3779&lt;&gt;0,H3779&lt;&gt;""),H3779/E3779,"")</f>
        <v/>
      </c>
      <c r="L3779">
        <f>IF(B3779="","",IFERROR(VALUE(TEXT(B3779,"[$-1170401]yyyy")),""))</f>
        <v/>
      </c>
      <c r="M3779">
        <f>IF(B3779="","",IFERROR(VALUE(TEXT(B3779,"[$-1170401]mm")),""))</f>
        <v/>
      </c>
    </row>
    <row r="3780">
      <c r="B3780" s="30" t="n"/>
      <c r="G3780" s="9">
        <f>IF(AND(E3780&lt;&gt;"",E3780&lt;&gt;0,H3780&lt;&gt;""),H3780/E3780,"")</f>
        <v/>
      </c>
      <c r="L3780">
        <f>IF(B3780="","",IFERROR(VALUE(TEXT(B3780,"[$-1170401]yyyy")),""))</f>
        <v/>
      </c>
      <c r="M3780">
        <f>IF(B3780="","",IFERROR(VALUE(TEXT(B3780,"[$-1170401]mm")),""))</f>
        <v/>
      </c>
    </row>
    <row r="3781">
      <c r="B3781" s="30" t="n"/>
      <c r="G3781" s="9">
        <f>IF(AND(E3781&lt;&gt;"",E3781&lt;&gt;0,H3781&lt;&gt;""),H3781/E3781,"")</f>
        <v/>
      </c>
      <c r="L3781">
        <f>IF(B3781="","",IFERROR(VALUE(TEXT(B3781,"[$-1170401]yyyy")),""))</f>
        <v/>
      </c>
      <c r="M3781">
        <f>IF(B3781="","",IFERROR(VALUE(TEXT(B3781,"[$-1170401]mm")),""))</f>
        <v/>
      </c>
    </row>
    <row r="3782">
      <c r="B3782" s="30" t="n"/>
      <c r="G3782" s="9">
        <f>IF(AND(E3782&lt;&gt;"",E3782&lt;&gt;0,H3782&lt;&gt;""),H3782/E3782,"")</f>
        <v/>
      </c>
      <c r="L3782">
        <f>IF(B3782="","",IFERROR(VALUE(TEXT(B3782,"[$-1170401]yyyy")),""))</f>
        <v/>
      </c>
      <c r="M3782">
        <f>IF(B3782="","",IFERROR(VALUE(TEXT(B3782,"[$-1170401]mm")),""))</f>
        <v/>
      </c>
    </row>
    <row r="3783">
      <c r="B3783" s="30" t="n"/>
      <c r="G3783" s="9">
        <f>IF(AND(E3783&lt;&gt;"",E3783&lt;&gt;0,H3783&lt;&gt;""),H3783/E3783,"")</f>
        <v/>
      </c>
      <c r="L3783">
        <f>IF(B3783="","",IFERROR(VALUE(TEXT(B3783,"[$-1170401]yyyy")),""))</f>
        <v/>
      </c>
      <c r="M3783">
        <f>IF(B3783="","",IFERROR(VALUE(TEXT(B3783,"[$-1170401]mm")),""))</f>
        <v/>
      </c>
    </row>
    <row r="3784">
      <c r="B3784" s="30" t="n"/>
      <c r="G3784" s="9">
        <f>IF(AND(E3784&lt;&gt;"",E3784&lt;&gt;0,H3784&lt;&gt;""),H3784/E3784,"")</f>
        <v/>
      </c>
      <c r="L3784">
        <f>IF(B3784="","",IFERROR(VALUE(TEXT(B3784,"[$-1170401]yyyy")),""))</f>
        <v/>
      </c>
      <c r="M3784">
        <f>IF(B3784="","",IFERROR(VALUE(TEXT(B3784,"[$-1170401]mm")),""))</f>
        <v/>
      </c>
    </row>
    <row r="3785">
      <c r="B3785" s="30" t="n"/>
      <c r="G3785" s="9">
        <f>IF(AND(E3785&lt;&gt;"",E3785&lt;&gt;0,H3785&lt;&gt;""),H3785/E3785,"")</f>
        <v/>
      </c>
      <c r="L3785">
        <f>IF(B3785="","",IFERROR(VALUE(TEXT(B3785,"[$-1170401]yyyy")),""))</f>
        <v/>
      </c>
      <c r="M3785">
        <f>IF(B3785="","",IFERROR(VALUE(TEXT(B3785,"[$-1170401]mm")),""))</f>
        <v/>
      </c>
    </row>
    <row r="3786">
      <c r="B3786" s="30" t="n"/>
      <c r="G3786" s="9">
        <f>IF(AND(E3786&lt;&gt;"",E3786&lt;&gt;0,H3786&lt;&gt;""),H3786/E3786,"")</f>
        <v/>
      </c>
      <c r="L3786">
        <f>IF(B3786="","",IFERROR(VALUE(TEXT(B3786,"[$-1170401]yyyy")),""))</f>
        <v/>
      </c>
      <c r="M3786">
        <f>IF(B3786="","",IFERROR(VALUE(TEXT(B3786,"[$-1170401]mm")),""))</f>
        <v/>
      </c>
    </row>
    <row r="3787">
      <c r="B3787" s="30" t="n"/>
      <c r="G3787" s="9">
        <f>IF(AND(E3787&lt;&gt;"",E3787&lt;&gt;0,H3787&lt;&gt;""),H3787/E3787,"")</f>
        <v/>
      </c>
      <c r="L3787">
        <f>IF(B3787="","",IFERROR(VALUE(TEXT(B3787,"[$-1170401]yyyy")),""))</f>
        <v/>
      </c>
      <c r="M3787">
        <f>IF(B3787="","",IFERROR(VALUE(TEXT(B3787,"[$-1170401]mm")),""))</f>
        <v/>
      </c>
    </row>
    <row r="3788">
      <c r="B3788" s="30" t="n"/>
      <c r="G3788" s="9">
        <f>IF(AND(E3788&lt;&gt;"",E3788&lt;&gt;0,H3788&lt;&gt;""),H3788/E3788,"")</f>
        <v/>
      </c>
      <c r="L3788">
        <f>IF(B3788="","",IFERROR(VALUE(TEXT(B3788,"[$-1170401]yyyy")),""))</f>
        <v/>
      </c>
      <c r="M3788">
        <f>IF(B3788="","",IFERROR(VALUE(TEXT(B3788,"[$-1170401]mm")),""))</f>
        <v/>
      </c>
    </row>
    <row r="3789">
      <c r="B3789" s="30" t="n"/>
      <c r="G3789" s="9">
        <f>IF(AND(E3789&lt;&gt;"",E3789&lt;&gt;0,H3789&lt;&gt;""),H3789/E3789,"")</f>
        <v/>
      </c>
      <c r="L3789">
        <f>IF(B3789="","",IFERROR(VALUE(TEXT(B3789,"[$-1170401]yyyy")),""))</f>
        <v/>
      </c>
      <c r="M3789">
        <f>IF(B3789="","",IFERROR(VALUE(TEXT(B3789,"[$-1170401]mm")),""))</f>
        <v/>
      </c>
    </row>
    <row r="3790">
      <c r="B3790" s="30" t="n"/>
      <c r="G3790" s="9">
        <f>IF(AND(E3790&lt;&gt;"",E3790&lt;&gt;0,H3790&lt;&gt;""),H3790/E3790,"")</f>
        <v/>
      </c>
      <c r="L3790">
        <f>IF(B3790="","",IFERROR(VALUE(TEXT(B3790,"[$-1170401]yyyy")),""))</f>
        <v/>
      </c>
      <c r="M3790">
        <f>IF(B3790="","",IFERROR(VALUE(TEXT(B3790,"[$-1170401]mm")),""))</f>
        <v/>
      </c>
    </row>
    <row r="3791">
      <c r="B3791" s="30" t="n"/>
      <c r="G3791" s="9">
        <f>IF(AND(E3791&lt;&gt;"",E3791&lt;&gt;0,H3791&lt;&gt;""),H3791/E3791,"")</f>
        <v/>
      </c>
      <c r="L3791">
        <f>IF(B3791="","",IFERROR(VALUE(TEXT(B3791,"[$-1170401]yyyy")),""))</f>
        <v/>
      </c>
      <c r="M3791">
        <f>IF(B3791="","",IFERROR(VALUE(TEXT(B3791,"[$-1170401]mm")),""))</f>
        <v/>
      </c>
    </row>
    <row r="3792">
      <c r="B3792" s="30" t="n"/>
      <c r="G3792" s="9">
        <f>IF(AND(E3792&lt;&gt;"",E3792&lt;&gt;0,H3792&lt;&gt;""),H3792/E3792,"")</f>
        <v/>
      </c>
      <c r="L3792">
        <f>IF(B3792="","",IFERROR(VALUE(TEXT(B3792,"[$-1170401]yyyy")),""))</f>
        <v/>
      </c>
      <c r="M3792">
        <f>IF(B3792="","",IFERROR(VALUE(TEXT(B3792,"[$-1170401]mm")),""))</f>
        <v/>
      </c>
    </row>
    <row r="3793">
      <c r="B3793" s="30" t="n"/>
      <c r="G3793" s="9">
        <f>IF(AND(E3793&lt;&gt;"",E3793&lt;&gt;0,H3793&lt;&gt;""),H3793/E3793,"")</f>
        <v/>
      </c>
      <c r="L3793">
        <f>IF(B3793="","",IFERROR(VALUE(TEXT(B3793,"[$-1170401]yyyy")),""))</f>
        <v/>
      </c>
      <c r="M3793">
        <f>IF(B3793="","",IFERROR(VALUE(TEXT(B3793,"[$-1170401]mm")),""))</f>
        <v/>
      </c>
    </row>
    <row r="3794">
      <c r="B3794" s="30" t="n"/>
      <c r="G3794" s="9">
        <f>IF(AND(E3794&lt;&gt;"",E3794&lt;&gt;0,H3794&lt;&gt;""),H3794/E3794,"")</f>
        <v/>
      </c>
      <c r="L3794">
        <f>IF(B3794="","",IFERROR(VALUE(TEXT(B3794,"[$-1170401]yyyy")),""))</f>
        <v/>
      </c>
      <c r="M3794">
        <f>IF(B3794="","",IFERROR(VALUE(TEXT(B3794,"[$-1170401]mm")),""))</f>
        <v/>
      </c>
    </row>
    <row r="3795">
      <c r="B3795" s="30" t="n"/>
      <c r="G3795" s="9">
        <f>IF(AND(E3795&lt;&gt;"",E3795&lt;&gt;0,H3795&lt;&gt;""),H3795/E3795,"")</f>
        <v/>
      </c>
      <c r="L3795">
        <f>IF(B3795="","",IFERROR(VALUE(TEXT(B3795,"[$-1170401]yyyy")),""))</f>
        <v/>
      </c>
      <c r="M3795">
        <f>IF(B3795="","",IFERROR(VALUE(TEXT(B3795,"[$-1170401]mm")),""))</f>
        <v/>
      </c>
    </row>
    <row r="3796">
      <c r="B3796" s="30" t="n"/>
      <c r="G3796" s="9">
        <f>IF(AND(E3796&lt;&gt;"",E3796&lt;&gt;0,H3796&lt;&gt;""),H3796/E3796,"")</f>
        <v/>
      </c>
      <c r="L3796">
        <f>IF(B3796="","",IFERROR(VALUE(TEXT(B3796,"[$-1170401]yyyy")),""))</f>
        <v/>
      </c>
      <c r="M3796">
        <f>IF(B3796="","",IFERROR(VALUE(TEXT(B3796,"[$-1170401]mm")),""))</f>
        <v/>
      </c>
    </row>
    <row r="3797">
      <c r="B3797" s="30" t="n"/>
      <c r="G3797" s="9">
        <f>IF(AND(E3797&lt;&gt;"",E3797&lt;&gt;0,H3797&lt;&gt;""),H3797/E3797,"")</f>
        <v/>
      </c>
      <c r="L3797">
        <f>IF(B3797="","",IFERROR(VALUE(TEXT(B3797,"[$-1170401]yyyy")),""))</f>
        <v/>
      </c>
      <c r="M3797">
        <f>IF(B3797="","",IFERROR(VALUE(TEXT(B3797,"[$-1170401]mm")),""))</f>
        <v/>
      </c>
    </row>
    <row r="3798">
      <c r="B3798" s="30" t="n"/>
      <c r="G3798" s="9">
        <f>IF(AND(E3798&lt;&gt;"",E3798&lt;&gt;0,H3798&lt;&gt;""),H3798/E3798,"")</f>
        <v/>
      </c>
      <c r="L3798">
        <f>IF(B3798="","",IFERROR(VALUE(TEXT(B3798,"[$-1170401]yyyy")),""))</f>
        <v/>
      </c>
      <c r="M3798">
        <f>IF(B3798="","",IFERROR(VALUE(TEXT(B3798,"[$-1170401]mm")),""))</f>
        <v/>
      </c>
    </row>
    <row r="3799">
      <c r="B3799" s="30" t="n"/>
      <c r="G3799" s="9">
        <f>IF(AND(E3799&lt;&gt;"",E3799&lt;&gt;0,H3799&lt;&gt;""),H3799/E3799,"")</f>
        <v/>
      </c>
      <c r="L3799">
        <f>IF(B3799="","",IFERROR(VALUE(TEXT(B3799,"[$-1170401]yyyy")),""))</f>
        <v/>
      </c>
      <c r="M3799">
        <f>IF(B3799="","",IFERROR(VALUE(TEXT(B3799,"[$-1170401]mm")),""))</f>
        <v/>
      </c>
    </row>
    <row r="3800">
      <c r="B3800" s="30" t="n"/>
      <c r="G3800" s="9">
        <f>IF(AND(E3800&lt;&gt;"",E3800&lt;&gt;0,H3800&lt;&gt;""),H3800/E3800,"")</f>
        <v/>
      </c>
      <c r="L3800">
        <f>IF(B3800="","",IFERROR(VALUE(TEXT(B3800,"[$-1170401]yyyy")),""))</f>
        <v/>
      </c>
      <c r="M3800">
        <f>IF(B3800="","",IFERROR(VALUE(TEXT(B3800,"[$-1170401]mm")),""))</f>
        <v/>
      </c>
    </row>
    <row r="3801">
      <c r="B3801" s="30" t="n"/>
      <c r="G3801" s="9">
        <f>IF(AND(E3801&lt;&gt;"",E3801&lt;&gt;0,H3801&lt;&gt;""),H3801/E3801,"")</f>
        <v/>
      </c>
      <c r="L3801">
        <f>IF(B3801="","",IFERROR(VALUE(TEXT(B3801,"[$-1170401]yyyy")),""))</f>
        <v/>
      </c>
      <c r="M3801">
        <f>IF(B3801="","",IFERROR(VALUE(TEXT(B3801,"[$-1170401]mm")),""))</f>
        <v/>
      </c>
    </row>
    <row r="3802">
      <c r="B3802" s="30" t="n"/>
      <c r="G3802" s="9">
        <f>IF(AND(E3802&lt;&gt;"",E3802&lt;&gt;0,H3802&lt;&gt;""),H3802/E3802,"")</f>
        <v/>
      </c>
      <c r="L3802">
        <f>IF(B3802="","",IFERROR(VALUE(TEXT(B3802,"[$-1170401]yyyy")),""))</f>
        <v/>
      </c>
      <c r="M3802">
        <f>IF(B3802="","",IFERROR(VALUE(TEXT(B3802,"[$-1170401]mm")),""))</f>
        <v/>
      </c>
    </row>
    <row r="3803">
      <c r="B3803" s="30" t="n"/>
      <c r="G3803" s="9">
        <f>IF(AND(E3803&lt;&gt;"",E3803&lt;&gt;0,H3803&lt;&gt;""),H3803/E3803,"")</f>
        <v/>
      </c>
      <c r="L3803">
        <f>IF(B3803="","",IFERROR(VALUE(TEXT(B3803,"[$-1170401]yyyy")),""))</f>
        <v/>
      </c>
      <c r="M3803">
        <f>IF(B3803="","",IFERROR(VALUE(TEXT(B3803,"[$-1170401]mm")),""))</f>
        <v/>
      </c>
    </row>
    <row r="3804">
      <c r="B3804" s="30" t="n"/>
      <c r="G3804" s="9">
        <f>IF(AND(E3804&lt;&gt;"",E3804&lt;&gt;0,H3804&lt;&gt;""),H3804/E3804,"")</f>
        <v/>
      </c>
      <c r="L3804">
        <f>IF(B3804="","",IFERROR(VALUE(TEXT(B3804,"[$-1170401]yyyy")),""))</f>
        <v/>
      </c>
      <c r="M3804">
        <f>IF(B3804="","",IFERROR(VALUE(TEXT(B3804,"[$-1170401]mm")),""))</f>
        <v/>
      </c>
    </row>
    <row r="3805">
      <c r="B3805" s="30" t="n"/>
      <c r="G3805" s="9">
        <f>IF(AND(E3805&lt;&gt;"",E3805&lt;&gt;0,H3805&lt;&gt;""),H3805/E3805,"")</f>
        <v/>
      </c>
      <c r="L3805">
        <f>IF(B3805="","",IFERROR(VALUE(TEXT(B3805,"[$-1170401]yyyy")),""))</f>
        <v/>
      </c>
      <c r="M3805">
        <f>IF(B3805="","",IFERROR(VALUE(TEXT(B3805,"[$-1170401]mm")),""))</f>
        <v/>
      </c>
    </row>
    <row r="3806">
      <c r="B3806" s="30" t="n"/>
      <c r="G3806" s="9">
        <f>IF(AND(E3806&lt;&gt;"",E3806&lt;&gt;0,H3806&lt;&gt;""),H3806/E3806,"")</f>
        <v/>
      </c>
      <c r="L3806">
        <f>IF(B3806="","",IFERROR(VALUE(TEXT(B3806,"[$-1170401]yyyy")),""))</f>
        <v/>
      </c>
      <c r="M3806">
        <f>IF(B3806="","",IFERROR(VALUE(TEXT(B3806,"[$-1170401]mm")),""))</f>
        <v/>
      </c>
    </row>
    <row r="3807">
      <c r="B3807" s="30" t="n"/>
      <c r="G3807" s="9">
        <f>IF(AND(E3807&lt;&gt;"",E3807&lt;&gt;0,H3807&lt;&gt;""),H3807/E3807,"")</f>
        <v/>
      </c>
      <c r="L3807">
        <f>IF(B3807="","",IFERROR(VALUE(TEXT(B3807,"[$-1170401]yyyy")),""))</f>
        <v/>
      </c>
      <c r="M3807">
        <f>IF(B3807="","",IFERROR(VALUE(TEXT(B3807,"[$-1170401]mm")),""))</f>
        <v/>
      </c>
    </row>
    <row r="3808">
      <c r="B3808" s="30" t="n"/>
      <c r="G3808" s="9">
        <f>IF(AND(E3808&lt;&gt;"",E3808&lt;&gt;0,H3808&lt;&gt;""),H3808/E3808,"")</f>
        <v/>
      </c>
      <c r="L3808">
        <f>IF(B3808="","",IFERROR(VALUE(TEXT(B3808,"[$-1170401]yyyy")),""))</f>
        <v/>
      </c>
      <c r="M3808">
        <f>IF(B3808="","",IFERROR(VALUE(TEXT(B3808,"[$-1170401]mm")),""))</f>
        <v/>
      </c>
    </row>
    <row r="3809">
      <c r="B3809" s="30" t="n"/>
      <c r="G3809" s="9">
        <f>IF(AND(E3809&lt;&gt;"",E3809&lt;&gt;0,H3809&lt;&gt;""),H3809/E3809,"")</f>
        <v/>
      </c>
      <c r="L3809">
        <f>IF(B3809="","",IFERROR(VALUE(TEXT(B3809,"[$-1170401]yyyy")),""))</f>
        <v/>
      </c>
      <c r="M3809">
        <f>IF(B3809="","",IFERROR(VALUE(TEXT(B3809,"[$-1170401]mm")),""))</f>
        <v/>
      </c>
    </row>
    <row r="3810">
      <c r="B3810" s="30" t="n"/>
      <c r="G3810" s="9">
        <f>IF(AND(E3810&lt;&gt;"",E3810&lt;&gt;0,H3810&lt;&gt;""),H3810/E3810,"")</f>
        <v/>
      </c>
      <c r="L3810">
        <f>IF(B3810="","",IFERROR(VALUE(TEXT(B3810,"[$-1170401]yyyy")),""))</f>
        <v/>
      </c>
      <c r="M3810">
        <f>IF(B3810="","",IFERROR(VALUE(TEXT(B3810,"[$-1170401]mm")),""))</f>
        <v/>
      </c>
    </row>
    <row r="3811">
      <c r="B3811" s="30" t="n"/>
      <c r="G3811" s="9">
        <f>IF(AND(E3811&lt;&gt;"",E3811&lt;&gt;0,H3811&lt;&gt;""),H3811/E3811,"")</f>
        <v/>
      </c>
      <c r="L3811">
        <f>IF(B3811="","",IFERROR(VALUE(TEXT(B3811,"[$-1170401]yyyy")),""))</f>
        <v/>
      </c>
      <c r="M3811">
        <f>IF(B3811="","",IFERROR(VALUE(TEXT(B3811,"[$-1170401]mm")),""))</f>
        <v/>
      </c>
    </row>
    <row r="3812">
      <c r="B3812" s="30" t="n"/>
      <c r="G3812" s="9">
        <f>IF(AND(E3812&lt;&gt;"",E3812&lt;&gt;0,H3812&lt;&gt;""),H3812/E3812,"")</f>
        <v/>
      </c>
      <c r="L3812">
        <f>IF(B3812="","",IFERROR(VALUE(TEXT(B3812,"[$-1170401]yyyy")),""))</f>
        <v/>
      </c>
      <c r="M3812">
        <f>IF(B3812="","",IFERROR(VALUE(TEXT(B3812,"[$-1170401]mm")),""))</f>
        <v/>
      </c>
    </row>
    <row r="3813">
      <c r="B3813" s="30" t="n"/>
      <c r="G3813" s="9">
        <f>IF(AND(E3813&lt;&gt;"",E3813&lt;&gt;0,H3813&lt;&gt;""),H3813/E3813,"")</f>
        <v/>
      </c>
      <c r="L3813">
        <f>IF(B3813="","",IFERROR(VALUE(TEXT(B3813,"[$-1170401]yyyy")),""))</f>
        <v/>
      </c>
      <c r="M3813">
        <f>IF(B3813="","",IFERROR(VALUE(TEXT(B3813,"[$-1170401]mm")),""))</f>
        <v/>
      </c>
    </row>
    <row r="3814">
      <c r="B3814" s="30" t="n"/>
      <c r="G3814" s="9">
        <f>IF(AND(E3814&lt;&gt;"",E3814&lt;&gt;0,H3814&lt;&gt;""),H3814/E3814,"")</f>
        <v/>
      </c>
      <c r="L3814">
        <f>IF(B3814="","",IFERROR(VALUE(TEXT(B3814,"[$-1170401]yyyy")),""))</f>
        <v/>
      </c>
      <c r="M3814">
        <f>IF(B3814="","",IFERROR(VALUE(TEXT(B3814,"[$-1170401]mm")),""))</f>
        <v/>
      </c>
    </row>
    <row r="3815">
      <c r="B3815" s="30" t="n"/>
      <c r="G3815" s="9">
        <f>IF(AND(E3815&lt;&gt;"",E3815&lt;&gt;0,H3815&lt;&gt;""),H3815/E3815,"")</f>
        <v/>
      </c>
      <c r="L3815">
        <f>IF(B3815="","",IFERROR(VALUE(TEXT(B3815,"[$-1170401]yyyy")),""))</f>
        <v/>
      </c>
      <c r="M3815">
        <f>IF(B3815="","",IFERROR(VALUE(TEXT(B3815,"[$-1170401]mm")),""))</f>
        <v/>
      </c>
    </row>
    <row r="3816">
      <c r="B3816" s="30" t="n"/>
      <c r="G3816" s="9">
        <f>IF(AND(E3816&lt;&gt;"",E3816&lt;&gt;0,H3816&lt;&gt;""),H3816/E3816,"")</f>
        <v/>
      </c>
      <c r="L3816">
        <f>IF(B3816="","",IFERROR(VALUE(TEXT(B3816,"[$-1170401]yyyy")),""))</f>
        <v/>
      </c>
      <c r="M3816">
        <f>IF(B3816="","",IFERROR(VALUE(TEXT(B3816,"[$-1170401]mm")),""))</f>
        <v/>
      </c>
    </row>
    <row r="3817">
      <c r="B3817" s="30" t="n"/>
      <c r="G3817" s="9">
        <f>IF(AND(E3817&lt;&gt;"",E3817&lt;&gt;0,H3817&lt;&gt;""),H3817/E3817,"")</f>
        <v/>
      </c>
      <c r="L3817">
        <f>IF(B3817="","",IFERROR(VALUE(TEXT(B3817,"[$-1170401]yyyy")),""))</f>
        <v/>
      </c>
      <c r="M3817">
        <f>IF(B3817="","",IFERROR(VALUE(TEXT(B3817,"[$-1170401]mm")),""))</f>
        <v/>
      </c>
    </row>
    <row r="3818">
      <c r="B3818" s="30" t="n"/>
      <c r="G3818" s="9">
        <f>IF(AND(E3818&lt;&gt;"",E3818&lt;&gt;0,H3818&lt;&gt;""),H3818/E3818,"")</f>
        <v/>
      </c>
      <c r="L3818">
        <f>IF(B3818="","",IFERROR(VALUE(TEXT(B3818,"[$-1170401]yyyy")),""))</f>
        <v/>
      </c>
      <c r="M3818">
        <f>IF(B3818="","",IFERROR(VALUE(TEXT(B3818,"[$-1170401]mm")),""))</f>
        <v/>
      </c>
    </row>
    <row r="3819">
      <c r="B3819" s="30" t="n"/>
      <c r="G3819" s="9">
        <f>IF(AND(E3819&lt;&gt;"",E3819&lt;&gt;0,H3819&lt;&gt;""),H3819/E3819,"")</f>
        <v/>
      </c>
      <c r="L3819">
        <f>IF(B3819="","",IFERROR(VALUE(TEXT(B3819,"[$-1170401]yyyy")),""))</f>
        <v/>
      </c>
      <c r="M3819">
        <f>IF(B3819="","",IFERROR(VALUE(TEXT(B3819,"[$-1170401]mm")),""))</f>
        <v/>
      </c>
    </row>
    <row r="3820">
      <c r="B3820" s="30" t="n"/>
      <c r="G3820" s="9">
        <f>IF(AND(E3820&lt;&gt;"",E3820&lt;&gt;0,H3820&lt;&gt;""),H3820/E3820,"")</f>
        <v/>
      </c>
      <c r="L3820">
        <f>IF(B3820="","",IFERROR(VALUE(TEXT(B3820,"[$-1170401]yyyy")),""))</f>
        <v/>
      </c>
      <c r="M3820">
        <f>IF(B3820="","",IFERROR(VALUE(TEXT(B3820,"[$-1170401]mm")),""))</f>
        <v/>
      </c>
    </row>
    <row r="3821">
      <c r="B3821" s="30" t="n"/>
      <c r="G3821" s="9">
        <f>IF(AND(E3821&lt;&gt;"",E3821&lt;&gt;0,H3821&lt;&gt;""),H3821/E3821,"")</f>
        <v/>
      </c>
      <c r="L3821">
        <f>IF(B3821="","",IFERROR(VALUE(TEXT(B3821,"[$-1170401]yyyy")),""))</f>
        <v/>
      </c>
      <c r="M3821">
        <f>IF(B3821="","",IFERROR(VALUE(TEXT(B3821,"[$-1170401]mm")),""))</f>
        <v/>
      </c>
    </row>
    <row r="3822">
      <c r="B3822" s="30" t="n"/>
      <c r="G3822" s="9">
        <f>IF(AND(E3822&lt;&gt;"",E3822&lt;&gt;0,H3822&lt;&gt;""),H3822/E3822,"")</f>
        <v/>
      </c>
      <c r="L3822">
        <f>IF(B3822="","",IFERROR(VALUE(TEXT(B3822,"[$-1170401]yyyy")),""))</f>
        <v/>
      </c>
      <c r="M3822">
        <f>IF(B3822="","",IFERROR(VALUE(TEXT(B3822,"[$-1170401]mm")),""))</f>
        <v/>
      </c>
    </row>
    <row r="3823">
      <c r="B3823" s="30" t="n"/>
      <c r="G3823" s="9">
        <f>IF(AND(E3823&lt;&gt;"",E3823&lt;&gt;0,H3823&lt;&gt;""),H3823/E3823,"")</f>
        <v/>
      </c>
      <c r="L3823">
        <f>IF(B3823="","",IFERROR(VALUE(TEXT(B3823,"[$-1170401]yyyy")),""))</f>
        <v/>
      </c>
      <c r="M3823">
        <f>IF(B3823="","",IFERROR(VALUE(TEXT(B3823,"[$-1170401]mm")),""))</f>
        <v/>
      </c>
    </row>
    <row r="3824">
      <c r="B3824" s="30" t="n"/>
      <c r="G3824" s="9">
        <f>IF(AND(E3824&lt;&gt;"",E3824&lt;&gt;0,H3824&lt;&gt;""),H3824/E3824,"")</f>
        <v/>
      </c>
      <c r="L3824">
        <f>IF(B3824="","",IFERROR(VALUE(TEXT(B3824,"[$-1170401]yyyy")),""))</f>
        <v/>
      </c>
      <c r="M3824">
        <f>IF(B3824="","",IFERROR(VALUE(TEXT(B3824,"[$-1170401]mm")),""))</f>
        <v/>
      </c>
    </row>
    <row r="3825">
      <c r="B3825" s="30" t="n"/>
      <c r="G3825" s="9">
        <f>IF(AND(E3825&lt;&gt;"",E3825&lt;&gt;0,H3825&lt;&gt;""),H3825/E3825,"")</f>
        <v/>
      </c>
      <c r="L3825">
        <f>IF(B3825="","",IFERROR(VALUE(TEXT(B3825,"[$-1170401]yyyy")),""))</f>
        <v/>
      </c>
      <c r="M3825">
        <f>IF(B3825="","",IFERROR(VALUE(TEXT(B3825,"[$-1170401]mm")),""))</f>
        <v/>
      </c>
    </row>
    <row r="3826">
      <c r="B3826" s="30" t="n"/>
      <c r="G3826" s="9">
        <f>IF(AND(E3826&lt;&gt;"",E3826&lt;&gt;0,H3826&lt;&gt;""),H3826/E3826,"")</f>
        <v/>
      </c>
      <c r="L3826">
        <f>IF(B3826="","",IFERROR(VALUE(TEXT(B3826,"[$-1170401]yyyy")),""))</f>
        <v/>
      </c>
      <c r="M3826">
        <f>IF(B3826="","",IFERROR(VALUE(TEXT(B3826,"[$-1170401]mm")),""))</f>
        <v/>
      </c>
    </row>
    <row r="3827">
      <c r="B3827" s="30" t="n"/>
      <c r="G3827" s="9">
        <f>IF(AND(E3827&lt;&gt;"",E3827&lt;&gt;0,H3827&lt;&gt;""),H3827/E3827,"")</f>
        <v/>
      </c>
      <c r="L3827">
        <f>IF(B3827="","",IFERROR(VALUE(TEXT(B3827,"[$-1170401]yyyy")),""))</f>
        <v/>
      </c>
      <c r="M3827">
        <f>IF(B3827="","",IFERROR(VALUE(TEXT(B3827,"[$-1170401]mm")),""))</f>
        <v/>
      </c>
    </row>
    <row r="3828">
      <c r="B3828" s="30" t="n"/>
      <c r="G3828" s="9">
        <f>IF(AND(E3828&lt;&gt;"",E3828&lt;&gt;0,H3828&lt;&gt;""),H3828/E3828,"")</f>
        <v/>
      </c>
      <c r="L3828">
        <f>IF(B3828="","",IFERROR(VALUE(TEXT(B3828,"[$-1170401]yyyy")),""))</f>
        <v/>
      </c>
      <c r="M3828">
        <f>IF(B3828="","",IFERROR(VALUE(TEXT(B3828,"[$-1170401]mm")),""))</f>
        <v/>
      </c>
    </row>
    <row r="3829">
      <c r="B3829" s="30" t="n"/>
      <c r="G3829" s="9">
        <f>IF(AND(E3829&lt;&gt;"",E3829&lt;&gt;0,H3829&lt;&gt;""),H3829/E3829,"")</f>
        <v/>
      </c>
      <c r="L3829">
        <f>IF(B3829="","",IFERROR(VALUE(TEXT(B3829,"[$-1170401]yyyy")),""))</f>
        <v/>
      </c>
      <c r="M3829">
        <f>IF(B3829="","",IFERROR(VALUE(TEXT(B3829,"[$-1170401]mm")),""))</f>
        <v/>
      </c>
    </row>
    <row r="3830">
      <c r="B3830" s="30" t="n"/>
      <c r="G3830" s="9">
        <f>IF(AND(E3830&lt;&gt;"",E3830&lt;&gt;0,H3830&lt;&gt;""),H3830/E3830,"")</f>
        <v/>
      </c>
      <c r="L3830">
        <f>IF(B3830="","",IFERROR(VALUE(TEXT(B3830,"[$-1170401]yyyy")),""))</f>
        <v/>
      </c>
      <c r="M3830">
        <f>IF(B3830="","",IFERROR(VALUE(TEXT(B3830,"[$-1170401]mm")),""))</f>
        <v/>
      </c>
    </row>
    <row r="3831">
      <c r="B3831" s="30" t="n"/>
      <c r="G3831" s="9">
        <f>IF(AND(E3831&lt;&gt;"",E3831&lt;&gt;0,H3831&lt;&gt;""),H3831/E3831,"")</f>
        <v/>
      </c>
      <c r="L3831">
        <f>IF(B3831="","",IFERROR(VALUE(TEXT(B3831,"[$-1170401]yyyy")),""))</f>
        <v/>
      </c>
      <c r="M3831">
        <f>IF(B3831="","",IFERROR(VALUE(TEXT(B3831,"[$-1170401]mm")),""))</f>
        <v/>
      </c>
    </row>
    <row r="3832">
      <c r="B3832" s="30" t="n"/>
      <c r="G3832" s="9">
        <f>IF(AND(E3832&lt;&gt;"",E3832&lt;&gt;0,H3832&lt;&gt;""),H3832/E3832,"")</f>
        <v/>
      </c>
      <c r="L3832">
        <f>IF(B3832="","",IFERROR(VALUE(TEXT(B3832,"[$-1170401]yyyy")),""))</f>
        <v/>
      </c>
      <c r="M3832">
        <f>IF(B3832="","",IFERROR(VALUE(TEXT(B3832,"[$-1170401]mm")),""))</f>
        <v/>
      </c>
    </row>
    <row r="3833">
      <c r="B3833" s="30" t="n"/>
      <c r="G3833" s="9">
        <f>IF(AND(E3833&lt;&gt;"",E3833&lt;&gt;0,H3833&lt;&gt;""),H3833/E3833,"")</f>
        <v/>
      </c>
      <c r="L3833">
        <f>IF(B3833="","",IFERROR(VALUE(TEXT(B3833,"[$-1170401]yyyy")),""))</f>
        <v/>
      </c>
      <c r="M3833">
        <f>IF(B3833="","",IFERROR(VALUE(TEXT(B3833,"[$-1170401]mm")),""))</f>
        <v/>
      </c>
    </row>
    <row r="3834">
      <c r="B3834" s="30" t="n"/>
      <c r="G3834" s="9">
        <f>IF(AND(E3834&lt;&gt;"",E3834&lt;&gt;0,H3834&lt;&gt;""),H3834/E3834,"")</f>
        <v/>
      </c>
      <c r="L3834">
        <f>IF(B3834="","",IFERROR(VALUE(TEXT(B3834,"[$-1170401]yyyy")),""))</f>
        <v/>
      </c>
      <c r="M3834">
        <f>IF(B3834="","",IFERROR(VALUE(TEXT(B3834,"[$-1170401]mm")),""))</f>
        <v/>
      </c>
    </row>
    <row r="3835">
      <c r="B3835" s="30" t="n"/>
      <c r="G3835" s="9">
        <f>IF(AND(E3835&lt;&gt;"",E3835&lt;&gt;0,H3835&lt;&gt;""),H3835/E3835,"")</f>
        <v/>
      </c>
      <c r="L3835">
        <f>IF(B3835="","",IFERROR(VALUE(TEXT(B3835,"[$-1170401]yyyy")),""))</f>
        <v/>
      </c>
      <c r="M3835">
        <f>IF(B3835="","",IFERROR(VALUE(TEXT(B3835,"[$-1170401]mm")),""))</f>
        <v/>
      </c>
    </row>
    <row r="3836">
      <c r="B3836" s="30" t="n"/>
      <c r="G3836" s="9">
        <f>IF(AND(E3836&lt;&gt;"",E3836&lt;&gt;0,H3836&lt;&gt;""),H3836/E3836,"")</f>
        <v/>
      </c>
      <c r="L3836">
        <f>IF(B3836="","",IFERROR(VALUE(TEXT(B3836,"[$-1170401]yyyy")),""))</f>
        <v/>
      </c>
      <c r="M3836">
        <f>IF(B3836="","",IFERROR(VALUE(TEXT(B3836,"[$-1170401]mm")),""))</f>
        <v/>
      </c>
    </row>
    <row r="3837">
      <c r="B3837" s="30" t="n"/>
      <c r="G3837" s="9">
        <f>IF(AND(E3837&lt;&gt;"",E3837&lt;&gt;0,H3837&lt;&gt;""),H3837/E3837,"")</f>
        <v/>
      </c>
      <c r="L3837">
        <f>IF(B3837="","",IFERROR(VALUE(TEXT(B3837,"[$-1170401]yyyy")),""))</f>
        <v/>
      </c>
      <c r="M3837">
        <f>IF(B3837="","",IFERROR(VALUE(TEXT(B3837,"[$-1170401]mm")),""))</f>
        <v/>
      </c>
    </row>
    <row r="3838">
      <c r="B3838" s="30" t="n"/>
      <c r="G3838" s="9">
        <f>IF(AND(E3838&lt;&gt;"",E3838&lt;&gt;0,H3838&lt;&gt;""),H3838/E3838,"")</f>
        <v/>
      </c>
      <c r="L3838">
        <f>IF(B3838="","",IFERROR(VALUE(TEXT(B3838,"[$-1170401]yyyy")),""))</f>
        <v/>
      </c>
      <c r="M3838">
        <f>IF(B3838="","",IFERROR(VALUE(TEXT(B3838,"[$-1170401]mm")),""))</f>
        <v/>
      </c>
    </row>
    <row r="3839">
      <c r="B3839" s="30" t="n"/>
      <c r="G3839" s="9">
        <f>IF(AND(E3839&lt;&gt;"",E3839&lt;&gt;0,H3839&lt;&gt;""),H3839/E3839,"")</f>
        <v/>
      </c>
      <c r="L3839">
        <f>IF(B3839="","",IFERROR(VALUE(TEXT(B3839,"[$-1170401]yyyy")),""))</f>
        <v/>
      </c>
      <c r="M3839">
        <f>IF(B3839="","",IFERROR(VALUE(TEXT(B3839,"[$-1170401]mm")),""))</f>
        <v/>
      </c>
    </row>
    <row r="3840">
      <c r="B3840" s="30" t="n"/>
      <c r="G3840" s="9">
        <f>IF(AND(E3840&lt;&gt;"",E3840&lt;&gt;0,H3840&lt;&gt;""),H3840/E3840,"")</f>
        <v/>
      </c>
      <c r="L3840">
        <f>IF(B3840="","",IFERROR(VALUE(TEXT(B3840,"[$-1170401]yyyy")),""))</f>
        <v/>
      </c>
      <c r="M3840">
        <f>IF(B3840="","",IFERROR(VALUE(TEXT(B3840,"[$-1170401]mm")),""))</f>
        <v/>
      </c>
    </row>
    <row r="3841">
      <c r="B3841" s="30" t="n"/>
      <c r="G3841" s="9">
        <f>IF(AND(E3841&lt;&gt;"",E3841&lt;&gt;0,H3841&lt;&gt;""),H3841/E3841,"")</f>
        <v/>
      </c>
      <c r="L3841">
        <f>IF(B3841="","",IFERROR(VALUE(TEXT(B3841,"[$-1170401]yyyy")),""))</f>
        <v/>
      </c>
      <c r="M3841">
        <f>IF(B3841="","",IFERROR(VALUE(TEXT(B3841,"[$-1170401]mm")),""))</f>
        <v/>
      </c>
    </row>
    <row r="3842">
      <c r="B3842" s="30" t="n"/>
      <c r="G3842" s="9">
        <f>IF(AND(E3842&lt;&gt;"",E3842&lt;&gt;0,H3842&lt;&gt;""),H3842/E3842,"")</f>
        <v/>
      </c>
      <c r="L3842">
        <f>IF(B3842="","",IFERROR(VALUE(TEXT(B3842,"[$-1170401]yyyy")),""))</f>
        <v/>
      </c>
      <c r="M3842">
        <f>IF(B3842="","",IFERROR(VALUE(TEXT(B3842,"[$-1170401]mm")),""))</f>
        <v/>
      </c>
    </row>
    <row r="3843">
      <c r="B3843" s="30" t="n"/>
      <c r="G3843" s="9">
        <f>IF(AND(E3843&lt;&gt;"",E3843&lt;&gt;0,H3843&lt;&gt;""),H3843/E3843,"")</f>
        <v/>
      </c>
      <c r="L3843">
        <f>IF(B3843="","",IFERROR(VALUE(TEXT(B3843,"[$-1170401]yyyy")),""))</f>
        <v/>
      </c>
      <c r="M3843">
        <f>IF(B3843="","",IFERROR(VALUE(TEXT(B3843,"[$-1170401]mm")),""))</f>
        <v/>
      </c>
    </row>
    <row r="3844">
      <c r="B3844" s="30" t="n"/>
      <c r="G3844" s="9">
        <f>IF(AND(E3844&lt;&gt;"",E3844&lt;&gt;0,H3844&lt;&gt;""),H3844/E3844,"")</f>
        <v/>
      </c>
      <c r="L3844">
        <f>IF(B3844="","",IFERROR(VALUE(TEXT(B3844,"[$-1170401]yyyy")),""))</f>
        <v/>
      </c>
      <c r="M3844">
        <f>IF(B3844="","",IFERROR(VALUE(TEXT(B3844,"[$-1170401]mm")),""))</f>
        <v/>
      </c>
    </row>
    <row r="3845">
      <c r="B3845" s="30" t="n"/>
      <c r="G3845" s="9">
        <f>IF(AND(E3845&lt;&gt;"",E3845&lt;&gt;0,H3845&lt;&gt;""),H3845/E3845,"")</f>
        <v/>
      </c>
      <c r="L3845">
        <f>IF(B3845="","",IFERROR(VALUE(TEXT(B3845,"[$-1170401]yyyy")),""))</f>
        <v/>
      </c>
      <c r="M3845">
        <f>IF(B3845="","",IFERROR(VALUE(TEXT(B3845,"[$-1170401]mm")),""))</f>
        <v/>
      </c>
    </row>
    <row r="3846">
      <c r="B3846" s="30" t="n"/>
      <c r="G3846" s="9">
        <f>IF(AND(E3846&lt;&gt;"",E3846&lt;&gt;0,H3846&lt;&gt;""),H3846/E3846,"")</f>
        <v/>
      </c>
      <c r="L3846">
        <f>IF(B3846="","",IFERROR(VALUE(TEXT(B3846,"[$-1170401]yyyy")),""))</f>
        <v/>
      </c>
      <c r="M3846">
        <f>IF(B3846="","",IFERROR(VALUE(TEXT(B3846,"[$-1170401]mm")),""))</f>
        <v/>
      </c>
    </row>
    <row r="3847">
      <c r="B3847" s="30" t="n"/>
      <c r="G3847" s="9">
        <f>IF(AND(E3847&lt;&gt;"",E3847&lt;&gt;0,H3847&lt;&gt;""),H3847/E3847,"")</f>
        <v/>
      </c>
      <c r="L3847">
        <f>IF(B3847="","",IFERROR(VALUE(TEXT(B3847,"[$-1170401]yyyy")),""))</f>
        <v/>
      </c>
      <c r="M3847">
        <f>IF(B3847="","",IFERROR(VALUE(TEXT(B3847,"[$-1170401]mm")),""))</f>
        <v/>
      </c>
    </row>
    <row r="3848">
      <c r="B3848" s="30" t="n"/>
      <c r="G3848" s="9">
        <f>IF(AND(E3848&lt;&gt;"",E3848&lt;&gt;0,H3848&lt;&gt;""),H3848/E3848,"")</f>
        <v/>
      </c>
      <c r="L3848">
        <f>IF(B3848="","",IFERROR(VALUE(TEXT(B3848,"[$-1170401]yyyy")),""))</f>
        <v/>
      </c>
      <c r="M3848">
        <f>IF(B3848="","",IFERROR(VALUE(TEXT(B3848,"[$-1170401]mm")),""))</f>
        <v/>
      </c>
    </row>
    <row r="3849">
      <c r="B3849" s="30" t="n"/>
      <c r="G3849" s="9">
        <f>IF(AND(E3849&lt;&gt;"",E3849&lt;&gt;0,H3849&lt;&gt;""),H3849/E3849,"")</f>
        <v/>
      </c>
      <c r="L3849">
        <f>IF(B3849="","",IFERROR(VALUE(TEXT(B3849,"[$-1170401]yyyy")),""))</f>
        <v/>
      </c>
      <c r="M3849">
        <f>IF(B3849="","",IFERROR(VALUE(TEXT(B3849,"[$-1170401]mm")),""))</f>
        <v/>
      </c>
    </row>
    <row r="3850">
      <c r="B3850" s="30" t="n"/>
      <c r="G3850" s="9">
        <f>IF(AND(E3850&lt;&gt;"",E3850&lt;&gt;0,H3850&lt;&gt;""),H3850/E3850,"")</f>
        <v/>
      </c>
      <c r="L3850">
        <f>IF(B3850="","",IFERROR(VALUE(TEXT(B3850,"[$-1170401]yyyy")),""))</f>
        <v/>
      </c>
      <c r="M3850">
        <f>IF(B3850="","",IFERROR(VALUE(TEXT(B3850,"[$-1170401]mm")),""))</f>
        <v/>
      </c>
    </row>
    <row r="3851">
      <c r="B3851" s="30" t="n"/>
      <c r="G3851" s="9">
        <f>IF(AND(E3851&lt;&gt;"",E3851&lt;&gt;0,H3851&lt;&gt;""),H3851/E3851,"")</f>
        <v/>
      </c>
      <c r="L3851">
        <f>IF(B3851="","",IFERROR(VALUE(TEXT(B3851,"[$-1170401]yyyy")),""))</f>
        <v/>
      </c>
      <c r="M3851">
        <f>IF(B3851="","",IFERROR(VALUE(TEXT(B3851,"[$-1170401]mm")),""))</f>
        <v/>
      </c>
    </row>
    <row r="3852">
      <c r="B3852" s="30" t="n"/>
      <c r="G3852" s="9">
        <f>IF(AND(E3852&lt;&gt;"",E3852&lt;&gt;0,H3852&lt;&gt;""),H3852/E3852,"")</f>
        <v/>
      </c>
      <c r="L3852">
        <f>IF(B3852="","",IFERROR(VALUE(TEXT(B3852,"[$-1170401]yyyy")),""))</f>
        <v/>
      </c>
      <c r="M3852">
        <f>IF(B3852="","",IFERROR(VALUE(TEXT(B3852,"[$-1170401]mm")),""))</f>
        <v/>
      </c>
    </row>
    <row r="3853">
      <c r="B3853" s="30" t="n"/>
      <c r="G3853" s="9">
        <f>IF(AND(E3853&lt;&gt;"",E3853&lt;&gt;0,H3853&lt;&gt;""),H3853/E3853,"")</f>
        <v/>
      </c>
      <c r="L3853">
        <f>IF(B3853="","",IFERROR(VALUE(TEXT(B3853,"[$-1170401]yyyy")),""))</f>
        <v/>
      </c>
      <c r="M3853">
        <f>IF(B3853="","",IFERROR(VALUE(TEXT(B3853,"[$-1170401]mm")),""))</f>
        <v/>
      </c>
    </row>
    <row r="3854">
      <c r="B3854" s="30" t="n"/>
      <c r="G3854" s="9">
        <f>IF(AND(E3854&lt;&gt;"",E3854&lt;&gt;0,H3854&lt;&gt;""),H3854/E3854,"")</f>
        <v/>
      </c>
      <c r="L3854">
        <f>IF(B3854="","",IFERROR(VALUE(TEXT(B3854,"[$-1170401]yyyy")),""))</f>
        <v/>
      </c>
      <c r="M3854">
        <f>IF(B3854="","",IFERROR(VALUE(TEXT(B3854,"[$-1170401]mm")),""))</f>
        <v/>
      </c>
    </row>
    <row r="3855">
      <c r="B3855" s="30" t="n"/>
      <c r="G3855" s="9">
        <f>IF(AND(E3855&lt;&gt;"",E3855&lt;&gt;0,H3855&lt;&gt;""),H3855/E3855,"")</f>
        <v/>
      </c>
      <c r="L3855">
        <f>IF(B3855="","",IFERROR(VALUE(TEXT(B3855,"[$-1170401]yyyy")),""))</f>
        <v/>
      </c>
      <c r="M3855">
        <f>IF(B3855="","",IFERROR(VALUE(TEXT(B3855,"[$-1170401]mm")),""))</f>
        <v/>
      </c>
    </row>
    <row r="3856">
      <c r="B3856" s="30" t="n"/>
      <c r="G3856" s="9">
        <f>IF(AND(E3856&lt;&gt;"",E3856&lt;&gt;0,H3856&lt;&gt;""),H3856/E3856,"")</f>
        <v/>
      </c>
      <c r="L3856">
        <f>IF(B3856="","",IFERROR(VALUE(TEXT(B3856,"[$-1170401]yyyy")),""))</f>
        <v/>
      </c>
      <c r="M3856">
        <f>IF(B3856="","",IFERROR(VALUE(TEXT(B3856,"[$-1170401]mm")),""))</f>
        <v/>
      </c>
    </row>
    <row r="3857">
      <c r="B3857" s="30" t="n"/>
      <c r="G3857" s="9">
        <f>IF(AND(E3857&lt;&gt;"",E3857&lt;&gt;0,H3857&lt;&gt;""),H3857/E3857,"")</f>
        <v/>
      </c>
      <c r="L3857">
        <f>IF(B3857="","",IFERROR(VALUE(TEXT(B3857,"[$-1170401]yyyy")),""))</f>
        <v/>
      </c>
      <c r="M3857">
        <f>IF(B3857="","",IFERROR(VALUE(TEXT(B3857,"[$-1170401]mm")),""))</f>
        <v/>
      </c>
    </row>
    <row r="3858">
      <c r="B3858" s="30" t="n"/>
      <c r="G3858" s="9">
        <f>IF(AND(E3858&lt;&gt;"",E3858&lt;&gt;0,H3858&lt;&gt;""),H3858/E3858,"")</f>
        <v/>
      </c>
      <c r="L3858">
        <f>IF(B3858="","",IFERROR(VALUE(TEXT(B3858,"[$-1170401]yyyy")),""))</f>
        <v/>
      </c>
      <c r="M3858">
        <f>IF(B3858="","",IFERROR(VALUE(TEXT(B3858,"[$-1170401]mm")),""))</f>
        <v/>
      </c>
    </row>
    <row r="3859">
      <c r="B3859" s="30" t="n"/>
      <c r="G3859" s="9">
        <f>IF(AND(E3859&lt;&gt;"",E3859&lt;&gt;0,H3859&lt;&gt;""),H3859/E3859,"")</f>
        <v/>
      </c>
      <c r="L3859">
        <f>IF(B3859="","",IFERROR(VALUE(TEXT(B3859,"[$-1170401]yyyy")),""))</f>
        <v/>
      </c>
      <c r="M3859">
        <f>IF(B3859="","",IFERROR(VALUE(TEXT(B3859,"[$-1170401]mm")),""))</f>
        <v/>
      </c>
    </row>
    <row r="3860">
      <c r="B3860" s="30" t="n"/>
      <c r="G3860" s="9">
        <f>IF(AND(E3860&lt;&gt;"",E3860&lt;&gt;0,H3860&lt;&gt;""),H3860/E3860,"")</f>
        <v/>
      </c>
      <c r="L3860">
        <f>IF(B3860="","",IFERROR(VALUE(TEXT(B3860,"[$-1170401]yyyy")),""))</f>
        <v/>
      </c>
      <c r="M3860">
        <f>IF(B3860="","",IFERROR(VALUE(TEXT(B3860,"[$-1170401]mm")),""))</f>
        <v/>
      </c>
    </row>
    <row r="3861">
      <c r="B3861" s="30" t="n"/>
      <c r="G3861" s="9">
        <f>IF(AND(E3861&lt;&gt;"",E3861&lt;&gt;0,H3861&lt;&gt;""),H3861/E3861,"")</f>
        <v/>
      </c>
      <c r="L3861">
        <f>IF(B3861="","",IFERROR(VALUE(TEXT(B3861,"[$-1170401]yyyy")),""))</f>
        <v/>
      </c>
      <c r="M3861">
        <f>IF(B3861="","",IFERROR(VALUE(TEXT(B3861,"[$-1170401]mm")),""))</f>
        <v/>
      </c>
    </row>
    <row r="3862">
      <c r="B3862" s="30" t="n"/>
      <c r="G3862" s="9">
        <f>IF(AND(E3862&lt;&gt;"",E3862&lt;&gt;0,H3862&lt;&gt;""),H3862/E3862,"")</f>
        <v/>
      </c>
      <c r="L3862">
        <f>IF(B3862="","",IFERROR(VALUE(TEXT(B3862,"[$-1170401]yyyy")),""))</f>
        <v/>
      </c>
      <c r="M3862">
        <f>IF(B3862="","",IFERROR(VALUE(TEXT(B3862,"[$-1170401]mm")),""))</f>
        <v/>
      </c>
    </row>
    <row r="3863">
      <c r="B3863" s="30" t="n"/>
      <c r="G3863" s="9">
        <f>IF(AND(E3863&lt;&gt;"",E3863&lt;&gt;0,H3863&lt;&gt;""),H3863/E3863,"")</f>
        <v/>
      </c>
      <c r="L3863">
        <f>IF(B3863="","",IFERROR(VALUE(TEXT(B3863,"[$-1170401]yyyy")),""))</f>
        <v/>
      </c>
      <c r="M3863">
        <f>IF(B3863="","",IFERROR(VALUE(TEXT(B3863,"[$-1170401]mm")),""))</f>
        <v/>
      </c>
    </row>
    <row r="3864">
      <c r="B3864" s="30" t="n"/>
      <c r="G3864" s="9">
        <f>IF(AND(E3864&lt;&gt;"",E3864&lt;&gt;0,H3864&lt;&gt;""),H3864/E3864,"")</f>
        <v/>
      </c>
      <c r="L3864">
        <f>IF(B3864="","",IFERROR(VALUE(TEXT(B3864,"[$-1170401]yyyy")),""))</f>
        <v/>
      </c>
      <c r="M3864">
        <f>IF(B3864="","",IFERROR(VALUE(TEXT(B3864,"[$-1170401]mm")),""))</f>
        <v/>
      </c>
    </row>
    <row r="3865">
      <c r="B3865" s="30" t="n"/>
      <c r="G3865" s="9">
        <f>IF(AND(E3865&lt;&gt;"",E3865&lt;&gt;0,H3865&lt;&gt;""),H3865/E3865,"")</f>
        <v/>
      </c>
      <c r="L3865">
        <f>IF(B3865="","",IFERROR(VALUE(TEXT(B3865,"[$-1170401]yyyy")),""))</f>
        <v/>
      </c>
      <c r="M3865">
        <f>IF(B3865="","",IFERROR(VALUE(TEXT(B3865,"[$-1170401]mm")),""))</f>
        <v/>
      </c>
    </row>
    <row r="3866">
      <c r="B3866" s="30" t="n"/>
      <c r="G3866" s="9">
        <f>IF(AND(E3866&lt;&gt;"",E3866&lt;&gt;0,H3866&lt;&gt;""),H3866/E3866,"")</f>
        <v/>
      </c>
      <c r="L3866">
        <f>IF(B3866="","",IFERROR(VALUE(TEXT(B3866,"[$-1170401]yyyy")),""))</f>
        <v/>
      </c>
      <c r="M3866">
        <f>IF(B3866="","",IFERROR(VALUE(TEXT(B3866,"[$-1170401]mm")),""))</f>
        <v/>
      </c>
    </row>
    <row r="3867">
      <c r="B3867" s="30" t="n"/>
      <c r="G3867" s="9">
        <f>IF(AND(E3867&lt;&gt;"",E3867&lt;&gt;0,H3867&lt;&gt;""),H3867/E3867,"")</f>
        <v/>
      </c>
      <c r="L3867">
        <f>IF(B3867="","",IFERROR(VALUE(TEXT(B3867,"[$-1170401]yyyy")),""))</f>
        <v/>
      </c>
      <c r="M3867">
        <f>IF(B3867="","",IFERROR(VALUE(TEXT(B3867,"[$-1170401]mm")),""))</f>
        <v/>
      </c>
    </row>
    <row r="3868">
      <c r="B3868" s="30" t="n"/>
      <c r="G3868" s="9">
        <f>IF(AND(E3868&lt;&gt;"",E3868&lt;&gt;0,H3868&lt;&gt;""),H3868/E3868,"")</f>
        <v/>
      </c>
      <c r="L3868">
        <f>IF(B3868="","",IFERROR(VALUE(TEXT(B3868,"[$-1170401]yyyy")),""))</f>
        <v/>
      </c>
      <c r="M3868">
        <f>IF(B3868="","",IFERROR(VALUE(TEXT(B3868,"[$-1170401]mm")),""))</f>
        <v/>
      </c>
    </row>
    <row r="3869">
      <c r="B3869" s="30" t="n"/>
      <c r="G3869" s="9">
        <f>IF(AND(E3869&lt;&gt;"",E3869&lt;&gt;0,H3869&lt;&gt;""),H3869/E3869,"")</f>
        <v/>
      </c>
      <c r="L3869">
        <f>IF(B3869="","",IFERROR(VALUE(TEXT(B3869,"[$-1170401]yyyy")),""))</f>
        <v/>
      </c>
      <c r="M3869">
        <f>IF(B3869="","",IFERROR(VALUE(TEXT(B3869,"[$-1170401]mm")),""))</f>
        <v/>
      </c>
    </row>
    <row r="3870">
      <c r="B3870" s="30" t="n"/>
      <c r="G3870" s="9">
        <f>IF(AND(E3870&lt;&gt;"",E3870&lt;&gt;0,H3870&lt;&gt;""),H3870/E3870,"")</f>
        <v/>
      </c>
      <c r="L3870">
        <f>IF(B3870="","",IFERROR(VALUE(TEXT(B3870,"[$-1170401]yyyy")),""))</f>
        <v/>
      </c>
      <c r="M3870">
        <f>IF(B3870="","",IFERROR(VALUE(TEXT(B3870,"[$-1170401]mm")),""))</f>
        <v/>
      </c>
    </row>
    <row r="3871">
      <c r="B3871" s="30" t="n"/>
      <c r="G3871" s="9">
        <f>IF(AND(E3871&lt;&gt;"",E3871&lt;&gt;0,H3871&lt;&gt;""),H3871/E3871,"")</f>
        <v/>
      </c>
      <c r="L3871">
        <f>IF(B3871="","",IFERROR(VALUE(TEXT(B3871,"[$-1170401]yyyy")),""))</f>
        <v/>
      </c>
      <c r="M3871">
        <f>IF(B3871="","",IFERROR(VALUE(TEXT(B3871,"[$-1170401]mm")),""))</f>
        <v/>
      </c>
    </row>
    <row r="3872">
      <c r="B3872" s="30" t="n"/>
      <c r="G3872" s="9">
        <f>IF(AND(E3872&lt;&gt;"",E3872&lt;&gt;0,H3872&lt;&gt;""),H3872/E3872,"")</f>
        <v/>
      </c>
      <c r="L3872">
        <f>IF(B3872="","",IFERROR(VALUE(TEXT(B3872,"[$-1170401]yyyy")),""))</f>
        <v/>
      </c>
      <c r="M3872">
        <f>IF(B3872="","",IFERROR(VALUE(TEXT(B3872,"[$-1170401]mm")),""))</f>
        <v/>
      </c>
    </row>
    <row r="3873">
      <c r="B3873" s="30" t="n"/>
      <c r="G3873" s="9">
        <f>IF(AND(E3873&lt;&gt;"",E3873&lt;&gt;0,H3873&lt;&gt;""),H3873/E3873,"")</f>
        <v/>
      </c>
      <c r="L3873">
        <f>IF(B3873="","",IFERROR(VALUE(TEXT(B3873,"[$-1170401]yyyy")),""))</f>
        <v/>
      </c>
      <c r="M3873">
        <f>IF(B3873="","",IFERROR(VALUE(TEXT(B3873,"[$-1170401]mm")),""))</f>
        <v/>
      </c>
    </row>
    <row r="3874">
      <c r="B3874" s="30" t="n"/>
      <c r="G3874" s="9">
        <f>IF(AND(E3874&lt;&gt;"",E3874&lt;&gt;0,H3874&lt;&gt;""),H3874/E3874,"")</f>
        <v/>
      </c>
      <c r="L3874">
        <f>IF(B3874="","",IFERROR(VALUE(TEXT(B3874,"[$-1170401]yyyy")),""))</f>
        <v/>
      </c>
      <c r="M3874">
        <f>IF(B3874="","",IFERROR(VALUE(TEXT(B3874,"[$-1170401]mm")),""))</f>
        <v/>
      </c>
    </row>
    <row r="3875">
      <c r="B3875" s="30" t="n"/>
      <c r="G3875" s="9">
        <f>IF(AND(E3875&lt;&gt;"",E3875&lt;&gt;0,H3875&lt;&gt;""),H3875/E3875,"")</f>
        <v/>
      </c>
      <c r="L3875">
        <f>IF(B3875="","",IFERROR(VALUE(TEXT(B3875,"[$-1170401]yyyy")),""))</f>
        <v/>
      </c>
      <c r="M3875">
        <f>IF(B3875="","",IFERROR(VALUE(TEXT(B3875,"[$-1170401]mm")),""))</f>
        <v/>
      </c>
    </row>
    <row r="3876">
      <c r="B3876" s="30" t="n"/>
      <c r="G3876" s="9">
        <f>IF(AND(E3876&lt;&gt;"",E3876&lt;&gt;0,H3876&lt;&gt;""),H3876/E3876,"")</f>
        <v/>
      </c>
      <c r="L3876">
        <f>IF(B3876="","",IFERROR(VALUE(TEXT(B3876,"[$-1170401]yyyy")),""))</f>
        <v/>
      </c>
      <c r="M3876">
        <f>IF(B3876="","",IFERROR(VALUE(TEXT(B3876,"[$-1170401]mm")),""))</f>
        <v/>
      </c>
    </row>
    <row r="3877">
      <c r="B3877" s="30" t="n"/>
      <c r="G3877" s="9">
        <f>IF(AND(E3877&lt;&gt;"",E3877&lt;&gt;0,H3877&lt;&gt;""),H3877/E3877,"")</f>
        <v/>
      </c>
      <c r="L3877">
        <f>IF(B3877="","",IFERROR(VALUE(TEXT(B3877,"[$-1170401]yyyy")),""))</f>
        <v/>
      </c>
      <c r="M3877">
        <f>IF(B3877="","",IFERROR(VALUE(TEXT(B3877,"[$-1170401]mm")),""))</f>
        <v/>
      </c>
    </row>
    <row r="3878">
      <c r="B3878" s="30" t="n"/>
      <c r="G3878" s="9">
        <f>IF(AND(E3878&lt;&gt;"",E3878&lt;&gt;0,H3878&lt;&gt;""),H3878/E3878,"")</f>
        <v/>
      </c>
      <c r="L3878">
        <f>IF(B3878="","",IFERROR(VALUE(TEXT(B3878,"[$-1170401]yyyy")),""))</f>
        <v/>
      </c>
      <c r="M3878">
        <f>IF(B3878="","",IFERROR(VALUE(TEXT(B3878,"[$-1170401]mm")),""))</f>
        <v/>
      </c>
    </row>
    <row r="3879">
      <c r="B3879" s="30" t="n"/>
      <c r="G3879" s="9">
        <f>IF(AND(E3879&lt;&gt;"",E3879&lt;&gt;0,H3879&lt;&gt;""),H3879/E3879,"")</f>
        <v/>
      </c>
      <c r="L3879">
        <f>IF(B3879="","",IFERROR(VALUE(TEXT(B3879,"[$-1170401]yyyy")),""))</f>
        <v/>
      </c>
      <c r="M3879">
        <f>IF(B3879="","",IFERROR(VALUE(TEXT(B3879,"[$-1170401]mm")),""))</f>
        <v/>
      </c>
    </row>
    <row r="3880">
      <c r="B3880" s="30" t="n"/>
      <c r="G3880" s="9">
        <f>IF(AND(E3880&lt;&gt;"",E3880&lt;&gt;0,H3880&lt;&gt;""),H3880/E3880,"")</f>
        <v/>
      </c>
      <c r="L3880">
        <f>IF(B3880="","",IFERROR(VALUE(TEXT(B3880,"[$-1170401]yyyy")),""))</f>
        <v/>
      </c>
      <c r="M3880">
        <f>IF(B3880="","",IFERROR(VALUE(TEXT(B3880,"[$-1170401]mm")),""))</f>
        <v/>
      </c>
    </row>
    <row r="3881">
      <c r="B3881" s="30" t="n"/>
      <c r="G3881" s="9">
        <f>IF(AND(E3881&lt;&gt;"",E3881&lt;&gt;0,H3881&lt;&gt;""),H3881/E3881,"")</f>
        <v/>
      </c>
      <c r="L3881">
        <f>IF(B3881="","",IFERROR(VALUE(TEXT(B3881,"[$-1170401]yyyy")),""))</f>
        <v/>
      </c>
      <c r="M3881">
        <f>IF(B3881="","",IFERROR(VALUE(TEXT(B3881,"[$-1170401]mm")),""))</f>
        <v/>
      </c>
    </row>
    <row r="3882">
      <c r="B3882" s="30" t="n"/>
      <c r="G3882" s="9">
        <f>IF(AND(E3882&lt;&gt;"",E3882&lt;&gt;0,H3882&lt;&gt;""),H3882/E3882,"")</f>
        <v/>
      </c>
      <c r="L3882">
        <f>IF(B3882="","",IFERROR(VALUE(TEXT(B3882,"[$-1170401]yyyy")),""))</f>
        <v/>
      </c>
      <c r="M3882">
        <f>IF(B3882="","",IFERROR(VALUE(TEXT(B3882,"[$-1170401]mm")),""))</f>
        <v/>
      </c>
    </row>
    <row r="3883">
      <c r="B3883" s="30" t="n"/>
      <c r="G3883" s="9">
        <f>IF(AND(E3883&lt;&gt;"",E3883&lt;&gt;0,H3883&lt;&gt;""),H3883/E3883,"")</f>
        <v/>
      </c>
      <c r="L3883">
        <f>IF(B3883="","",IFERROR(VALUE(TEXT(B3883,"[$-1170401]yyyy")),""))</f>
        <v/>
      </c>
      <c r="M3883">
        <f>IF(B3883="","",IFERROR(VALUE(TEXT(B3883,"[$-1170401]mm")),""))</f>
        <v/>
      </c>
    </row>
    <row r="3884">
      <c r="B3884" s="30" t="n"/>
      <c r="G3884" s="9">
        <f>IF(AND(E3884&lt;&gt;"",E3884&lt;&gt;0,H3884&lt;&gt;""),H3884/E3884,"")</f>
        <v/>
      </c>
      <c r="L3884">
        <f>IF(B3884="","",IFERROR(VALUE(TEXT(B3884,"[$-1170401]yyyy")),""))</f>
        <v/>
      </c>
      <c r="M3884">
        <f>IF(B3884="","",IFERROR(VALUE(TEXT(B3884,"[$-1170401]mm")),""))</f>
        <v/>
      </c>
    </row>
    <row r="3885">
      <c r="B3885" s="30" t="n"/>
      <c r="G3885" s="9">
        <f>IF(AND(E3885&lt;&gt;"",E3885&lt;&gt;0,H3885&lt;&gt;""),H3885/E3885,"")</f>
        <v/>
      </c>
      <c r="L3885">
        <f>IF(B3885="","",IFERROR(VALUE(TEXT(B3885,"[$-1170401]yyyy")),""))</f>
        <v/>
      </c>
      <c r="M3885">
        <f>IF(B3885="","",IFERROR(VALUE(TEXT(B3885,"[$-1170401]mm")),""))</f>
        <v/>
      </c>
    </row>
    <row r="3886">
      <c r="B3886" s="30" t="n"/>
      <c r="G3886" s="9">
        <f>IF(AND(E3886&lt;&gt;"",E3886&lt;&gt;0,H3886&lt;&gt;""),H3886/E3886,"")</f>
        <v/>
      </c>
      <c r="L3886">
        <f>IF(B3886="","",IFERROR(VALUE(TEXT(B3886,"[$-1170401]yyyy")),""))</f>
        <v/>
      </c>
      <c r="M3886">
        <f>IF(B3886="","",IFERROR(VALUE(TEXT(B3886,"[$-1170401]mm")),""))</f>
        <v/>
      </c>
    </row>
    <row r="3887">
      <c r="B3887" s="30" t="n"/>
      <c r="G3887" s="9">
        <f>IF(AND(E3887&lt;&gt;"",E3887&lt;&gt;0,H3887&lt;&gt;""),H3887/E3887,"")</f>
        <v/>
      </c>
      <c r="L3887">
        <f>IF(B3887="","",IFERROR(VALUE(TEXT(B3887,"[$-1170401]yyyy")),""))</f>
        <v/>
      </c>
      <c r="M3887">
        <f>IF(B3887="","",IFERROR(VALUE(TEXT(B3887,"[$-1170401]mm")),""))</f>
        <v/>
      </c>
    </row>
    <row r="3888">
      <c r="B3888" s="30" t="n"/>
      <c r="G3888" s="9">
        <f>IF(AND(E3888&lt;&gt;"",E3888&lt;&gt;0,H3888&lt;&gt;""),H3888/E3888,"")</f>
        <v/>
      </c>
      <c r="L3888">
        <f>IF(B3888="","",IFERROR(VALUE(TEXT(B3888,"[$-1170401]yyyy")),""))</f>
        <v/>
      </c>
      <c r="M3888">
        <f>IF(B3888="","",IFERROR(VALUE(TEXT(B3888,"[$-1170401]mm")),""))</f>
        <v/>
      </c>
    </row>
    <row r="3889">
      <c r="B3889" s="30" t="n"/>
      <c r="G3889" s="9">
        <f>IF(AND(E3889&lt;&gt;"",E3889&lt;&gt;0,H3889&lt;&gt;""),H3889/E3889,"")</f>
        <v/>
      </c>
      <c r="L3889">
        <f>IF(B3889="","",IFERROR(VALUE(TEXT(B3889,"[$-1170401]yyyy")),""))</f>
        <v/>
      </c>
      <c r="M3889">
        <f>IF(B3889="","",IFERROR(VALUE(TEXT(B3889,"[$-1170401]mm")),""))</f>
        <v/>
      </c>
    </row>
    <row r="3890">
      <c r="B3890" s="30" t="n"/>
      <c r="G3890" s="9">
        <f>IF(AND(E3890&lt;&gt;"",E3890&lt;&gt;0,H3890&lt;&gt;""),H3890/E3890,"")</f>
        <v/>
      </c>
      <c r="L3890">
        <f>IF(B3890="","",IFERROR(VALUE(TEXT(B3890,"[$-1170401]yyyy")),""))</f>
        <v/>
      </c>
      <c r="M3890">
        <f>IF(B3890="","",IFERROR(VALUE(TEXT(B3890,"[$-1170401]mm")),""))</f>
        <v/>
      </c>
    </row>
    <row r="3891">
      <c r="B3891" s="30" t="n"/>
      <c r="G3891" s="9">
        <f>IF(AND(E3891&lt;&gt;"",E3891&lt;&gt;0,H3891&lt;&gt;""),H3891/E3891,"")</f>
        <v/>
      </c>
      <c r="L3891">
        <f>IF(B3891="","",IFERROR(VALUE(TEXT(B3891,"[$-1170401]yyyy")),""))</f>
        <v/>
      </c>
      <c r="M3891">
        <f>IF(B3891="","",IFERROR(VALUE(TEXT(B3891,"[$-1170401]mm")),""))</f>
        <v/>
      </c>
    </row>
    <row r="3892">
      <c r="B3892" s="30" t="n"/>
      <c r="G3892" s="9">
        <f>IF(AND(E3892&lt;&gt;"",E3892&lt;&gt;0,H3892&lt;&gt;""),H3892/E3892,"")</f>
        <v/>
      </c>
      <c r="L3892">
        <f>IF(B3892="","",IFERROR(VALUE(TEXT(B3892,"[$-1170401]yyyy")),""))</f>
        <v/>
      </c>
      <c r="M3892">
        <f>IF(B3892="","",IFERROR(VALUE(TEXT(B3892,"[$-1170401]mm")),""))</f>
        <v/>
      </c>
    </row>
    <row r="3893">
      <c r="B3893" s="30" t="n"/>
      <c r="G3893" s="9">
        <f>IF(AND(E3893&lt;&gt;"",E3893&lt;&gt;0,H3893&lt;&gt;""),H3893/E3893,"")</f>
        <v/>
      </c>
      <c r="L3893">
        <f>IF(B3893="","",IFERROR(VALUE(TEXT(B3893,"[$-1170401]yyyy")),""))</f>
        <v/>
      </c>
      <c r="M3893">
        <f>IF(B3893="","",IFERROR(VALUE(TEXT(B3893,"[$-1170401]mm")),""))</f>
        <v/>
      </c>
    </row>
    <row r="3894">
      <c r="B3894" s="30" t="n"/>
      <c r="G3894" s="9">
        <f>IF(AND(E3894&lt;&gt;"",E3894&lt;&gt;0,H3894&lt;&gt;""),H3894/E3894,"")</f>
        <v/>
      </c>
      <c r="L3894">
        <f>IF(B3894="","",IFERROR(VALUE(TEXT(B3894,"[$-1170401]yyyy")),""))</f>
        <v/>
      </c>
      <c r="M3894">
        <f>IF(B3894="","",IFERROR(VALUE(TEXT(B3894,"[$-1170401]mm")),""))</f>
        <v/>
      </c>
    </row>
    <row r="3895">
      <c r="B3895" s="30" t="n"/>
      <c r="G3895" s="9">
        <f>IF(AND(E3895&lt;&gt;"",E3895&lt;&gt;0,H3895&lt;&gt;""),H3895/E3895,"")</f>
        <v/>
      </c>
      <c r="L3895">
        <f>IF(B3895="","",IFERROR(VALUE(TEXT(B3895,"[$-1170401]yyyy")),""))</f>
        <v/>
      </c>
      <c r="M3895">
        <f>IF(B3895="","",IFERROR(VALUE(TEXT(B3895,"[$-1170401]mm")),""))</f>
        <v/>
      </c>
    </row>
    <row r="3896">
      <c r="B3896" s="30" t="n"/>
      <c r="G3896" s="9">
        <f>IF(AND(E3896&lt;&gt;"",E3896&lt;&gt;0,H3896&lt;&gt;""),H3896/E3896,"")</f>
        <v/>
      </c>
      <c r="L3896">
        <f>IF(B3896="","",IFERROR(VALUE(TEXT(B3896,"[$-1170401]yyyy")),""))</f>
        <v/>
      </c>
      <c r="M3896">
        <f>IF(B3896="","",IFERROR(VALUE(TEXT(B3896,"[$-1170401]mm")),""))</f>
        <v/>
      </c>
    </row>
    <row r="3897">
      <c r="B3897" s="30" t="n"/>
      <c r="G3897" s="9">
        <f>IF(AND(E3897&lt;&gt;"",E3897&lt;&gt;0,H3897&lt;&gt;""),H3897/E3897,"")</f>
        <v/>
      </c>
      <c r="L3897">
        <f>IF(B3897="","",IFERROR(VALUE(TEXT(B3897,"[$-1170401]yyyy")),""))</f>
        <v/>
      </c>
      <c r="M3897">
        <f>IF(B3897="","",IFERROR(VALUE(TEXT(B3897,"[$-1170401]mm")),""))</f>
        <v/>
      </c>
    </row>
    <row r="3898">
      <c r="B3898" s="30" t="n"/>
      <c r="G3898" s="9">
        <f>IF(AND(E3898&lt;&gt;"",E3898&lt;&gt;0,H3898&lt;&gt;""),H3898/E3898,"")</f>
        <v/>
      </c>
      <c r="L3898">
        <f>IF(B3898="","",IFERROR(VALUE(TEXT(B3898,"[$-1170401]yyyy")),""))</f>
        <v/>
      </c>
      <c r="M3898">
        <f>IF(B3898="","",IFERROR(VALUE(TEXT(B3898,"[$-1170401]mm")),""))</f>
        <v/>
      </c>
    </row>
    <row r="3899">
      <c r="B3899" s="30" t="n"/>
      <c r="G3899" s="9">
        <f>IF(AND(E3899&lt;&gt;"",E3899&lt;&gt;0,H3899&lt;&gt;""),H3899/E3899,"")</f>
        <v/>
      </c>
      <c r="L3899">
        <f>IF(B3899="","",IFERROR(VALUE(TEXT(B3899,"[$-1170401]yyyy")),""))</f>
        <v/>
      </c>
      <c r="M3899">
        <f>IF(B3899="","",IFERROR(VALUE(TEXT(B3899,"[$-1170401]mm")),""))</f>
        <v/>
      </c>
    </row>
    <row r="3900">
      <c r="B3900" s="30" t="n"/>
      <c r="G3900" s="9">
        <f>IF(AND(E3900&lt;&gt;"",E3900&lt;&gt;0,H3900&lt;&gt;""),H3900/E3900,"")</f>
        <v/>
      </c>
      <c r="L3900">
        <f>IF(B3900="","",IFERROR(VALUE(TEXT(B3900,"[$-1170401]yyyy")),""))</f>
        <v/>
      </c>
      <c r="M3900">
        <f>IF(B3900="","",IFERROR(VALUE(TEXT(B3900,"[$-1170401]mm")),""))</f>
        <v/>
      </c>
    </row>
    <row r="3901">
      <c r="B3901" s="30" t="n"/>
      <c r="G3901" s="9">
        <f>IF(AND(E3901&lt;&gt;"",E3901&lt;&gt;0,H3901&lt;&gt;""),H3901/E3901,"")</f>
        <v/>
      </c>
      <c r="L3901">
        <f>IF(B3901="","",IFERROR(VALUE(TEXT(B3901,"[$-1170401]yyyy")),""))</f>
        <v/>
      </c>
      <c r="M3901">
        <f>IF(B3901="","",IFERROR(VALUE(TEXT(B3901,"[$-1170401]mm")),""))</f>
        <v/>
      </c>
    </row>
    <row r="3902">
      <c r="B3902" s="30" t="n"/>
      <c r="G3902" s="9">
        <f>IF(AND(E3902&lt;&gt;"",E3902&lt;&gt;0,H3902&lt;&gt;""),H3902/E3902,"")</f>
        <v/>
      </c>
      <c r="L3902">
        <f>IF(B3902="","",IFERROR(VALUE(TEXT(B3902,"[$-1170401]yyyy")),""))</f>
        <v/>
      </c>
      <c r="M3902">
        <f>IF(B3902="","",IFERROR(VALUE(TEXT(B3902,"[$-1170401]mm")),""))</f>
        <v/>
      </c>
    </row>
    <row r="3903">
      <c r="B3903" s="30" t="n"/>
      <c r="G3903" s="9">
        <f>IF(AND(E3903&lt;&gt;"",E3903&lt;&gt;0,H3903&lt;&gt;""),H3903/E3903,"")</f>
        <v/>
      </c>
      <c r="L3903">
        <f>IF(B3903="","",IFERROR(VALUE(TEXT(B3903,"[$-1170401]yyyy")),""))</f>
        <v/>
      </c>
      <c r="M3903">
        <f>IF(B3903="","",IFERROR(VALUE(TEXT(B3903,"[$-1170401]mm")),""))</f>
        <v/>
      </c>
    </row>
    <row r="3904">
      <c r="B3904" s="30" t="n"/>
      <c r="G3904" s="9">
        <f>IF(AND(E3904&lt;&gt;"",E3904&lt;&gt;0,H3904&lt;&gt;""),H3904/E3904,"")</f>
        <v/>
      </c>
      <c r="L3904">
        <f>IF(B3904="","",IFERROR(VALUE(TEXT(B3904,"[$-1170401]yyyy")),""))</f>
        <v/>
      </c>
      <c r="M3904">
        <f>IF(B3904="","",IFERROR(VALUE(TEXT(B3904,"[$-1170401]mm")),""))</f>
        <v/>
      </c>
    </row>
    <row r="3905">
      <c r="B3905" s="30" t="n"/>
      <c r="G3905" s="9">
        <f>IF(AND(E3905&lt;&gt;"",E3905&lt;&gt;0,H3905&lt;&gt;""),H3905/E3905,"")</f>
        <v/>
      </c>
      <c r="L3905">
        <f>IF(B3905="","",IFERROR(VALUE(TEXT(B3905,"[$-1170401]yyyy")),""))</f>
        <v/>
      </c>
      <c r="M3905">
        <f>IF(B3905="","",IFERROR(VALUE(TEXT(B3905,"[$-1170401]mm")),""))</f>
        <v/>
      </c>
    </row>
    <row r="3906">
      <c r="B3906" s="30" t="n"/>
      <c r="G3906" s="9">
        <f>IF(AND(E3906&lt;&gt;"",E3906&lt;&gt;0,H3906&lt;&gt;""),H3906/E3906,"")</f>
        <v/>
      </c>
      <c r="L3906">
        <f>IF(B3906="","",IFERROR(VALUE(TEXT(B3906,"[$-1170401]yyyy")),""))</f>
        <v/>
      </c>
      <c r="M3906">
        <f>IF(B3906="","",IFERROR(VALUE(TEXT(B3906,"[$-1170401]mm")),""))</f>
        <v/>
      </c>
    </row>
    <row r="3907">
      <c r="B3907" s="30" t="n"/>
      <c r="G3907" s="9">
        <f>IF(AND(E3907&lt;&gt;"",E3907&lt;&gt;0,H3907&lt;&gt;""),H3907/E3907,"")</f>
        <v/>
      </c>
      <c r="L3907">
        <f>IF(B3907="","",IFERROR(VALUE(TEXT(B3907,"[$-1170401]yyyy")),""))</f>
        <v/>
      </c>
      <c r="M3907">
        <f>IF(B3907="","",IFERROR(VALUE(TEXT(B3907,"[$-1170401]mm")),""))</f>
        <v/>
      </c>
    </row>
    <row r="3908">
      <c r="B3908" s="30" t="n"/>
      <c r="G3908" s="9">
        <f>IF(AND(E3908&lt;&gt;"",E3908&lt;&gt;0,H3908&lt;&gt;""),H3908/E3908,"")</f>
        <v/>
      </c>
      <c r="L3908">
        <f>IF(B3908="","",IFERROR(VALUE(TEXT(B3908,"[$-1170401]yyyy")),""))</f>
        <v/>
      </c>
      <c r="M3908">
        <f>IF(B3908="","",IFERROR(VALUE(TEXT(B3908,"[$-1170401]mm")),""))</f>
        <v/>
      </c>
    </row>
    <row r="3909">
      <c r="B3909" s="30" t="n"/>
      <c r="G3909" s="9">
        <f>IF(AND(E3909&lt;&gt;"",E3909&lt;&gt;0,H3909&lt;&gt;""),H3909/E3909,"")</f>
        <v/>
      </c>
      <c r="L3909">
        <f>IF(B3909="","",IFERROR(VALUE(TEXT(B3909,"[$-1170401]yyyy")),""))</f>
        <v/>
      </c>
      <c r="M3909">
        <f>IF(B3909="","",IFERROR(VALUE(TEXT(B3909,"[$-1170401]mm")),""))</f>
        <v/>
      </c>
    </row>
    <row r="3910">
      <c r="B3910" s="30" t="n"/>
      <c r="G3910" s="9">
        <f>IF(AND(E3910&lt;&gt;"",E3910&lt;&gt;0,H3910&lt;&gt;""),H3910/E3910,"")</f>
        <v/>
      </c>
      <c r="L3910">
        <f>IF(B3910="","",IFERROR(VALUE(TEXT(B3910,"[$-1170401]yyyy")),""))</f>
        <v/>
      </c>
      <c r="M3910">
        <f>IF(B3910="","",IFERROR(VALUE(TEXT(B3910,"[$-1170401]mm")),""))</f>
        <v/>
      </c>
    </row>
    <row r="3911">
      <c r="B3911" s="30" t="n"/>
      <c r="G3911" s="9">
        <f>IF(AND(E3911&lt;&gt;"",E3911&lt;&gt;0,H3911&lt;&gt;""),H3911/E3911,"")</f>
        <v/>
      </c>
      <c r="L3911">
        <f>IF(B3911="","",IFERROR(VALUE(TEXT(B3911,"[$-1170401]yyyy")),""))</f>
        <v/>
      </c>
      <c r="M3911">
        <f>IF(B3911="","",IFERROR(VALUE(TEXT(B3911,"[$-1170401]mm")),""))</f>
        <v/>
      </c>
    </row>
    <row r="3912">
      <c r="B3912" s="30" t="n"/>
      <c r="G3912" s="9">
        <f>IF(AND(E3912&lt;&gt;"",E3912&lt;&gt;0,H3912&lt;&gt;""),H3912/E3912,"")</f>
        <v/>
      </c>
      <c r="L3912">
        <f>IF(B3912="","",IFERROR(VALUE(TEXT(B3912,"[$-1170401]yyyy")),""))</f>
        <v/>
      </c>
      <c r="M3912">
        <f>IF(B3912="","",IFERROR(VALUE(TEXT(B3912,"[$-1170401]mm")),""))</f>
        <v/>
      </c>
    </row>
    <row r="3913">
      <c r="B3913" s="30" t="n"/>
      <c r="G3913" s="9">
        <f>IF(AND(E3913&lt;&gt;"",E3913&lt;&gt;0,H3913&lt;&gt;""),H3913/E3913,"")</f>
        <v/>
      </c>
      <c r="L3913">
        <f>IF(B3913="","",IFERROR(VALUE(TEXT(B3913,"[$-1170401]yyyy")),""))</f>
        <v/>
      </c>
      <c r="M3913">
        <f>IF(B3913="","",IFERROR(VALUE(TEXT(B3913,"[$-1170401]mm")),""))</f>
        <v/>
      </c>
    </row>
    <row r="3914">
      <c r="B3914" s="30" t="n"/>
      <c r="G3914" s="9">
        <f>IF(AND(E3914&lt;&gt;"",E3914&lt;&gt;0,H3914&lt;&gt;""),H3914/E3914,"")</f>
        <v/>
      </c>
      <c r="L3914">
        <f>IF(B3914="","",IFERROR(VALUE(TEXT(B3914,"[$-1170401]yyyy")),""))</f>
        <v/>
      </c>
      <c r="M3914">
        <f>IF(B3914="","",IFERROR(VALUE(TEXT(B3914,"[$-1170401]mm")),""))</f>
        <v/>
      </c>
    </row>
    <row r="3915">
      <c r="B3915" s="30" t="n"/>
      <c r="G3915" s="9">
        <f>IF(AND(E3915&lt;&gt;"",E3915&lt;&gt;0,H3915&lt;&gt;""),H3915/E3915,"")</f>
        <v/>
      </c>
      <c r="L3915">
        <f>IF(B3915="","",IFERROR(VALUE(TEXT(B3915,"[$-1170401]yyyy")),""))</f>
        <v/>
      </c>
      <c r="M3915">
        <f>IF(B3915="","",IFERROR(VALUE(TEXT(B3915,"[$-1170401]mm")),""))</f>
        <v/>
      </c>
    </row>
    <row r="3916">
      <c r="B3916" s="30" t="n"/>
      <c r="G3916" s="9">
        <f>IF(AND(E3916&lt;&gt;"",E3916&lt;&gt;0,H3916&lt;&gt;""),H3916/E3916,"")</f>
        <v/>
      </c>
      <c r="L3916">
        <f>IF(B3916="","",IFERROR(VALUE(TEXT(B3916,"[$-1170401]yyyy")),""))</f>
        <v/>
      </c>
      <c r="M3916">
        <f>IF(B3916="","",IFERROR(VALUE(TEXT(B3916,"[$-1170401]mm")),""))</f>
        <v/>
      </c>
    </row>
    <row r="3917">
      <c r="B3917" s="30" t="n"/>
      <c r="G3917" s="9">
        <f>IF(AND(E3917&lt;&gt;"",E3917&lt;&gt;0,H3917&lt;&gt;""),H3917/E3917,"")</f>
        <v/>
      </c>
      <c r="L3917">
        <f>IF(B3917="","",IFERROR(VALUE(TEXT(B3917,"[$-1170401]yyyy")),""))</f>
        <v/>
      </c>
      <c r="M3917">
        <f>IF(B3917="","",IFERROR(VALUE(TEXT(B3917,"[$-1170401]mm")),""))</f>
        <v/>
      </c>
    </row>
    <row r="3918">
      <c r="B3918" s="30" t="n"/>
      <c r="G3918" s="9">
        <f>IF(AND(E3918&lt;&gt;"",E3918&lt;&gt;0,H3918&lt;&gt;""),H3918/E3918,"")</f>
        <v/>
      </c>
      <c r="L3918">
        <f>IF(B3918="","",IFERROR(VALUE(TEXT(B3918,"[$-1170401]yyyy")),""))</f>
        <v/>
      </c>
      <c r="M3918">
        <f>IF(B3918="","",IFERROR(VALUE(TEXT(B3918,"[$-1170401]mm")),""))</f>
        <v/>
      </c>
    </row>
    <row r="3919">
      <c r="B3919" s="30" t="n"/>
      <c r="G3919" s="9">
        <f>IF(AND(E3919&lt;&gt;"",E3919&lt;&gt;0,H3919&lt;&gt;""),H3919/E3919,"")</f>
        <v/>
      </c>
      <c r="L3919">
        <f>IF(B3919="","",IFERROR(VALUE(TEXT(B3919,"[$-1170401]yyyy")),""))</f>
        <v/>
      </c>
      <c r="M3919">
        <f>IF(B3919="","",IFERROR(VALUE(TEXT(B3919,"[$-1170401]mm")),""))</f>
        <v/>
      </c>
    </row>
    <row r="3920">
      <c r="B3920" s="30" t="n"/>
      <c r="G3920" s="9">
        <f>IF(AND(E3920&lt;&gt;"",E3920&lt;&gt;0,H3920&lt;&gt;""),H3920/E3920,"")</f>
        <v/>
      </c>
      <c r="L3920">
        <f>IF(B3920="","",IFERROR(VALUE(TEXT(B3920,"[$-1170401]yyyy")),""))</f>
        <v/>
      </c>
      <c r="M3920">
        <f>IF(B3920="","",IFERROR(VALUE(TEXT(B3920,"[$-1170401]mm")),""))</f>
        <v/>
      </c>
    </row>
    <row r="3921">
      <c r="B3921" s="30" t="n"/>
      <c r="G3921" s="9">
        <f>IF(AND(E3921&lt;&gt;"",E3921&lt;&gt;0,H3921&lt;&gt;""),H3921/E3921,"")</f>
        <v/>
      </c>
      <c r="L3921">
        <f>IF(B3921="","",IFERROR(VALUE(TEXT(B3921,"[$-1170401]yyyy")),""))</f>
        <v/>
      </c>
      <c r="M3921">
        <f>IF(B3921="","",IFERROR(VALUE(TEXT(B3921,"[$-1170401]mm")),""))</f>
        <v/>
      </c>
    </row>
    <row r="3922">
      <c r="B3922" s="30" t="n"/>
      <c r="G3922" s="9">
        <f>IF(AND(E3922&lt;&gt;"",E3922&lt;&gt;0,H3922&lt;&gt;""),H3922/E3922,"")</f>
        <v/>
      </c>
      <c r="L3922">
        <f>IF(B3922="","",IFERROR(VALUE(TEXT(B3922,"[$-1170401]yyyy")),""))</f>
        <v/>
      </c>
      <c r="M3922">
        <f>IF(B3922="","",IFERROR(VALUE(TEXT(B3922,"[$-1170401]mm")),""))</f>
        <v/>
      </c>
    </row>
    <row r="3923">
      <c r="B3923" s="30" t="n"/>
      <c r="G3923" s="9">
        <f>IF(AND(E3923&lt;&gt;"",E3923&lt;&gt;0,H3923&lt;&gt;""),H3923/E3923,"")</f>
        <v/>
      </c>
      <c r="L3923">
        <f>IF(B3923="","",IFERROR(VALUE(TEXT(B3923,"[$-1170401]yyyy")),""))</f>
        <v/>
      </c>
      <c r="M3923">
        <f>IF(B3923="","",IFERROR(VALUE(TEXT(B3923,"[$-1170401]mm")),""))</f>
        <v/>
      </c>
    </row>
    <row r="3924">
      <c r="B3924" s="30" t="n"/>
      <c r="G3924" s="9">
        <f>IF(AND(E3924&lt;&gt;"",E3924&lt;&gt;0,H3924&lt;&gt;""),H3924/E3924,"")</f>
        <v/>
      </c>
      <c r="L3924">
        <f>IF(B3924="","",IFERROR(VALUE(TEXT(B3924,"[$-1170401]yyyy")),""))</f>
        <v/>
      </c>
      <c r="M3924">
        <f>IF(B3924="","",IFERROR(VALUE(TEXT(B3924,"[$-1170401]mm")),""))</f>
        <v/>
      </c>
    </row>
    <row r="3925">
      <c r="B3925" s="30" t="n"/>
      <c r="G3925" s="9">
        <f>IF(AND(E3925&lt;&gt;"",E3925&lt;&gt;0,H3925&lt;&gt;""),H3925/E3925,"")</f>
        <v/>
      </c>
      <c r="L3925">
        <f>IF(B3925="","",IFERROR(VALUE(TEXT(B3925,"[$-1170401]yyyy")),""))</f>
        <v/>
      </c>
      <c r="M3925">
        <f>IF(B3925="","",IFERROR(VALUE(TEXT(B3925,"[$-1170401]mm")),""))</f>
        <v/>
      </c>
    </row>
    <row r="3926">
      <c r="B3926" s="30" t="n"/>
      <c r="G3926" s="9">
        <f>IF(AND(E3926&lt;&gt;"",E3926&lt;&gt;0,H3926&lt;&gt;""),H3926/E3926,"")</f>
        <v/>
      </c>
      <c r="L3926">
        <f>IF(B3926="","",IFERROR(VALUE(TEXT(B3926,"[$-1170401]yyyy")),""))</f>
        <v/>
      </c>
      <c r="M3926">
        <f>IF(B3926="","",IFERROR(VALUE(TEXT(B3926,"[$-1170401]mm")),""))</f>
        <v/>
      </c>
    </row>
    <row r="3927">
      <c r="B3927" s="30" t="n"/>
      <c r="G3927" s="9">
        <f>IF(AND(E3927&lt;&gt;"",E3927&lt;&gt;0,H3927&lt;&gt;""),H3927/E3927,"")</f>
        <v/>
      </c>
      <c r="L3927">
        <f>IF(B3927="","",IFERROR(VALUE(TEXT(B3927,"[$-1170401]yyyy")),""))</f>
        <v/>
      </c>
      <c r="M3927">
        <f>IF(B3927="","",IFERROR(VALUE(TEXT(B3927,"[$-1170401]mm")),""))</f>
        <v/>
      </c>
    </row>
    <row r="3928">
      <c r="B3928" s="30" t="n"/>
      <c r="G3928" s="9">
        <f>IF(AND(E3928&lt;&gt;"",E3928&lt;&gt;0,H3928&lt;&gt;""),H3928/E3928,"")</f>
        <v/>
      </c>
      <c r="L3928">
        <f>IF(B3928="","",IFERROR(VALUE(TEXT(B3928,"[$-1170401]yyyy")),""))</f>
        <v/>
      </c>
      <c r="M3928">
        <f>IF(B3928="","",IFERROR(VALUE(TEXT(B3928,"[$-1170401]mm")),""))</f>
        <v/>
      </c>
    </row>
    <row r="3929">
      <c r="B3929" s="30" t="n"/>
      <c r="G3929" s="9">
        <f>IF(AND(E3929&lt;&gt;"",E3929&lt;&gt;0,H3929&lt;&gt;""),H3929/E3929,"")</f>
        <v/>
      </c>
      <c r="L3929">
        <f>IF(B3929="","",IFERROR(VALUE(TEXT(B3929,"[$-1170401]yyyy")),""))</f>
        <v/>
      </c>
      <c r="M3929">
        <f>IF(B3929="","",IFERROR(VALUE(TEXT(B3929,"[$-1170401]mm")),""))</f>
        <v/>
      </c>
    </row>
    <row r="3930">
      <c r="B3930" s="30" t="n"/>
      <c r="G3930" s="9">
        <f>IF(AND(E3930&lt;&gt;"",E3930&lt;&gt;0,H3930&lt;&gt;""),H3930/E3930,"")</f>
        <v/>
      </c>
      <c r="L3930">
        <f>IF(B3930="","",IFERROR(VALUE(TEXT(B3930,"[$-1170401]yyyy")),""))</f>
        <v/>
      </c>
      <c r="M3930">
        <f>IF(B3930="","",IFERROR(VALUE(TEXT(B3930,"[$-1170401]mm")),""))</f>
        <v/>
      </c>
    </row>
    <row r="3931">
      <c r="B3931" s="30" t="n"/>
      <c r="G3931" s="9">
        <f>IF(AND(E3931&lt;&gt;"",E3931&lt;&gt;0,H3931&lt;&gt;""),H3931/E3931,"")</f>
        <v/>
      </c>
      <c r="L3931">
        <f>IF(B3931="","",IFERROR(VALUE(TEXT(B3931,"[$-1170401]yyyy")),""))</f>
        <v/>
      </c>
      <c r="M3931">
        <f>IF(B3931="","",IFERROR(VALUE(TEXT(B3931,"[$-1170401]mm")),""))</f>
        <v/>
      </c>
    </row>
    <row r="3932">
      <c r="B3932" s="30" t="n"/>
      <c r="G3932" s="9">
        <f>IF(AND(E3932&lt;&gt;"",E3932&lt;&gt;0,H3932&lt;&gt;""),H3932/E3932,"")</f>
        <v/>
      </c>
      <c r="L3932">
        <f>IF(B3932="","",IFERROR(VALUE(TEXT(B3932,"[$-1170401]yyyy")),""))</f>
        <v/>
      </c>
      <c r="M3932">
        <f>IF(B3932="","",IFERROR(VALUE(TEXT(B3932,"[$-1170401]mm")),""))</f>
        <v/>
      </c>
    </row>
    <row r="3933">
      <c r="B3933" s="30" t="n"/>
      <c r="G3933" s="9">
        <f>IF(AND(E3933&lt;&gt;"",E3933&lt;&gt;0,H3933&lt;&gt;""),H3933/E3933,"")</f>
        <v/>
      </c>
      <c r="L3933">
        <f>IF(B3933="","",IFERROR(VALUE(TEXT(B3933,"[$-1170401]yyyy")),""))</f>
        <v/>
      </c>
      <c r="M3933">
        <f>IF(B3933="","",IFERROR(VALUE(TEXT(B3933,"[$-1170401]mm")),""))</f>
        <v/>
      </c>
    </row>
    <row r="3934">
      <c r="B3934" s="30" t="n"/>
      <c r="G3934" s="9">
        <f>IF(AND(E3934&lt;&gt;"",E3934&lt;&gt;0,H3934&lt;&gt;""),H3934/E3934,"")</f>
        <v/>
      </c>
      <c r="L3934">
        <f>IF(B3934="","",IFERROR(VALUE(TEXT(B3934,"[$-1170401]yyyy")),""))</f>
        <v/>
      </c>
      <c r="M3934">
        <f>IF(B3934="","",IFERROR(VALUE(TEXT(B3934,"[$-1170401]mm")),""))</f>
        <v/>
      </c>
    </row>
    <row r="3935">
      <c r="B3935" s="30" t="n"/>
      <c r="G3935" s="9">
        <f>IF(AND(E3935&lt;&gt;"",E3935&lt;&gt;0,H3935&lt;&gt;""),H3935/E3935,"")</f>
        <v/>
      </c>
      <c r="L3935">
        <f>IF(B3935="","",IFERROR(VALUE(TEXT(B3935,"[$-1170401]yyyy")),""))</f>
        <v/>
      </c>
      <c r="M3935">
        <f>IF(B3935="","",IFERROR(VALUE(TEXT(B3935,"[$-1170401]mm")),""))</f>
        <v/>
      </c>
    </row>
    <row r="3936">
      <c r="B3936" s="30" t="n"/>
      <c r="G3936" s="9">
        <f>IF(AND(E3936&lt;&gt;"",E3936&lt;&gt;0,H3936&lt;&gt;""),H3936/E3936,"")</f>
        <v/>
      </c>
      <c r="L3936">
        <f>IF(B3936="","",IFERROR(VALUE(TEXT(B3936,"[$-1170401]yyyy")),""))</f>
        <v/>
      </c>
      <c r="M3936">
        <f>IF(B3936="","",IFERROR(VALUE(TEXT(B3936,"[$-1170401]mm")),""))</f>
        <v/>
      </c>
    </row>
    <row r="3937">
      <c r="B3937" s="30" t="n"/>
      <c r="G3937" s="9">
        <f>IF(AND(E3937&lt;&gt;"",E3937&lt;&gt;0,H3937&lt;&gt;""),H3937/E3937,"")</f>
        <v/>
      </c>
      <c r="L3937">
        <f>IF(B3937="","",IFERROR(VALUE(TEXT(B3937,"[$-1170401]yyyy")),""))</f>
        <v/>
      </c>
      <c r="M3937">
        <f>IF(B3937="","",IFERROR(VALUE(TEXT(B3937,"[$-1170401]mm")),""))</f>
        <v/>
      </c>
    </row>
    <row r="3938">
      <c r="B3938" s="30" t="n"/>
      <c r="G3938" s="9">
        <f>IF(AND(E3938&lt;&gt;"",E3938&lt;&gt;0,H3938&lt;&gt;""),H3938/E3938,"")</f>
        <v/>
      </c>
      <c r="L3938">
        <f>IF(B3938="","",IFERROR(VALUE(TEXT(B3938,"[$-1170401]yyyy")),""))</f>
        <v/>
      </c>
      <c r="M3938">
        <f>IF(B3938="","",IFERROR(VALUE(TEXT(B3938,"[$-1170401]mm")),""))</f>
        <v/>
      </c>
    </row>
    <row r="3939">
      <c r="B3939" s="30" t="n"/>
      <c r="G3939" s="9">
        <f>IF(AND(E3939&lt;&gt;"",E3939&lt;&gt;0,H3939&lt;&gt;""),H3939/E3939,"")</f>
        <v/>
      </c>
      <c r="L3939">
        <f>IF(B3939="","",IFERROR(VALUE(TEXT(B3939,"[$-1170401]yyyy")),""))</f>
        <v/>
      </c>
      <c r="M3939">
        <f>IF(B3939="","",IFERROR(VALUE(TEXT(B3939,"[$-1170401]mm")),""))</f>
        <v/>
      </c>
    </row>
    <row r="3940">
      <c r="B3940" s="30" t="n"/>
      <c r="G3940" s="9">
        <f>IF(AND(E3940&lt;&gt;"",E3940&lt;&gt;0,H3940&lt;&gt;""),H3940/E3940,"")</f>
        <v/>
      </c>
      <c r="L3940">
        <f>IF(B3940="","",IFERROR(VALUE(TEXT(B3940,"[$-1170401]yyyy")),""))</f>
        <v/>
      </c>
      <c r="M3940">
        <f>IF(B3940="","",IFERROR(VALUE(TEXT(B3940,"[$-1170401]mm")),""))</f>
        <v/>
      </c>
    </row>
    <row r="3941">
      <c r="B3941" s="30" t="n"/>
      <c r="G3941" s="9">
        <f>IF(AND(E3941&lt;&gt;"",E3941&lt;&gt;0,H3941&lt;&gt;""),H3941/E3941,"")</f>
        <v/>
      </c>
      <c r="L3941">
        <f>IF(B3941="","",IFERROR(VALUE(TEXT(B3941,"[$-1170401]yyyy")),""))</f>
        <v/>
      </c>
      <c r="M3941">
        <f>IF(B3941="","",IFERROR(VALUE(TEXT(B3941,"[$-1170401]mm")),""))</f>
        <v/>
      </c>
    </row>
    <row r="3942">
      <c r="B3942" s="30" t="n"/>
      <c r="G3942" s="9">
        <f>IF(AND(E3942&lt;&gt;"",E3942&lt;&gt;0,H3942&lt;&gt;""),H3942/E3942,"")</f>
        <v/>
      </c>
      <c r="L3942">
        <f>IF(B3942="","",IFERROR(VALUE(TEXT(B3942,"[$-1170401]yyyy")),""))</f>
        <v/>
      </c>
      <c r="M3942">
        <f>IF(B3942="","",IFERROR(VALUE(TEXT(B3942,"[$-1170401]mm")),""))</f>
        <v/>
      </c>
    </row>
    <row r="3943">
      <c r="B3943" s="30" t="n"/>
      <c r="G3943" s="9">
        <f>IF(AND(E3943&lt;&gt;"",E3943&lt;&gt;0,H3943&lt;&gt;""),H3943/E3943,"")</f>
        <v/>
      </c>
      <c r="L3943">
        <f>IF(B3943="","",IFERROR(VALUE(TEXT(B3943,"[$-1170401]yyyy")),""))</f>
        <v/>
      </c>
      <c r="M3943">
        <f>IF(B3943="","",IFERROR(VALUE(TEXT(B3943,"[$-1170401]mm")),""))</f>
        <v/>
      </c>
    </row>
    <row r="3944">
      <c r="B3944" s="30" t="n"/>
      <c r="G3944" s="9">
        <f>IF(AND(E3944&lt;&gt;"",E3944&lt;&gt;0,H3944&lt;&gt;""),H3944/E3944,"")</f>
        <v/>
      </c>
      <c r="L3944">
        <f>IF(B3944="","",IFERROR(VALUE(TEXT(B3944,"[$-1170401]yyyy")),""))</f>
        <v/>
      </c>
      <c r="M3944">
        <f>IF(B3944="","",IFERROR(VALUE(TEXT(B3944,"[$-1170401]mm")),""))</f>
        <v/>
      </c>
    </row>
    <row r="3945">
      <c r="B3945" s="30" t="n"/>
      <c r="G3945" s="9">
        <f>IF(AND(E3945&lt;&gt;"",E3945&lt;&gt;0,H3945&lt;&gt;""),H3945/E3945,"")</f>
        <v/>
      </c>
      <c r="L3945">
        <f>IF(B3945="","",IFERROR(VALUE(TEXT(B3945,"[$-1170401]yyyy")),""))</f>
        <v/>
      </c>
      <c r="M3945">
        <f>IF(B3945="","",IFERROR(VALUE(TEXT(B3945,"[$-1170401]mm")),""))</f>
        <v/>
      </c>
    </row>
    <row r="3946">
      <c r="B3946" s="30" t="n"/>
      <c r="G3946" s="9">
        <f>IF(AND(E3946&lt;&gt;"",E3946&lt;&gt;0,H3946&lt;&gt;""),H3946/E3946,"")</f>
        <v/>
      </c>
      <c r="L3946">
        <f>IF(B3946="","",IFERROR(VALUE(TEXT(B3946,"[$-1170401]yyyy")),""))</f>
        <v/>
      </c>
      <c r="M3946">
        <f>IF(B3946="","",IFERROR(VALUE(TEXT(B3946,"[$-1170401]mm")),""))</f>
        <v/>
      </c>
    </row>
    <row r="3947">
      <c r="B3947" s="30" t="n"/>
      <c r="G3947" s="9">
        <f>IF(AND(E3947&lt;&gt;"",E3947&lt;&gt;0,H3947&lt;&gt;""),H3947/E3947,"")</f>
        <v/>
      </c>
      <c r="L3947">
        <f>IF(B3947="","",IFERROR(VALUE(TEXT(B3947,"[$-1170401]yyyy")),""))</f>
        <v/>
      </c>
      <c r="M3947">
        <f>IF(B3947="","",IFERROR(VALUE(TEXT(B3947,"[$-1170401]mm")),""))</f>
        <v/>
      </c>
    </row>
    <row r="3948">
      <c r="B3948" s="30" t="n"/>
      <c r="G3948" s="9">
        <f>IF(AND(E3948&lt;&gt;"",E3948&lt;&gt;0,H3948&lt;&gt;""),H3948/E3948,"")</f>
        <v/>
      </c>
      <c r="L3948">
        <f>IF(B3948="","",IFERROR(VALUE(TEXT(B3948,"[$-1170401]yyyy")),""))</f>
        <v/>
      </c>
      <c r="M3948">
        <f>IF(B3948="","",IFERROR(VALUE(TEXT(B3948,"[$-1170401]mm")),""))</f>
        <v/>
      </c>
    </row>
    <row r="3949">
      <c r="B3949" s="30" t="n"/>
      <c r="G3949" s="9">
        <f>IF(AND(E3949&lt;&gt;"",E3949&lt;&gt;0,H3949&lt;&gt;""),H3949/E3949,"")</f>
        <v/>
      </c>
      <c r="L3949">
        <f>IF(B3949="","",IFERROR(VALUE(TEXT(B3949,"[$-1170401]yyyy")),""))</f>
        <v/>
      </c>
      <c r="M3949">
        <f>IF(B3949="","",IFERROR(VALUE(TEXT(B3949,"[$-1170401]mm")),""))</f>
        <v/>
      </c>
    </row>
    <row r="3950">
      <c r="B3950" s="30" t="n"/>
      <c r="G3950" s="9">
        <f>IF(AND(E3950&lt;&gt;"",E3950&lt;&gt;0,H3950&lt;&gt;""),H3950/E3950,"")</f>
        <v/>
      </c>
      <c r="L3950">
        <f>IF(B3950="","",IFERROR(VALUE(TEXT(B3950,"[$-1170401]yyyy")),""))</f>
        <v/>
      </c>
      <c r="M3950">
        <f>IF(B3950="","",IFERROR(VALUE(TEXT(B3950,"[$-1170401]mm")),""))</f>
        <v/>
      </c>
    </row>
    <row r="3951">
      <c r="B3951" s="30" t="n"/>
      <c r="G3951" s="9">
        <f>IF(AND(E3951&lt;&gt;"",E3951&lt;&gt;0,H3951&lt;&gt;""),H3951/E3951,"")</f>
        <v/>
      </c>
      <c r="L3951">
        <f>IF(B3951="","",IFERROR(VALUE(TEXT(B3951,"[$-1170401]yyyy")),""))</f>
        <v/>
      </c>
      <c r="M3951">
        <f>IF(B3951="","",IFERROR(VALUE(TEXT(B3951,"[$-1170401]mm")),""))</f>
        <v/>
      </c>
    </row>
    <row r="3952">
      <c r="B3952" s="30" t="n"/>
      <c r="G3952" s="9">
        <f>IF(AND(E3952&lt;&gt;"",E3952&lt;&gt;0,H3952&lt;&gt;""),H3952/E3952,"")</f>
        <v/>
      </c>
      <c r="L3952">
        <f>IF(B3952="","",IFERROR(VALUE(TEXT(B3952,"[$-1170401]yyyy")),""))</f>
        <v/>
      </c>
      <c r="M3952">
        <f>IF(B3952="","",IFERROR(VALUE(TEXT(B3952,"[$-1170401]mm")),""))</f>
        <v/>
      </c>
    </row>
    <row r="3953">
      <c r="B3953" s="30" t="n"/>
      <c r="G3953" s="9">
        <f>IF(AND(E3953&lt;&gt;"",E3953&lt;&gt;0,H3953&lt;&gt;""),H3953/E3953,"")</f>
        <v/>
      </c>
      <c r="L3953">
        <f>IF(B3953="","",IFERROR(VALUE(TEXT(B3953,"[$-1170401]yyyy")),""))</f>
        <v/>
      </c>
      <c r="M3953">
        <f>IF(B3953="","",IFERROR(VALUE(TEXT(B3953,"[$-1170401]mm")),""))</f>
        <v/>
      </c>
    </row>
    <row r="3954">
      <c r="B3954" s="30" t="n"/>
      <c r="G3954" s="9">
        <f>IF(AND(E3954&lt;&gt;"",E3954&lt;&gt;0,H3954&lt;&gt;""),H3954/E3954,"")</f>
        <v/>
      </c>
      <c r="L3954">
        <f>IF(B3954="","",IFERROR(VALUE(TEXT(B3954,"[$-1170401]yyyy")),""))</f>
        <v/>
      </c>
      <c r="M3954">
        <f>IF(B3954="","",IFERROR(VALUE(TEXT(B3954,"[$-1170401]mm")),""))</f>
        <v/>
      </c>
    </row>
    <row r="3955">
      <c r="B3955" s="30" t="n"/>
      <c r="G3955" s="9">
        <f>IF(AND(E3955&lt;&gt;"",E3955&lt;&gt;0,H3955&lt;&gt;""),H3955/E3955,"")</f>
        <v/>
      </c>
      <c r="L3955">
        <f>IF(B3955="","",IFERROR(VALUE(TEXT(B3955,"[$-1170401]yyyy")),""))</f>
        <v/>
      </c>
      <c r="M3955">
        <f>IF(B3955="","",IFERROR(VALUE(TEXT(B3955,"[$-1170401]mm")),""))</f>
        <v/>
      </c>
    </row>
    <row r="3956">
      <c r="B3956" s="30" t="n"/>
      <c r="G3956" s="9">
        <f>IF(AND(E3956&lt;&gt;"",E3956&lt;&gt;0,H3956&lt;&gt;""),H3956/E3956,"")</f>
        <v/>
      </c>
      <c r="L3956">
        <f>IF(B3956="","",IFERROR(VALUE(TEXT(B3956,"[$-1170401]yyyy")),""))</f>
        <v/>
      </c>
      <c r="M3956">
        <f>IF(B3956="","",IFERROR(VALUE(TEXT(B3956,"[$-1170401]mm")),""))</f>
        <v/>
      </c>
    </row>
    <row r="3957">
      <c r="B3957" s="30" t="n"/>
      <c r="G3957" s="9">
        <f>IF(AND(E3957&lt;&gt;"",E3957&lt;&gt;0,H3957&lt;&gt;""),H3957/E3957,"")</f>
        <v/>
      </c>
      <c r="L3957">
        <f>IF(B3957="","",IFERROR(VALUE(TEXT(B3957,"[$-1170401]yyyy")),""))</f>
        <v/>
      </c>
      <c r="M3957">
        <f>IF(B3957="","",IFERROR(VALUE(TEXT(B3957,"[$-1170401]mm")),""))</f>
        <v/>
      </c>
    </row>
    <row r="3958">
      <c r="B3958" s="30" t="n"/>
      <c r="G3958" s="9">
        <f>IF(AND(E3958&lt;&gt;"",E3958&lt;&gt;0,H3958&lt;&gt;""),H3958/E3958,"")</f>
        <v/>
      </c>
      <c r="L3958">
        <f>IF(B3958="","",IFERROR(VALUE(TEXT(B3958,"[$-1170401]yyyy")),""))</f>
        <v/>
      </c>
      <c r="M3958">
        <f>IF(B3958="","",IFERROR(VALUE(TEXT(B3958,"[$-1170401]mm")),""))</f>
        <v/>
      </c>
    </row>
    <row r="3959">
      <c r="B3959" s="30" t="n"/>
      <c r="G3959" s="9">
        <f>IF(AND(E3959&lt;&gt;"",E3959&lt;&gt;0,H3959&lt;&gt;""),H3959/E3959,"")</f>
        <v/>
      </c>
      <c r="L3959">
        <f>IF(B3959="","",IFERROR(VALUE(TEXT(B3959,"[$-1170401]yyyy")),""))</f>
        <v/>
      </c>
      <c r="M3959">
        <f>IF(B3959="","",IFERROR(VALUE(TEXT(B3959,"[$-1170401]mm")),""))</f>
        <v/>
      </c>
    </row>
    <row r="3960">
      <c r="B3960" s="30" t="n"/>
      <c r="G3960" s="9">
        <f>IF(AND(E3960&lt;&gt;"",E3960&lt;&gt;0,H3960&lt;&gt;""),H3960/E3960,"")</f>
        <v/>
      </c>
      <c r="L3960">
        <f>IF(B3960="","",IFERROR(VALUE(TEXT(B3960,"[$-1170401]yyyy")),""))</f>
        <v/>
      </c>
      <c r="M3960">
        <f>IF(B3960="","",IFERROR(VALUE(TEXT(B3960,"[$-1170401]mm")),""))</f>
        <v/>
      </c>
    </row>
    <row r="3961">
      <c r="B3961" s="30" t="n"/>
      <c r="G3961" s="9">
        <f>IF(AND(E3961&lt;&gt;"",E3961&lt;&gt;0,H3961&lt;&gt;""),H3961/E3961,"")</f>
        <v/>
      </c>
      <c r="L3961">
        <f>IF(B3961="","",IFERROR(VALUE(TEXT(B3961,"[$-1170401]yyyy")),""))</f>
        <v/>
      </c>
      <c r="M3961">
        <f>IF(B3961="","",IFERROR(VALUE(TEXT(B3961,"[$-1170401]mm")),""))</f>
        <v/>
      </c>
    </row>
    <row r="3962">
      <c r="B3962" s="30" t="n"/>
      <c r="G3962" s="9">
        <f>IF(AND(E3962&lt;&gt;"",E3962&lt;&gt;0,H3962&lt;&gt;""),H3962/E3962,"")</f>
        <v/>
      </c>
      <c r="L3962">
        <f>IF(B3962="","",IFERROR(VALUE(TEXT(B3962,"[$-1170401]yyyy")),""))</f>
        <v/>
      </c>
      <c r="M3962">
        <f>IF(B3962="","",IFERROR(VALUE(TEXT(B3962,"[$-1170401]mm")),""))</f>
        <v/>
      </c>
    </row>
    <row r="3963">
      <c r="B3963" s="30" t="n"/>
      <c r="G3963" s="9">
        <f>IF(AND(E3963&lt;&gt;"",E3963&lt;&gt;0,H3963&lt;&gt;""),H3963/E3963,"")</f>
        <v/>
      </c>
      <c r="L3963">
        <f>IF(B3963="","",IFERROR(VALUE(TEXT(B3963,"[$-1170401]yyyy")),""))</f>
        <v/>
      </c>
      <c r="M3963">
        <f>IF(B3963="","",IFERROR(VALUE(TEXT(B3963,"[$-1170401]mm")),""))</f>
        <v/>
      </c>
    </row>
    <row r="3964">
      <c r="B3964" s="30" t="n"/>
      <c r="G3964" s="9">
        <f>IF(AND(E3964&lt;&gt;"",E3964&lt;&gt;0,H3964&lt;&gt;""),H3964/E3964,"")</f>
        <v/>
      </c>
      <c r="L3964">
        <f>IF(B3964="","",IFERROR(VALUE(TEXT(B3964,"[$-1170401]yyyy")),""))</f>
        <v/>
      </c>
      <c r="M3964">
        <f>IF(B3964="","",IFERROR(VALUE(TEXT(B3964,"[$-1170401]mm")),""))</f>
        <v/>
      </c>
    </row>
    <row r="3965">
      <c r="B3965" s="30" t="n"/>
      <c r="G3965" s="9">
        <f>IF(AND(E3965&lt;&gt;"",E3965&lt;&gt;0,H3965&lt;&gt;""),H3965/E3965,"")</f>
        <v/>
      </c>
      <c r="L3965">
        <f>IF(B3965="","",IFERROR(VALUE(TEXT(B3965,"[$-1170401]yyyy")),""))</f>
        <v/>
      </c>
      <c r="M3965">
        <f>IF(B3965="","",IFERROR(VALUE(TEXT(B3965,"[$-1170401]mm")),""))</f>
        <v/>
      </c>
    </row>
    <row r="3966">
      <c r="B3966" s="30" t="n"/>
      <c r="G3966" s="9">
        <f>IF(AND(E3966&lt;&gt;"",E3966&lt;&gt;0,H3966&lt;&gt;""),H3966/E3966,"")</f>
        <v/>
      </c>
      <c r="L3966">
        <f>IF(B3966="","",IFERROR(VALUE(TEXT(B3966,"[$-1170401]yyyy")),""))</f>
        <v/>
      </c>
      <c r="M3966">
        <f>IF(B3966="","",IFERROR(VALUE(TEXT(B3966,"[$-1170401]mm")),""))</f>
        <v/>
      </c>
    </row>
    <row r="3967">
      <c r="B3967" s="30" t="n"/>
      <c r="G3967" s="9">
        <f>IF(AND(E3967&lt;&gt;"",E3967&lt;&gt;0,H3967&lt;&gt;""),H3967/E3967,"")</f>
        <v/>
      </c>
      <c r="L3967">
        <f>IF(B3967="","",IFERROR(VALUE(TEXT(B3967,"[$-1170401]yyyy")),""))</f>
        <v/>
      </c>
      <c r="M3967">
        <f>IF(B3967="","",IFERROR(VALUE(TEXT(B3967,"[$-1170401]mm")),""))</f>
        <v/>
      </c>
    </row>
    <row r="3968">
      <c r="B3968" s="30" t="n"/>
      <c r="G3968" s="9">
        <f>IF(AND(E3968&lt;&gt;"",E3968&lt;&gt;0,H3968&lt;&gt;""),H3968/E3968,"")</f>
        <v/>
      </c>
      <c r="L3968">
        <f>IF(B3968="","",IFERROR(VALUE(TEXT(B3968,"[$-1170401]yyyy")),""))</f>
        <v/>
      </c>
      <c r="M3968">
        <f>IF(B3968="","",IFERROR(VALUE(TEXT(B3968,"[$-1170401]mm")),""))</f>
        <v/>
      </c>
    </row>
    <row r="3969">
      <c r="B3969" s="30" t="n"/>
      <c r="G3969" s="9">
        <f>IF(AND(E3969&lt;&gt;"",E3969&lt;&gt;0,H3969&lt;&gt;""),H3969/E3969,"")</f>
        <v/>
      </c>
      <c r="L3969">
        <f>IF(B3969="","",IFERROR(VALUE(TEXT(B3969,"[$-1170401]yyyy")),""))</f>
        <v/>
      </c>
      <c r="M3969">
        <f>IF(B3969="","",IFERROR(VALUE(TEXT(B3969,"[$-1170401]mm")),""))</f>
        <v/>
      </c>
    </row>
    <row r="3970">
      <c r="B3970" s="30" t="n"/>
      <c r="G3970" s="9">
        <f>IF(AND(E3970&lt;&gt;"",E3970&lt;&gt;0,H3970&lt;&gt;""),H3970/E3970,"")</f>
        <v/>
      </c>
      <c r="L3970">
        <f>IF(B3970="","",IFERROR(VALUE(TEXT(B3970,"[$-1170401]yyyy")),""))</f>
        <v/>
      </c>
      <c r="M3970">
        <f>IF(B3970="","",IFERROR(VALUE(TEXT(B3970,"[$-1170401]mm")),""))</f>
        <v/>
      </c>
    </row>
    <row r="3971">
      <c r="B3971" s="30" t="n"/>
      <c r="G3971" s="9">
        <f>IF(AND(E3971&lt;&gt;"",E3971&lt;&gt;0,H3971&lt;&gt;""),H3971/E3971,"")</f>
        <v/>
      </c>
      <c r="L3971">
        <f>IF(B3971="","",IFERROR(VALUE(TEXT(B3971,"[$-1170401]yyyy")),""))</f>
        <v/>
      </c>
      <c r="M3971">
        <f>IF(B3971="","",IFERROR(VALUE(TEXT(B3971,"[$-1170401]mm")),""))</f>
        <v/>
      </c>
    </row>
    <row r="3972">
      <c r="B3972" s="30" t="n"/>
      <c r="G3972" s="9">
        <f>IF(AND(E3972&lt;&gt;"",E3972&lt;&gt;0,H3972&lt;&gt;""),H3972/E3972,"")</f>
        <v/>
      </c>
      <c r="L3972">
        <f>IF(B3972="","",IFERROR(VALUE(TEXT(B3972,"[$-1170401]yyyy")),""))</f>
        <v/>
      </c>
      <c r="M3972">
        <f>IF(B3972="","",IFERROR(VALUE(TEXT(B3972,"[$-1170401]mm")),""))</f>
        <v/>
      </c>
    </row>
    <row r="3973">
      <c r="B3973" s="30" t="n"/>
      <c r="G3973" s="9">
        <f>IF(AND(E3973&lt;&gt;"",E3973&lt;&gt;0,H3973&lt;&gt;""),H3973/E3973,"")</f>
        <v/>
      </c>
      <c r="L3973">
        <f>IF(B3973="","",IFERROR(VALUE(TEXT(B3973,"[$-1170401]yyyy")),""))</f>
        <v/>
      </c>
      <c r="M3973">
        <f>IF(B3973="","",IFERROR(VALUE(TEXT(B3973,"[$-1170401]mm")),""))</f>
        <v/>
      </c>
    </row>
    <row r="3974">
      <c r="B3974" s="30" t="n"/>
      <c r="G3974" s="9">
        <f>IF(AND(E3974&lt;&gt;"",E3974&lt;&gt;0,H3974&lt;&gt;""),H3974/E3974,"")</f>
        <v/>
      </c>
      <c r="L3974">
        <f>IF(B3974="","",IFERROR(VALUE(TEXT(B3974,"[$-1170401]yyyy")),""))</f>
        <v/>
      </c>
      <c r="M3974">
        <f>IF(B3974="","",IFERROR(VALUE(TEXT(B3974,"[$-1170401]mm")),""))</f>
        <v/>
      </c>
    </row>
    <row r="3975">
      <c r="B3975" s="30" t="n"/>
      <c r="G3975" s="9">
        <f>IF(AND(E3975&lt;&gt;"",E3975&lt;&gt;0,H3975&lt;&gt;""),H3975/E3975,"")</f>
        <v/>
      </c>
      <c r="L3975">
        <f>IF(B3975="","",IFERROR(VALUE(TEXT(B3975,"[$-1170401]yyyy")),""))</f>
        <v/>
      </c>
      <c r="M3975">
        <f>IF(B3975="","",IFERROR(VALUE(TEXT(B3975,"[$-1170401]mm")),""))</f>
        <v/>
      </c>
    </row>
    <row r="3976">
      <c r="B3976" s="30" t="n"/>
      <c r="G3976" s="9">
        <f>IF(AND(E3976&lt;&gt;"",E3976&lt;&gt;0,H3976&lt;&gt;""),H3976/E3976,"")</f>
        <v/>
      </c>
      <c r="L3976">
        <f>IF(B3976="","",IFERROR(VALUE(TEXT(B3976,"[$-1170401]yyyy")),""))</f>
        <v/>
      </c>
      <c r="M3976">
        <f>IF(B3976="","",IFERROR(VALUE(TEXT(B3976,"[$-1170401]mm")),""))</f>
        <v/>
      </c>
    </row>
    <row r="3977">
      <c r="B3977" s="30" t="n"/>
      <c r="G3977" s="9">
        <f>IF(AND(E3977&lt;&gt;"",E3977&lt;&gt;0,H3977&lt;&gt;""),H3977/E3977,"")</f>
        <v/>
      </c>
      <c r="L3977">
        <f>IF(B3977="","",IFERROR(VALUE(TEXT(B3977,"[$-1170401]yyyy")),""))</f>
        <v/>
      </c>
      <c r="M3977">
        <f>IF(B3977="","",IFERROR(VALUE(TEXT(B3977,"[$-1170401]mm")),""))</f>
        <v/>
      </c>
    </row>
    <row r="3978">
      <c r="B3978" s="30" t="n"/>
      <c r="G3978" s="9">
        <f>IF(AND(E3978&lt;&gt;"",E3978&lt;&gt;0,H3978&lt;&gt;""),H3978/E3978,"")</f>
        <v/>
      </c>
      <c r="L3978">
        <f>IF(B3978="","",IFERROR(VALUE(TEXT(B3978,"[$-1170401]yyyy")),""))</f>
        <v/>
      </c>
      <c r="M3978">
        <f>IF(B3978="","",IFERROR(VALUE(TEXT(B3978,"[$-1170401]mm")),""))</f>
        <v/>
      </c>
    </row>
    <row r="3979">
      <c r="B3979" s="30" t="n"/>
      <c r="G3979" s="9">
        <f>IF(AND(E3979&lt;&gt;"",E3979&lt;&gt;0,H3979&lt;&gt;""),H3979/E3979,"")</f>
        <v/>
      </c>
      <c r="L3979">
        <f>IF(B3979="","",IFERROR(VALUE(TEXT(B3979,"[$-1170401]yyyy")),""))</f>
        <v/>
      </c>
      <c r="M3979">
        <f>IF(B3979="","",IFERROR(VALUE(TEXT(B3979,"[$-1170401]mm")),""))</f>
        <v/>
      </c>
    </row>
    <row r="3980">
      <c r="B3980" s="30" t="n"/>
      <c r="G3980" s="9">
        <f>IF(AND(E3980&lt;&gt;"",E3980&lt;&gt;0,H3980&lt;&gt;""),H3980/E3980,"")</f>
        <v/>
      </c>
      <c r="L3980">
        <f>IF(B3980="","",IFERROR(VALUE(TEXT(B3980,"[$-1170401]yyyy")),""))</f>
        <v/>
      </c>
      <c r="M3980">
        <f>IF(B3980="","",IFERROR(VALUE(TEXT(B3980,"[$-1170401]mm")),""))</f>
        <v/>
      </c>
    </row>
    <row r="3981">
      <c r="B3981" s="30" t="n"/>
      <c r="G3981" s="9">
        <f>IF(AND(E3981&lt;&gt;"",E3981&lt;&gt;0,H3981&lt;&gt;""),H3981/E3981,"")</f>
        <v/>
      </c>
      <c r="L3981">
        <f>IF(B3981="","",IFERROR(VALUE(TEXT(B3981,"[$-1170401]yyyy")),""))</f>
        <v/>
      </c>
      <c r="M3981">
        <f>IF(B3981="","",IFERROR(VALUE(TEXT(B3981,"[$-1170401]mm")),""))</f>
        <v/>
      </c>
    </row>
    <row r="3982">
      <c r="B3982" s="30" t="n"/>
      <c r="G3982" s="9">
        <f>IF(AND(E3982&lt;&gt;"",E3982&lt;&gt;0,H3982&lt;&gt;""),H3982/E3982,"")</f>
        <v/>
      </c>
      <c r="L3982">
        <f>IF(B3982="","",IFERROR(VALUE(TEXT(B3982,"[$-1170401]yyyy")),""))</f>
        <v/>
      </c>
      <c r="M3982">
        <f>IF(B3982="","",IFERROR(VALUE(TEXT(B3982,"[$-1170401]mm")),""))</f>
        <v/>
      </c>
    </row>
    <row r="3983">
      <c r="B3983" s="30" t="n"/>
      <c r="G3983" s="9">
        <f>IF(AND(E3983&lt;&gt;"",E3983&lt;&gt;0,H3983&lt;&gt;""),H3983/E3983,"")</f>
        <v/>
      </c>
      <c r="L3983">
        <f>IF(B3983="","",IFERROR(VALUE(TEXT(B3983,"[$-1170401]yyyy")),""))</f>
        <v/>
      </c>
      <c r="M3983">
        <f>IF(B3983="","",IFERROR(VALUE(TEXT(B3983,"[$-1170401]mm")),""))</f>
        <v/>
      </c>
    </row>
    <row r="3984">
      <c r="B3984" s="30" t="n"/>
      <c r="G3984" s="9">
        <f>IF(AND(E3984&lt;&gt;"",E3984&lt;&gt;0,H3984&lt;&gt;""),H3984/E3984,"")</f>
        <v/>
      </c>
      <c r="L3984">
        <f>IF(B3984="","",IFERROR(VALUE(TEXT(B3984,"[$-1170401]yyyy")),""))</f>
        <v/>
      </c>
      <c r="M3984">
        <f>IF(B3984="","",IFERROR(VALUE(TEXT(B3984,"[$-1170401]mm")),""))</f>
        <v/>
      </c>
    </row>
    <row r="3985">
      <c r="B3985" s="30" t="n"/>
      <c r="G3985" s="9">
        <f>IF(AND(E3985&lt;&gt;"",E3985&lt;&gt;0,H3985&lt;&gt;""),H3985/E3985,"")</f>
        <v/>
      </c>
      <c r="L3985">
        <f>IF(B3985="","",IFERROR(VALUE(TEXT(B3985,"[$-1170401]yyyy")),""))</f>
        <v/>
      </c>
      <c r="M3985">
        <f>IF(B3985="","",IFERROR(VALUE(TEXT(B3985,"[$-1170401]mm")),""))</f>
        <v/>
      </c>
    </row>
    <row r="3986">
      <c r="B3986" s="30" t="n"/>
      <c r="G3986" s="9">
        <f>IF(AND(E3986&lt;&gt;"",E3986&lt;&gt;0,H3986&lt;&gt;""),H3986/E3986,"")</f>
        <v/>
      </c>
      <c r="L3986">
        <f>IF(B3986="","",IFERROR(VALUE(TEXT(B3986,"[$-1170401]yyyy")),""))</f>
        <v/>
      </c>
      <c r="M3986">
        <f>IF(B3986="","",IFERROR(VALUE(TEXT(B3986,"[$-1170401]mm")),""))</f>
        <v/>
      </c>
    </row>
    <row r="3987">
      <c r="B3987" s="30" t="n"/>
      <c r="G3987" s="9">
        <f>IF(AND(E3987&lt;&gt;"",E3987&lt;&gt;0,H3987&lt;&gt;""),H3987/E3987,"")</f>
        <v/>
      </c>
      <c r="L3987">
        <f>IF(B3987="","",IFERROR(VALUE(TEXT(B3987,"[$-1170401]yyyy")),""))</f>
        <v/>
      </c>
      <c r="M3987">
        <f>IF(B3987="","",IFERROR(VALUE(TEXT(B3987,"[$-1170401]mm")),""))</f>
        <v/>
      </c>
    </row>
    <row r="3988">
      <c r="B3988" s="30" t="n"/>
      <c r="G3988" s="9">
        <f>IF(AND(E3988&lt;&gt;"",E3988&lt;&gt;0,H3988&lt;&gt;""),H3988/E3988,"")</f>
        <v/>
      </c>
      <c r="L3988">
        <f>IF(B3988="","",IFERROR(VALUE(TEXT(B3988,"[$-1170401]yyyy")),""))</f>
        <v/>
      </c>
      <c r="M3988">
        <f>IF(B3988="","",IFERROR(VALUE(TEXT(B3988,"[$-1170401]mm")),""))</f>
        <v/>
      </c>
    </row>
    <row r="3989">
      <c r="B3989" s="30" t="n"/>
      <c r="G3989" s="9">
        <f>IF(AND(E3989&lt;&gt;"",E3989&lt;&gt;0,H3989&lt;&gt;""),H3989/E3989,"")</f>
        <v/>
      </c>
      <c r="L3989">
        <f>IF(B3989="","",IFERROR(VALUE(TEXT(B3989,"[$-1170401]yyyy")),""))</f>
        <v/>
      </c>
      <c r="M3989">
        <f>IF(B3989="","",IFERROR(VALUE(TEXT(B3989,"[$-1170401]mm")),""))</f>
        <v/>
      </c>
    </row>
    <row r="3990">
      <c r="B3990" s="30" t="n"/>
      <c r="G3990" s="9">
        <f>IF(AND(E3990&lt;&gt;"",E3990&lt;&gt;0,H3990&lt;&gt;""),H3990/E3990,"")</f>
        <v/>
      </c>
      <c r="L3990">
        <f>IF(B3990="","",IFERROR(VALUE(TEXT(B3990,"[$-1170401]yyyy")),""))</f>
        <v/>
      </c>
      <c r="M3990">
        <f>IF(B3990="","",IFERROR(VALUE(TEXT(B3990,"[$-1170401]mm")),""))</f>
        <v/>
      </c>
    </row>
    <row r="3991">
      <c r="B3991" s="30" t="n"/>
      <c r="G3991" s="9">
        <f>IF(AND(E3991&lt;&gt;"",E3991&lt;&gt;0,H3991&lt;&gt;""),H3991/E3991,"")</f>
        <v/>
      </c>
      <c r="L3991">
        <f>IF(B3991="","",IFERROR(VALUE(TEXT(B3991,"[$-1170401]yyyy")),""))</f>
        <v/>
      </c>
      <c r="M3991">
        <f>IF(B3991="","",IFERROR(VALUE(TEXT(B3991,"[$-1170401]mm")),""))</f>
        <v/>
      </c>
    </row>
    <row r="3992">
      <c r="B3992" s="30" t="n"/>
      <c r="G3992" s="9">
        <f>IF(AND(E3992&lt;&gt;"",E3992&lt;&gt;0,H3992&lt;&gt;""),H3992/E3992,"")</f>
        <v/>
      </c>
      <c r="L3992">
        <f>IF(B3992="","",IFERROR(VALUE(TEXT(B3992,"[$-1170401]yyyy")),""))</f>
        <v/>
      </c>
      <c r="M3992">
        <f>IF(B3992="","",IFERROR(VALUE(TEXT(B3992,"[$-1170401]mm")),""))</f>
        <v/>
      </c>
    </row>
    <row r="3993">
      <c r="B3993" s="30" t="n"/>
      <c r="G3993" s="9">
        <f>IF(AND(E3993&lt;&gt;"",E3993&lt;&gt;0,H3993&lt;&gt;""),H3993/E3993,"")</f>
        <v/>
      </c>
      <c r="L3993">
        <f>IF(B3993="","",IFERROR(VALUE(TEXT(B3993,"[$-1170401]yyyy")),""))</f>
        <v/>
      </c>
      <c r="M3993">
        <f>IF(B3993="","",IFERROR(VALUE(TEXT(B3993,"[$-1170401]mm")),""))</f>
        <v/>
      </c>
    </row>
    <row r="3994">
      <c r="B3994" s="30" t="n"/>
      <c r="G3994" s="9">
        <f>IF(AND(E3994&lt;&gt;"",E3994&lt;&gt;0,H3994&lt;&gt;""),H3994/E3994,"")</f>
        <v/>
      </c>
      <c r="L3994">
        <f>IF(B3994="","",IFERROR(VALUE(TEXT(B3994,"[$-1170401]yyyy")),""))</f>
        <v/>
      </c>
      <c r="M3994">
        <f>IF(B3994="","",IFERROR(VALUE(TEXT(B3994,"[$-1170401]mm")),""))</f>
        <v/>
      </c>
    </row>
    <row r="3995">
      <c r="B3995" s="30" t="n"/>
      <c r="G3995" s="9">
        <f>IF(AND(E3995&lt;&gt;"",E3995&lt;&gt;0,H3995&lt;&gt;""),H3995/E3995,"")</f>
        <v/>
      </c>
      <c r="L3995">
        <f>IF(B3995="","",IFERROR(VALUE(TEXT(B3995,"[$-1170401]yyyy")),""))</f>
        <v/>
      </c>
      <c r="M3995">
        <f>IF(B3995="","",IFERROR(VALUE(TEXT(B3995,"[$-1170401]mm")),""))</f>
        <v/>
      </c>
    </row>
    <row r="3996">
      <c r="B3996" s="30" t="n"/>
      <c r="G3996" s="9">
        <f>IF(AND(E3996&lt;&gt;"",E3996&lt;&gt;0,H3996&lt;&gt;""),H3996/E3996,"")</f>
        <v/>
      </c>
      <c r="L3996">
        <f>IF(B3996="","",IFERROR(VALUE(TEXT(B3996,"[$-1170401]yyyy")),""))</f>
        <v/>
      </c>
      <c r="M3996">
        <f>IF(B3996="","",IFERROR(VALUE(TEXT(B3996,"[$-1170401]mm")),""))</f>
        <v/>
      </c>
    </row>
    <row r="3997">
      <c r="B3997" s="30" t="n"/>
      <c r="G3997" s="9">
        <f>IF(AND(E3997&lt;&gt;"",E3997&lt;&gt;0,H3997&lt;&gt;""),H3997/E3997,"")</f>
        <v/>
      </c>
      <c r="L3997">
        <f>IF(B3997="","",IFERROR(VALUE(TEXT(B3997,"[$-1170401]yyyy")),""))</f>
        <v/>
      </c>
      <c r="M3997">
        <f>IF(B3997="","",IFERROR(VALUE(TEXT(B3997,"[$-1170401]mm")),""))</f>
        <v/>
      </c>
    </row>
    <row r="3998">
      <c r="B3998" s="30" t="n"/>
      <c r="G3998" s="9">
        <f>IF(AND(E3998&lt;&gt;"",E3998&lt;&gt;0,H3998&lt;&gt;""),H3998/E3998,"")</f>
        <v/>
      </c>
      <c r="L3998">
        <f>IF(B3998="","",IFERROR(VALUE(TEXT(B3998,"[$-1170401]yyyy")),""))</f>
        <v/>
      </c>
      <c r="M3998">
        <f>IF(B3998="","",IFERROR(VALUE(TEXT(B3998,"[$-1170401]mm")),""))</f>
        <v/>
      </c>
    </row>
    <row r="3999">
      <c r="B3999" s="30" t="n"/>
      <c r="G3999" s="9">
        <f>IF(AND(E3999&lt;&gt;"",E3999&lt;&gt;0,H3999&lt;&gt;""),H3999/E3999,"")</f>
        <v/>
      </c>
      <c r="L3999">
        <f>IF(B3999="","",IFERROR(VALUE(TEXT(B3999,"[$-1170401]yyyy")),""))</f>
        <v/>
      </c>
      <c r="M3999">
        <f>IF(B3999="","",IFERROR(VALUE(TEXT(B3999,"[$-1170401]mm")),""))</f>
        <v/>
      </c>
    </row>
    <row r="4000">
      <c r="B4000" s="30" t="n"/>
      <c r="G4000" s="9">
        <f>IF(AND(E4000&lt;&gt;"",E4000&lt;&gt;0,H4000&lt;&gt;""),H4000/E4000,"")</f>
        <v/>
      </c>
      <c r="L4000">
        <f>IF(B4000="","",IFERROR(VALUE(TEXT(B4000,"[$-1170401]yyyy")),""))</f>
        <v/>
      </c>
      <c r="M4000">
        <f>IF(B4000="","",IFERROR(VALUE(TEXT(B4000,"[$-1170401]mm")),""))</f>
        <v/>
      </c>
    </row>
    <row r="4001">
      <c r="B4001" s="30" t="n"/>
      <c r="G4001" s="9">
        <f>IF(AND(E4001&lt;&gt;"",E4001&lt;&gt;0,H4001&lt;&gt;""),H4001/E4001,"")</f>
        <v/>
      </c>
      <c r="L4001">
        <f>IF(B4001="","",IFERROR(VALUE(TEXT(B4001,"[$-1170401]yyyy")),""))</f>
        <v/>
      </c>
      <c r="M4001">
        <f>IF(B4001="","",IFERROR(VALUE(TEXT(B4001,"[$-1170401]mm")),""))</f>
        <v/>
      </c>
    </row>
    <row r="4002">
      <c r="B4002" s="30" t="n"/>
      <c r="G4002" s="9">
        <f>IF(AND(E4002&lt;&gt;"",E4002&lt;&gt;0,H4002&lt;&gt;""),H4002/E4002,"")</f>
        <v/>
      </c>
      <c r="L4002">
        <f>IF(B4002="","",IFERROR(VALUE(TEXT(B4002,"[$-1170401]yyyy")),""))</f>
        <v/>
      </c>
      <c r="M4002">
        <f>IF(B4002="","",IFERROR(VALUE(TEXT(B4002,"[$-1170401]mm")),""))</f>
        <v/>
      </c>
    </row>
    <row r="4003">
      <c r="B4003" s="30" t="n"/>
      <c r="G4003" s="9">
        <f>IF(AND(E4003&lt;&gt;"",E4003&lt;&gt;0,H4003&lt;&gt;""),H4003/E4003,"")</f>
        <v/>
      </c>
      <c r="L4003">
        <f>IF(B4003="","",IFERROR(VALUE(TEXT(B4003,"[$-1170401]yyyy")),""))</f>
        <v/>
      </c>
      <c r="M4003">
        <f>IF(B4003="","",IFERROR(VALUE(TEXT(B4003,"[$-1170401]mm")),""))</f>
        <v/>
      </c>
    </row>
    <row r="4004">
      <c r="B4004" s="30" t="n"/>
      <c r="G4004" s="9">
        <f>IF(AND(E4004&lt;&gt;"",E4004&lt;&gt;0,H4004&lt;&gt;""),H4004/E4004,"")</f>
        <v/>
      </c>
      <c r="L4004">
        <f>IF(B4004="","",IFERROR(VALUE(TEXT(B4004,"[$-1170401]yyyy")),""))</f>
        <v/>
      </c>
      <c r="M4004">
        <f>IF(B4004="","",IFERROR(VALUE(TEXT(B4004,"[$-1170401]mm")),""))</f>
        <v/>
      </c>
    </row>
    <row r="4005">
      <c r="B4005" s="30" t="n"/>
      <c r="G4005" s="9">
        <f>IF(AND(E4005&lt;&gt;"",E4005&lt;&gt;0,H4005&lt;&gt;""),H4005/E4005,"")</f>
        <v/>
      </c>
      <c r="L4005">
        <f>IF(B4005="","",IFERROR(VALUE(TEXT(B4005,"[$-1170401]yyyy")),""))</f>
        <v/>
      </c>
      <c r="M4005">
        <f>IF(B4005="","",IFERROR(VALUE(TEXT(B4005,"[$-1170401]mm")),""))</f>
        <v/>
      </c>
    </row>
    <row r="4006">
      <c r="B4006" s="30" t="n"/>
      <c r="G4006" s="9">
        <f>IF(AND(E4006&lt;&gt;"",E4006&lt;&gt;0,H4006&lt;&gt;""),H4006/E4006,"")</f>
        <v/>
      </c>
      <c r="L4006">
        <f>IF(B4006="","",IFERROR(VALUE(TEXT(B4006,"[$-1170401]yyyy")),""))</f>
        <v/>
      </c>
      <c r="M4006">
        <f>IF(B4006="","",IFERROR(VALUE(TEXT(B4006,"[$-1170401]mm")),""))</f>
        <v/>
      </c>
    </row>
    <row r="4007">
      <c r="B4007" s="30" t="n"/>
      <c r="G4007" s="9">
        <f>IF(AND(E4007&lt;&gt;"",E4007&lt;&gt;0,H4007&lt;&gt;""),H4007/E4007,"")</f>
        <v/>
      </c>
      <c r="L4007">
        <f>IF(B4007="","",IFERROR(VALUE(TEXT(B4007,"[$-1170401]yyyy")),""))</f>
        <v/>
      </c>
      <c r="M4007">
        <f>IF(B4007="","",IFERROR(VALUE(TEXT(B4007,"[$-1170401]mm")),""))</f>
        <v/>
      </c>
    </row>
    <row r="4008">
      <c r="B4008" s="30" t="n"/>
      <c r="G4008" s="9">
        <f>IF(AND(E4008&lt;&gt;"",E4008&lt;&gt;0,H4008&lt;&gt;""),H4008/E4008,"")</f>
        <v/>
      </c>
      <c r="L4008">
        <f>IF(B4008="","",IFERROR(VALUE(TEXT(B4008,"[$-1170401]yyyy")),""))</f>
        <v/>
      </c>
      <c r="M4008">
        <f>IF(B4008="","",IFERROR(VALUE(TEXT(B4008,"[$-1170401]mm")),""))</f>
        <v/>
      </c>
    </row>
    <row r="4009">
      <c r="B4009" s="30" t="n"/>
      <c r="G4009" s="9">
        <f>IF(AND(E4009&lt;&gt;"",E4009&lt;&gt;0,H4009&lt;&gt;""),H4009/E4009,"")</f>
        <v/>
      </c>
      <c r="L4009">
        <f>IF(B4009="","",IFERROR(VALUE(TEXT(B4009,"[$-1170401]yyyy")),""))</f>
        <v/>
      </c>
      <c r="M4009">
        <f>IF(B4009="","",IFERROR(VALUE(TEXT(B4009,"[$-1170401]mm")),""))</f>
        <v/>
      </c>
    </row>
    <row r="4010">
      <c r="B4010" s="30" t="n"/>
      <c r="G4010" s="9">
        <f>IF(AND(E4010&lt;&gt;"",E4010&lt;&gt;0,H4010&lt;&gt;""),H4010/E4010,"")</f>
        <v/>
      </c>
      <c r="L4010">
        <f>IF(B4010="","",IFERROR(VALUE(TEXT(B4010,"[$-1170401]yyyy")),""))</f>
        <v/>
      </c>
      <c r="M4010">
        <f>IF(B4010="","",IFERROR(VALUE(TEXT(B4010,"[$-1170401]mm")),""))</f>
        <v/>
      </c>
    </row>
    <row r="4011">
      <c r="B4011" s="30" t="n"/>
      <c r="G4011" s="9">
        <f>IF(AND(E4011&lt;&gt;"",E4011&lt;&gt;0,H4011&lt;&gt;""),H4011/E4011,"")</f>
        <v/>
      </c>
      <c r="L4011">
        <f>IF(B4011="","",IFERROR(VALUE(TEXT(B4011,"[$-1170401]yyyy")),""))</f>
        <v/>
      </c>
      <c r="M4011">
        <f>IF(B4011="","",IFERROR(VALUE(TEXT(B4011,"[$-1170401]mm")),""))</f>
        <v/>
      </c>
    </row>
    <row r="4012">
      <c r="B4012" s="30" t="n"/>
      <c r="G4012" s="9">
        <f>IF(AND(E4012&lt;&gt;"",E4012&lt;&gt;0,H4012&lt;&gt;""),H4012/E4012,"")</f>
        <v/>
      </c>
      <c r="L4012">
        <f>IF(B4012="","",IFERROR(VALUE(TEXT(B4012,"[$-1170401]yyyy")),""))</f>
        <v/>
      </c>
      <c r="M4012">
        <f>IF(B4012="","",IFERROR(VALUE(TEXT(B4012,"[$-1170401]mm")),""))</f>
        <v/>
      </c>
    </row>
    <row r="4013">
      <c r="B4013" s="30" t="n"/>
      <c r="G4013" s="9">
        <f>IF(AND(E4013&lt;&gt;"",E4013&lt;&gt;0,H4013&lt;&gt;""),H4013/E4013,"")</f>
        <v/>
      </c>
      <c r="L4013">
        <f>IF(B4013="","",IFERROR(VALUE(TEXT(B4013,"[$-1170401]yyyy")),""))</f>
        <v/>
      </c>
      <c r="M4013">
        <f>IF(B4013="","",IFERROR(VALUE(TEXT(B4013,"[$-1170401]mm")),""))</f>
        <v/>
      </c>
    </row>
    <row r="4014">
      <c r="B4014" s="30" t="n"/>
      <c r="G4014" s="9">
        <f>IF(AND(E4014&lt;&gt;"",E4014&lt;&gt;0,H4014&lt;&gt;""),H4014/E4014,"")</f>
        <v/>
      </c>
      <c r="L4014">
        <f>IF(B4014="","",IFERROR(VALUE(TEXT(B4014,"[$-1170401]yyyy")),""))</f>
        <v/>
      </c>
      <c r="M4014">
        <f>IF(B4014="","",IFERROR(VALUE(TEXT(B4014,"[$-1170401]mm")),""))</f>
        <v/>
      </c>
    </row>
    <row r="4015">
      <c r="B4015" s="30" t="n"/>
      <c r="G4015" s="9">
        <f>IF(AND(E4015&lt;&gt;"",E4015&lt;&gt;0,H4015&lt;&gt;""),H4015/E4015,"")</f>
        <v/>
      </c>
      <c r="L4015">
        <f>IF(B4015="","",IFERROR(VALUE(TEXT(B4015,"[$-1170401]yyyy")),""))</f>
        <v/>
      </c>
      <c r="M4015">
        <f>IF(B4015="","",IFERROR(VALUE(TEXT(B4015,"[$-1170401]mm")),""))</f>
        <v/>
      </c>
    </row>
    <row r="4016">
      <c r="B4016" s="30" t="n"/>
      <c r="G4016" s="9">
        <f>IF(AND(E4016&lt;&gt;"",E4016&lt;&gt;0,H4016&lt;&gt;""),H4016/E4016,"")</f>
        <v/>
      </c>
      <c r="L4016">
        <f>IF(B4016="","",IFERROR(VALUE(TEXT(B4016,"[$-1170401]yyyy")),""))</f>
        <v/>
      </c>
      <c r="M4016">
        <f>IF(B4016="","",IFERROR(VALUE(TEXT(B4016,"[$-1170401]mm")),""))</f>
        <v/>
      </c>
    </row>
    <row r="4017">
      <c r="B4017" s="30" t="n"/>
      <c r="G4017" s="9">
        <f>IF(AND(E4017&lt;&gt;"",E4017&lt;&gt;0,H4017&lt;&gt;""),H4017/E4017,"")</f>
        <v/>
      </c>
      <c r="L4017">
        <f>IF(B4017="","",IFERROR(VALUE(TEXT(B4017,"[$-1170401]yyyy")),""))</f>
        <v/>
      </c>
      <c r="M4017">
        <f>IF(B4017="","",IFERROR(VALUE(TEXT(B4017,"[$-1170401]mm")),""))</f>
        <v/>
      </c>
    </row>
    <row r="4018">
      <c r="B4018" s="30" t="n"/>
      <c r="G4018" s="9">
        <f>IF(AND(E4018&lt;&gt;"",E4018&lt;&gt;0,H4018&lt;&gt;""),H4018/E4018,"")</f>
        <v/>
      </c>
      <c r="L4018">
        <f>IF(B4018="","",IFERROR(VALUE(TEXT(B4018,"[$-1170401]yyyy")),""))</f>
        <v/>
      </c>
      <c r="M4018">
        <f>IF(B4018="","",IFERROR(VALUE(TEXT(B4018,"[$-1170401]mm")),""))</f>
        <v/>
      </c>
    </row>
    <row r="4019">
      <c r="B4019" s="30" t="n"/>
      <c r="G4019" s="9">
        <f>IF(AND(E4019&lt;&gt;"",E4019&lt;&gt;0,H4019&lt;&gt;""),H4019/E4019,"")</f>
        <v/>
      </c>
      <c r="L4019">
        <f>IF(B4019="","",IFERROR(VALUE(TEXT(B4019,"[$-1170401]yyyy")),""))</f>
        <v/>
      </c>
      <c r="M4019">
        <f>IF(B4019="","",IFERROR(VALUE(TEXT(B4019,"[$-1170401]mm")),""))</f>
        <v/>
      </c>
    </row>
    <row r="4020">
      <c r="B4020" s="30" t="n"/>
      <c r="G4020" s="9">
        <f>IF(AND(E4020&lt;&gt;"",E4020&lt;&gt;0,H4020&lt;&gt;""),H4020/E4020,"")</f>
        <v/>
      </c>
      <c r="L4020">
        <f>IF(B4020="","",IFERROR(VALUE(TEXT(B4020,"[$-1170401]yyyy")),""))</f>
        <v/>
      </c>
      <c r="M4020">
        <f>IF(B4020="","",IFERROR(VALUE(TEXT(B4020,"[$-1170401]mm")),""))</f>
        <v/>
      </c>
    </row>
    <row r="4021">
      <c r="B4021" s="30" t="n"/>
      <c r="G4021" s="9">
        <f>IF(AND(E4021&lt;&gt;"",E4021&lt;&gt;0,H4021&lt;&gt;""),H4021/E4021,"")</f>
        <v/>
      </c>
      <c r="L4021">
        <f>IF(B4021="","",IFERROR(VALUE(TEXT(B4021,"[$-1170401]yyyy")),""))</f>
        <v/>
      </c>
      <c r="M4021">
        <f>IF(B4021="","",IFERROR(VALUE(TEXT(B4021,"[$-1170401]mm")),""))</f>
        <v/>
      </c>
    </row>
    <row r="4022">
      <c r="B4022" s="30" t="n"/>
      <c r="G4022" s="9">
        <f>IF(AND(E4022&lt;&gt;"",E4022&lt;&gt;0,H4022&lt;&gt;""),H4022/E4022,"")</f>
        <v/>
      </c>
      <c r="L4022">
        <f>IF(B4022="","",IFERROR(VALUE(TEXT(B4022,"[$-1170401]yyyy")),""))</f>
        <v/>
      </c>
      <c r="M4022">
        <f>IF(B4022="","",IFERROR(VALUE(TEXT(B4022,"[$-1170401]mm")),""))</f>
        <v/>
      </c>
    </row>
    <row r="4023">
      <c r="B4023" s="30" t="n"/>
      <c r="G4023" s="9">
        <f>IF(AND(E4023&lt;&gt;"",E4023&lt;&gt;0,H4023&lt;&gt;""),H4023/E4023,"")</f>
        <v/>
      </c>
      <c r="L4023">
        <f>IF(B4023="","",IFERROR(VALUE(TEXT(B4023,"[$-1170401]yyyy")),""))</f>
        <v/>
      </c>
      <c r="M4023">
        <f>IF(B4023="","",IFERROR(VALUE(TEXT(B4023,"[$-1170401]mm")),""))</f>
        <v/>
      </c>
    </row>
    <row r="4024">
      <c r="B4024" s="30" t="n"/>
      <c r="G4024" s="9">
        <f>IF(AND(E4024&lt;&gt;"",E4024&lt;&gt;0,H4024&lt;&gt;""),H4024/E4024,"")</f>
        <v/>
      </c>
      <c r="L4024">
        <f>IF(B4024="","",IFERROR(VALUE(TEXT(B4024,"[$-1170401]yyyy")),""))</f>
        <v/>
      </c>
      <c r="M4024">
        <f>IF(B4024="","",IFERROR(VALUE(TEXT(B4024,"[$-1170401]mm")),""))</f>
        <v/>
      </c>
    </row>
    <row r="4025">
      <c r="B4025" s="30" t="n"/>
      <c r="G4025" s="9">
        <f>IF(AND(E4025&lt;&gt;"",E4025&lt;&gt;0,H4025&lt;&gt;""),H4025/E4025,"")</f>
        <v/>
      </c>
      <c r="L4025">
        <f>IF(B4025="","",IFERROR(VALUE(TEXT(B4025,"[$-1170401]yyyy")),""))</f>
        <v/>
      </c>
      <c r="M4025">
        <f>IF(B4025="","",IFERROR(VALUE(TEXT(B4025,"[$-1170401]mm")),""))</f>
        <v/>
      </c>
    </row>
    <row r="4026">
      <c r="B4026" s="30" t="n"/>
      <c r="G4026" s="9">
        <f>IF(AND(E4026&lt;&gt;"",E4026&lt;&gt;0,H4026&lt;&gt;""),H4026/E4026,"")</f>
        <v/>
      </c>
      <c r="L4026">
        <f>IF(B4026="","",IFERROR(VALUE(TEXT(B4026,"[$-1170401]yyyy")),""))</f>
        <v/>
      </c>
      <c r="M4026">
        <f>IF(B4026="","",IFERROR(VALUE(TEXT(B4026,"[$-1170401]mm")),""))</f>
        <v/>
      </c>
    </row>
    <row r="4027">
      <c r="B4027" s="30" t="n"/>
      <c r="G4027" s="9">
        <f>IF(AND(E4027&lt;&gt;"",E4027&lt;&gt;0,H4027&lt;&gt;""),H4027/E4027,"")</f>
        <v/>
      </c>
      <c r="L4027">
        <f>IF(B4027="","",IFERROR(VALUE(TEXT(B4027,"[$-1170401]yyyy")),""))</f>
        <v/>
      </c>
      <c r="M4027">
        <f>IF(B4027="","",IFERROR(VALUE(TEXT(B4027,"[$-1170401]mm")),""))</f>
        <v/>
      </c>
    </row>
    <row r="4028">
      <c r="B4028" s="30" t="n"/>
      <c r="G4028" s="9">
        <f>IF(AND(E4028&lt;&gt;"",E4028&lt;&gt;0,H4028&lt;&gt;""),H4028/E4028,"")</f>
        <v/>
      </c>
      <c r="L4028">
        <f>IF(B4028="","",IFERROR(VALUE(TEXT(B4028,"[$-1170401]yyyy")),""))</f>
        <v/>
      </c>
      <c r="M4028">
        <f>IF(B4028="","",IFERROR(VALUE(TEXT(B4028,"[$-1170401]mm")),""))</f>
        <v/>
      </c>
    </row>
    <row r="4029">
      <c r="B4029" s="30" t="n"/>
      <c r="G4029" s="9">
        <f>IF(AND(E4029&lt;&gt;"",E4029&lt;&gt;0,H4029&lt;&gt;""),H4029/E4029,"")</f>
        <v/>
      </c>
      <c r="L4029">
        <f>IF(B4029="","",IFERROR(VALUE(TEXT(B4029,"[$-1170401]yyyy")),""))</f>
        <v/>
      </c>
      <c r="M4029">
        <f>IF(B4029="","",IFERROR(VALUE(TEXT(B4029,"[$-1170401]mm")),""))</f>
        <v/>
      </c>
    </row>
    <row r="4030">
      <c r="B4030" s="30" t="n"/>
      <c r="G4030" s="9">
        <f>IF(AND(E4030&lt;&gt;"",E4030&lt;&gt;0,H4030&lt;&gt;""),H4030/E4030,"")</f>
        <v/>
      </c>
      <c r="L4030">
        <f>IF(B4030="","",IFERROR(VALUE(TEXT(B4030,"[$-1170401]yyyy")),""))</f>
        <v/>
      </c>
      <c r="M4030">
        <f>IF(B4030="","",IFERROR(VALUE(TEXT(B4030,"[$-1170401]mm")),""))</f>
        <v/>
      </c>
    </row>
    <row r="4031">
      <c r="B4031" s="30" t="n"/>
      <c r="G4031" s="9">
        <f>IF(AND(E4031&lt;&gt;"",E4031&lt;&gt;0,H4031&lt;&gt;""),H4031/E4031,"")</f>
        <v/>
      </c>
      <c r="L4031">
        <f>IF(B4031="","",IFERROR(VALUE(TEXT(B4031,"[$-1170401]yyyy")),""))</f>
        <v/>
      </c>
      <c r="M4031">
        <f>IF(B4031="","",IFERROR(VALUE(TEXT(B4031,"[$-1170401]mm")),""))</f>
        <v/>
      </c>
    </row>
    <row r="4032">
      <c r="B4032" s="30" t="n"/>
      <c r="G4032" s="9">
        <f>IF(AND(E4032&lt;&gt;"",E4032&lt;&gt;0,H4032&lt;&gt;""),H4032/E4032,"")</f>
        <v/>
      </c>
      <c r="L4032">
        <f>IF(B4032="","",IFERROR(VALUE(TEXT(B4032,"[$-1170401]yyyy")),""))</f>
        <v/>
      </c>
      <c r="M4032">
        <f>IF(B4032="","",IFERROR(VALUE(TEXT(B4032,"[$-1170401]mm")),""))</f>
        <v/>
      </c>
    </row>
    <row r="4033">
      <c r="B4033" s="30" t="n"/>
      <c r="G4033" s="9">
        <f>IF(AND(E4033&lt;&gt;"",E4033&lt;&gt;0,H4033&lt;&gt;""),H4033/E4033,"")</f>
        <v/>
      </c>
      <c r="L4033">
        <f>IF(B4033="","",IFERROR(VALUE(TEXT(B4033,"[$-1170401]yyyy")),""))</f>
        <v/>
      </c>
      <c r="M4033">
        <f>IF(B4033="","",IFERROR(VALUE(TEXT(B4033,"[$-1170401]mm")),""))</f>
        <v/>
      </c>
    </row>
    <row r="4034">
      <c r="B4034" s="30" t="n"/>
      <c r="G4034" s="9">
        <f>IF(AND(E4034&lt;&gt;"",E4034&lt;&gt;0,H4034&lt;&gt;""),H4034/E4034,"")</f>
        <v/>
      </c>
      <c r="L4034">
        <f>IF(B4034="","",IFERROR(VALUE(TEXT(B4034,"[$-1170401]yyyy")),""))</f>
        <v/>
      </c>
      <c r="M4034">
        <f>IF(B4034="","",IFERROR(VALUE(TEXT(B4034,"[$-1170401]mm")),""))</f>
        <v/>
      </c>
    </row>
    <row r="4035">
      <c r="B4035" s="30" t="n"/>
      <c r="G4035" s="9">
        <f>IF(AND(E4035&lt;&gt;"",E4035&lt;&gt;0,H4035&lt;&gt;""),H4035/E4035,"")</f>
        <v/>
      </c>
      <c r="L4035">
        <f>IF(B4035="","",IFERROR(VALUE(TEXT(B4035,"[$-1170401]yyyy")),""))</f>
        <v/>
      </c>
      <c r="M4035">
        <f>IF(B4035="","",IFERROR(VALUE(TEXT(B4035,"[$-1170401]mm")),""))</f>
        <v/>
      </c>
    </row>
    <row r="4036">
      <c r="B4036" s="30" t="n"/>
      <c r="G4036" s="9">
        <f>IF(AND(E4036&lt;&gt;"",E4036&lt;&gt;0,H4036&lt;&gt;""),H4036/E4036,"")</f>
        <v/>
      </c>
      <c r="L4036">
        <f>IF(B4036="","",IFERROR(VALUE(TEXT(B4036,"[$-1170401]yyyy")),""))</f>
        <v/>
      </c>
      <c r="M4036">
        <f>IF(B4036="","",IFERROR(VALUE(TEXT(B4036,"[$-1170401]mm")),""))</f>
        <v/>
      </c>
    </row>
    <row r="4037">
      <c r="B4037" s="30" t="n"/>
      <c r="G4037" s="9">
        <f>IF(AND(E4037&lt;&gt;"",E4037&lt;&gt;0,H4037&lt;&gt;""),H4037/E4037,"")</f>
        <v/>
      </c>
      <c r="L4037">
        <f>IF(B4037="","",IFERROR(VALUE(TEXT(B4037,"[$-1170401]yyyy")),""))</f>
        <v/>
      </c>
      <c r="M4037">
        <f>IF(B4037="","",IFERROR(VALUE(TEXT(B4037,"[$-1170401]mm")),""))</f>
        <v/>
      </c>
    </row>
    <row r="4038">
      <c r="B4038" s="30" t="n"/>
      <c r="G4038" s="9">
        <f>IF(AND(E4038&lt;&gt;"",E4038&lt;&gt;0,H4038&lt;&gt;""),H4038/E4038,"")</f>
        <v/>
      </c>
      <c r="L4038">
        <f>IF(B4038="","",IFERROR(VALUE(TEXT(B4038,"[$-1170401]yyyy")),""))</f>
        <v/>
      </c>
      <c r="M4038">
        <f>IF(B4038="","",IFERROR(VALUE(TEXT(B4038,"[$-1170401]mm")),""))</f>
        <v/>
      </c>
    </row>
    <row r="4039">
      <c r="B4039" s="30" t="n"/>
      <c r="G4039" s="9">
        <f>IF(AND(E4039&lt;&gt;"",E4039&lt;&gt;0,H4039&lt;&gt;""),H4039/E4039,"")</f>
        <v/>
      </c>
      <c r="L4039">
        <f>IF(B4039="","",IFERROR(VALUE(TEXT(B4039,"[$-1170401]yyyy")),""))</f>
        <v/>
      </c>
      <c r="M4039">
        <f>IF(B4039="","",IFERROR(VALUE(TEXT(B4039,"[$-1170401]mm")),""))</f>
        <v/>
      </c>
    </row>
    <row r="4040">
      <c r="B4040" s="30" t="n"/>
      <c r="G4040" s="9">
        <f>IF(AND(E4040&lt;&gt;"",E4040&lt;&gt;0,H4040&lt;&gt;""),H4040/E4040,"")</f>
        <v/>
      </c>
      <c r="L4040">
        <f>IF(B4040="","",IFERROR(VALUE(TEXT(B4040,"[$-1170401]yyyy")),""))</f>
        <v/>
      </c>
      <c r="M4040">
        <f>IF(B4040="","",IFERROR(VALUE(TEXT(B4040,"[$-1170401]mm")),""))</f>
        <v/>
      </c>
    </row>
    <row r="4041">
      <c r="B4041" s="30" t="n"/>
      <c r="G4041" s="9">
        <f>IF(AND(E4041&lt;&gt;"",E4041&lt;&gt;0,H4041&lt;&gt;""),H4041/E4041,"")</f>
        <v/>
      </c>
      <c r="L4041">
        <f>IF(B4041="","",IFERROR(VALUE(TEXT(B4041,"[$-1170401]yyyy")),""))</f>
        <v/>
      </c>
      <c r="M4041">
        <f>IF(B4041="","",IFERROR(VALUE(TEXT(B4041,"[$-1170401]mm")),""))</f>
        <v/>
      </c>
    </row>
    <row r="4042">
      <c r="B4042" s="30" t="n"/>
      <c r="G4042" s="9">
        <f>IF(AND(E4042&lt;&gt;"",E4042&lt;&gt;0,H4042&lt;&gt;""),H4042/E4042,"")</f>
        <v/>
      </c>
      <c r="L4042">
        <f>IF(B4042="","",IFERROR(VALUE(TEXT(B4042,"[$-1170401]yyyy")),""))</f>
        <v/>
      </c>
      <c r="M4042">
        <f>IF(B4042="","",IFERROR(VALUE(TEXT(B4042,"[$-1170401]mm")),""))</f>
        <v/>
      </c>
    </row>
    <row r="4043">
      <c r="B4043" s="30" t="n"/>
      <c r="G4043" s="9">
        <f>IF(AND(E4043&lt;&gt;"",E4043&lt;&gt;0,H4043&lt;&gt;""),H4043/E4043,"")</f>
        <v/>
      </c>
      <c r="L4043">
        <f>IF(B4043="","",IFERROR(VALUE(TEXT(B4043,"[$-1170401]yyyy")),""))</f>
        <v/>
      </c>
      <c r="M4043">
        <f>IF(B4043="","",IFERROR(VALUE(TEXT(B4043,"[$-1170401]mm")),""))</f>
        <v/>
      </c>
    </row>
    <row r="4044">
      <c r="B4044" s="30" t="n"/>
      <c r="G4044" s="9">
        <f>IF(AND(E4044&lt;&gt;"",E4044&lt;&gt;0,H4044&lt;&gt;""),H4044/E4044,"")</f>
        <v/>
      </c>
      <c r="L4044">
        <f>IF(B4044="","",IFERROR(VALUE(TEXT(B4044,"[$-1170401]yyyy")),""))</f>
        <v/>
      </c>
      <c r="M4044">
        <f>IF(B4044="","",IFERROR(VALUE(TEXT(B4044,"[$-1170401]mm")),""))</f>
        <v/>
      </c>
    </row>
    <row r="4045">
      <c r="B4045" s="30" t="n"/>
      <c r="G4045" s="9">
        <f>IF(AND(E4045&lt;&gt;"",E4045&lt;&gt;0,H4045&lt;&gt;""),H4045/E4045,"")</f>
        <v/>
      </c>
      <c r="L4045">
        <f>IF(B4045="","",IFERROR(VALUE(TEXT(B4045,"[$-1170401]yyyy")),""))</f>
        <v/>
      </c>
      <c r="M4045">
        <f>IF(B4045="","",IFERROR(VALUE(TEXT(B4045,"[$-1170401]mm")),""))</f>
        <v/>
      </c>
    </row>
    <row r="4046">
      <c r="B4046" s="30" t="n"/>
      <c r="G4046" s="9">
        <f>IF(AND(E4046&lt;&gt;"",E4046&lt;&gt;0,H4046&lt;&gt;""),H4046/E4046,"")</f>
        <v/>
      </c>
      <c r="L4046">
        <f>IF(B4046="","",IFERROR(VALUE(TEXT(B4046,"[$-1170401]yyyy")),""))</f>
        <v/>
      </c>
      <c r="M4046">
        <f>IF(B4046="","",IFERROR(VALUE(TEXT(B4046,"[$-1170401]mm")),""))</f>
        <v/>
      </c>
    </row>
    <row r="4047">
      <c r="B4047" s="30" t="n"/>
      <c r="G4047" s="9">
        <f>IF(AND(E4047&lt;&gt;"",E4047&lt;&gt;0,H4047&lt;&gt;""),H4047/E4047,"")</f>
        <v/>
      </c>
      <c r="L4047">
        <f>IF(B4047="","",IFERROR(VALUE(TEXT(B4047,"[$-1170401]yyyy")),""))</f>
        <v/>
      </c>
      <c r="M4047">
        <f>IF(B4047="","",IFERROR(VALUE(TEXT(B4047,"[$-1170401]mm")),""))</f>
        <v/>
      </c>
    </row>
    <row r="4048">
      <c r="B4048" s="30" t="n"/>
      <c r="G4048" s="9">
        <f>IF(AND(E4048&lt;&gt;"",E4048&lt;&gt;0,H4048&lt;&gt;""),H4048/E4048,"")</f>
        <v/>
      </c>
      <c r="L4048">
        <f>IF(B4048="","",IFERROR(VALUE(TEXT(B4048,"[$-1170401]yyyy")),""))</f>
        <v/>
      </c>
      <c r="M4048">
        <f>IF(B4048="","",IFERROR(VALUE(TEXT(B4048,"[$-1170401]mm")),""))</f>
        <v/>
      </c>
    </row>
    <row r="4049">
      <c r="B4049" s="30" t="n"/>
      <c r="G4049" s="9">
        <f>IF(AND(E4049&lt;&gt;"",E4049&lt;&gt;0,H4049&lt;&gt;""),H4049/E4049,"")</f>
        <v/>
      </c>
      <c r="L4049">
        <f>IF(B4049="","",IFERROR(VALUE(TEXT(B4049,"[$-1170401]yyyy")),""))</f>
        <v/>
      </c>
      <c r="M4049">
        <f>IF(B4049="","",IFERROR(VALUE(TEXT(B4049,"[$-1170401]mm")),""))</f>
        <v/>
      </c>
    </row>
    <row r="4050">
      <c r="B4050" s="30" t="n"/>
      <c r="G4050" s="9">
        <f>IF(AND(E4050&lt;&gt;"",E4050&lt;&gt;0,H4050&lt;&gt;""),H4050/E4050,"")</f>
        <v/>
      </c>
      <c r="L4050">
        <f>IF(B4050="","",IFERROR(VALUE(TEXT(B4050,"[$-1170401]yyyy")),""))</f>
        <v/>
      </c>
      <c r="M4050">
        <f>IF(B4050="","",IFERROR(VALUE(TEXT(B4050,"[$-1170401]mm")),""))</f>
        <v/>
      </c>
    </row>
    <row r="4051">
      <c r="B4051" s="30" t="n"/>
      <c r="G4051" s="9">
        <f>IF(AND(E4051&lt;&gt;"",E4051&lt;&gt;0,H4051&lt;&gt;""),H4051/E4051,"")</f>
        <v/>
      </c>
      <c r="L4051">
        <f>IF(B4051="","",IFERROR(VALUE(TEXT(B4051,"[$-1170401]yyyy")),""))</f>
        <v/>
      </c>
      <c r="M4051">
        <f>IF(B4051="","",IFERROR(VALUE(TEXT(B4051,"[$-1170401]mm")),""))</f>
        <v/>
      </c>
    </row>
    <row r="4052">
      <c r="B4052" s="30" t="n"/>
      <c r="G4052" s="9">
        <f>IF(AND(E4052&lt;&gt;"",E4052&lt;&gt;0,H4052&lt;&gt;""),H4052/E4052,"")</f>
        <v/>
      </c>
      <c r="L4052">
        <f>IF(B4052="","",IFERROR(VALUE(TEXT(B4052,"[$-1170401]yyyy")),""))</f>
        <v/>
      </c>
      <c r="M4052">
        <f>IF(B4052="","",IFERROR(VALUE(TEXT(B4052,"[$-1170401]mm")),""))</f>
        <v/>
      </c>
    </row>
    <row r="4053">
      <c r="B4053" s="30" t="n"/>
      <c r="G4053" s="9">
        <f>IF(AND(E4053&lt;&gt;"",E4053&lt;&gt;0,H4053&lt;&gt;""),H4053/E4053,"")</f>
        <v/>
      </c>
      <c r="L4053">
        <f>IF(B4053="","",IFERROR(VALUE(TEXT(B4053,"[$-1170401]yyyy")),""))</f>
        <v/>
      </c>
      <c r="M4053">
        <f>IF(B4053="","",IFERROR(VALUE(TEXT(B4053,"[$-1170401]mm")),""))</f>
        <v/>
      </c>
    </row>
    <row r="4054">
      <c r="B4054" s="30" t="n"/>
      <c r="G4054" s="9">
        <f>IF(AND(E4054&lt;&gt;"",E4054&lt;&gt;0,H4054&lt;&gt;""),H4054/E4054,"")</f>
        <v/>
      </c>
      <c r="L4054">
        <f>IF(B4054="","",IFERROR(VALUE(TEXT(B4054,"[$-1170401]yyyy")),""))</f>
        <v/>
      </c>
      <c r="M4054">
        <f>IF(B4054="","",IFERROR(VALUE(TEXT(B4054,"[$-1170401]mm")),""))</f>
        <v/>
      </c>
    </row>
    <row r="4055">
      <c r="B4055" s="30" t="n"/>
      <c r="G4055" s="9">
        <f>IF(AND(E4055&lt;&gt;"",E4055&lt;&gt;0,H4055&lt;&gt;""),H4055/E4055,"")</f>
        <v/>
      </c>
      <c r="L4055">
        <f>IF(B4055="","",IFERROR(VALUE(TEXT(B4055,"[$-1170401]yyyy")),""))</f>
        <v/>
      </c>
      <c r="M4055">
        <f>IF(B4055="","",IFERROR(VALUE(TEXT(B4055,"[$-1170401]mm")),""))</f>
        <v/>
      </c>
    </row>
    <row r="4056">
      <c r="B4056" s="30" t="n"/>
      <c r="G4056" s="9">
        <f>IF(AND(E4056&lt;&gt;"",E4056&lt;&gt;0,H4056&lt;&gt;""),H4056/E4056,"")</f>
        <v/>
      </c>
      <c r="L4056">
        <f>IF(B4056="","",IFERROR(VALUE(TEXT(B4056,"[$-1170401]yyyy")),""))</f>
        <v/>
      </c>
      <c r="M4056">
        <f>IF(B4056="","",IFERROR(VALUE(TEXT(B4056,"[$-1170401]mm")),""))</f>
        <v/>
      </c>
    </row>
    <row r="4057">
      <c r="B4057" s="30" t="n"/>
      <c r="G4057" s="9">
        <f>IF(AND(E4057&lt;&gt;"",E4057&lt;&gt;0,H4057&lt;&gt;""),H4057/E4057,"")</f>
        <v/>
      </c>
      <c r="L4057">
        <f>IF(B4057="","",IFERROR(VALUE(TEXT(B4057,"[$-1170401]yyyy")),""))</f>
        <v/>
      </c>
      <c r="M4057">
        <f>IF(B4057="","",IFERROR(VALUE(TEXT(B4057,"[$-1170401]mm")),""))</f>
        <v/>
      </c>
    </row>
    <row r="4058">
      <c r="B4058" s="30" t="n"/>
      <c r="G4058" s="9">
        <f>IF(AND(E4058&lt;&gt;"",E4058&lt;&gt;0,H4058&lt;&gt;""),H4058/E4058,"")</f>
        <v/>
      </c>
      <c r="L4058">
        <f>IF(B4058="","",IFERROR(VALUE(TEXT(B4058,"[$-1170401]yyyy")),""))</f>
        <v/>
      </c>
      <c r="M4058">
        <f>IF(B4058="","",IFERROR(VALUE(TEXT(B4058,"[$-1170401]mm")),""))</f>
        <v/>
      </c>
    </row>
    <row r="4059">
      <c r="B4059" s="30" t="n"/>
      <c r="G4059" s="9">
        <f>IF(AND(E4059&lt;&gt;"",E4059&lt;&gt;0,H4059&lt;&gt;""),H4059/E4059,"")</f>
        <v/>
      </c>
      <c r="L4059">
        <f>IF(B4059="","",IFERROR(VALUE(TEXT(B4059,"[$-1170401]yyyy")),""))</f>
        <v/>
      </c>
      <c r="M4059">
        <f>IF(B4059="","",IFERROR(VALUE(TEXT(B4059,"[$-1170401]mm")),""))</f>
        <v/>
      </c>
    </row>
    <row r="4060">
      <c r="B4060" s="30" t="n"/>
      <c r="G4060" s="9">
        <f>IF(AND(E4060&lt;&gt;"",E4060&lt;&gt;0,H4060&lt;&gt;""),H4060/E4060,"")</f>
        <v/>
      </c>
      <c r="L4060">
        <f>IF(B4060="","",IFERROR(VALUE(TEXT(B4060,"[$-1170401]yyyy")),""))</f>
        <v/>
      </c>
      <c r="M4060">
        <f>IF(B4060="","",IFERROR(VALUE(TEXT(B4060,"[$-1170401]mm")),""))</f>
        <v/>
      </c>
    </row>
    <row r="4061">
      <c r="B4061" s="30" t="n"/>
      <c r="G4061" s="9">
        <f>IF(AND(E4061&lt;&gt;"",E4061&lt;&gt;0,H4061&lt;&gt;""),H4061/E4061,"")</f>
        <v/>
      </c>
      <c r="L4061">
        <f>IF(B4061="","",IFERROR(VALUE(TEXT(B4061,"[$-1170401]yyyy")),""))</f>
        <v/>
      </c>
      <c r="M4061">
        <f>IF(B4061="","",IFERROR(VALUE(TEXT(B4061,"[$-1170401]mm")),""))</f>
        <v/>
      </c>
    </row>
    <row r="4062">
      <c r="B4062" s="30" t="n"/>
      <c r="G4062" s="9">
        <f>IF(AND(E4062&lt;&gt;"",E4062&lt;&gt;0,H4062&lt;&gt;""),H4062/E4062,"")</f>
        <v/>
      </c>
      <c r="L4062">
        <f>IF(B4062="","",IFERROR(VALUE(TEXT(B4062,"[$-1170401]yyyy")),""))</f>
        <v/>
      </c>
      <c r="M4062">
        <f>IF(B4062="","",IFERROR(VALUE(TEXT(B4062,"[$-1170401]mm")),""))</f>
        <v/>
      </c>
    </row>
    <row r="4063">
      <c r="B4063" s="30" t="n"/>
      <c r="G4063" s="9">
        <f>IF(AND(E4063&lt;&gt;"",E4063&lt;&gt;0,H4063&lt;&gt;""),H4063/E4063,"")</f>
        <v/>
      </c>
      <c r="L4063">
        <f>IF(B4063="","",IFERROR(VALUE(TEXT(B4063,"[$-1170401]yyyy")),""))</f>
        <v/>
      </c>
      <c r="M4063">
        <f>IF(B4063="","",IFERROR(VALUE(TEXT(B4063,"[$-1170401]mm")),""))</f>
        <v/>
      </c>
    </row>
    <row r="4064">
      <c r="B4064" s="30" t="n"/>
      <c r="G4064" s="9">
        <f>IF(AND(E4064&lt;&gt;"",E4064&lt;&gt;0,H4064&lt;&gt;""),H4064/E4064,"")</f>
        <v/>
      </c>
      <c r="L4064">
        <f>IF(B4064="","",IFERROR(VALUE(TEXT(B4064,"[$-1170401]yyyy")),""))</f>
        <v/>
      </c>
      <c r="M4064">
        <f>IF(B4064="","",IFERROR(VALUE(TEXT(B4064,"[$-1170401]mm")),""))</f>
        <v/>
      </c>
    </row>
    <row r="4065">
      <c r="B4065" s="30" t="n"/>
      <c r="G4065" s="9">
        <f>IF(AND(E4065&lt;&gt;"",E4065&lt;&gt;0,H4065&lt;&gt;""),H4065/E4065,"")</f>
        <v/>
      </c>
      <c r="L4065">
        <f>IF(B4065="","",IFERROR(VALUE(TEXT(B4065,"[$-1170401]yyyy")),""))</f>
        <v/>
      </c>
      <c r="M4065">
        <f>IF(B4065="","",IFERROR(VALUE(TEXT(B4065,"[$-1170401]mm")),""))</f>
        <v/>
      </c>
    </row>
    <row r="4066">
      <c r="B4066" s="30" t="n"/>
      <c r="G4066" s="9">
        <f>IF(AND(E4066&lt;&gt;"",E4066&lt;&gt;0,H4066&lt;&gt;""),H4066/E4066,"")</f>
        <v/>
      </c>
      <c r="L4066">
        <f>IF(B4066="","",IFERROR(VALUE(TEXT(B4066,"[$-1170401]yyyy")),""))</f>
        <v/>
      </c>
      <c r="M4066">
        <f>IF(B4066="","",IFERROR(VALUE(TEXT(B4066,"[$-1170401]mm")),""))</f>
        <v/>
      </c>
    </row>
    <row r="4067">
      <c r="B4067" s="30" t="n"/>
      <c r="G4067" s="9">
        <f>IF(AND(E4067&lt;&gt;"",E4067&lt;&gt;0,H4067&lt;&gt;""),H4067/E4067,"")</f>
        <v/>
      </c>
      <c r="L4067">
        <f>IF(B4067="","",IFERROR(VALUE(TEXT(B4067,"[$-1170401]yyyy")),""))</f>
        <v/>
      </c>
      <c r="M4067">
        <f>IF(B4067="","",IFERROR(VALUE(TEXT(B4067,"[$-1170401]mm")),""))</f>
        <v/>
      </c>
    </row>
    <row r="4068">
      <c r="B4068" s="30" t="n"/>
      <c r="G4068" s="9">
        <f>IF(AND(E4068&lt;&gt;"",E4068&lt;&gt;0,H4068&lt;&gt;""),H4068/E4068,"")</f>
        <v/>
      </c>
      <c r="L4068">
        <f>IF(B4068="","",IFERROR(VALUE(TEXT(B4068,"[$-1170401]yyyy")),""))</f>
        <v/>
      </c>
      <c r="M4068">
        <f>IF(B4068="","",IFERROR(VALUE(TEXT(B4068,"[$-1170401]mm")),""))</f>
        <v/>
      </c>
    </row>
    <row r="4069">
      <c r="B4069" s="30" t="n"/>
      <c r="G4069" s="9">
        <f>IF(AND(E4069&lt;&gt;"",E4069&lt;&gt;0,H4069&lt;&gt;""),H4069/E4069,"")</f>
        <v/>
      </c>
      <c r="L4069">
        <f>IF(B4069="","",IFERROR(VALUE(TEXT(B4069,"[$-1170401]yyyy")),""))</f>
        <v/>
      </c>
      <c r="M4069">
        <f>IF(B4069="","",IFERROR(VALUE(TEXT(B4069,"[$-1170401]mm")),""))</f>
        <v/>
      </c>
    </row>
    <row r="4070">
      <c r="B4070" s="30" t="n"/>
      <c r="G4070" s="9">
        <f>IF(AND(E4070&lt;&gt;"",E4070&lt;&gt;0,H4070&lt;&gt;""),H4070/E4070,"")</f>
        <v/>
      </c>
      <c r="L4070">
        <f>IF(B4070="","",IFERROR(VALUE(TEXT(B4070,"[$-1170401]yyyy")),""))</f>
        <v/>
      </c>
      <c r="M4070">
        <f>IF(B4070="","",IFERROR(VALUE(TEXT(B4070,"[$-1170401]mm")),""))</f>
        <v/>
      </c>
    </row>
    <row r="4071">
      <c r="B4071" s="30" t="n"/>
      <c r="G4071" s="9">
        <f>IF(AND(E4071&lt;&gt;"",E4071&lt;&gt;0,H4071&lt;&gt;""),H4071/E4071,"")</f>
        <v/>
      </c>
      <c r="L4071">
        <f>IF(B4071="","",IFERROR(VALUE(TEXT(B4071,"[$-1170401]yyyy")),""))</f>
        <v/>
      </c>
      <c r="M4071">
        <f>IF(B4071="","",IFERROR(VALUE(TEXT(B4071,"[$-1170401]mm")),""))</f>
        <v/>
      </c>
    </row>
    <row r="4072">
      <c r="B4072" s="30" t="n"/>
      <c r="G4072" s="9">
        <f>IF(AND(E4072&lt;&gt;"",E4072&lt;&gt;0,H4072&lt;&gt;""),H4072/E4072,"")</f>
        <v/>
      </c>
      <c r="L4072">
        <f>IF(B4072="","",IFERROR(VALUE(TEXT(B4072,"[$-1170401]yyyy")),""))</f>
        <v/>
      </c>
      <c r="M4072">
        <f>IF(B4072="","",IFERROR(VALUE(TEXT(B4072,"[$-1170401]mm")),""))</f>
        <v/>
      </c>
    </row>
    <row r="4073">
      <c r="B4073" s="30" t="n"/>
      <c r="G4073" s="9">
        <f>IF(AND(E4073&lt;&gt;"",E4073&lt;&gt;0,H4073&lt;&gt;""),H4073/E4073,"")</f>
        <v/>
      </c>
      <c r="L4073">
        <f>IF(B4073="","",IFERROR(VALUE(TEXT(B4073,"[$-1170401]yyyy")),""))</f>
        <v/>
      </c>
      <c r="M4073">
        <f>IF(B4073="","",IFERROR(VALUE(TEXT(B4073,"[$-1170401]mm")),""))</f>
        <v/>
      </c>
    </row>
    <row r="4074">
      <c r="B4074" s="30" t="n"/>
      <c r="G4074" s="9">
        <f>IF(AND(E4074&lt;&gt;"",E4074&lt;&gt;0,H4074&lt;&gt;""),H4074/E4074,"")</f>
        <v/>
      </c>
      <c r="L4074">
        <f>IF(B4074="","",IFERROR(VALUE(TEXT(B4074,"[$-1170401]yyyy")),""))</f>
        <v/>
      </c>
      <c r="M4074">
        <f>IF(B4074="","",IFERROR(VALUE(TEXT(B4074,"[$-1170401]mm")),""))</f>
        <v/>
      </c>
    </row>
    <row r="4075">
      <c r="B4075" s="30" t="n"/>
      <c r="G4075" s="9">
        <f>IF(AND(E4075&lt;&gt;"",E4075&lt;&gt;0,H4075&lt;&gt;""),H4075/E4075,"")</f>
        <v/>
      </c>
      <c r="L4075">
        <f>IF(B4075="","",IFERROR(VALUE(TEXT(B4075,"[$-1170401]yyyy")),""))</f>
        <v/>
      </c>
      <c r="M4075">
        <f>IF(B4075="","",IFERROR(VALUE(TEXT(B4075,"[$-1170401]mm")),""))</f>
        <v/>
      </c>
    </row>
    <row r="4076">
      <c r="B4076" s="30" t="n"/>
      <c r="G4076" s="9">
        <f>IF(AND(E4076&lt;&gt;"",E4076&lt;&gt;0,H4076&lt;&gt;""),H4076/E4076,"")</f>
        <v/>
      </c>
      <c r="L4076">
        <f>IF(B4076="","",IFERROR(VALUE(TEXT(B4076,"[$-1170401]yyyy")),""))</f>
        <v/>
      </c>
      <c r="M4076">
        <f>IF(B4076="","",IFERROR(VALUE(TEXT(B4076,"[$-1170401]mm")),""))</f>
        <v/>
      </c>
    </row>
    <row r="4077">
      <c r="B4077" s="30" t="n"/>
      <c r="G4077" s="9">
        <f>IF(AND(E4077&lt;&gt;"",E4077&lt;&gt;0,H4077&lt;&gt;""),H4077/E4077,"")</f>
        <v/>
      </c>
      <c r="L4077">
        <f>IF(B4077="","",IFERROR(VALUE(TEXT(B4077,"[$-1170401]yyyy")),""))</f>
        <v/>
      </c>
      <c r="M4077">
        <f>IF(B4077="","",IFERROR(VALUE(TEXT(B4077,"[$-1170401]mm")),""))</f>
        <v/>
      </c>
    </row>
    <row r="4078">
      <c r="B4078" s="30" t="n"/>
      <c r="G4078" s="9">
        <f>IF(AND(E4078&lt;&gt;"",E4078&lt;&gt;0,H4078&lt;&gt;""),H4078/E4078,"")</f>
        <v/>
      </c>
      <c r="L4078">
        <f>IF(B4078="","",IFERROR(VALUE(TEXT(B4078,"[$-1170401]yyyy")),""))</f>
        <v/>
      </c>
      <c r="M4078">
        <f>IF(B4078="","",IFERROR(VALUE(TEXT(B4078,"[$-1170401]mm")),""))</f>
        <v/>
      </c>
    </row>
    <row r="4079">
      <c r="B4079" s="30" t="n"/>
      <c r="G4079" s="9">
        <f>IF(AND(E4079&lt;&gt;"",E4079&lt;&gt;0,H4079&lt;&gt;""),H4079/E4079,"")</f>
        <v/>
      </c>
      <c r="L4079">
        <f>IF(B4079="","",IFERROR(VALUE(TEXT(B4079,"[$-1170401]yyyy")),""))</f>
        <v/>
      </c>
      <c r="M4079">
        <f>IF(B4079="","",IFERROR(VALUE(TEXT(B4079,"[$-1170401]mm")),""))</f>
        <v/>
      </c>
    </row>
    <row r="4080">
      <c r="B4080" s="30" t="n"/>
      <c r="G4080" s="9">
        <f>IF(AND(E4080&lt;&gt;"",E4080&lt;&gt;0,H4080&lt;&gt;""),H4080/E4080,"")</f>
        <v/>
      </c>
      <c r="L4080">
        <f>IF(B4080="","",IFERROR(VALUE(TEXT(B4080,"[$-1170401]yyyy")),""))</f>
        <v/>
      </c>
      <c r="M4080">
        <f>IF(B4080="","",IFERROR(VALUE(TEXT(B4080,"[$-1170401]mm")),""))</f>
        <v/>
      </c>
    </row>
    <row r="4081">
      <c r="B4081" s="30" t="n"/>
      <c r="G4081" s="9">
        <f>IF(AND(E4081&lt;&gt;"",E4081&lt;&gt;0,H4081&lt;&gt;""),H4081/E4081,"")</f>
        <v/>
      </c>
      <c r="L4081">
        <f>IF(B4081="","",IFERROR(VALUE(TEXT(B4081,"[$-1170401]yyyy")),""))</f>
        <v/>
      </c>
      <c r="M4081">
        <f>IF(B4081="","",IFERROR(VALUE(TEXT(B4081,"[$-1170401]mm")),""))</f>
        <v/>
      </c>
    </row>
    <row r="4082">
      <c r="B4082" s="30" t="n"/>
      <c r="G4082" s="9">
        <f>IF(AND(E4082&lt;&gt;"",E4082&lt;&gt;0,H4082&lt;&gt;""),H4082/E4082,"")</f>
        <v/>
      </c>
      <c r="L4082">
        <f>IF(B4082="","",IFERROR(VALUE(TEXT(B4082,"[$-1170401]yyyy")),""))</f>
        <v/>
      </c>
      <c r="M4082">
        <f>IF(B4082="","",IFERROR(VALUE(TEXT(B4082,"[$-1170401]mm")),""))</f>
        <v/>
      </c>
    </row>
    <row r="4083">
      <c r="B4083" s="30" t="n"/>
      <c r="G4083" s="9">
        <f>IF(AND(E4083&lt;&gt;"",E4083&lt;&gt;0,H4083&lt;&gt;""),H4083/E4083,"")</f>
        <v/>
      </c>
      <c r="L4083">
        <f>IF(B4083="","",IFERROR(VALUE(TEXT(B4083,"[$-1170401]yyyy")),""))</f>
        <v/>
      </c>
      <c r="M4083">
        <f>IF(B4083="","",IFERROR(VALUE(TEXT(B4083,"[$-1170401]mm")),""))</f>
        <v/>
      </c>
    </row>
    <row r="4084">
      <c r="B4084" s="30" t="n"/>
      <c r="G4084" s="9">
        <f>IF(AND(E4084&lt;&gt;"",E4084&lt;&gt;0,H4084&lt;&gt;""),H4084/E4084,"")</f>
        <v/>
      </c>
      <c r="L4084">
        <f>IF(B4084="","",IFERROR(VALUE(TEXT(B4084,"[$-1170401]yyyy")),""))</f>
        <v/>
      </c>
      <c r="M4084">
        <f>IF(B4084="","",IFERROR(VALUE(TEXT(B4084,"[$-1170401]mm")),""))</f>
        <v/>
      </c>
    </row>
    <row r="4085">
      <c r="B4085" s="30" t="n"/>
      <c r="G4085" s="9">
        <f>IF(AND(E4085&lt;&gt;"",E4085&lt;&gt;0,H4085&lt;&gt;""),H4085/E4085,"")</f>
        <v/>
      </c>
      <c r="L4085">
        <f>IF(B4085="","",IFERROR(VALUE(TEXT(B4085,"[$-1170401]yyyy")),""))</f>
        <v/>
      </c>
      <c r="M4085">
        <f>IF(B4085="","",IFERROR(VALUE(TEXT(B4085,"[$-1170401]mm")),""))</f>
        <v/>
      </c>
    </row>
    <row r="4086">
      <c r="B4086" s="30" t="n"/>
      <c r="G4086" s="9">
        <f>IF(AND(E4086&lt;&gt;"",E4086&lt;&gt;0,H4086&lt;&gt;""),H4086/E4086,"")</f>
        <v/>
      </c>
      <c r="L4086">
        <f>IF(B4086="","",IFERROR(VALUE(TEXT(B4086,"[$-1170401]yyyy")),""))</f>
        <v/>
      </c>
      <c r="M4086">
        <f>IF(B4086="","",IFERROR(VALUE(TEXT(B4086,"[$-1170401]mm")),""))</f>
        <v/>
      </c>
    </row>
    <row r="4087">
      <c r="B4087" s="30" t="n"/>
      <c r="G4087" s="9">
        <f>IF(AND(E4087&lt;&gt;"",E4087&lt;&gt;0,H4087&lt;&gt;""),H4087/E4087,"")</f>
        <v/>
      </c>
      <c r="L4087">
        <f>IF(B4087="","",IFERROR(VALUE(TEXT(B4087,"[$-1170401]yyyy")),""))</f>
        <v/>
      </c>
      <c r="M4087">
        <f>IF(B4087="","",IFERROR(VALUE(TEXT(B4087,"[$-1170401]mm")),""))</f>
        <v/>
      </c>
    </row>
    <row r="4088">
      <c r="B4088" s="30" t="n"/>
      <c r="G4088" s="9">
        <f>IF(AND(E4088&lt;&gt;"",E4088&lt;&gt;0,H4088&lt;&gt;""),H4088/E4088,"")</f>
        <v/>
      </c>
      <c r="L4088">
        <f>IF(B4088="","",IFERROR(VALUE(TEXT(B4088,"[$-1170401]yyyy")),""))</f>
        <v/>
      </c>
      <c r="M4088">
        <f>IF(B4088="","",IFERROR(VALUE(TEXT(B4088,"[$-1170401]mm")),""))</f>
        <v/>
      </c>
    </row>
    <row r="4089">
      <c r="B4089" s="30" t="n"/>
      <c r="G4089" s="9">
        <f>IF(AND(E4089&lt;&gt;"",E4089&lt;&gt;0,H4089&lt;&gt;""),H4089/E4089,"")</f>
        <v/>
      </c>
      <c r="L4089">
        <f>IF(B4089="","",IFERROR(VALUE(TEXT(B4089,"[$-1170401]yyyy")),""))</f>
        <v/>
      </c>
      <c r="M4089">
        <f>IF(B4089="","",IFERROR(VALUE(TEXT(B4089,"[$-1170401]mm")),""))</f>
        <v/>
      </c>
    </row>
    <row r="4090">
      <c r="B4090" s="30" t="n"/>
      <c r="G4090" s="9">
        <f>IF(AND(E4090&lt;&gt;"",E4090&lt;&gt;0,H4090&lt;&gt;""),H4090/E4090,"")</f>
        <v/>
      </c>
      <c r="L4090">
        <f>IF(B4090="","",IFERROR(VALUE(TEXT(B4090,"[$-1170401]yyyy")),""))</f>
        <v/>
      </c>
      <c r="M4090">
        <f>IF(B4090="","",IFERROR(VALUE(TEXT(B4090,"[$-1170401]mm")),""))</f>
        <v/>
      </c>
    </row>
    <row r="4091">
      <c r="B4091" s="30" t="n"/>
      <c r="G4091" s="9">
        <f>IF(AND(E4091&lt;&gt;"",E4091&lt;&gt;0,H4091&lt;&gt;""),H4091/E4091,"")</f>
        <v/>
      </c>
      <c r="L4091">
        <f>IF(B4091="","",IFERROR(VALUE(TEXT(B4091,"[$-1170401]yyyy")),""))</f>
        <v/>
      </c>
      <c r="M4091">
        <f>IF(B4091="","",IFERROR(VALUE(TEXT(B4091,"[$-1170401]mm")),""))</f>
        <v/>
      </c>
    </row>
    <row r="4092">
      <c r="B4092" s="30" t="n"/>
      <c r="G4092" s="9">
        <f>IF(AND(E4092&lt;&gt;"",E4092&lt;&gt;0,H4092&lt;&gt;""),H4092/E4092,"")</f>
        <v/>
      </c>
      <c r="L4092">
        <f>IF(B4092="","",IFERROR(VALUE(TEXT(B4092,"[$-1170401]yyyy")),""))</f>
        <v/>
      </c>
      <c r="M4092">
        <f>IF(B4092="","",IFERROR(VALUE(TEXT(B4092,"[$-1170401]mm")),""))</f>
        <v/>
      </c>
    </row>
    <row r="4093">
      <c r="B4093" s="30" t="n"/>
      <c r="G4093" s="9">
        <f>IF(AND(E4093&lt;&gt;"",E4093&lt;&gt;0,H4093&lt;&gt;""),H4093/E4093,"")</f>
        <v/>
      </c>
      <c r="L4093">
        <f>IF(B4093="","",IFERROR(VALUE(TEXT(B4093,"[$-1170401]yyyy")),""))</f>
        <v/>
      </c>
      <c r="M4093">
        <f>IF(B4093="","",IFERROR(VALUE(TEXT(B4093,"[$-1170401]mm")),""))</f>
        <v/>
      </c>
    </row>
    <row r="4094">
      <c r="B4094" s="30" t="n"/>
      <c r="G4094" s="9">
        <f>IF(AND(E4094&lt;&gt;"",E4094&lt;&gt;0,H4094&lt;&gt;""),H4094/E4094,"")</f>
        <v/>
      </c>
      <c r="L4094">
        <f>IF(B4094="","",IFERROR(VALUE(TEXT(B4094,"[$-1170401]yyyy")),""))</f>
        <v/>
      </c>
      <c r="M4094">
        <f>IF(B4094="","",IFERROR(VALUE(TEXT(B4094,"[$-1170401]mm")),""))</f>
        <v/>
      </c>
    </row>
    <row r="4095">
      <c r="B4095" s="30" t="n"/>
      <c r="G4095" s="9">
        <f>IF(AND(E4095&lt;&gt;"",E4095&lt;&gt;0,H4095&lt;&gt;""),H4095/E4095,"")</f>
        <v/>
      </c>
      <c r="L4095">
        <f>IF(B4095="","",IFERROR(VALUE(TEXT(B4095,"[$-1170401]yyyy")),""))</f>
        <v/>
      </c>
      <c r="M4095">
        <f>IF(B4095="","",IFERROR(VALUE(TEXT(B4095,"[$-1170401]mm")),""))</f>
        <v/>
      </c>
    </row>
    <row r="4096">
      <c r="B4096" s="30" t="n"/>
      <c r="G4096" s="9">
        <f>IF(AND(E4096&lt;&gt;"",E4096&lt;&gt;0,H4096&lt;&gt;""),H4096/E4096,"")</f>
        <v/>
      </c>
      <c r="L4096">
        <f>IF(B4096="","",IFERROR(VALUE(TEXT(B4096,"[$-1170401]yyyy")),""))</f>
        <v/>
      </c>
      <c r="M4096">
        <f>IF(B4096="","",IFERROR(VALUE(TEXT(B4096,"[$-1170401]mm")),""))</f>
        <v/>
      </c>
    </row>
    <row r="4097">
      <c r="B4097" s="30" t="n"/>
      <c r="G4097" s="9">
        <f>IF(AND(E4097&lt;&gt;"",E4097&lt;&gt;0,H4097&lt;&gt;""),H4097/E4097,"")</f>
        <v/>
      </c>
      <c r="L4097">
        <f>IF(B4097="","",IFERROR(VALUE(TEXT(B4097,"[$-1170401]yyyy")),""))</f>
        <v/>
      </c>
      <c r="M4097">
        <f>IF(B4097="","",IFERROR(VALUE(TEXT(B4097,"[$-1170401]mm")),""))</f>
        <v/>
      </c>
    </row>
    <row r="4098">
      <c r="B4098" s="30" t="n"/>
      <c r="G4098" s="9">
        <f>IF(AND(E4098&lt;&gt;"",E4098&lt;&gt;0,H4098&lt;&gt;""),H4098/E4098,"")</f>
        <v/>
      </c>
      <c r="L4098">
        <f>IF(B4098="","",IFERROR(VALUE(TEXT(B4098,"[$-1170401]yyyy")),""))</f>
        <v/>
      </c>
      <c r="M4098">
        <f>IF(B4098="","",IFERROR(VALUE(TEXT(B4098,"[$-1170401]mm")),""))</f>
        <v/>
      </c>
    </row>
    <row r="4099">
      <c r="B4099" s="30" t="n"/>
      <c r="G4099" s="9">
        <f>IF(AND(E4099&lt;&gt;"",E4099&lt;&gt;0,H4099&lt;&gt;""),H4099/E4099,"")</f>
        <v/>
      </c>
      <c r="L4099">
        <f>IF(B4099="","",IFERROR(VALUE(TEXT(B4099,"[$-1170401]yyyy")),""))</f>
        <v/>
      </c>
      <c r="M4099">
        <f>IF(B4099="","",IFERROR(VALUE(TEXT(B4099,"[$-1170401]mm")),""))</f>
        <v/>
      </c>
    </row>
    <row r="4100">
      <c r="B4100" s="30" t="n"/>
      <c r="G4100" s="9">
        <f>IF(AND(E4100&lt;&gt;"",E4100&lt;&gt;0,H4100&lt;&gt;""),H4100/E4100,"")</f>
        <v/>
      </c>
      <c r="L4100">
        <f>IF(B4100="","",IFERROR(VALUE(TEXT(B4100,"[$-1170401]yyyy")),""))</f>
        <v/>
      </c>
      <c r="M4100">
        <f>IF(B4100="","",IFERROR(VALUE(TEXT(B4100,"[$-1170401]mm")),""))</f>
        <v/>
      </c>
    </row>
    <row r="4101">
      <c r="B4101" s="30" t="n"/>
      <c r="G4101" s="9">
        <f>IF(AND(E4101&lt;&gt;"",E4101&lt;&gt;0,H4101&lt;&gt;""),H4101/E4101,"")</f>
        <v/>
      </c>
      <c r="L4101">
        <f>IF(B4101="","",IFERROR(VALUE(TEXT(B4101,"[$-1170401]yyyy")),""))</f>
        <v/>
      </c>
      <c r="M4101">
        <f>IF(B4101="","",IFERROR(VALUE(TEXT(B4101,"[$-1170401]mm")),""))</f>
        <v/>
      </c>
    </row>
    <row r="4102">
      <c r="B4102" s="30" t="n"/>
      <c r="G4102" s="9">
        <f>IF(AND(E4102&lt;&gt;"",E4102&lt;&gt;0,H4102&lt;&gt;""),H4102/E4102,"")</f>
        <v/>
      </c>
      <c r="L4102">
        <f>IF(B4102="","",IFERROR(VALUE(TEXT(B4102,"[$-1170401]yyyy")),""))</f>
        <v/>
      </c>
      <c r="M4102">
        <f>IF(B4102="","",IFERROR(VALUE(TEXT(B4102,"[$-1170401]mm")),""))</f>
        <v/>
      </c>
    </row>
    <row r="4103">
      <c r="B4103" s="30" t="n"/>
      <c r="G4103" s="9">
        <f>IF(AND(E4103&lt;&gt;"",E4103&lt;&gt;0,H4103&lt;&gt;""),H4103/E4103,"")</f>
        <v/>
      </c>
      <c r="L4103">
        <f>IF(B4103="","",IFERROR(VALUE(TEXT(B4103,"[$-1170401]yyyy")),""))</f>
        <v/>
      </c>
      <c r="M4103">
        <f>IF(B4103="","",IFERROR(VALUE(TEXT(B4103,"[$-1170401]mm")),""))</f>
        <v/>
      </c>
    </row>
    <row r="4104">
      <c r="B4104" s="30" t="n"/>
      <c r="G4104" s="9">
        <f>IF(AND(E4104&lt;&gt;"",E4104&lt;&gt;0,H4104&lt;&gt;""),H4104/E4104,"")</f>
        <v/>
      </c>
      <c r="L4104">
        <f>IF(B4104="","",IFERROR(VALUE(TEXT(B4104,"[$-1170401]yyyy")),""))</f>
        <v/>
      </c>
      <c r="M4104">
        <f>IF(B4104="","",IFERROR(VALUE(TEXT(B4104,"[$-1170401]mm")),""))</f>
        <v/>
      </c>
    </row>
    <row r="4105">
      <c r="B4105" s="30" t="n"/>
      <c r="G4105" s="9">
        <f>IF(AND(E4105&lt;&gt;"",E4105&lt;&gt;0,H4105&lt;&gt;""),H4105/E4105,"")</f>
        <v/>
      </c>
      <c r="L4105">
        <f>IF(B4105="","",IFERROR(VALUE(TEXT(B4105,"[$-1170401]yyyy")),""))</f>
        <v/>
      </c>
      <c r="M4105">
        <f>IF(B4105="","",IFERROR(VALUE(TEXT(B4105,"[$-1170401]mm")),""))</f>
        <v/>
      </c>
    </row>
    <row r="4106">
      <c r="B4106" s="30" t="n"/>
      <c r="G4106" s="9">
        <f>IF(AND(E4106&lt;&gt;"",E4106&lt;&gt;0,H4106&lt;&gt;""),H4106/E4106,"")</f>
        <v/>
      </c>
      <c r="L4106">
        <f>IF(B4106="","",IFERROR(VALUE(TEXT(B4106,"[$-1170401]yyyy")),""))</f>
        <v/>
      </c>
      <c r="M4106">
        <f>IF(B4106="","",IFERROR(VALUE(TEXT(B4106,"[$-1170401]mm")),""))</f>
        <v/>
      </c>
    </row>
    <row r="4107">
      <c r="B4107" s="30" t="n"/>
      <c r="G4107" s="9">
        <f>IF(AND(E4107&lt;&gt;"",E4107&lt;&gt;0,H4107&lt;&gt;""),H4107/E4107,"")</f>
        <v/>
      </c>
      <c r="L4107">
        <f>IF(B4107="","",IFERROR(VALUE(TEXT(B4107,"[$-1170401]yyyy")),""))</f>
        <v/>
      </c>
      <c r="M4107">
        <f>IF(B4107="","",IFERROR(VALUE(TEXT(B4107,"[$-1170401]mm")),""))</f>
        <v/>
      </c>
    </row>
    <row r="4108">
      <c r="B4108" s="30" t="n"/>
      <c r="G4108" s="9">
        <f>IF(AND(E4108&lt;&gt;"",E4108&lt;&gt;0,H4108&lt;&gt;""),H4108/E4108,"")</f>
        <v/>
      </c>
      <c r="L4108">
        <f>IF(B4108="","",IFERROR(VALUE(TEXT(B4108,"[$-1170401]yyyy")),""))</f>
        <v/>
      </c>
      <c r="M4108">
        <f>IF(B4108="","",IFERROR(VALUE(TEXT(B4108,"[$-1170401]mm")),""))</f>
        <v/>
      </c>
    </row>
    <row r="4109">
      <c r="B4109" s="30" t="n"/>
      <c r="G4109" s="9">
        <f>IF(AND(E4109&lt;&gt;"",E4109&lt;&gt;0,H4109&lt;&gt;""),H4109/E4109,"")</f>
        <v/>
      </c>
      <c r="L4109">
        <f>IF(B4109="","",IFERROR(VALUE(TEXT(B4109,"[$-1170401]yyyy")),""))</f>
        <v/>
      </c>
      <c r="M4109">
        <f>IF(B4109="","",IFERROR(VALUE(TEXT(B4109,"[$-1170401]mm")),""))</f>
        <v/>
      </c>
    </row>
    <row r="4110">
      <c r="B4110" s="30" t="n"/>
      <c r="G4110" s="9">
        <f>IF(AND(E4110&lt;&gt;"",E4110&lt;&gt;0,H4110&lt;&gt;""),H4110/E4110,"")</f>
        <v/>
      </c>
      <c r="L4110">
        <f>IF(B4110="","",IFERROR(VALUE(TEXT(B4110,"[$-1170401]yyyy")),""))</f>
        <v/>
      </c>
      <c r="M4110">
        <f>IF(B4110="","",IFERROR(VALUE(TEXT(B4110,"[$-1170401]mm")),""))</f>
        <v/>
      </c>
    </row>
    <row r="4111">
      <c r="B4111" s="30" t="n"/>
      <c r="G4111" s="9">
        <f>IF(AND(E4111&lt;&gt;"",E4111&lt;&gt;0,H4111&lt;&gt;""),H4111/E4111,"")</f>
        <v/>
      </c>
      <c r="L4111">
        <f>IF(B4111="","",IFERROR(VALUE(TEXT(B4111,"[$-1170401]yyyy")),""))</f>
        <v/>
      </c>
      <c r="M4111">
        <f>IF(B4111="","",IFERROR(VALUE(TEXT(B4111,"[$-1170401]mm")),""))</f>
        <v/>
      </c>
    </row>
    <row r="4112">
      <c r="B4112" s="30" t="n"/>
      <c r="G4112" s="9">
        <f>IF(AND(E4112&lt;&gt;"",E4112&lt;&gt;0,H4112&lt;&gt;""),H4112/E4112,"")</f>
        <v/>
      </c>
      <c r="L4112">
        <f>IF(B4112="","",IFERROR(VALUE(TEXT(B4112,"[$-1170401]yyyy")),""))</f>
        <v/>
      </c>
      <c r="M4112">
        <f>IF(B4112="","",IFERROR(VALUE(TEXT(B4112,"[$-1170401]mm")),""))</f>
        <v/>
      </c>
    </row>
    <row r="4113">
      <c r="B4113" s="30" t="n"/>
      <c r="G4113" s="9">
        <f>IF(AND(E4113&lt;&gt;"",E4113&lt;&gt;0,H4113&lt;&gt;""),H4113/E4113,"")</f>
        <v/>
      </c>
      <c r="L4113">
        <f>IF(B4113="","",IFERROR(VALUE(TEXT(B4113,"[$-1170401]yyyy")),""))</f>
        <v/>
      </c>
      <c r="M4113">
        <f>IF(B4113="","",IFERROR(VALUE(TEXT(B4113,"[$-1170401]mm")),""))</f>
        <v/>
      </c>
    </row>
    <row r="4114">
      <c r="B4114" s="30" t="n"/>
      <c r="G4114" s="9">
        <f>IF(AND(E4114&lt;&gt;"",E4114&lt;&gt;0,H4114&lt;&gt;""),H4114/E4114,"")</f>
        <v/>
      </c>
      <c r="L4114">
        <f>IF(B4114="","",IFERROR(VALUE(TEXT(B4114,"[$-1170401]yyyy")),""))</f>
        <v/>
      </c>
      <c r="M4114">
        <f>IF(B4114="","",IFERROR(VALUE(TEXT(B4114,"[$-1170401]mm")),""))</f>
        <v/>
      </c>
    </row>
    <row r="4115">
      <c r="B4115" s="30" t="n"/>
      <c r="G4115" s="9">
        <f>IF(AND(E4115&lt;&gt;"",E4115&lt;&gt;0,H4115&lt;&gt;""),H4115/E4115,"")</f>
        <v/>
      </c>
      <c r="L4115">
        <f>IF(B4115="","",IFERROR(VALUE(TEXT(B4115,"[$-1170401]yyyy")),""))</f>
        <v/>
      </c>
      <c r="M4115">
        <f>IF(B4115="","",IFERROR(VALUE(TEXT(B4115,"[$-1170401]mm")),""))</f>
        <v/>
      </c>
    </row>
    <row r="4116">
      <c r="B4116" s="30" t="n"/>
      <c r="G4116" s="9">
        <f>IF(AND(E4116&lt;&gt;"",E4116&lt;&gt;0,H4116&lt;&gt;""),H4116/E4116,"")</f>
        <v/>
      </c>
      <c r="L4116">
        <f>IF(B4116="","",IFERROR(VALUE(TEXT(B4116,"[$-1170401]yyyy")),""))</f>
        <v/>
      </c>
      <c r="M4116">
        <f>IF(B4116="","",IFERROR(VALUE(TEXT(B4116,"[$-1170401]mm")),""))</f>
        <v/>
      </c>
    </row>
    <row r="4117">
      <c r="B4117" s="30" t="n"/>
      <c r="G4117" s="9">
        <f>IF(AND(E4117&lt;&gt;"",E4117&lt;&gt;0,H4117&lt;&gt;""),H4117/E4117,"")</f>
        <v/>
      </c>
      <c r="L4117">
        <f>IF(B4117="","",IFERROR(VALUE(TEXT(B4117,"[$-1170401]yyyy")),""))</f>
        <v/>
      </c>
      <c r="M4117">
        <f>IF(B4117="","",IFERROR(VALUE(TEXT(B4117,"[$-1170401]mm")),""))</f>
        <v/>
      </c>
    </row>
    <row r="4118">
      <c r="B4118" s="30" t="n"/>
      <c r="G4118" s="9">
        <f>IF(AND(E4118&lt;&gt;"",E4118&lt;&gt;0,H4118&lt;&gt;""),H4118/E4118,"")</f>
        <v/>
      </c>
      <c r="L4118">
        <f>IF(B4118="","",IFERROR(VALUE(TEXT(B4118,"[$-1170401]yyyy")),""))</f>
        <v/>
      </c>
      <c r="M4118">
        <f>IF(B4118="","",IFERROR(VALUE(TEXT(B4118,"[$-1170401]mm")),""))</f>
        <v/>
      </c>
    </row>
    <row r="4119">
      <c r="B4119" s="30" t="n"/>
      <c r="G4119" s="9">
        <f>IF(AND(E4119&lt;&gt;"",E4119&lt;&gt;0,H4119&lt;&gt;""),H4119/E4119,"")</f>
        <v/>
      </c>
      <c r="L4119">
        <f>IF(B4119="","",IFERROR(VALUE(TEXT(B4119,"[$-1170401]yyyy")),""))</f>
        <v/>
      </c>
      <c r="M4119">
        <f>IF(B4119="","",IFERROR(VALUE(TEXT(B4119,"[$-1170401]mm")),""))</f>
        <v/>
      </c>
    </row>
    <row r="4120">
      <c r="B4120" s="30" t="n"/>
      <c r="G4120" s="9">
        <f>IF(AND(E4120&lt;&gt;"",E4120&lt;&gt;0,H4120&lt;&gt;""),H4120/E4120,"")</f>
        <v/>
      </c>
      <c r="L4120">
        <f>IF(B4120="","",IFERROR(VALUE(TEXT(B4120,"[$-1170401]yyyy")),""))</f>
        <v/>
      </c>
      <c r="M4120">
        <f>IF(B4120="","",IFERROR(VALUE(TEXT(B4120,"[$-1170401]mm")),""))</f>
        <v/>
      </c>
    </row>
    <row r="4121">
      <c r="B4121" s="30" t="n"/>
      <c r="G4121" s="9">
        <f>IF(AND(E4121&lt;&gt;"",E4121&lt;&gt;0,H4121&lt;&gt;""),H4121/E4121,"")</f>
        <v/>
      </c>
      <c r="L4121">
        <f>IF(B4121="","",IFERROR(VALUE(TEXT(B4121,"[$-1170401]yyyy")),""))</f>
        <v/>
      </c>
      <c r="M4121">
        <f>IF(B4121="","",IFERROR(VALUE(TEXT(B4121,"[$-1170401]mm")),""))</f>
        <v/>
      </c>
    </row>
    <row r="4122">
      <c r="B4122" s="30" t="n"/>
      <c r="G4122" s="9">
        <f>IF(AND(E4122&lt;&gt;"",E4122&lt;&gt;0,H4122&lt;&gt;""),H4122/E4122,"")</f>
        <v/>
      </c>
      <c r="L4122">
        <f>IF(B4122="","",IFERROR(VALUE(TEXT(B4122,"[$-1170401]yyyy")),""))</f>
        <v/>
      </c>
      <c r="M4122">
        <f>IF(B4122="","",IFERROR(VALUE(TEXT(B4122,"[$-1170401]mm")),""))</f>
        <v/>
      </c>
    </row>
    <row r="4123">
      <c r="B4123" s="30" t="n"/>
      <c r="G4123" s="9">
        <f>IF(AND(E4123&lt;&gt;"",E4123&lt;&gt;0,H4123&lt;&gt;""),H4123/E4123,"")</f>
        <v/>
      </c>
      <c r="L4123">
        <f>IF(B4123="","",IFERROR(VALUE(TEXT(B4123,"[$-1170401]yyyy")),""))</f>
        <v/>
      </c>
      <c r="M4123">
        <f>IF(B4123="","",IFERROR(VALUE(TEXT(B4123,"[$-1170401]mm")),""))</f>
        <v/>
      </c>
    </row>
    <row r="4124">
      <c r="B4124" s="30" t="n"/>
      <c r="G4124" s="9">
        <f>IF(AND(E4124&lt;&gt;"",E4124&lt;&gt;0,H4124&lt;&gt;""),H4124/E4124,"")</f>
        <v/>
      </c>
      <c r="L4124">
        <f>IF(B4124="","",IFERROR(VALUE(TEXT(B4124,"[$-1170401]yyyy")),""))</f>
        <v/>
      </c>
      <c r="M4124">
        <f>IF(B4124="","",IFERROR(VALUE(TEXT(B4124,"[$-1170401]mm")),""))</f>
        <v/>
      </c>
    </row>
    <row r="4125">
      <c r="B4125" s="30" t="n"/>
      <c r="G4125" s="9">
        <f>IF(AND(E4125&lt;&gt;"",E4125&lt;&gt;0,H4125&lt;&gt;""),H4125/E4125,"")</f>
        <v/>
      </c>
      <c r="L4125">
        <f>IF(B4125="","",IFERROR(VALUE(TEXT(B4125,"[$-1170401]yyyy")),""))</f>
        <v/>
      </c>
      <c r="M4125">
        <f>IF(B4125="","",IFERROR(VALUE(TEXT(B4125,"[$-1170401]mm")),""))</f>
        <v/>
      </c>
    </row>
    <row r="4126">
      <c r="B4126" s="30" t="n"/>
      <c r="G4126" s="9">
        <f>IF(AND(E4126&lt;&gt;"",E4126&lt;&gt;0,H4126&lt;&gt;""),H4126/E4126,"")</f>
        <v/>
      </c>
      <c r="L4126">
        <f>IF(B4126="","",IFERROR(VALUE(TEXT(B4126,"[$-1170401]yyyy")),""))</f>
        <v/>
      </c>
      <c r="M4126">
        <f>IF(B4126="","",IFERROR(VALUE(TEXT(B4126,"[$-1170401]mm")),""))</f>
        <v/>
      </c>
    </row>
    <row r="4127">
      <c r="B4127" s="30" t="n"/>
      <c r="G4127" s="9">
        <f>IF(AND(E4127&lt;&gt;"",E4127&lt;&gt;0,H4127&lt;&gt;""),H4127/E4127,"")</f>
        <v/>
      </c>
      <c r="L4127">
        <f>IF(B4127="","",IFERROR(VALUE(TEXT(B4127,"[$-1170401]yyyy")),""))</f>
        <v/>
      </c>
      <c r="M4127">
        <f>IF(B4127="","",IFERROR(VALUE(TEXT(B4127,"[$-1170401]mm")),""))</f>
        <v/>
      </c>
    </row>
    <row r="4128">
      <c r="B4128" s="30" t="n"/>
      <c r="G4128" s="9">
        <f>IF(AND(E4128&lt;&gt;"",E4128&lt;&gt;0,H4128&lt;&gt;""),H4128/E4128,"")</f>
        <v/>
      </c>
      <c r="L4128">
        <f>IF(B4128="","",IFERROR(VALUE(TEXT(B4128,"[$-1170401]yyyy")),""))</f>
        <v/>
      </c>
      <c r="M4128">
        <f>IF(B4128="","",IFERROR(VALUE(TEXT(B4128,"[$-1170401]mm")),""))</f>
        <v/>
      </c>
    </row>
    <row r="4129">
      <c r="B4129" s="30" t="n"/>
      <c r="G4129" s="9">
        <f>IF(AND(E4129&lt;&gt;"",E4129&lt;&gt;0,H4129&lt;&gt;""),H4129/E4129,"")</f>
        <v/>
      </c>
      <c r="L4129">
        <f>IF(B4129="","",IFERROR(VALUE(TEXT(B4129,"[$-1170401]yyyy")),""))</f>
        <v/>
      </c>
      <c r="M4129">
        <f>IF(B4129="","",IFERROR(VALUE(TEXT(B4129,"[$-1170401]mm")),""))</f>
        <v/>
      </c>
    </row>
    <row r="4130">
      <c r="B4130" s="30" t="n"/>
      <c r="G4130" s="9">
        <f>IF(AND(E4130&lt;&gt;"",E4130&lt;&gt;0,H4130&lt;&gt;""),H4130/E4130,"")</f>
        <v/>
      </c>
      <c r="L4130">
        <f>IF(B4130="","",IFERROR(VALUE(TEXT(B4130,"[$-1170401]yyyy")),""))</f>
        <v/>
      </c>
      <c r="M4130">
        <f>IF(B4130="","",IFERROR(VALUE(TEXT(B4130,"[$-1170401]mm")),""))</f>
        <v/>
      </c>
    </row>
    <row r="4131">
      <c r="B4131" s="30" t="n"/>
      <c r="G4131" s="9">
        <f>IF(AND(E4131&lt;&gt;"",E4131&lt;&gt;0,H4131&lt;&gt;""),H4131/E4131,"")</f>
        <v/>
      </c>
      <c r="L4131">
        <f>IF(B4131="","",IFERROR(VALUE(TEXT(B4131,"[$-1170401]yyyy")),""))</f>
        <v/>
      </c>
      <c r="M4131">
        <f>IF(B4131="","",IFERROR(VALUE(TEXT(B4131,"[$-1170401]mm")),""))</f>
        <v/>
      </c>
    </row>
    <row r="4132">
      <c r="B4132" s="30" t="n"/>
      <c r="G4132" s="9">
        <f>IF(AND(E4132&lt;&gt;"",E4132&lt;&gt;0,H4132&lt;&gt;""),H4132/E4132,"")</f>
        <v/>
      </c>
      <c r="L4132">
        <f>IF(B4132="","",IFERROR(VALUE(TEXT(B4132,"[$-1170401]yyyy")),""))</f>
        <v/>
      </c>
      <c r="M4132">
        <f>IF(B4132="","",IFERROR(VALUE(TEXT(B4132,"[$-1170401]mm")),""))</f>
        <v/>
      </c>
    </row>
    <row r="4133">
      <c r="B4133" s="30" t="n"/>
      <c r="G4133" s="9">
        <f>IF(AND(E4133&lt;&gt;"",E4133&lt;&gt;0,H4133&lt;&gt;""),H4133/E4133,"")</f>
        <v/>
      </c>
      <c r="L4133">
        <f>IF(B4133="","",IFERROR(VALUE(TEXT(B4133,"[$-1170401]yyyy")),""))</f>
        <v/>
      </c>
      <c r="M4133">
        <f>IF(B4133="","",IFERROR(VALUE(TEXT(B4133,"[$-1170401]mm")),""))</f>
        <v/>
      </c>
    </row>
    <row r="4134">
      <c r="B4134" s="30" t="n"/>
      <c r="G4134" s="9">
        <f>IF(AND(E4134&lt;&gt;"",E4134&lt;&gt;0,H4134&lt;&gt;""),H4134/E4134,"")</f>
        <v/>
      </c>
      <c r="L4134">
        <f>IF(B4134="","",IFERROR(VALUE(TEXT(B4134,"[$-1170401]yyyy")),""))</f>
        <v/>
      </c>
      <c r="M4134">
        <f>IF(B4134="","",IFERROR(VALUE(TEXT(B4134,"[$-1170401]mm")),""))</f>
        <v/>
      </c>
    </row>
    <row r="4135">
      <c r="B4135" s="30" t="n"/>
      <c r="G4135" s="9">
        <f>IF(AND(E4135&lt;&gt;"",E4135&lt;&gt;0,H4135&lt;&gt;""),H4135/E4135,"")</f>
        <v/>
      </c>
      <c r="L4135">
        <f>IF(B4135="","",IFERROR(VALUE(TEXT(B4135,"[$-1170401]yyyy")),""))</f>
        <v/>
      </c>
      <c r="M4135">
        <f>IF(B4135="","",IFERROR(VALUE(TEXT(B4135,"[$-1170401]mm")),""))</f>
        <v/>
      </c>
    </row>
    <row r="4136">
      <c r="B4136" s="30" t="n"/>
      <c r="G4136" s="9">
        <f>IF(AND(E4136&lt;&gt;"",E4136&lt;&gt;0,H4136&lt;&gt;""),H4136/E4136,"")</f>
        <v/>
      </c>
      <c r="L4136">
        <f>IF(B4136="","",IFERROR(VALUE(TEXT(B4136,"[$-1170401]yyyy")),""))</f>
        <v/>
      </c>
      <c r="M4136">
        <f>IF(B4136="","",IFERROR(VALUE(TEXT(B4136,"[$-1170401]mm")),""))</f>
        <v/>
      </c>
    </row>
    <row r="4137">
      <c r="B4137" s="30" t="n"/>
      <c r="G4137" s="9">
        <f>IF(AND(E4137&lt;&gt;"",E4137&lt;&gt;0,H4137&lt;&gt;""),H4137/E4137,"")</f>
        <v/>
      </c>
      <c r="L4137">
        <f>IF(B4137="","",IFERROR(VALUE(TEXT(B4137,"[$-1170401]yyyy")),""))</f>
        <v/>
      </c>
      <c r="M4137">
        <f>IF(B4137="","",IFERROR(VALUE(TEXT(B4137,"[$-1170401]mm")),""))</f>
        <v/>
      </c>
    </row>
    <row r="4138">
      <c r="B4138" s="30" t="n"/>
      <c r="G4138" s="9">
        <f>IF(AND(E4138&lt;&gt;"",E4138&lt;&gt;0,H4138&lt;&gt;""),H4138/E4138,"")</f>
        <v/>
      </c>
      <c r="L4138">
        <f>IF(B4138="","",IFERROR(VALUE(TEXT(B4138,"[$-1170401]yyyy")),""))</f>
        <v/>
      </c>
      <c r="M4138">
        <f>IF(B4138="","",IFERROR(VALUE(TEXT(B4138,"[$-1170401]mm")),""))</f>
        <v/>
      </c>
    </row>
    <row r="4139">
      <c r="B4139" s="30" t="n"/>
      <c r="G4139" s="9">
        <f>IF(AND(E4139&lt;&gt;"",E4139&lt;&gt;0,H4139&lt;&gt;""),H4139/E4139,"")</f>
        <v/>
      </c>
      <c r="L4139">
        <f>IF(B4139="","",IFERROR(VALUE(TEXT(B4139,"[$-1170401]yyyy")),""))</f>
        <v/>
      </c>
      <c r="M4139">
        <f>IF(B4139="","",IFERROR(VALUE(TEXT(B4139,"[$-1170401]mm")),""))</f>
        <v/>
      </c>
    </row>
    <row r="4140">
      <c r="B4140" s="30" t="n"/>
      <c r="G4140" s="9">
        <f>IF(AND(E4140&lt;&gt;"",E4140&lt;&gt;0,H4140&lt;&gt;""),H4140/E4140,"")</f>
        <v/>
      </c>
      <c r="L4140">
        <f>IF(B4140="","",IFERROR(VALUE(TEXT(B4140,"[$-1170401]yyyy")),""))</f>
        <v/>
      </c>
      <c r="M4140">
        <f>IF(B4140="","",IFERROR(VALUE(TEXT(B4140,"[$-1170401]mm")),""))</f>
        <v/>
      </c>
    </row>
    <row r="4141">
      <c r="B4141" s="30" t="n"/>
      <c r="G4141" s="9">
        <f>IF(AND(E4141&lt;&gt;"",E4141&lt;&gt;0,H4141&lt;&gt;""),H4141/E4141,"")</f>
        <v/>
      </c>
      <c r="L4141">
        <f>IF(B4141="","",IFERROR(VALUE(TEXT(B4141,"[$-1170401]yyyy")),""))</f>
        <v/>
      </c>
      <c r="M4141">
        <f>IF(B4141="","",IFERROR(VALUE(TEXT(B4141,"[$-1170401]mm")),""))</f>
        <v/>
      </c>
    </row>
    <row r="4142">
      <c r="B4142" s="30" t="n"/>
      <c r="G4142" s="9">
        <f>IF(AND(E4142&lt;&gt;"",E4142&lt;&gt;0,H4142&lt;&gt;""),H4142/E4142,"")</f>
        <v/>
      </c>
      <c r="L4142">
        <f>IF(B4142="","",IFERROR(VALUE(TEXT(B4142,"[$-1170401]yyyy")),""))</f>
        <v/>
      </c>
      <c r="M4142">
        <f>IF(B4142="","",IFERROR(VALUE(TEXT(B4142,"[$-1170401]mm")),""))</f>
        <v/>
      </c>
    </row>
    <row r="4143">
      <c r="B4143" s="30" t="n"/>
      <c r="G4143" s="9">
        <f>IF(AND(E4143&lt;&gt;"",E4143&lt;&gt;0,H4143&lt;&gt;""),H4143/E4143,"")</f>
        <v/>
      </c>
      <c r="L4143">
        <f>IF(B4143="","",IFERROR(VALUE(TEXT(B4143,"[$-1170401]yyyy")),""))</f>
        <v/>
      </c>
      <c r="M4143">
        <f>IF(B4143="","",IFERROR(VALUE(TEXT(B4143,"[$-1170401]mm")),""))</f>
        <v/>
      </c>
    </row>
    <row r="4144">
      <c r="B4144" s="30" t="n"/>
      <c r="G4144" s="9">
        <f>IF(AND(E4144&lt;&gt;"",E4144&lt;&gt;0,H4144&lt;&gt;""),H4144/E4144,"")</f>
        <v/>
      </c>
      <c r="L4144">
        <f>IF(B4144="","",IFERROR(VALUE(TEXT(B4144,"[$-1170401]yyyy")),""))</f>
        <v/>
      </c>
      <c r="M4144">
        <f>IF(B4144="","",IFERROR(VALUE(TEXT(B4144,"[$-1170401]mm")),""))</f>
        <v/>
      </c>
    </row>
    <row r="4145">
      <c r="B4145" s="30" t="n"/>
      <c r="G4145" s="9">
        <f>IF(AND(E4145&lt;&gt;"",E4145&lt;&gt;0,H4145&lt;&gt;""),H4145/E4145,"")</f>
        <v/>
      </c>
      <c r="L4145">
        <f>IF(B4145="","",IFERROR(VALUE(TEXT(B4145,"[$-1170401]yyyy")),""))</f>
        <v/>
      </c>
      <c r="M4145">
        <f>IF(B4145="","",IFERROR(VALUE(TEXT(B4145,"[$-1170401]mm")),""))</f>
        <v/>
      </c>
    </row>
    <row r="4146">
      <c r="B4146" s="30" t="n"/>
      <c r="G4146" s="9">
        <f>IF(AND(E4146&lt;&gt;"",E4146&lt;&gt;0,H4146&lt;&gt;""),H4146/E4146,"")</f>
        <v/>
      </c>
      <c r="L4146">
        <f>IF(B4146="","",IFERROR(VALUE(TEXT(B4146,"[$-1170401]yyyy")),""))</f>
        <v/>
      </c>
      <c r="M4146">
        <f>IF(B4146="","",IFERROR(VALUE(TEXT(B4146,"[$-1170401]mm")),""))</f>
        <v/>
      </c>
    </row>
    <row r="4147">
      <c r="B4147" s="30" t="n"/>
      <c r="G4147" s="9">
        <f>IF(AND(E4147&lt;&gt;"",E4147&lt;&gt;0,H4147&lt;&gt;""),H4147/E4147,"")</f>
        <v/>
      </c>
      <c r="L4147">
        <f>IF(B4147="","",IFERROR(VALUE(TEXT(B4147,"[$-1170401]yyyy")),""))</f>
        <v/>
      </c>
      <c r="M4147">
        <f>IF(B4147="","",IFERROR(VALUE(TEXT(B4147,"[$-1170401]mm")),""))</f>
        <v/>
      </c>
    </row>
    <row r="4148">
      <c r="B4148" s="30" t="n"/>
      <c r="G4148" s="9">
        <f>IF(AND(E4148&lt;&gt;"",E4148&lt;&gt;0,H4148&lt;&gt;""),H4148/E4148,"")</f>
        <v/>
      </c>
      <c r="L4148">
        <f>IF(B4148="","",IFERROR(VALUE(TEXT(B4148,"[$-1170401]yyyy")),""))</f>
        <v/>
      </c>
      <c r="M4148">
        <f>IF(B4148="","",IFERROR(VALUE(TEXT(B4148,"[$-1170401]mm")),""))</f>
        <v/>
      </c>
    </row>
    <row r="4149">
      <c r="B4149" s="30" t="n"/>
      <c r="G4149" s="9">
        <f>IF(AND(E4149&lt;&gt;"",E4149&lt;&gt;0,H4149&lt;&gt;""),H4149/E4149,"")</f>
        <v/>
      </c>
      <c r="L4149">
        <f>IF(B4149="","",IFERROR(VALUE(TEXT(B4149,"[$-1170401]yyyy")),""))</f>
        <v/>
      </c>
      <c r="M4149">
        <f>IF(B4149="","",IFERROR(VALUE(TEXT(B4149,"[$-1170401]mm")),""))</f>
        <v/>
      </c>
    </row>
    <row r="4150">
      <c r="B4150" s="30" t="n"/>
      <c r="G4150" s="9">
        <f>IF(AND(E4150&lt;&gt;"",E4150&lt;&gt;0,H4150&lt;&gt;""),H4150/E4150,"")</f>
        <v/>
      </c>
      <c r="L4150">
        <f>IF(B4150="","",IFERROR(VALUE(TEXT(B4150,"[$-1170401]yyyy")),""))</f>
        <v/>
      </c>
      <c r="M4150">
        <f>IF(B4150="","",IFERROR(VALUE(TEXT(B4150,"[$-1170401]mm")),""))</f>
        <v/>
      </c>
    </row>
    <row r="4151">
      <c r="B4151" s="30" t="n"/>
      <c r="G4151" s="9">
        <f>IF(AND(E4151&lt;&gt;"",E4151&lt;&gt;0,H4151&lt;&gt;""),H4151/E4151,"")</f>
        <v/>
      </c>
      <c r="L4151">
        <f>IF(B4151="","",IFERROR(VALUE(TEXT(B4151,"[$-1170401]yyyy")),""))</f>
        <v/>
      </c>
      <c r="M4151">
        <f>IF(B4151="","",IFERROR(VALUE(TEXT(B4151,"[$-1170401]mm")),""))</f>
        <v/>
      </c>
    </row>
    <row r="4152">
      <c r="B4152" s="30" t="n"/>
      <c r="G4152" s="9">
        <f>IF(AND(E4152&lt;&gt;"",E4152&lt;&gt;0,H4152&lt;&gt;""),H4152/E4152,"")</f>
        <v/>
      </c>
      <c r="L4152">
        <f>IF(B4152="","",IFERROR(VALUE(TEXT(B4152,"[$-1170401]yyyy")),""))</f>
        <v/>
      </c>
      <c r="M4152">
        <f>IF(B4152="","",IFERROR(VALUE(TEXT(B4152,"[$-1170401]mm")),""))</f>
        <v/>
      </c>
    </row>
    <row r="4153">
      <c r="B4153" s="30" t="n"/>
      <c r="G4153" s="9">
        <f>IF(AND(E4153&lt;&gt;"",E4153&lt;&gt;0,H4153&lt;&gt;""),H4153/E4153,"")</f>
        <v/>
      </c>
      <c r="L4153">
        <f>IF(B4153="","",IFERROR(VALUE(TEXT(B4153,"[$-1170401]yyyy")),""))</f>
        <v/>
      </c>
      <c r="M4153">
        <f>IF(B4153="","",IFERROR(VALUE(TEXT(B4153,"[$-1170401]mm")),""))</f>
        <v/>
      </c>
    </row>
    <row r="4154">
      <c r="B4154" s="30" t="n"/>
      <c r="G4154" s="9">
        <f>IF(AND(E4154&lt;&gt;"",E4154&lt;&gt;0,H4154&lt;&gt;""),H4154/E4154,"")</f>
        <v/>
      </c>
      <c r="L4154">
        <f>IF(B4154="","",IFERROR(VALUE(TEXT(B4154,"[$-1170401]yyyy")),""))</f>
        <v/>
      </c>
      <c r="M4154">
        <f>IF(B4154="","",IFERROR(VALUE(TEXT(B4154,"[$-1170401]mm")),""))</f>
        <v/>
      </c>
    </row>
    <row r="4155">
      <c r="B4155" s="30" t="n"/>
      <c r="G4155" s="9">
        <f>IF(AND(E4155&lt;&gt;"",E4155&lt;&gt;0,H4155&lt;&gt;""),H4155/E4155,"")</f>
        <v/>
      </c>
      <c r="L4155">
        <f>IF(B4155="","",IFERROR(VALUE(TEXT(B4155,"[$-1170401]yyyy")),""))</f>
        <v/>
      </c>
      <c r="M4155">
        <f>IF(B4155="","",IFERROR(VALUE(TEXT(B4155,"[$-1170401]mm")),""))</f>
        <v/>
      </c>
    </row>
    <row r="4156">
      <c r="B4156" s="30" t="n"/>
      <c r="G4156" s="9">
        <f>IF(AND(E4156&lt;&gt;"",E4156&lt;&gt;0,H4156&lt;&gt;""),H4156/E4156,"")</f>
        <v/>
      </c>
      <c r="L4156">
        <f>IF(B4156="","",IFERROR(VALUE(TEXT(B4156,"[$-1170401]yyyy")),""))</f>
        <v/>
      </c>
      <c r="M4156">
        <f>IF(B4156="","",IFERROR(VALUE(TEXT(B4156,"[$-1170401]mm")),""))</f>
        <v/>
      </c>
    </row>
    <row r="4157">
      <c r="B4157" s="30" t="n"/>
      <c r="G4157" s="9">
        <f>IF(AND(E4157&lt;&gt;"",E4157&lt;&gt;0,H4157&lt;&gt;""),H4157/E4157,"")</f>
        <v/>
      </c>
      <c r="L4157">
        <f>IF(B4157="","",IFERROR(VALUE(TEXT(B4157,"[$-1170401]yyyy")),""))</f>
        <v/>
      </c>
      <c r="M4157">
        <f>IF(B4157="","",IFERROR(VALUE(TEXT(B4157,"[$-1170401]mm")),""))</f>
        <v/>
      </c>
    </row>
    <row r="4158">
      <c r="B4158" s="30" t="n"/>
      <c r="G4158" s="9">
        <f>IF(AND(E4158&lt;&gt;"",E4158&lt;&gt;0,H4158&lt;&gt;""),H4158/E4158,"")</f>
        <v/>
      </c>
      <c r="L4158">
        <f>IF(B4158="","",IFERROR(VALUE(TEXT(B4158,"[$-1170401]yyyy")),""))</f>
        <v/>
      </c>
      <c r="M4158">
        <f>IF(B4158="","",IFERROR(VALUE(TEXT(B4158,"[$-1170401]mm")),""))</f>
        <v/>
      </c>
    </row>
    <row r="4159">
      <c r="B4159" s="30" t="n"/>
      <c r="G4159" s="9">
        <f>IF(AND(E4159&lt;&gt;"",E4159&lt;&gt;0,H4159&lt;&gt;""),H4159/E4159,"")</f>
        <v/>
      </c>
      <c r="L4159">
        <f>IF(B4159="","",IFERROR(VALUE(TEXT(B4159,"[$-1170401]yyyy")),""))</f>
        <v/>
      </c>
      <c r="M4159">
        <f>IF(B4159="","",IFERROR(VALUE(TEXT(B4159,"[$-1170401]mm")),""))</f>
        <v/>
      </c>
    </row>
    <row r="4160">
      <c r="B4160" s="30" t="n"/>
      <c r="G4160" s="9">
        <f>IF(AND(E4160&lt;&gt;"",E4160&lt;&gt;0,H4160&lt;&gt;""),H4160/E4160,"")</f>
        <v/>
      </c>
      <c r="L4160">
        <f>IF(B4160="","",IFERROR(VALUE(TEXT(B4160,"[$-1170401]yyyy")),""))</f>
        <v/>
      </c>
      <c r="M4160">
        <f>IF(B4160="","",IFERROR(VALUE(TEXT(B4160,"[$-1170401]mm")),""))</f>
        <v/>
      </c>
    </row>
    <row r="4161">
      <c r="B4161" s="30" t="n"/>
      <c r="G4161" s="9">
        <f>IF(AND(E4161&lt;&gt;"",E4161&lt;&gt;0,H4161&lt;&gt;""),H4161/E4161,"")</f>
        <v/>
      </c>
      <c r="L4161">
        <f>IF(B4161="","",IFERROR(VALUE(TEXT(B4161,"[$-1170401]yyyy")),""))</f>
        <v/>
      </c>
      <c r="M4161">
        <f>IF(B4161="","",IFERROR(VALUE(TEXT(B4161,"[$-1170401]mm")),""))</f>
        <v/>
      </c>
    </row>
    <row r="4162">
      <c r="B4162" s="30" t="n"/>
      <c r="G4162" s="9">
        <f>IF(AND(E4162&lt;&gt;"",E4162&lt;&gt;0,H4162&lt;&gt;""),H4162/E4162,"")</f>
        <v/>
      </c>
      <c r="L4162">
        <f>IF(B4162="","",IFERROR(VALUE(TEXT(B4162,"[$-1170401]yyyy")),""))</f>
        <v/>
      </c>
      <c r="M4162">
        <f>IF(B4162="","",IFERROR(VALUE(TEXT(B4162,"[$-1170401]mm")),""))</f>
        <v/>
      </c>
    </row>
    <row r="4163">
      <c r="B4163" s="30" t="n"/>
      <c r="G4163" s="9">
        <f>IF(AND(E4163&lt;&gt;"",E4163&lt;&gt;0,H4163&lt;&gt;""),H4163/E4163,"")</f>
        <v/>
      </c>
      <c r="L4163">
        <f>IF(B4163="","",IFERROR(VALUE(TEXT(B4163,"[$-1170401]yyyy")),""))</f>
        <v/>
      </c>
      <c r="M4163">
        <f>IF(B4163="","",IFERROR(VALUE(TEXT(B4163,"[$-1170401]mm")),""))</f>
        <v/>
      </c>
    </row>
    <row r="4164">
      <c r="B4164" s="30" t="n"/>
      <c r="G4164" s="9">
        <f>IF(AND(E4164&lt;&gt;"",E4164&lt;&gt;0,H4164&lt;&gt;""),H4164/E4164,"")</f>
        <v/>
      </c>
      <c r="L4164">
        <f>IF(B4164="","",IFERROR(VALUE(TEXT(B4164,"[$-1170401]yyyy")),""))</f>
        <v/>
      </c>
      <c r="M4164">
        <f>IF(B4164="","",IFERROR(VALUE(TEXT(B4164,"[$-1170401]mm")),""))</f>
        <v/>
      </c>
    </row>
    <row r="4165">
      <c r="B4165" s="30" t="n"/>
      <c r="G4165" s="9">
        <f>IF(AND(E4165&lt;&gt;"",E4165&lt;&gt;0,H4165&lt;&gt;""),H4165/E4165,"")</f>
        <v/>
      </c>
      <c r="L4165">
        <f>IF(B4165="","",IFERROR(VALUE(TEXT(B4165,"[$-1170401]yyyy")),""))</f>
        <v/>
      </c>
      <c r="M4165">
        <f>IF(B4165="","",IFERROR(VALUE(TEXT(B4165,"[$-1170401]mm")),""))</f>
        <v/>
      </c>
    </row>
    <row r="4166">
      <c r="B4166" s="30" t="n"/>
      <c r="G4166" s="9">
        <f>IF(AND(E4166&lt;&gt;"",E4166&lt;&gt;0,H4166&lt;&gt;""),H4166/E4166,"")</f>
        <v/>
      </c>
      <c r="L4166">
        <f>IF(B4166="","",IFERROR(VALUE(TEXT(B4166,"[$-1170401]yyyy")),""))</f>
        <v/>
      </c>
      <c r="M4166">
        <f>IF(B4166="","",IFERROR(VALUE(TEXT(B4166,"[$-1170401]mm")),""))</f>
        <v/>
      </c>
    </row>
    <row r="4167">
      <c r="B4167" s="30" t="n"/>
      <c r="G4167" s="9">
        <f>IF(AND(E4167&lt;&gt;"",E4167&lt;&gt;0,H4167&lt;&gt;""),H4167/E4167,"")</f>
        <v/>
      </c>
      <c r="L4167">
        <f>IF(B4167="","",IFERROR(VALUE(TEXT(B4167,"[$-1170401]yyyy")),""))</f>
        <v/>
      </c>
      <c r="M4167">
        <f>IF(B4167="","",IFERROR(VALUE(TEXT(B4167,"[$-1170401]mm")),""))</f>
        <v/>
      </c>
    </row>
    <row r="4168">
      <c r="B4168" s="30" t="n"/>
      <c r="G4168" s="9">
        <f>IF(AND(E4168&lt;&gt;"",E4168&lt;&gt;0,H4168&lt;&gt;""),H4168/E4168,"")</f>
        <v/>
      </c>
      <c r="L4168">
        <f>IF(B4168="","",IFERROR(VALUE(TEXT(B4168,"[$-1170401]yyyy")),""))</f>
        <v/>
      </c>
      <c r="M4168">
        <f>IF(B4168="","",IFERROR(VALUE(TEXT(B4168,"[$-1170401]mm")),""))</f>
        <v/>
      </c>
    </row>
    <row r="4169">
      <c r="B4169" s="30" t="n"/>
      <c r="G4169" s="9">
        <f>IF(AND(E4169&lt;&gt;"",E4169&lt;&gt;0,H4169&lt;&gt;""),H4169/E4169,"")</f>
        <v/>
      </c>
      <c r="L4169">
        <f>IF(B4169="","",IFERROR(VALUE(TEXT(B4169,"[$-1170401]yyyy")),""))</f>
        <v/>
      </c>
      <c r="M4169">
        <f>IF(B4169="","",IFERROR(VALUE(TEXT(B4169,"[$-1170401]mm")),""))</f>
        <v/>
      </c>
    </row>
    <row r="4170">
      <c r="B4170" s="30" t="n"/>
      <c r="G4170" s="9">
        <f>IF(AND(E4170&lt;&gt;"",E4170&lt;&gt;0,H4170&lt;&gt;""),H4170/E4170,"")</f>
        <v/>
      </c>
      <c r="L4170">
        <f>IF(B4170="","",IFERROR(VALUE(TEXT(B4170,"[$-1170401]yyyy")),""))</f>
        <v/>
      </c>
      <c r="M4170">
        <f>IF(B4170="","",IFERROR(VALUE(TEXT(B4170,"[$-1170401]mm")),""))</f>
        <v/>
      </c>
    </row>
    <row r="4171">
      <c r="B4171" s="30" t="n"/>
      <c r="G4171" s="9">
        <f>IF(AND(E4171&lt;&gt;"",E4171&lt;&gt;0,H4171&lt;&gt;""),H4171/E4171,"")</f>
        <v/>
      </c>
      <c r="L4171">
        <f>IF(B4171="","",IFERROR(VALUE(TEXT(B4171,"[$-1170401]yyyy")),""))</f>
        <v/>
      </c>
      <c r="M4171">
        <f>IF(B4171="","",IFERROR(VALUE(TEXT(B4171,"[$-1170401]mm")),""))</f>
        <v/>
      </c>
    </row>
    <row r="4172">
      <c r="B4172" s="30" t="n"/>
      <c r="G4172" s="9">
        <f>IF(AND(E4172&lt;&gt;"",E4172&lt;&gt;0,H4172&lt;&gt;""),H4172/E4172,"")</f>
        <v/>
      </c>
      <c r="L4172">
        <f>IF(B4172="","",IFERROR(VALUE(TEXT(B4172,"[$-1170401]yyyy")),""))</f>
        <v/>
      </c>
      <c r="M4172">
        <f>IF(B4172="","",IFERROR(VALUE(TEXT(B4172,"[$-1170401]mm")),""))</f>
        <v/>
      </c>
    </row>
    <row r="4173">
      <c r="B4173" s="30" t="n"/>
      <c r="G4173" s="9">
        <f>IF(AND(E4173&lt;&gt;"",E4173&lt;&gt;0,H4173&lt;&gt;""),H4173/E4173,"")</f>
        <v/>
      </c>
      <c r="L4173">
        <f>IF(B4173="","",IFERROR(VALUE(TEXT(B4173,"[$-1170401]yyyy")),""))</f>
        <v/>
      </c>
      <c r="M4173">
        <f>IF(B4173="","",IFERROR(VALUE(TEXT(B4173,"[$-1170401]mm")),""))</f>
        <v/>
      </c>
    </row>
    <row r="4174">
      <c r="B4174" s="30" t="n"/>
      <c r="G4174" s="9">
        <f>IF(AND(E4174&lt;&gt;"",E4174&lt;&gt;0,H4174&lt;&gt;""),H4174/E4174,"")</f>
        <v/>
      </c>
      <c r="L4174">
        <f>IF(B4174="","",IFERROR(VALUE(TEXT(B4174,"[$-1170401]yyyy")),""))</f>
        <v/>
      </c>
      <c r="M4174">
        <f>IF(B4174="","",IFERROR(VALUE(TEXT(B4174,"[$-1170401]mm")),""))</f>
        <v/>
      </c>
    </row>
    <row r="4175">
      <c r="B4175" s="30" t="n"/>
      <c r="G4175" s="9">
        <f>IF(AND(E4175&lt;&gt;"",E4175&lt;&gt;0,H4175&lt;&gt;""),H4175/E4175,"")</f>
        <v/>
      </c>
      <c r="L4175">
        <f>IF(B4175="","",IFERROR(VALUE(TEXT(B4175,"[$-1170401]yyyy")),""))</f>
        <v/>
      </c>
      <c r="M4175">
        <f>IF(B4175="","",IFERROR(VALUE(TEXT(B4175,"[$-1170401]mm")),""))</f>
        <v/>
      </c>
    </row>
    <row r="4176">
      <c r="B4176" s="30" t="n"/>
      <c r="G4176" s="9">
        <f>IF(AND(E4176&lt;&gt;"",E4176&lt;&gt;0,H4176&lt;&gt;""),H4176/E4176,"")</f>
        <v/>
      </c>
      <c r="L4176">
        <f>IF(B4176="","",IFERROR(VALUE(TEXT(B4176,"[$-1170401]yyyy")),""))</f>
        <v/>
      </c>
      <c r="M4176">
        <f>IF(B4176="","",IFERROR(VALUE(TEXT(B4176,"[$-1170401]mm")),""))</f>
        <v/>
      </c>
    </row>
    <row r="4177">
      <c r="B4177" s="30" t="n"/>
      <c r="G4177" s="9">
        <f>IF(AND(E4177&lt;&gt;"",E4177&lt;&gt;0,H4177&lt;&gt;""),H4177/E4177,"")</f>
        <v/>
      </c>
      <c r="L4177">
        <f>IF(B4177="","",IFERROR(VALUE(TEXT(B4177,"[$-1170401]yyyy")),""))</f>
        <v/>
      </c>
      <c r="M4177">
        <f>IF(B4177="","",IFERROR(VALUE(TEXT(B4177,"[$-1170401]mm")),""))</f>
        <v/>
      </c>
    </row>
    <row r="4178">
      <c r="B4178" s="30" t="n"/>
      <c r="G4178" s="9">
        <f>IF(AND(E4178&lt;&gt;"",E4178&lt;&gt;0,H4178&lt;&gt;""),H4178/E4178,"")</f>
        <v/>
      </c>
      <c r="L4178">
        <f>IF(B4178="","",IFERROR(VALUE(TEXT(B4178,"[$-1170401]yyyy")),""))</f>
        <v/>
      </c>
      <c r="M4178">
        <f>IF(B4178="","",IFERROR(VALUE(TEXT(B4178,"[$-1170401]mm")),""))</f>
        <v/>
      </c>
    </row>
    <row r="4179">
      <c r="B4179" s="30" t="n"/>
      <c r="G4179" s="9">
        <f>IF(AND(E4179&lt;&gt;"",E4179&lt;&gt;0,H4179&lt;&gt;""),H4179/E4179,"")</f>
        <v/>
      </c>
      <c r="L4179">
        <f>IF(B4179="","",IFERROR(VALUE(TEXT(B4179,"[$-1170401]yyyy")),""))</f>
        <v/>
      </c>
      <c r="M4179">
        <f>IF(B4179="","",IFERROR(VALUE(TEXT(B4179,"[$-1170401]mm")),""))</f>
        <v/>
      </c>
    </row>
    <row r="4180">
      <c r="B4180" s="30" t="n"/>
      <c r="G4180" s="9">
        <f>IF(AND(E4180&lt;&gt;"",E4180&lt;&gt;0,H4180&lt;&gt;""),H4180/E4180,"")</f>
        <v/>
      </c>
      <c r="L4180">
        <f>IF(B4180="","",IFERROR(VALUE(TEXT(B4180,"[$-1170401]yyyy")),""))</f>
        <v/>
      </c>
      <c r="M4180">
        <f>IF(B4180="","",IFERROR(VALUE(TEXT(B4180,"[$-1170401]mm")),""))</f>
        <v/>
      </c>
    </row>
    <row r="4181">
      <c r="B4181" s="30" t="n"/>
      <c r="G4181" s="9">
        <f>IF(AND(E4181&lt;&gt;"",E4181&lt;&gt;0,H4181&lt;&gt;""),H4181/E4181,"")</f>
        <v/>
      </c>
      <c r="L4181">
        <f>IF(B4181="","",IFERROR(VALUE(TEXT(B4181,"[$-1170401]yyyy")),""))</f>
        <v/>
      </c>
      <c r="M4181">
        <f>IF(B4181="","",IFERROR(VALUE(TEXT(B4181,"[$-1170401]mm")),""))</f>
        <v/>
      </c>
    </row>
    <row r="4182">
      <c r="B4182" s="30" t="n"/>
      <c r="G4182" s="9">
        <f>IF(AND(E4182&lt;&gt;"",E4182&lt;&gt;0,H4182&lt;&gt;""),H4182/E4182,"")</f>
        <v/>
      </c>
      <c r="L4182">
        <f>IF(B4182="","",IFERROR(VALUE(TEXT(B4182,"[$-1170401]yyyy")),""))</f>
        <v/>
      </c>
      <c r="M4182">
        <f>IF(B4182="","",IFERROR(VALUE(TEXT(B4182,"[$-1170401]mm")),""))</f>
        <v/>
      </c>
    </row>
    <row r="4183">
      <c r="B4183" s="30" t="n"/>
      <c r="G4183" s="9">
        <f>IF(AND(E4183&lt;&gt;"",E4183&lt;&gt;0,H4183&lt;&gt;""),H4183/E4183,"")</f>
        <v/>
      </c>
      <c r="L4183">
        <f>IF(B4183="","",IFERROR(VALUE(TEXT(B4183,"[$-1170401]yyyy")),""))</f>
        <v/>
      </c>
      <c r="M4183">
        <f>IF(B4183="","",IFERROR(VALUE(TEXT(B4183,"[$-1170401]mm")),""))</f>
        <v/>
      </c>
    </row>
    <row r="4184">
      <c r="B4184" s="30" t="n"/>
      <c r="G4184" s="9">
        <f>IF(AND(E4184&lt;&gt;"",E4184&lt;&gt;0,H4184&lt;&gt;""),H4184/E4184,"")</f>
        <v/>
      </c>
      <c r="L4184">
        <f>IF(B4184="","",IFERROR(VALUE(TEXT(B4184,"[$-1170401]yyyy")),""))</f>
        <v/>
      </c>
      <c r="M4184">
        <f>IF(B4184="","",IFERROR(VALUE(TEXT(B4184,"[$-1170401]mm")),""))</f>
        <v/>
      </c>
    </row>
    <row r="4185">
      <c r="B4185" s="30" t="n"/>
      <c r="G4185" s="9">
        <f>IF(AND(E4185&lt;&gt;"",E4185&lt;&gt;0,H4185&lt;&gt;""),H4185/E4185,"")</f>
        <v/>
      </c>
      <c r="L4185">
        <f>IF(B4185="","",IFERROR(VALUE(TEXT(B4185,"[$-1170401]yyyy")),""))</f>
        <v/>
      </c>
      <c r="M4185">
        <f>IF(B4185="","",IFERROR(VALUE(TEXT(B4185,"[$-1170401]mm")),""))</f>
        <v/>
      </c>
    </row>
    <row r="4186">
      <c r="B4186" s="30" t="n"/>
      <c r="G4186" s="9">
        <f>IF(AND(E4186&lt;&gt;"",E4186&lt;&gt;0,H4186&lt;&gt;""),H4186/E4186,"")</f>
        <v/>
      </c>
      <c r="L4186">
        <f>IF(B4186="","",IFERROR(VALUE(TEXT(B4186,"[$-1170401]yyyy")),""))</f>
        <v/>
      </c>
      <c r="M4186">
        <f>IF(B4186="","",IFERROR(VALUE(TEXT(B4186,"[$-1170401]mm")),""))</f>
        <v/>
      </c>
    </row>
    <row r="4187">
      <c r="B4187" s="30" t="n"/>
      <c r="G4187" s="9">
        <f>IF(AND(E4187&lt;&gt;"",E4187&lt;&gt;0,H4187&lt;&gt;""),H4187/E4187,"")</f>
        <v/>
      </c>
      <c r="L4187">
        <f>IF(B4187="","",IFERROR(VALUE(TEXT(B4187,"[$-1170401]yyyy")),""))</f>
        <v/>
      </c>
      <c r="M4187">
        <f>IF(B4187="","",IFERROR(VALUE(TEXT(B4187,"[$-1170401]mm")),""))</f>
        <v/>
      </c>
    </row>
    <row r="4188">
      <c r="B4188" s="30" t="n"/>
      <c r="G4188" s="9">
        <f>IF(AND(E4188&lt;&gt;"",E4188&lt;&gt;0,H4188&lt;&gt;""),H4188/E4188,"")</f>
        <v/>
      </c>
      <c r="L4188">
        <f>IF(B4188="","",IFERROR(VALUE(TEXT(B4188,"[$-1170401]yyyy")),""))</f>
        <v/>
      </c>
      <c r="M4188">
        <f>IF(B4188="","",IFERROR(VALUE(TEXT(B4188,"[$-1170401]mm")),""))</f>
        <v/>
      </c>
    </row>
    <row r="4189">
      <c r="B4189" s="30" t="n"/>
      <c r="G4189" s="9">
        <f>IF(AND(E4189&lt;&gt;"",E4189&lt;&gt;0,H4189&lt;&gt;""),H4189/E4189,"")</f>
        <v/>
      </c>
      <c r="L4189">
        <f>IF(B4189="","",IFERROR(VALUE(TEXT(B4189,"[$-1170401]yyyy")),""))</f>
        <v/>
      </c>
      <c r="M4189">
        <f>IF(B4189="","",IFERROR(VALUE(TEXT(B4189,"[$-1170401]mm")),""))</f>
        <v/>
      </c>
    </row>
    <row r="4190">
      <c r="B4190" s="30" t="n"/>
      <c r="G4190" s="9">
        <f>IF(AND(E4190&lt;&gt;"",E4190&lt;&gt;0,H4190&lt;&gt;""),H4190/E4190,"")</f>
        <v/>
      </c>
      <c r="L4190">
        <f>IF(B4190="","",IFERROR(VALUE(TEXT(B4190,"[$-1170401]yyyy")),""))</f>
        <v/>
      </c>
      <c r="M4190">
        <f>IF(B4190="","",IFERROR(VALUE(TEXT(B4190,"[$-1170401]mm")),""))</f>
        <v/>
      </c>
    </row>
    <row r="4191">
      <c r="B4191" s="30" t="n"/>
      <c r="G4191" s="9">
        <f>IF(AND(E4191&lt;&gt;"",E4191&lt;&gt;0,H4191&lt;&gt;""),H4191/E4191,"")</f>
        <v/>
      </c>
      <c r="L4191">
        <f>IF(B4191="","",IFERROR(VALUE(TEXT(B4191,"[$-1170401]yyyy")),""))</f>
        <v/>
      </c>
      <c r="M4191">
        <f>IF(B4191="","",IFERROR(VALUE(TEXT(B4191,"[$-1170401]mm")),""))</f>
        <v/>
      </c>
    </row>
    <row r="4192">
      <c r="B4192" s="30" t="n"/>
      <c r="G4192" s="9">
        <f>IF(AND(E4192&lt;&gt;"",E4192&lt;&gt;0,H4192&lt;&gt;""),H4192/E4192,"")</f>
        <v/>
      </c>
      <c r="L4192">
        <f>IF(B4192="","",IFERROR(VALUE(TEXT(B4192,"[$-1170401]yyyy")),""))</f>
        <v/>
      </c>
      <c r="M4192">
        <f>IF(B4192="","",IFERROR(VALUE(TEXT(B4192,"[$-1170401]mm")),""))</f>
        <v/>
      </c>
    </row>
    <row r="4193">
      <c r="B4193" s="30" t="n"/>
      <c r="G4193" s="9">
        <f>IF(AND(E4193&lt;&gt;"",E4193&lt;&gt;0,H4193&lt;&gt;""),H4193/E4193,"")</f>
        <v/>
      </c>
      <c r="L4193">
        <f>IF(B4193="","",IFERROR(VALUE(TEXT(B4193,"[$-1170401]yyyy")),""))</f>
        <v/>
      </c>
      <c r="M4193">
        <f>IF(B4193="","",IFERROR(VALUE(TEXT(B4193,"[$-1170401]mm")),""))</f>
        <v/>
      </c>
    </row>
    <row r="4194">
      <c r="B4194" s="30" t="n"/>
      <c r="G4194" s="9">
        <f>IF(AND(E4194&lt;&gt;"",E4194&lt;&gt;0,H4194&lt;&gt;""),H4194/E4194,"")</f>
        <v/>
      </c>
      <c r="L4194">
        <f>IF(B4194="","",IFERROR(VALUE(TEXT(B4194,"[$-1170401]yyyy")),""))</f>
        <v/>
      </c>
      <c r="M4194">
        <f>IF(B4194="","",IFERROR(VALUE(TEXT(B4194,"[$-1170401]mm")),""))</f>
        <v/>
      </c>
    </row>
    <row r="4195">
      <c r="B4195" s="30" t="n"/>
      <c r="G4195" s="9">
        <f>IF(AND(E4195&lt;&gt;"",E4195&lt;&gt;0,H4195&lt;&gt;""),H4195/E4195,"")</f>
        <v/>
      </c>
      <c r="L4195">
        <f>IF(B4195="","",IFERROR(VALUE(TEXT(B4195,"[$-1170401]yyyy")),""))</f>
        <v/>
      </c>
      <c r="M4195">
        <f>IF(B4195="","",IFERROR(VALUE(TEXT(B4195,"[$-1170401]mm")),""))</f>
        <v/>
      </c>
    </row>
    <row r="4196">
      <c r="B4196" s="30" t="n"/>
      <c r="G4196" s="9">
        <f>IF(AND(E4196&lt;&gt;"",E4196&lt;&gt;0,H4196&lt;&gt;""),H4196/E4196,"")</f>
        <v/>
      </c>
      <c r="L4196">
        <f>IF(B4196="","",IFERROR(VALUE(TEXT(B4196,"[$-1170401]yyyy")),""))</f>
        <v/>
      </c>
      <c r="M4196">
        <f>IF(B4196="","",IFERROR(VALUE(TEXT(B4196,"[$-1170401]mm")),""))</f>
        <v/>
      </c>
    </row>
    <row r="4197">
      <c r="B4197" s="30" t="n"/>
      <c r="G4197" s="9">
        <f>IF(AND(E4197&lt;&gt;"",E4197&lt;&gt;0,H4197&lt;&gt;""),H4197/E4197,"")</f>
        <v/>
      </c>
      <c r="L4197">
        <f>IF(B4197="","",IFERROR(VALUE(TEXT(B4197,"[$-1170401]yyyy")),""))</f>
        <v/>
      </c>
      <c r="M4197">
        <f>IF(B4197="","",IFERROR(VALUE(TEXT(B4197,"[$-1170401]mm")),""))</f>
        <v/>
      </c>
    </row>
    <row r="4198">
      <c r="B4198" s="30" t="n"/>
      <c r="G4198" s="9">
        <f>IF(AND(E4198&lt;&gt;"",E4198&lt;&gt;0,H4198&lt;&gt;""),H4198/E4198,"")</f>
        <v/>
      </c>
      <c r="L4198">
        <f>IF(B4198="","",IFERROR(VALUE(TEXT(B4198,"[$-1170401]yyyy")),""))</f>
        <v/>
      </c>
      <c r="M4198">
        <f>IF(B4198="","",IFERROR(VALUE(TEXT(B4198,"[$-1170401]mm")),""))</f>
        <v/>
      </c>
    </row>
    <row r="4199">
      <c r="B4199" s="30" t="n"/>
      <c r="G4199" s="9">
        <f>IF(AND(E4199&lt;&gt;"",E4199&lt;&gt;0,H4199&lt;&gt;""),H4199/E4199,"")</f>
        <v/>
      </c>
      <c r="L4199">
        <f>IF(B4199="","",IFERROR(VALUE(TEXT(B4199,"[$-1170401]yyyy")),""))</f>
        <v/>
      </c>
      <c r="M4199">
        <f>IF(B4199="","",IFERROR(VALUE(TEXT(B4199,"[$-1170401]mm")),""))</f>
        <v/>
      </c>
    </row>
    <row r="4200">
      <c r="B4200" s="30" t="n"/>
      <c r="G4200" s="9">
        <f>IF(AND(E4200&lt;&gt;"",E4200&lt;&gt;0,H4200&lt;&gt;""),H4200/E4200,"")</f>
        <v/>
      </c>
      <c r="L4200">
        <f>IF(B4200="","",IFERROR(VALUE(TEXT(B4200,"[$-1170401]yyyy")),""))</f>
        <v/>
      </c>
      <c r="M4200">
        <f>IF(B4200="","",IFERROR(VALUE(TEXT(B4200,"[$-1170401]mm")),""))</f>
        <v/>
      </c>
    </row>
    <row r="4201">
      <c r="B4201" s="30" t="n"/>
      <c r="G4201" s="9">
        <f>IF(AND(E4201&lt;&gt;"",E4201&lt;&gt;0,H4201&lt;&gt;""),H4201/E4201,"")</f>
        <v/>
      </c>
      <c r="L4201">
        <f>IF(B4201="","",IFERROR(VALUE(TEXT(B4201,"[$-1170401]yyyy")),""))</f>
        <v/>
      </c>
      <c r="M4201">
        <f>IF(B4201="","",IFERROR(VALUE(TEXT(B4201,"[$-1170401]mm")),""))</f>
        <v/>
      </c>
    </row>
    <row r="4202">
      <c r="B4202" s="30" t="n"/>
      <c r="G4202" s="9">
        <f>IF(AND(E4202&lt;&gt;"",E4202&lt;&gt;0,H4202&lt;&gt;""),H4202/E4202,"")</f>
        <v/>
      </c>
      <c r="L4202">
        <f>IF(B4202="","",IFERROR(VALUE(TEXT(B4202,"[$-1170401]yyyy")),""))</f>
        <v/>
      </c>
      <c r="M4202">
        <f>IF(B4202="","",IFERROR(VALUE(TEXT(B4202,"[$-1170401]mm")),""))</f>
        <v/>
      </c>
    </row>
    <row r="4203">
      <c r="B4203" s="30" t="n"/>
      <c r="G4203" s="9">
        <f>IF(AND(E4203&lt;&gt;"",E4203&lt;&gt;0,H4203&lt;&gt;""),H4203/E4203,"")</f>
        <v/>
      </c>
      <c r="L4203">
        <f>IF(B4203="","",IFERROR(VALUE(TEXT(B4203,"[$-1170401]yyyy")),""))</f>
        <v/>
      </c>
      <c r="M4203">
        <f>IF(B4203="","",IFERROR(VALUE(TEXT(B4203,"[$-1170401]mm")),""))</f>
        <v/>
      </c>
    </row>
    <row r="4204">
      <c r="B4204" s="30" t="n"/>
      <c r="G4204" s="9">
        <f>IF(AND(E4204&lt;&gt;"",E4204&lt;&gt;0,H4204&lt;&gt;""),H4204/E4204,"")</f>
        <v/>
      </c>
      <c r="L4204">
        <f>IF(B4204="","",IFERROR(VALUE(TEXT(B4204,"[$-1170401]yyyy")),""))</f>
        <v/>
      </c>
      <c r="M4204">
        <f>IF(B4204="","",IFERROR(VALUE(TEXT(B4204,"[$-1170401]mm")),""))</f>
        <v/>
      </c>
    </row>
    <row r="4205">
      <c r="B4205" s="30" t="n"/>
      <c r="G4205" s="9">
        <f>IF(AND(E4205&lt;&gt;"",E4205&lt;&gt;0,H4205&lt;&gt;""),H4205/E4205,"")</f>
        <v/>
      </c>
      <c r="L4205">
        <f>IF(B4205="","",IFERROR(VALUE(TEXT(B4205,"[$-1170401]yyyy")),""))</f>
        <v/>
      </c>
      <c r="M4205">
        <f>IF(B4205="","",IFERROR(VALUE(TEXT(B4205,"[$-1170401]mm")),""))</f>
        <v/>
      </c>
    </row>
    <row r="4206">
      <c r="B4206" s="30" t="n"/>
      <c r="G4206" s="9">
        <f>IF(AND(E4206&lt;&gt;"",E4206&lt;&gt;0,H4206&lt;&gt;""),H4206/E4206,"")</f>
        <v/>
      </c>
      <c r="L4206">
        <f>IF(B4206="","",IFERROR(VALUE(TEXT(B4206,"[$-1170401]yyyy")),""))</f>
        <v/>
      </c>
      <c r="M4206">
        <f>IF(B4206="","",IFERROR(VALUE(TEXT(B4206,"[$-1170401]mm")),""))</f>
        <v/>
      </c>
    </row>
    <row r="4207">
      <c r="B4207" s="30" t="n"/>
      <c r="G4207" s="9">
        <f>IF(AND(E4207&lt;&gt;"",E4207&lt;&gt;0,H4207&lt;&gt;""),H4207/E4207,"")</f>
        <v/>
      </c>
      <c r="L4207">
        <f>IF(B4207="","",IFERROR(VALUE(TEXT(B4207,"[$-1170401]yyyy")),""))</f>
        <v/>
      </c>
      <c r="M4207">
        <f>IF(B4207="","",IFERROR(VALUE(TEXT(B4207,"[$-1170401]mm")),""))</f>
        <v/>
      </c>
    </row>
    <row r="4208">
      <c r="B4208" s="30" t="n"/>
      <c r="G4208" s="9">
        <f>IF(AND(E4208&lt;&gt;"",E4208&lt;&gt;0,H4208&lt;&gt;""),H4208/E4208,"")</f>
        <v/>
      </c>
      <c r="L4208">
        <f>IF(B4208="","",IFERROR(VALUE(TEXT(B4208,"[$-1170401]yyyy")),""))</f>
        <v/>
      </c>
      <c r="M4208">
        <f>IF(B4208="","",IFERROR(VALUE(TEXT(B4208,"[$-1170401]mm")),""))</f>
        <v/>
      </c>
    </row>
    <row r="4209">
      <c r="B4209" s="30" t="n"/>
      <c r="G4209" s="9">
        <f>IF(AND(E4209&lt;&gt;"",E4209&lt;&gt;0,H4209&lt;&gt;""),H4209/E4209,"")</f>
        <v/>
      </c>
      <c r="L4209">
        <f>IF(B4209="","",IFERROR(VALUE(TEXT(B4209,"[$-1170401]yyyy")),""))</f>
        <v/>
      </c>
      <c r="M4209">
        <f>IF(B4209="","",IFERROR(VALUE(TEXT(B4209,"[$-1170401]mm")),""))</f>
        <v/>
      </c>
    </row>
    <row r="4210">
      <c r="B4210" s="30" t="n"/>
      <c r="G4210" s="9">
        <f>IF(AND(E4210&lt;&gt;"",E4210&lt;&gt;0,H4210&lt;&gt;""),H4210/E4210,"")</f>
        <v/>
      </c>
      <c r="L4210">
        <f>IF(B4210="","",IFERROR(VALUE(TEXT(B4210,"[$-1170401]yyyy")),""))</f>
        <v/>
      </c>
      <c r="M4210">
        <f>IF(B4210="","",IFERROR(VALUE(TEXT(B4210,"[$-1170401]mm")),""))</f>
        <v/>
      </c>
    </row>
    <row r="4211">
      <c r="B4211" s="30" t="n"/>
      <c r="G4211" s="9">
        <f>IF(AND(E4211&lt;&gt;"",E4211&lt;&gt;0,H4211&lt;&gt;""),H4211/E4211,"")</f>
        <v/>
      </c>
      <c r="L4211">
        <f>IF(B4211="","",IFERROR(VALUE(TEXT(B4211,"[$-1170401]yyyy")),""))</f>
        <v/>
      </c>
      <c r="M4211">
        <f>IF(B4211="","",IFERROR(VALUE(TEXT(B4211,"[$-1170401]mm")),""))</f>
        <v/>
      </c>
    </row>
    <row r="4212">
      <c r="B4212" s="30" t="n"/>
      <c r="G4212" s="9">
        <f>IF(AND(E4212&lt;&gt;"",E4212&lt;&gt;0,H4212&lt;&gt;""),H4212/E4212,"")</f>
        <v/>
      </c>
      <c r="L4212">
        <f>IF(B4212="","",IFERROR(VALUE(TEXT(B4212,"[$-1170401]yyyy")),""))</f>
        <v/>
      </c>
      <c r="M4212">
        <f>IF(B4212="","",IFERROR(VALUE(TEXT(B4212,"[$-1170401]mm")),""))</f>
        <v/>
      </c>
    </row>
    <row r="4213">
      <c r="B4213" s="30" t="n"/>
      <c r="G4213" s="9">
        <f>IF(AND(E4213&lt;&gt;"",E4213&lt;&gt;0,H4213&lt;&gt;""),H4213/E4213,"")</f>
        <v/>
      </c>
      <c r="L4213">
        <f>IF(B4213="","",IFERROR(VALUE(TEXT(B4213,"[$-1170401]yyyy")),""))</f>
        <v/>
      </c>
      <c r="M4213">
        <f>IF(B4213="","",IFERROR(VALUE(TEXT(B4213,"[$-1170401]mm")),""))</f>
        <v/>
      </c>
    </row>
    <row r="4214">
      <c r="B4214" s="30" t="n"/>
      <c r="G4214" s="9">
        <f>IF(AND(E4214&lt;&gt;"",E4214&lt;&gt;0,H4214&lt;&gt;""),H4214/E4214,"")</f>
        <v/>
      </c>
      <c r="L4214">
        <f>IF(B4214="","",IFERROR(VALUE(TEXT(B4214,"[$-1170401]yyyy")),""))</f>
        <v/>
      </c>
      <c r="M4214">
        <f>IF(B4214="","",IFERROR(VALUE(TEXT(B4214,"[$-1170401]mm")),""))</f>
        <v/>
      </c>
    </row>
    <row r="4215">
      <c r="B4215" s="30" t="n"/>
      <c r="G4215" s="9">
        <f>IF(AND(E4215&lt;&gt;"",E4215&lt;&gt;0,H4215&lt;&gt;""),H4215/E4215,"")</f>
        <v/>
      </c>
      <c r="L4215">
        <f>IF(B4215="","",IFERROR(VALUE(TEXT(B4215,"[$-1170401]yyyy")),""))</f>
        <v/>
      </c>
      <c r="M4215">
        <f>IF(B4215="","",IFERROR(VALUE(TEXT(B4215,"[$-1170401]mm")),""))</f>
        <v/>
      </c>
    </row>
    <row r="4216">
      <c r="B4216" s="30" t="n"/>
      <c r="G4216" s="9">
        <f>IF(AND(E4216&lt;&gt;"",E4216&lt;&gt;0,H4216&lt;&gt;""),H4216/E4216,"")</f>
        <v/>
      </c>
      <c r="L4216">
        <f>IF(B4216="","",IFERROR(VALUE(TEXT(B4216,"[$-1170401]yyyy")),""))</f>
        <v/>
      </c>
      <c r="M4216">
        <f>IF(B4216="","",IFERROR(VALUE(TEXT(B4216,"[$-1170401]mm")),""))</f>
        <v/>
      </c>
    </row>
    <row r="4217">
      <c r="B4217" s="30" t="n"/>
      <c r="G4217" s="9">
        <f>IF(AND(E4217&lt;&gt;"",E4217&lt;&gt;0,H4217&lt;&gt;""),H4217/E4217,"")</f>
        <v/>
      </c>
      <c r="L4217">
        <f>IF(B4217="","",IFERROR(VALUE(TEXT(B4217,"[$-1170401]yyyy")),""))</f>
        <v/>
      </c>
      <c r="M4217">
        <f>IF(B4217="","",IFERROR(VALUE(TEXT(B4217,"[$-1170401]mm")),""))</f>
        <v/>
      </c>
    </row>
    <row r="4218">
      <c r="B4218" s="30" t="n"/>
      <c r="G4218" s="9">
        <f>IF(AND(E4218&lt;&gt;"",E4218&lt;&gt;0,H4218&lt;&gt;""),H4218/E4218,"")</f>
        <v/>
      </c>
      <c r="L4218">
        <f>IF(B4218="","",IFERROR(VALUE(TEXT(B4218,"[$-1170401]yyyy")),""))</f>
        <v/>
      </c>
      <c r="M4218">
        <f>IF(B4218="","",IFERROR(VALUE(TEXT(B4218,"[$-1170401]mm")),""))</f>
        <v/>
      </c>
    </row>
    <row r="4219">
      <c r="B4219" s="30" t="n"/>
      <c r="G4219" s="9">
        <f>IF(AND(E4219&lt;&gt;"",E4219&lt;&gt;0,H4219&lt;&gt;""),H4219/E4219,"")</f>
        <v/>
      </c>
      <c r="L4219">
        <f>IF(B4219="","",IFERROR(VALUE(TEXT(B4219,"[$-1170401]yyyy")),""))</f>
        <v/>
      </c>
      <c r="M4219">
        <f>IF(B4219="","",IFERROR(VALUE(TEXT(B4219,"[$-1170401]mm")),""))</f>
        <v/>
      </c>
    </row>
    <row r="4220">
      <c r="B4220" s="30" t="n"/>
      <c r="G4220" s="9">
        <f>IF(AND(E4220&lt;&gt;"",E4220&lt;&gt;0,H4220&lt;&gt;""),H4220/E4220,"")</f>
        <v/>
      </c>
      <c r="L4220">
        <f>IF(B4220="","",IFERROR(VALUE(TEXT(B4220,"[$-1170401]yyyy")),""))</f>
        <v/>
      </c>
      <c r="M4220">
        <f>IF(B4220="","",IFERROR(VALUE(TEXT(B4220,"[$-1170401]mm")),""))</f>
        <v/>
      </c>
    </row>
    <row r="4221">
      <c r="B4221" s="30" t="n"/>
      <c r="G4221" s="9">
        <f>IF(AND(E4221&lt;&gt;"",E4221&lt;&gt;0,H4221&lt;&gt;""),H4221/E4221,"")</f>
        <v/>
      </c>
      <c r="L4221">
        <f>IF(B4221="","",IFERROR(VALUE(TEXT(B4221,"[$-1170401]yyyy")),""))</f>
        <v/>
      </c>
      <c r="M4221">
        <f>IF(B4221="","",IFERROR(VALUE(TEXT(B4221,"[$-1170401]mm")),""))</f>
        <v/>
      </c>
    </row>
    <row r="4222">
      <c r="B4222" s="30" t="n"/>
      <c r="G4222" s="9">
        <f>IF(AND(E4222&lt;&gt;"",E4222&lt;&gt;0,H4222&lt;&gt;""),H4222/E4222,"")</f>
        <v/>
      </c>
      <c r="L4222">
        <f>IF(B4222="","",IFERROR(VALUE(TEXT(B4222,"[$-1170401]yyyy")),""))</f>
        <v/>
      </c>
      <c r="M4222">
        <f>IF(B4222="","",IFERROR(VALUE(TEXT(B4222,"[$-1170401]mm")),""))</f>
        <v/>
      </c>
    </row>
    <row r="4223">
      <c r="B4223" s="30" t="n"/>
      <c r="G4223" s="9">
        <f>IF(AND(E4223&lt;&gt;"",E4223&lt;&gt;0,H4223&lt;&gt;""),H4223/E4223,"")</f>
        <v/>
      </c>
      <c r="L4223">
        <f>IF(B4223="","",IFERROR(VALUE(TEXT(B4223,"[$-1170401]yyyy")),""))</f>
        <v/>
      </c>
      <c r="M4223">
        <f>IF(B4223="","",IFERROR(VALUE(TEXT(B4223,"[$-1170401]mm")),""))</f>
        <v/>
      </c>
    </row>
    <row r="4224">
      <c r="B4224" s="30" t="n"/>
      <c r="G4224" s="9">
        <f>IF(AND(E4224&lt;&gt;"",E4224&lt;&gt;0,H4224&lt;&gt;""),H4224/E4224,"")</f>
        <v/>
      </c>
      <c r="L4224">
        <f>IF(B4224="","",IFERROR(VALUE(TEXT(B4224,"[$-1170401]yyyy")),""))</f>
        <v/>
      </c>
      <c r="M4224">
        <f>IF(B4224="","",IFERROR(VALUE(TEXT(B4224,"[$-1170401]mm")),""))</f>
        <v/>
      </c>
    </row>
    <row r="4225">
      <c r="B4225" s="30" t="n"/>
      <c r="G4225" s="9">
        <f>IF(AND(E4225&lt;&gt;"",E4225&lt;&gt;0,H4225&lt;&gt;""),H4225/E4225,"")</f>
        <v/>
      </c>
      <c r="L4225">
        <f>IF(B4225="","",IFERROR(VALUE(TEXT(B4225,"[$-1170401]yyyy")),""))</f>
        <v/>
      </c>
      <c r="M4225">
        <f>IF(B4225="","",IFERROR(VALUE(TEXT(B4225,"[$-1170401]mm")),""))</f>
        <v/>
      </c>
    </row>
    <row r="4226">
      <c r="B4226" s="30" t="n"/>
      <c r="G4226" s="9">
        <f>IF(AND(E4226&lt;&gt;"",E4226&lt;&gt;0,H4226&lt;&gt;""),H4226/E4226,"")</f>
        <v/>
      </c>
      <c r="L4226">
        <f>IF(B4226="","",IFERROR(VALUE(TEXT(B4226,"[$-1170401]yyyy")),""))</f>
        <v/>
      </c>
      <c r="M4226">
        <f>IF(B4226="","",IFERROR(VALUE(TEXT(B4226,"[$-1170401]mm")),""))</f>
        <v/>
      </c>
    </row>
    <row r="4227">
      <c r="B4227" s="30" t="n"/>
      <c r="G4227" s="9">
        <f>IF(AND(E4227&lt;&gt;"",E4227&lt;&gt;0,H4227&lt;&gt;""),H4227/E4227,"")</f>
        <v/>
      </c>
      <c r="L4227">
        <f>IF(B4227="","",IFERROR(VALUE(TEXT(B4227,"[$-1170401]yyyy")),""))</f>
        <v/>
      </c>
      <c r="M4227">
        <f>IF(B4227="","",IFERROR(VALUE(TEXT(B4227,"[$-1170401]mm")),""))</f>
        <v/>
      </c>
    </row>
    <row r="4228">
      <c r="B4228" s="30" t="n"/>
      <c r="G4228" s="9">
        <f>IF(AND(E4228&lt;&gt;"",E4228&lt;&gt;0,H4228&lt;&gt;""),H4228/E4228,"")</f>
        <v/>
      </c>
      <c r="L4228">
        <f>IF(B4228="","",IFERROR(VALUE(TEXT(B4228,"[$-1170401]yyyy")),""))</f>
        <v/>
      </c>
      <c r="M4228">
        <f>IF(B4228="","",IFERROR(VALUE(TEXT(B4228,"[$-1170401]mm")),""))</f>
        <v/>
      </c>
    </row>
    <row r="4229">
      <c r="B4229" s="30" t="n"/>
      <c r="G4229" s="9">
        <f>IF(AND(E4229&lt;&gt;"",E4229&lt;&gt;0,H4229&lt;&gt;""),H4229/E4229,"")</f>
        <v/>
      </c>
      <c r="L4229">
        <f>IF(B4229="","",IFERROR(VALUE(TEXT(B4229,"[$-1170401]yyyy")),""))</f>
        <v/>
      </c>
      <c r="M4229">
        <f>IF(B4229="","",IFERROR(VALUE(TEXT(B4229,"[$-1170401]mm")),""))</f>
        <v/>
      </c>
    </row>
    <row r="4230">
      <c r="B4230" s="30" t="n"/>
      <c r="G4230" s="9">
        <f>IF(AND(E4230&lt;&gt;"",E4230&lt;&gt;0,H4230&lt;&gt;""),H4230/E4230,"")</f>
        <v/>
      </c>
      <c r="L4230">
        <f>IF(B4230="","",IFERROR(VALUE(TEXT(B4230,"[$-1170401]yyyy")),""))</f>
        <v/>
      </c>
      <c r="M4230">
        <f>IF(B4230="","",IFERROR(VALUE(TEXT(B4230,"[$-1170401]mm")),""))</f>
        <v/>
      </c>
    </row>
    <row r="4231">
      <c r="B4231" s="30" t="n"/>
      <c r="G4231" s="9">
        <f>IF(AND(E4231&lt;&gt;"",E4231&lt;&gt;0,H4231&lt;&gt;""),H4231/E4231,"")</f>
        <v/>
      </c>
      <c r="L4231">
        <f>IF(B4231="","",IFERROR(VALUE(TEXT(B4231,"[$-1170401]yyyy")),""))</f>
        <v/>
      </c>
      <c r="M4231">
        <f>IF(B4231="","",IFERROR(VALUE(TEXT(B4231,"[$-1170401]mm")),""))</f>
        <v/>
      </c>
    </row>
    <row r="4232">
      <c r="B4232" s="30" t="n"/>
      <c r="G4232" s="9">
        <f>IF(AND(E4232&lt;&gt;"",E4232&lt;&gt;0,H4232&lt;&gt;""),H4232/E4232,"")</f>
        <v/>
      </c>
      <c r="L4232">
        <f>IF(B4232="","",IFERROR(VALUE(TEXT(B4232,"[$-1170401]yyyy")),""))</f>
        <v/>
      </c>
      <c r="M4232">
        <f>IF(B4232="","",IFERROR(VALUE(TEXT(B4232,"[$-1170401]mm")),""))</f>
        <v/>
      </c>
    </row>
    <row r="4233">
      <c r="B4233" s="30" t="n"/>
      <c r="G4233" s="9">
        <f>IF(AND(E4233&lt;&gt;"",E4233&lt;&gt;0,H4233&lt;&gt;""),H4233/E4233,"")</f>
        <v/>
      </c>
      <c r="L4233">
        <f>IF(B4233="","",IFERROR(VALUE(TEXT(B4233,"[$-1170401]yyyy")),""))</f>
        <v/>
      </c>
      <c r="M4233">
        <f>IF(B4233="","",IFERROR(VALUE(TEXT(B4233,"[$-1170401]mm")),""))</f>
        <v/>
      </c>
    </row>
    <row r="4234">
      <c r="B4234" s="30" t="n"/>
      <c r="G4234" s="9">
        <f>IF(AND(E4234&lt;&gt;"",E4234&lt;&gt;0,H4234&lt;&gt;""),H4234/E4234,"")</f>
        <v/>
      </c>
      <c r="L4234">
        <f>IF(B4234="","",IFERROR(VALUE(TEXT(B4234,"[$-1170401]yyyy")),""))</f>
        <v/>
      </c>
      <c r="M4234">
        <f>IF(B4234="","",IFERROR(VALUE(TEXT(B4234,"[$-1170401]mm")),""))</f>
        <v/>
      </c>
    </row>
    <row r="4235">
      <c r="B4235" s="30" t="n"/>
      <c r="G4235" s="9">
        <f>IF(AND(E4235&lt;&gt;"",E4235&lt;&gt;0,H4235&lt;&gt;""),H4235/E4235,"")</f>
        <v/>
      </c>
      <c r="L4235">
        <f>IF(B4235="","",IFERROR(VALUE(TEXT(B4235,"[$-1170401]yyyy")),""))</f>
        <v/>
      </c>
      <c r="M4235">
        <f>IF(B4235="","",IFERROR(VALUE(TEXT(B4235,"[$-1170401]mm")),""))</f>
        <v/>
      </c>
    </row>
    <row r="4236">
      <c r="B4236" s="30" t="n"/>
      <c r="G4236" s="9">
        <f>IF(AND(E4236&lt;&gt;"",E4236&lt;&gt;0,H4236&lt;&gt;""),H4236/E4236,"")</f>
        <v/>
      </c>
      <c r="L4236">
        <f>IF(B4236="","",IFERROR(VALUE(TEXT(B4236,"[$-1170401]yyyy")),""))</f>
        <v/>
      </c>
      <c r="M4236">
        <f>IF(B4236="","",IFERROR(VALUE(TEXT(B4236,"[$-1170401]mm")),""))</f>
        <v/>
      </c>
    </row>
    <row r="4237">
      <c r="B4237" s="30" t="n"/>
      <c r="G4237" s="9">
        <f>IF(AND(E4237&lt;&gt;"",E4237&lt;&gt;0,H4237&lt;&gt;""),H4237/E4237,"")</f>
        <v/>
      </c>
      <c r="L4237">
        <f>IF(B4237="","",IFERROR(VALUE(TEXT(B4237,"[$-1170401]yyyy")),""))</f>
        <v/>
      </c>
      <c r="M4237">
        <f>IF(B4237="","",IFERROR(VALUE(TEXT(B4237,"[$-1170401]mm")),""))</f>
        <v/>
      </c>
    </row>
    <row r="4238">
      <c r="B4238" s="30" t="n"/>
      <c r="G4238" s="9">
        <f>IF(AND(E4238&lt;&gt;"",E4238&lt;&gt;0,H4238&lt;&gt;""),H4238/E4238,"")</f>
        <v/>
      </c>
      <c r="L4238">
        <f>IF(B4238="","",IFERROR(VALUE(TEXT(B4238,"[$-1170401]yyyy")),""))</f>
        <v/>
      </c>
      <c r="M4238">
        <f>IF(B4238="","",IFERROR(VALUE(TEXT(B4238,"[$-1170401]mm")),""))</f>
        <v/>
      </c>
    </row>
    <row r="4239">
      <c r="B4239" s="30" t="n"/>
      <c r="G4239" s="9">
        <f>IF(AND(E4239&lt;&gt;"",E4239&lt;&gt;0,H4239&lt;&gt;""),H4239/E4239,"")</f>
        <v/>
      </c>
      <c r="L4239">
        <f>IF(B4239="","",IFERROR(VALUE(TEXT(B4239,"[$-1170401]yyyy")),""))</f>
        <v/>
      </c>
      <c r="M4239">
        <f>IF(B4239="","",IFERROR(VALUE(TEXT(B4239,"[$-1170401]mm")),""))</f>
        <v/>
      </c>
    </row>
    <row r="4240">
      <c r="B4240" s="30" t="n"/>
      <c r="G4240" s="9">
        <f>IF(AND(E4240&lt;&gt;"",E4240&lt;&gt;0,H4240&lt;&gt;""),H4240/E4240,"")</f>
        <v/>
      </c>
      <c r="L4240">
        <f>IF(B4240="","",IFERROR(VALUE(TEXT(B4240,"[$-1170401]yyyy")),""))</f>
        <v/>
      </c>
      <c r="M4240">
        <f>IF(B4240="","",IFERROR(VALUE(TEXT(B4240,"[$-1170401]mm")),""))</f>
        <v/>
      </c>
    </row>
    <row r="4241">
      <c r="B4241" s="30" t="n"/>
      <c r="G4241" s="9">
        <f>IF(AND(E4241&lt;&gt;"",E4241&lt;&gt;0,H4241&lt;&gt;""),H4241/E4241,"")</f>
        <v/>
      </c>
      <c r="L4241">
        <f>IF(B4241="","",IFERROR(VALUE(TEXT(B4241,"[$-1170401]yyyy")),""))</f>
        <v/>
      </c>
      <c r="M4241">
        <f>IF(B4241="","",IFERROR(VALUE(TEXT(B4241,"[$-1170401]mm")),""))</f>
        <v/>
      </c>
    </row>
    <row r="4242">
      <c r="B4242" s="30" t="n"/>
      <c r="G4242" s="9">
        <f>IF(AND(E4242&lt;&gt;"",E4242&lt;&gt;0,H4242&lt;&gt;""),H4242/E4242,"")</f>
        <v/>
      </c>
      <c r="L4242">
        <f>IF(B4242="","",IFERROR(VALUE(TEXT(B4242,"[$-1170401]yyyy")),""))</f>
        <v/>
      </c>
      <c r="M4242">
        <f>IF(B4242="","",IFERROR(VALUE(TEXT(B4242,"[$-1170401]mm")),""))</f>
        <v/>
      </c>
    </row>
    <row r="4243">
      <c r="B4243" s="30" t="n"/>
      <c r="G4243" s="9">
        <f>IF(AND(E4243&lt;&gt;"",E4243&lt;&gt;0,H4243&lt;&gt;""),H4243/E4243,"")</f>
        <v/>
      </c>
      <c r="L4243">
        <f>IF(B4243="","",IFERROR(VALUE(TEXT(B4243,"[$-1170401]yyyy")),""))</f>
        <v/>
      </c>
      <c r="M4243">
        <f>IF(B4243="","",IFERROR(VALUE(TEXT(B4243,"[$-1170401]mm")),""))</f>
        <v/>
      </c>
    </row>
    <row r="4244">
      <c r="B4244" s="30" t="n"/>
      <c r="G4244" s="9">
        <f>IF(AND(E4244&lt;&gt;"",E4244&lt;&gt;0,H4244&lt;&gt;""),H4244/E4244,"")</f>
        <v/>
      </c>
      <c r="L4244">
        <f>IF(B4244="","",IFERROR(VALUE(TEXT(B4244,"[$-1170401]yyyy")),""))</f>
        <v/>
      </c>
      <c r="M4244">
        <f>IF(B4244="","",IFERROR(VALUE(TEXT(B4244,"[$-1170401]mm")),""))</f>
        <v/>
      </c>
    </row>
    <row r="4245">
      <c r="B4245" s="30" t="n"/>
      <c r="G4245" s="9">
        <f>IF(AND(E4245&lt;&gt;"",E4245&lt;&gt;0,H4245&lt;&gt;""),H4245/E4245,"")</f>
        <v/>
      </c>
      <c r="L4245">
        <f>IF(B4245="","",IFERROR(VALUE(TEXT(B4245,"[$-1170401]yyyy")),""))</f>
        <v/>
      </c>
      <c r="M4245">
        <f>IF(B4245="","",IFERROR(VALUE(TEXT(B4245,"[$-1170401]mm")),""))</f>
        <v/>
      </c>
    </row>
    <row r="4246">
      <c r="B4246" s="30" t="n"/>
      <c r="G4246" s="9">
        <f>IF(AND(E4246&lt;&gt;"",E4246&lt;&gt;0,H4246&lt;&gt;""),H4246/E4246,"")</f>
        <v/>
      </c>
      <c r="L4246">
        <f>IF(B4246="","",IFERROR(VALUE(TEXT(B4246,"[$-1170401]yyyy")),""))</f>
        <v/>
      </c>
      <c r="M4246">
        <f>IF(B4246="","",IFERROR(VALUE(TEXT(B4246,"[$-1170401]mm")),""))</f>
        <v/>
      </c>
    </row>
    <row r="4247">
      <c r="B4247" s="30" t="n"/>
      <c r="G4247" s="9">
        <f>IF(AND(E4247&lt;&gt;"",E4247&lt;&gt;0,H4247&lt;&gt;""),H4247/E4247,"")</f>
        <v/>
      </c>
      <c r="L4247">
        <f>IF(B4247="","",IFERROR(VALUE(TEXT(B4247,"[$-1170401]yyyy")),""))</f>
        <v/>
      </c>
      <c r="M4247">
        <f>IF(B4247="","",IFERROR(VALUE(TEXT(B4247,"[$-1170401]mm")),""))</f>
        <v/>
      </c>
    </row>
    <row r="4248">
      <c r="B4248" s="30" t="n"/>
      <c r="G4248" s="9">
        <f>IF(AND(E4248&lt;&gt;"",E4248&lt;&gt;0,H4248&lt;&gt;""),H4248/E4248,"")</f>
        <v/>
      </c>
      <c r="L4248">
        <f>IF(B4248="","",IFERROR(VALUE(TEXT(B4248,"[$-1170401]yyyy")),""))</f>
        <v/>
      </c>
      <c r="M4248">
        <f>IF(B4248="","",IFERROR(VALUE(TEXT(B4248,"[$-1170401]mm")),""))</f>
        <v/>
      </c>
    </row>
    <row r="4249">
      <c r="B4249" s="30" t="n"/>
      <c r="G4249" s="9">
        <f>IF(AND(E4249&lt;&gt;"",E4249&lt;&gt;0,H4249&lt;&gt;""),H4249/E4249,"")</f>
        <v/>
      </c>
      <c r="L4249">
        <f>IF(B4249="","",IFERROR(VALUE(TEXT(B4249,"[$-1170401]yyyy")),""))</f>
        <v/>
      </c>
      <c r="M4249">
        <f>IF(B4249="","",IFERROR(VALUE(TEXT(B4249,"[$-1170401]mm")),""))</f>
        <v/>
      </c>
    </row>
    <row r="4250">
      <c r="B4250" s="30" t="n"/>
      <c r="G4250" s="9">
        <f>IF(AND(E4250&lt;&gt;"",E4250&lt;&gt;0,H4250&lt;&gt;""),H4250/E4250,"")</f>
        <v/>
      </c>
      <c r="L4250">
        <f>IF(B4250="","",IFERROR(VALUE(TEXT(B4250,"[$-1170401]yyyy")),""))</f>
        <v/>
      </c>
      <c r="M4250">
        <f>IF(B4250="","",IFERROR(VALUE(TEXT(B4250,"[$-1170401]mm")),""))</f>
        <v/>
      </c>
    </row>
    <row r="4251">
      <c r="B4251" s="30" t="n"/>
      <c r="G4251" s="9">
        <f>IF(AND(E4251&lt;&gt;"",E4251&lt;&gt;0,H4251&lt;&gt;""),H4251/E4251,"")</f>
        <v/>
      </c>
      <c r="L4251">
        <f>IF(B4251="","",IFERROR(VALUE(TEXT(B4251,"[$-1170401]yyyy")),""))</f>
        <v/>
      </c>
      <c r="M4251">
        <f>IF(B4251="","",IFERROR(VALUE(TEXT(B4251,"[$-1170401]mm")),""))</f>
        <v/>
      </c>
    </row>
    <row r="4252">
      <c r="B4252" s="30" t="n"/>
      <c r="G4252" s="9">
        <f>IF(AND(E4252&lt;&gt;"",E4252&lt;&gt;0,H4252&lt;&gt;""),H4252/E4252,"")</f>
        <v/>
      </c>
      <c r="L4252">
        <f>IF(B4252="","",IFERROR(VALUE(TEXT(B4252,"[$-1170401]yyyy")),""))</f>
        <v/>
      </c>
      <c r="M4252">
        <f>IF(B4252="","",IFERROR(VALUE(TEXT(B4252,"[$-1170401]mm")),""))</f>
        <v/>
      </c>
    </row>
    <row r="4253">
      <c r="B4253" s="30" t="n"/>
      <c r="G4253" s="9">
        <f>IF(AND(E4253&lt;&gt;"",E4253&lt;&gt;0,H4253&lt;&gt;""),H4253/E4253,"")</f>
        <v/>
      </c>
      <c r="L4253">
        <f>IF(B4253="","",IFERROR(VALUE(TEXT(B4253,"[$-1170401]yyyy")),""))</f>
        <v/>
      </c>
      <c r="M4253">
        <f>IF(B4253="","",IFERROR(VALUE(TEXT(B4253,"[$-1170401]mm")),""))</f>
        <v/>
      </c>
    </row>
    <row r="4254">
      <c r="B4254" s="30" t="n"/>
      <c r="G4254" s="9">
        <f>IF(AND(E4254&lt;&gt;"",E4254&lt;&gt;0,H4254&lt;&gt;""),H4254/E4254,"")</f>
        <v/>
      </c>
      <c r="L4254">
        <f>IF(B4254="","",IFERROR(VALUE(TEXT(B4254,"[$-1170401]yyyy")),""))</f>
        <v/>
      </c>
      <c r="M4254">
        <f>IF(B4254="","",IFERROR(VALUE(TEXT(B4254,"[$-1170401]mm")),""))</f>
        <v/>
      </c>
    </row>
    <row r="4255">
      <c r="B4255" s="30" t="n"/>
      <c r="G4255" s="9">
        <f>IF(AND(E4255&lt;&gt;"",E4255&lt;&gt;0,H4255&lt;&gt;""),H4255/E4255,"")</f>
        <v/>
      </c>
      <c r="L4255">
        <f>IF(B4255="","",IFERROR(VALUE(TEXT(B4255,"[$-1170401]yyyy")),""))</f>
        <v/>
      </c>
      <c r="M4255">
        <f>IF(B4255="","",IFERROR(VALUE(TEXT(B4255,"[$-1170401]mm")),""))</f>
        <v/>
      </c>
    </row>
    <row r="4256">
      <c r="B4256" s="30" t="n"/>
      <c r="G4256" s="9">
        <f>IF(AND(E4256&lt;&gt;"",E4256&lt;&gt;0,H4256&lt;&gt;""),H4256/E4256,"")</f>
        <v/>
      </c>
      <c r="L4256">
        <f>IF(B4256="","",IFERROR(VALUE(TEXT(B4256,"[$-1170401]yyyy")),""))</f>
        <v/>
      </c>
      <c r="M4256">
        <f>IF(B4256="","",IFERROR(VALUE(TEXT(B4256,"[$-1170401]mm")),""))</f>
        <v/>
      </c>
    </row>
    <row r="4257">
      <c r="B4257" s="30" t="n"/>
      <c r="G4257" s="9">
        <f>IF(AND(E4257&lt;&gt;"",E4257&lt;&gt;0,H4257&lt;&gt;""),H4257/E4257,"")</f>
        <v/>
      </c>
      <c r="L4257">
        <f>IF(B4257="","",IFERROR(VALUE(TEXT(B4257,"[$-1170401]yyyy")),""))</f>
        <v/>
      </c>
      <c r="M4257">
        <f>IF(B4257="","",IFERROR(VALUE(TEXT(B4257,"[$-1170401]mm")),""))</f>
        <v/>
      </c>
    </row>
    <row r="4258">
      <c r="B4258" s="30" t="n"/>
      <c r="G4258" s="9">
        <f>IF(AND(E4258&lt;&gt;"",E4258&lt;&gt;0,H4258&lt;&gt;""),H4258/E4258,"")</f>
        <v/>
      </c>
      <c r="L4258">
        <f>IF(B4258="","",IFERROR(VALUE(TEXT(B4258,"[$-1170401]yyyy")),""))</f>
        <v/>
      </c>
      <c r="M4258">
        <f>IF(B4258="","",IFERROR(VALUE(TEXT(B4258,"[$-1170401]mm")),""))</f>
        <v/>
      </c>
    </row>
    <row r="4259">
      <c r="B4259" s="30" t="n"/>
      <c r="G4259" s="9">
        <f>IF(AND(E4259&lt;&gt;"",E4259&lt;&gt;0,H4259&lt;&gt;""),H4259/E4259,"")</f>
        <v/>
      </c>
      <c r="L4259">
        <f>IF(B4259="","",IFERROR(VALUE(TEXT(B4259,"[$-1170401]yyyy")),""))</f>
        <v/>
      </c>
      <c r="M4259">
        <f>IF(B4259="","",IFERROR(VALUE(TEXT(B4259,"[$-1170401]mm")),""))</f>
        <v/>
      </c>
    </row>
    <row r="4260">
      <c r="B4260" s="30" t="n"/>
      <c r="G4260" s="9">
        <f>IF(AND(E4260&lt;&gt;"",E4260&lt;&gt;0,H4260&lt;&gt;""),H4260/E4260,"")</f>
        <v/>
      </c>
      <c r="L4260">
        <f>IF(B4260="","",IFERROR(VALUE(TEXT(B4260,"[$-1170401]yyyy")),""))</f>
        <v/>
      </c>
      <c r="M4260">
        <f>IF(B4260="","",IFERROR(VALUE(TEXT(B4260,"[$-1170401]mm")),""))</f>
        <v/>
      </c>
    </row>
    <row r="4261">
      <c r="B4261" s="30" t="n"/>
      <c r="G4261" s="9">
        <f>IF(AND(E4261&lt;&gt;"",E4261&lt;&gt;0,H4261&lt;&gt;""),H4261/E4261,"")</f>
        <v/>
      </c>
      <c r="L4261">
        <f>IF(B4261="","",IFERROR(VALUE(TEXT(B4261,"[$-1170401]yyyy")),""))</f>
        <v/>
      </c>
      <c r="M4261">
        <f>IF(B4261="","",IFERROR(VALUE(TEXT(B4261,"[$-1170401]mm")),""))</f>
        <v/>
      </c>
    </row>
    <row r="4262">
      <c r="B4262" s="30" t="n"/>
      <c r="G4262" s="9">
        <f>IF(AND(E4262&lt;&gt;"",E4262&lt;&gt;0,H4262&lt;&gt;""),H4262/E4262,"")</f>
        <v/>
      </c>
      <c r="L4262">
        <f>IF(B4262="","",IFERROR(VALUE(TEXT(B4262,"[$-1170401]yyyy")),""))</f>
        <v/>
      </c>
      <c r="M4262">
        <f>IF(B4262="","",IFERROR(VALUE(TEXT(B4262,"[$-1170401]mm")),""))</f>
        <v/>
      </c>
    </row>
    <row r="4263">
      <c r="B4263" s="30" t="n"/>
      <c r="G4263" s="9">
        <f>IF(AND(E4263&lt;&gt;"",E4263&lt;&gt;0,H4263&lt;&gt;""),H4263/E4263,"")</f>
        <v/>
      </c>
      <c r="L4263">
        <f>IF(B4263="","",IFERROR(VALUE(TEXT(B4263,"[$-1170401]yyyy")),""))</f>
        <v/>
      </c>
      <c r="M4263">
        <f>IF(B4263="","",IFERROR(VALUE(TEXT(B4263,"[$-1170401]mm")),""))</f>
        <v/>
      </c>
    </row>
    <row r="4264">
      <c r="B4264" s="30" t="n"/>
      <c r="G4264" s="9">
        <f>IF(AND(E4264&lt;&gt;"",E4264&lt;&gt;0,H4264&lt;&gt;""),H4264/E4264,"")</f>
        <v/>
      </c>
      <c r="L4264">
        <f>IF(B4264="","",IFERROR(VALUE(TEXT(B4264,"[$-1170401]yyyy")),""))</f>
        <v/>
      </c>
      <c r="M4264">
        <f>IF(B4264="","",IFERROR(VALUE(TEXT(B4264,"[$-1170401]mm")),""))</f>
        <v/>
      </c>
    </row>
    <row r="4265">
      <c r="B4265" s="30" t="n"/>
      <c r="G4265" s="9">
        <f>IF(AND(E4265&lt;&gt;"",E4265&lt;&gt;0,H4265&lt;&gt;""),H4265/E4265,"")</f>
        <v/>
      </c>
      <c r="L4265">
        <f>IF(B4265="","",IFERROR(VALUE(TEXT(B4265,"[$-1170401]yyyy")),""))</f>
        <v/>
      </c>
      <c r="M4265">
        <f>IF(B4265="","",IFERROR(VALUE(TEXT(B4265,"[$-1170401]mm")),""))</f>
        <v/>
      </c>
    </row>
    <row r="4266">
      <c r="B4266" s="30" t="n"/>
      <c r="G4266" s="9">
        <f>IF(AND(E4266&lt;&gt;"",E4266&lt;&gt;0,H4266&lt;&gt;""),H4266/E4266,"")</f>
        <v/>
      </c>
      <c r="L4266">
        <f>IF(B4266="","",IFERROR(VALUE(TEXT(B4266,"[$-1170401]yyyy")),""))</f>
        <v/>
      </c>
      <c r="M4266">
        <f>IF(B4266="","",IFERROR(VALUE(TEXT(B4266,"[$-1170401]mm")),""))</f>
        <v/>
      </c>
    </row>
    <row r="4267">
      <c r="B4267" s="30" t="n"/>
      <c r="G4267" s="9">
        <f>IF(AND(E4267&lt;&gt;"",E4267&lt;&gt;0,H4267&lt;&gt;""),H4267/E4267,"")</f>
        <v/>
      </c>
      <c r="L4267">
        <f>IF(B4267="","",IFERROR(VALUE(TEXT(B4267,"[$-1170401]yyyy")),""))</f>
        <v/>
      </c>
      <c r="M4267">
        <f>IF(B4267="","",IFERROR(VALUE(TEXT(B4267,"[$-1170401]mm")),""))</f>
        <v/>
      </c>
    </row>
    <row r="4268">
      <c r="B4268" s="30" t="n"/>
      <c r="G4268" s="9">
        <f>IF(AND(E4268&lt;&gt;"",E4268&lt;&gt;0,H4268&lt;&gt;""),H4268/E4268,"")</f>
        <v/>
      </c>
      <c r="L4268">
        <f>IF(B4268="","",IFERROR(VALUE(TEXT(B4268,"[$-1170401]yyyy")),""))</f>
        <v/>
      </c>
      <c r="M4268">
        <f>IF(B4268="","",IFERROR(VALUE(TEXT(B4268,"[$-1170401]mm")),""))</f>
        <v/>
      </c>
    </row>
    <row r="4269">
      <c r="B4269" s="30" t="n"/>
      <c r="G4269" s="9">
        <f>IF(AND(E4269&lt;&gt;"",E4269&lt;&gt;0,H4269&lt;&gt;""),H4269/E4269,"")</f>
        <v/>
      </c>
      <c r="L4269">
        <f>IF(B4269="","",IFERROR(VALUE(TEXT(B4269,"[$-1170401]yyyy")),""))</f>
        <v/>
      </c>
      <c r="M4269">
        <f>IF(B4269="","",IFERROR(VALUE(TEXT(B4269,"[$-1170401]mm")),""))</f>
        <v/>
      </c>
    </row>
    <row r="4270">
      <c r="B4270" s="30" t="n"/>
      <c r="G4270" s="9">
        <f>IF(AND(E4270&lt;&gt;"",E4270&lt;&gt;0,H4270&lt;&gt;""),H4270/E4270,"")</f>
        <v/>
      </c>
      <c r="L4270">
        <f>IF(B4270="","",IFERROR(VALUE(TEXT(B4270,"[$-1170401]yyyy")),""))</f>
        <v/>
      </c>
      <c r="M4270">
        <f>IF(B4270="","",IFERROR(VALUE(TEXT(B4270,"[$-1170401]mm")),""))</f>
        <v/>
      </c>
    </row>
    <row r="4271">
      <c r="B4271" s="30" t="n"/>
      <c r="G4271" s="9">
        <f>IF(AND(E4271&lt;&gt;"",E4271&lt;&gt;0,H4271&lt;&gt;""),H4271/E4271,"")</f>
        <v/>
      </c>
      <c r="L4271">
        <f>IF(B4271="","",IFERROR(VALUE(TEXT(B4271,"[$-1170401]yyyy")),""))</f>
        <v/>
      </c>
      <c r="M4271">
        <f>IF(B4271="","",IFERROR(VALUE(TEXT(B4271,"[$-1170401]mm")),""))</f>
        <v/>
      </c>
    </row>
    <row r="4272">
      <c r="B4272" s="30" t="n"/>
      <c r="G4272" s="9">
        <f>IF(AND(E4272&lt;&gt;"",E4272&lt;&gt;0,H4272&lt;&gt;""),H4272/E4272,"")</f>
        <v/>
      </c>
      <c r="L4272">
        <f>IF(B4272="","",IFERROR(VALUE(TEXT(B4272,"[$-1170401]yyyy")),""))</f>
        <v/>
      </c>
      <c r="M4272">
        <f>IF(B4272="","",IFERROR(VALUE(TEXT(B4272,"[$-1170401]mm")),""))</f>
        <v/>
      </c>
    </row>
    <row r="4273">
      <c r="B4273" s="30" t="n"/>
      <c r="G4273" s="9">
        <f>IF(AND(E4273&lt;&gt;"",E4273&lt;&gt;0,H4273&lt;&gt;""),H4273/E4273,"")</f>
        <v/>
      </c>
      <c r="L4273">
        <f>IF(B4273="","",IFERROR(VALUE(TEXT(B4273,"[$-1170401]yyyy")),""))</f>
        <v/>
      </c>
      <c r="M4273">
        <f>IF(B4273="","",IFERROR(VALUE(TEXT(B4273,"[$-1170401]mm")),""))</f>
        <v/>
      </c>
    </row>
    <row r="4274">
      <c r="B4274" s="30" t="n"/>
      <c r="G4274" s="9">
        <f>IF(AND(E4274&lt;&gt;"",E4274&lt;&gt;0,H4274&lt;&gt;""),H4274/E4274,"")</f>
        <v/>
      </c>
      <c r="L4274">
        <f>IF(B4274="","",IFERROR(VALUE(TEXT(B4274,"[$-1170401]yyyy")),""))</f>
        <v/>
      </c>
      <c r="M4274">
        <f>IF(B4274="","",IFERROR(VALUE(TEXT(B4274,"[$-1170401]mm")),""))</f>
        <v/>
      </c>
    </row>
    <row r="4275">
      <c r="B4275" s="30" t="n"/>
      <c r="G4275" s="9">
        <f>IF(AND(E4275&lt;&gt;"",E4275&lt;&gt;0,H4275&lt;&gt;""),H4275/E4275,"")</f>
        <v/>
      </c>
      <c r="L4275">
        <f>IF(B4275="","",IFERROR(VALUE(TEXT(B4275,"[$-1170401]yyyy")),""))</f>
        <v/>
      </c>
      <c r="M4275">
        <f>IF(B4275="","",IFERROR(VALUE(TEXT(B4275,"[$-1170401]mm")),""))</f>
        <v/>
      </c>
    </row>
    <row r="4276">
      <c r="B4276" s="30" t="n"/>
      <c r="G4276" s="9">
        <f>IF(AND(E4276&lt;&gt;"",E4276&lt;&gt;0,H4276&lt;&gt;""),H4276/E4276,"")</f>
        <v/>
      </c>
      <c r="L4276">
        <f>IF(B4276="","",IFERROR(VALUE(TEXT(B4276,"[$-1170401]yyyy")),""))</f>
        <v/>
      </c>
      <c r="M4276">
        <f>IF(B4276="","",IFERROR(VALUE(TEXT(B4276,"[$-1170401]mm")),""))</f>
        <v/>
      </c>
    </row>
    <row r="4277">
      <c r="B4277" s="30" t="n"/>
      <c r="G4277" s="9">
        <f>IF(AND(E4277&lt;&gt;"",E4277&lt;&gt;0,H4277&lt;&gt;""),H4277/E4277,"")</f>
        <v/>
      </c>
      <c r="L4277">
        <f>IF(B4277="","",IFERROR(VALUE(TEXT(B4277,"[$-1170401]yyyy")),""))</f>
        <v/>
      </c>
      <c r="M4277">
        <f>IF(B4277="","",IFERROR(VALUE(TEXT(B4277,"[$-1170401]mm")),""))</f>
        <v/>
      </c>
    </row>
    <row r="4278">
      <c r="B4278" s="30" t="n"/>
      <c r="G4278" s="9">
        <f>IF(AND(E4278&lt;&gt;"",E4278&lt;&gt;0,H4278&lt;&gt;""),H4278/E4278,"")</f>
        <v/>
      </c>
      <c r="L4278">
        <f>IF(B4278="","",IFERROR(VALUE(TEXT(B4278,"[$-1170401]yyyy")),""))</f>
        <v/>
      </c>
      <c r="M4278">
        <f>IF(B4278="","",IFERROR(VALUE(TEXT(B4278,"[$-1170401]mm")),""))</f>
        <v/>
      </c>
    </row>
    <row r="4279">
      <c r="B4279" s="30" t="n"/>
      <c r="G4279" s="9">
        <f>IF(AND(E4279&lt;&gt;"",E4279&lt;&gt;0,H4279&lt;&gt;""),H4279/E4279,"")</f>
        <v/>
      </c>
      <c r="L4279">
        <f>IF(B4279="","",IFERROR(VALUE(TEXT(B4279,"[$-1170401]yyyy")),""))</f>
        <v/>
      </c>
      <c r="M4279">
        <f>IF(B4279="","",IFERROR(VALUE(TEXT(B4279,"[$-1170401]mm")),""))</f>
        <v/>
      </c>
    </row>
    <row r="4280">
      <c r="B4280" s="30" t="n"/>
      <c r="G4280" s="9">
        <f>IF(AND(E4280&lt;&gt;"",E4280&lt;&gt;0,H4280&lt;&gt;""),H4280/E4280,"")</f>
        <v/>
      </c>
      <c r="L4280">
        <f>IF(B4280="","",IFERROR(VALUE(TEXT(B4280,"[$-1170401]yyyy")),""))</f>
        <v/>
      </c>
      <c r="M4280">
        <f>IF(B4280="","",IFERROR(VALUE(TEXT(B4280,"[$-1170401]mm")),""))</f>
        <v/>
      </c>
    </row>
    <row r="4281">
      <c r="B4281" s="30" t="n"/>
      <c r="G4281" s="9">
        <f>IF(AND(E4281&lt;&gt;"",E4281&lt;&gt;0,H4281&lt;&gt;""),H4281/E4281,"")</f>
        <v/>
      </c>
      <c r="L4281">
        <f>IF(B4281="","",IFERROR(VALUE(TEXT(B4281,"[$-1170401]yyyy")),""))</f>
        <v/>
      </c>
      <c r="M4281">
        <f>IF(B4281="","",IFERROR(VALUE(TEXT(B4281,"[$-1170401]mm")),""))</f>
        <v/>
      </c>
    </row>
    <row r="4282">
      <c r="B4282" s="30" t="n"/>
      <c r="G4282" s="9">
        <f>IF(AND(E4282&lt;&gt;"",E4282&lt;&gt;0,H4282&lt;&gt;""),H4282/E4282,"")</f>
        <v/>
      </c>
      <c r="L4282">
        <f>IF(B4282="","",IFERROR(VALUE(TEXT(B4282,"[$-1170401]yyyy")),""))</f>
        <v/>
      </c>
      <c r="M4282">
        <f>IF(B4282="","",IFERROR(VALUE(TEXT(B4282,"[$-1170401]mm")),""))</f>
        <v/>
      </c>
    </row>
    <row r="4283">
      <c r="B4283" s="30" t="n"/>
      <c r="G4283" s="9">
        <f>IF(AND(E4283&lt;&gt;"",E4283&lt;&gt;0,H4283&lt;&gt;""),H4283/E4283,"")</f>
        <v/>
      </c>
      <c r="L4283">
        <f>IF(B4283="","",IFERROR(VALUE(TEXT(B4283,"[$-1170401]yyyy")),""))</f>
        <v/>
      </c>
      <c r="M4283">
        <f>IF(B4283="","",IFERROR(VALUE(TEXT(B4283,"[$-1170401]mm")),""))</f>
        <v/>
      </c>
    </row>
    <row r="4284">
      <c r="B4284" s="30" t="n"/>
      <c r="G4284" s="9">
        <f>IF(AND(E4284&lt;&gt;"",E4284&lt;&gt;0,H4284&lt;&gt;""),H4284/E4284,"")</f>
        <v/>
      </c>
      <c r="L4284">
        <f>IF(B4284="","",IFERROR(VALUE(TEXT(B4284,"[$-1170401]yyyy")),""))</f>
        <v/>
      </c>
      <c r="M4284">
        <f>IF(B4284="","",IFERROR(VALUE(TEXT(B4284,"[$-1170401]mm")),""))</f>
        <v/>
      </c>
    </row>
    <row r="4285">
      <c r="B4285" s="30" t="n"/>
      <c r="G4285" s="9">
        <f>IF(AND(E4285&lt;&gt;"",E4285&lt;&gt;0,H4285&lt;&gt;""),H4285/E4285,"")</f>
        <v/>
      </c>
      <c r="L4285">
        <f>IF(B4285="","",IFERROR(VALUE(TEXT(B4285,"[$-1170401]yyyy")),""))</f>
        <v/>
      </c>
      <c r="M4285">
        <f>IF(B4285="","",IFERROR(VALUE(TEXT(B4285,"[$-1170401]mm")),""))</f>
        <v/>
      </c>
    </row>
    <row r="4286">
      <c r="B4286" s="30" t="n"/>
      <c r="G4286" s="9">
        <f>IF(AND(E4286&lt;&gt;"",E4286&lt;&gt;0,H4286&lt;&gt;""),H4286/E4286,"")</f>
        <v/>
      </c>
      <c r="L4286">
        <f>IF(B4286="","",IFERROR(VALUE(TEXT(B4286,"[$-1170401]yyyy")),""))</f>
        <v/>
      </c>
      <c r="M4286">
        <f>IF(B4286="","",IFERROR(VALUE(TEXT(B4286,"[$-1170401]mm")),""))</f>
        <v/>
      </c>
    </row>
    <row r="4287">
      <c r="B4287" s="30" t="n"/>
      <c r="G4287" s="9">
        <f>IF(AND(E4287&lt;&gt;"",E4287&lt;&gt;0,H4287&lt;&gt;""),H4287/E4287,"")</f>
        <v/>
      </c>
      <c r="L4287">
        <f>IF(B4287="","",IFERROR(VALUE(TEXT(B4287,"[$-1170401]yyyy")),""))</f>
        <v/>
      </c>
      <c r="M4287">
        <f>IF(B4287="","",IFERROR(VALUE(TEXT(B4287,"[$-1170401]mm")),""))</f>
        <v/>
      </c>
    </row>
    <row r="4288">
      <c r="B4288" s="30" t="n"/>
      <c r="G4288" s="9">
        <f>IF(AND(E4288&lt;&gt;"",E4288&lt;&gt;0,H4288&lt;&gt;""),H4288/E4288,"")</f>
        <v/>
      </c>
      <c r="L4288">
        <f>IF(B4288="","",IFERROR(VALUE(TEXT(B4288,"[$-1170401]yyyy")),""))</f>
        <v/>
      </c>
      <c r="M4288">
        <f>IF(B4288="","",IFERROR(VALUE(TEXT(B4288,"[$-1170401]mm")),""))</f>
        <v/>
      </c>
    </row>
    <row r="4289">
      <c r="B4289" s="30" t="n"/>
      <c r="G4289" s="9">
        <f>IF(AND(E4289&lt;&gt;"",E4289&lt;&gt;0,H4289&lt;&gt;""),H4289/E4289,"")</f>
        <v/>
      </c>
      <c r="L4289">
        <f>IF(B4289="","",IFERROR(VALUE(TEXT(B4289,"[$-1170401]yyyy")),""))</f>
        <v/>
      </c>
      <c r="M4289">
        <f>IF(B4289="","",IFERROR(VALUE(TEXT(B4289,"[$-1170401]mm")),""))</f>
        <v/>
      </c>
    </row>
    <row r="4290">
      <c r="B4290" s="30" t="n"/>
      <c r="G4290" s="9">
        <f>IF(AND(E4290&lt;&gt;"",E4290&lt;&gt;0,H4290&lt;&gt;""),H4290/E4290,"")</f>
        <v/>
      </c>
      <c r="L4290">
        <f>IF(B4290="","",IFERROR(VALUE(TEXT(B4290,"[$-1170401]yyyy")),""))</f>
        <v/>
      </c>
      <c r="M4290">
        <f>IF(B4290="","",IFERROR(VALUE(TEXT(B4290,"[$-1170401]mm")),""))</f>
        <v/>
      </c>
    </row>
    <row r="4291">
      <c r="B4291" s="30" t="n"/>
      <c r="G4291" s="9">
        <f>IF(AND(E4291&lt;&gt;"",E4291&lt;&gt;0,H4291&lt;&gt;""),H4291/E4291,"")</f>
        <v/>
      </c>
      <c r="L4291">
        <f>IF(B4291="","",IFERROR(VALUE(TEXT(B4291,"[$-1170401]yyyy")),""))</f>
        <v/>
      </c>
      <c r="M4291">
        <f>IF(B4291="","",IFERROR(VALUE(TEXT(B4291,"[$-1170401]mm")),""))</f>
        <v/>
      </c>
    </row>
    <row r="4292">
      <c r="B4292" s="30" t="n"/>
      <c r="G4292" s="9">
        <f>IF(AND(E4292&lt;&gt;"",E4292&lt;&gt;0,H4292&lt;&gt;""),H4292/E4292,"")</f>
        <v/>
      </c>
      <c r="L4292">
        <f>IF(B4292="","",IFERROR(VALUE(TEXT(B4292,"[$-1170401]yyyy")),""))</f>
        <v/>
      </c>
      <c r="M4292">
        <f>IF(B4292="","",IFERROR(VALUE(TEXT(B4292,"[$-1170401]mm")),""))</f>
        <v/>
      </c>
    </row>
    <row r="4293">
      <c r="B4293" s="30" t="n"/>
      <c r="G4293" s="9">
        <f>IF(AND(E4293&lt;&gt;"",E4293&lt;&gt;0,H4293&lt;&gt;""),H4293/E4293,"")</f>
        <v/>
      </c>
      <c r="L4293">
        <f>IF(B4293="","",IFERROR(VALUE(TEXT(B4293,"[$-1170401]yyyy")),""))</f>
        <v/>
      </c>
      <c r="M4293">
        <f>IF(B4293="","",IFERROR(VALUE(TEXT(B4293,"[$-1170401]mm")),""))</f>
        <v/>
      </c>
    </row>
    <row r="4294">
      <c r="B4294" s="30" t="n"/>
      <c r="G4294" s="9">
        <f>IF(AND(E4294&lt;&gt;"",E4294&lt;&gt;0,H4294&lt;&gt;""),H4294/E4294,"")</f>
        <v/>
      </c>
      <c r="L4294">
        <f>IF(B4294="","",IFERROR(VALUE(TEXT(B4294,"[$-1170401]yyyy")),""))</f>
        <v/>
      </c>
      <c r="M4294">
        <f>IF(B4294="","",IFERROR(VALUE(TEXT(B4294,"[$-1170401]mm")),""))</f>
        <v/>
      </c>
    </row>
    <row r="4295">
      <c r="B4295" s="30" t="n"/>
      <c r="G4295" s="9">
        <f>IF(AND(E4295&lt;&gt;"",E4295&lt;&gt;0,H4295&lt;&gt;""),H4295/E4295,"")</f>
        <v/>
      </c>
      <c r="L4295">
        <f>IF(B4295="","",IFERROR(VALUE(TEXT(B4295,"[$-1170401]yyyy")),""))</f>
        <v/>
      </c>
      <c r="M4295">
        <f>IF(B4295="","",IFERROR(VALUE(TEXT(B4295,"[$-1170401]mm")),""))</f>
        <v/>
      </c>
    </row>
    <row r="4296">
      <c r="B4296" s="30" t="n"/>
      <c r="G4296" s="9">
        <f>IF(AND(E4296&lt;&gt;"",E4296&lt;&gt;0,H4296&lt;&gt;""),H4296/E4296,"")</f>
        <v/>
      </c>
      <c r="L4296">
        <f>IF(B4296="","",IFERROR(VALUE(TEXT(B4296,"[$-1170401]yyyy")),""))</f>
        <v/>
      </c>
      <c r="M4296">
        <f>IF(B4296="","",IFERROR(VALUE(TEXT(B4296,"[$-1170401]mm")),""))</f>
        <v/>
      </c>
    </row>
    <row r="4297">
      <c r="B4297" s="30" t="n"/>
      <c r="G4297" s="9">
        <f>IF(AND(E4297&lt;&gt;"",E4297&lt;&gt;0,H4297&lt;&gt;""),H4297/E4297,"")</f>
        <v/>
      </c>
      <c r="L4297">
        <f>IF(B4297="","",IFERROR(VALUE(TEXT(B4297,"[$-1170401]yyyy")),""))</f>
        <v/>
      </c>
      <c r="M4297">
        <f>IF(B4297="","",IFERROR(VALUE(TEXT(B4297,"[$-1170401]mm")),""))</f>
        <v/>
      </c>
    </row>
    <row r="4298">
      <c r="B4298" s="30" t="n"/>
      <c r="G4298" s="9">
        <f>IF(AND(E4298&lt;&gt;"",E4298&lt;&gt;0,H4298&lt;&gt;""),H4298/E4298,"")</f>
        <v/>
      </c>
      <c r="L4298">
        <f>IF(B4298="","",IFERROR(VALUE(TEXT(B4298,"[$-1170401]yyyy")),""))</f>
        <v/>
      </c>
      <c r="M4298">
        <f>IF(B4298="","",IFERROR(VALUE(TEXT(B4298,"[$-1170401]mm")),""))</f>
        <v/>
      </c>
    </row>
    <row r="4299">
      <c r="B4299" s="30" t="n"/>
      <c r="G4299" s="9">
        <f>IF(AND(E4299&lt;&gt;"",E4299&lt;&gt;0,H4299&lt;&gt;""),H4299/E4299,"")</f>
        <v/>
      </c>
      <c r="L4299">
        <f>IF(B4299="","",IFERROR(VALUE(TEXT(B4299,"[$-1170401]yyyy")),""))</f>
        <v/>
      </c>
      <c r="M4299">
        <f>IF(B4299="","",IFERROR(VALUE(TEXT(B4299,"[$-1170401]mm")),""))</f>
        <v/>
      </c>
    </row>
    <row r="4300">
      <c r="B4300" s="30" t="n"/>
      <c r="G4300" s="9">
        <f>IF(AND(E4300&lt;&gt;"",E4300&lt;&gt;0,H4300&lt;&gt;""),H4300/E4300,"")</f>
        <v/>
      </c>
      <c r="L4300">
        <f>IF(B4300="","",IFERROR(VALUE(TEXT(B4300,"[$-1170401]yyyy")),""))</f>
        <v/>
      </c>
      <c r="M4300">
        <f>IF(B4300="","",IFERROR(VALUE(TEXT(B4300,"[$-1170401]mm")),""))</f>
        <v/>
      </c>
    </row>
    <row r="4301">
      <c r="B4301" s="30" t="n"/>
      <c r="G4301" s="9">
        <f>IF(AND(E4301&lt;&gt;"",E4301&lt;&gt;0,H4301&lt;&gt;""),H4301/E4301,"")</f>
        <v/>
      </c>
      <c r="L4301">
        <f>IF(B4301="","",IFERROR(VALUE(TEXT(B4301,"[$-1170401]yyyy")),""))</f>
        <v/>
      </c>
      <c r="M4301">
        <f>IF(B4301="","",IFERROR(VALUE(TEXT(B4301,"[$-1170401]mm")),""))</f>
        <v/>
      </c>
    </row>
    <row r="4302">
      <c r="B4302" s="30" t="n"/>
      <c r="G4302" s="9">
        <f>IF(AND(E4302&lt;&gt;"",E4302&lt;&gt;0,H4302&lt;&gt;""),H4302/E4302,"")</f>
        <v/>
      </c>
      <c r="L4302">
        <f>IF(B4302="","",IFERROR(VALUE(TEXT(B4302,"[$-1170401]yyyy")),""))</f>
        <v/>
      </c>
      <c r="M4302">
        <f>IF(B4302="","",IFERROR(VALUE(TEXT(B4302,"[$-1170401]mm")),""))</f>
        <v/>
      </c>
    </row>
    <row r="4303">
      <c r="B4303" s="30" t="n"/>
      <c r="G4303" s="9">
        <f>IF(AND(E4303&lt;&gt;"",E4303&lt;&gt;0,H4303&lt;&gt;""),H4303/E4303,"")</f>
        <v/>
      </c>
      <c r="L4303">
        <f>IF(B4303="","",IFERROR(VALUE(TEXT(B4303,"[$-1170401]yyyy")),""))</f>
        <v/>
      </c>
      <c r="M4303">
        <f>IF(B4303="","",IFERROR(VALUE(TEXT(B4303,"[$-1170401]mm")),""))</f>
        <v/>
      </c>
    </row>
    <row r="4304">
      <c r="B4304" s="30" t="n"/>
      <c r="G4304" s="9">
        <f>IF(AND(E4304&lt;&gt;"",E4304&lt;&gt;0,H4304&lt;&gt;""),H4304/E4304,"")</f>
        <v/>
      </c>
      <c r="L4304">
        <f>IF(B4304="","",IFERROR(VALUE(TEXT(B4304,"[$-1170401]yyyy")),""))</f>
        <v/>
      </c>
      <c r="M4304">
        <f>IF(B4304="","",IFERROR(VALUE(TEXT(B4304,"[$-1170401]mm")),""))</f>
        <v/>
      </c>
    </row>
    <row r="4305">
      <c r="B4305" s="30" t="n"/>
      <c r="G4305" s="9">
        <f>IF(AND(E4305&lt;&gt;"",E4305&lt;&gt;0,H4305&lt;&gt;""),H4305/E4305,"")</f>
        <v/>
      </c>
      <c r="L4305">
        <f>IF(B4305="","",IFERROR(VALUE(TEXT(B4305,"[$-1170401]yyyy")),""))</f>
        <v/>
      </c>
      <c r="M4305">
        <f>IF(B4305="","",IFERROR(VALUE(TEXT(B4305,"[$-1170401]mm")),""))</f>
        <v/>
      </c>
    </row>
    <row r="4306">
      <c r="B4306" s="30" t="n"/>
      <c r="G4306" s="9">
        <f>IF(AND(E4306&lt;&gt;"",E4306&lt;&gt;0,H4306&lt;&gt;""),H4306/E4306,"")</f>
        <v/>
      </c>
      <c r="L4306">
        <f>IF(B4306="","",IFERROR(VALUE(TEXT(B4306,"[$-1170401]yyyy")),""))</f>
        <v/>
      </c>
      <c r="M4306">
        <f>IF(B4306="","",IFERROR(VALUE(TEXT(B4306,"[$-1170401]mm")),""))</f>
        <v/>
      </c>
    </row>
    <row r="4307">
      <c r="B4307" s="30" t="n"/>
      <c r="G4307" s="9">
        <f>IF(AND(E4307&lt;&gt;"",E4307&lt;&gt;0,H4307&lt;&gt;""),H4307/E4307,"")</f>
        <v/>
      </c>
      <c r="L4307">
        <f>IF(B4307="","",IFERROR(VALUE(TEXT(B4307,"[$-1170401]yyyy")),""))</f>
        <v/>
      </c>
      <c r="M4307">
        <f>IF(B4307="","",IFERROR(VALUE(TEXT(B4307,"[$-1170401]mm")),""))</f>
        <v/>
      </c>
    </row>
    <row r="4308">
      <c r="B4308" s="30" t="n"/>
      <c r="G4308" s="9">
        <f>IF(AND(E4308&lt;&gt;"",E4308&lt;&gt;0,H4308&lt;&gt;""),H4308/E4308,"")</f>
        <v/>
      </c>
      <c r="L4308">
        <f>IF(B4308="","",IFERROR(VALUE(TEXT(B4308,"[$-1170401]yyyy")),""))</f>
        <v/>
      </c>
      <c r="M4308">
        <f>IF(B4308="","",IFERROR(VALUE(TEXT(B4308,"[$-1170401]mm")),""))</f>
        <v/>
      </c>
    </row>
    <row r="4309">
      <c r="B4309" s="30" t="n"/>
      <c r="G4309" s="9">
        <f>IF(AND(E4309&lt;&gt;"",E4309&lt;&gt;0,H4309&lt;&gt;""),H4309/E4309,"")</f>
        <v/>
      </c>
      <c r="L4309">
        <f>IF(B4309="","",IFERROR(VALUE(TEXT(B4309,"[$-1170401]yyyy")),""))</f>
        <v/>
      </c>
      <c r="M4309">
        <f>IF(B4309="","",IFERROR(VALUE(TEXT(B4309,"[$-1170401]mm")),""))</f>
        <v/>
      </c>
    </row>
    <row r="4310">
      <c r="B4310" s="30" t="n"/>
      <c r="G4310" s="9">
        <f>IF(AND(E4310&lt;&gt;"",E4310&lt;&gt;0,H4310&lt;&gt;""),H4310/E4310,"")</f>
        <v/>
      </c>
      <c r="L4310">
        <f>IF(B4310="","",IFERROR(VALUE(TEXT(B4310,"[$-1170401]yyyy")),""))</f>
        <v/>
      </c>
      <c r="M4310">
        <f>IF(B4310="","",IFERROR(VALUE(TEXT(B4310,"[$-1170401]mm")),""))</f>
        <v/>
      </c>
    </row>
    <row r="4311">
      <c r="B4311" s="30" t="n"/>
      <c r="G4311" s="9">
        <f>IF(AND(E4311&lt;&gt;"",E4311&lt;&gt;0,H4311&lt;&gt;""),H4311/E4311,"")</f>
        <v/>
      </c>
      <c r="L4311">
        <f>IF(B4311="","",IFERROR(VALUE(TEXT(B4311,"[$-1170401]yyyy")),""))</f>
        <v/>
      </c>
      <c r="M4311">
        <f>IF(B4311="","",IFERROR(VALUE(TEXT(B4311,"[$-1170401]mm")),""))</f>
        <v/>
      </c>
    </row>
    <row r="4312">
      <c r="B4312" s="30" t="n"/>
      <c r="G4312" s="9">
        <f>IF(AND(E4312&lt;&gt;"",E4312&lt;&gt;0,H4312&lt;&gt;""),H4312/E4312,"")</f>
        <v/>
      </c>
      <c r="L4312">
        <f>IF(B4312="","",IFERROR(VALUE(TEXT(B4312,"[$-1170401]yyyy")),""))</f>
        <v/>
      </c>
      <c r="M4312">
        <f>IF(B4312="","",IFERROR(VALUE(TEXT(B4312,"[$-1170401]mm")),""))</f>
        <v/>
      </c>
    </row>
    <row r="4313">
      <c r="B4313" s="30" t="n"/>
      <c r="G4313" s="9">
        <f>IF(AND(E4313&lt;&gt;"",E4313&lt;&gt;0,H4313&lt;&gt;""),H4313/E4313,"")</f>
        <v/>
      </c>
      <c r="L4313">
        <f>IF(B4313="","",IFERROR(VALUE(TEXT(B4313,"[$-1170401]yyyy")),""))</f>
        <v/>
      </c>
      <c r="M4313">
        <f>IF(B4313="","",IFERROR(VALUE(TEXT(B4313,"[$-1170401]mm")),""))</f>
        <v/>
      </c>
    </row>
    <row r="4314">
      <c r="B4314" s="30" t="n"/>
      <c r="G4314" s="9">
        <f>IF(AND(E4314&lt;&gt;"",E4314&lt;&gt;0,H4314&lt;&gt;""),H4314/E4314,"")</f>
        <v/>
      </c>
      <c r="L4314">
        <f>IF(B4314="","",IFERROR(VALUE(TEXT(B4314,"[$-1170401]yyyy")),""))</f>
        <v/>
      </c>
      <c r="M4314">
        <f>IF(B4314="","",IFERROR(VALUE(TEXT(B4314,"[$-1170401]mm")),""))</f>
        <v/>
      </c>
    </row>
    <row r="4315">
      <c r="B4315" s="30" t="n"/>
      <c r="G4315" s="9">
        <f>IF(AND(E4315&lt;&gt;"",E4315&lt;&gt;0,H4315&lt;&gt;""),H4315/E4315,"")</f>
        <v/>
      </c>
      <c r="L4315">
        <f>IF(B4315="","",IFERROR(VALUE(TEXT(B4315,"[$-1170401]yyyy")),""))</f>
        <v/>
      </c>
      <c r="M4315">
        <f>IF(B4315="","",IFERROR(VALUE(TEXT(B4315,"[$-1170401]mm")),""))</f>
        <v/>
      </c>
    </row>
    <row r="4316">
      <c r="B4316" s="30" t="n"/>
      <c r="G4316" s="9">
        <f>IF(AND(E4316&lt;&gt;"",E4316&lt;&gt;0,H4316&lt;&gt;""),H4316/E4316,"")</f>
        <v/>
      </c>
      <c r="L4316">
        <f>IF(B4316="","",IFERROR(VALUE(TEXT(B4316,"[$-1170401]yyyy")),""))</f>
        <v/>
      </c>
      <c r="M4316">
        <f>IF(B4316="","",IFERROR(VALUE(TEXT(B4316,"[$-1170401]mm")),""))</f>
        <v/>
      </c>
    </row>
    <row r="4317">
      <c r="B4317" s="30" t="n"/>
      <c r="G4317" s="9">
        <f>IF(AND(E4317&lt;&gt;"",E4317&lt;&gt;0,H4317&lt;&gt;""),H4317/E4317,"")</f>
        <v/>
      </c>
      <c r="L4317">
        <f>IF(B4317="","",IFERROR(VALUE(TEXT(B4317,"[$-1170401]yyyy")),""))</f>
        <v/>
      </c>
      <c r="M4317">
        <f>IF(B4317="","",IFERROR(VALUE(TEXT(B4317,"[$-1170401]mm")),""))</f>
        <v/>
      </c>
    </row>
    <row r="4318">
      <c r="B4318" s="30" t="n"/>
      <c r="G4318" s="9">
        <f>IF(AND(E4318&lt;&gt;"",E4318&lt;&gt;0,H4318&lt;&gt;""),H4318/E4318,"")</f>
        <v/>
      </c>
      <c r="L4318">
        <f>IF(B4318="","",IFERROR(VALUE(TEXT(B4318,"[$-1170401]yyyy")),""))</f>
        <v/>
      </c>
      <c r="M4318">
        <f>IF(B4318="","",IFERROR(VALUE(TEXT(B4318,"[$-1170401]mm")),""))</f>
        <v/>
      </c>
    </row>
    <row r="4319">
      <c r="B4319" s="30" t="n"/>
      <c r="G4319" s="9">
        <f>IF(AND(E4319&lt;&gt;"",E4319&lt;&gt;0,H4319&lt;&gt;""),H4319/E4319,"")</f>
        <v/>
      </c>
      <c r="L4319">
        <f>IF(B4319="","",IFERROR(VALUE(TEXT(B4319,"[$-1170401]yyyy")),""))</f>
        <v/>
      </c>
      <c r="M4319">
        <f>IF(B4319="","",IFERROR(VALUE(TEXT(B4319,"[$-1170401]mm")),""))</f>
        <v/>
      </c>
    </row>
    <row r="4320">
      <c r="B4320" s="30" t="n"/>
      <c r="G4320" s="9">
        <f>IF(AND(E4320&lt;&gt;"",E4320&lt;&gt;0,H4320&lt;&gt;""),H4320/E4320,"")</f>
        <v/>
      </c>
      <c r="L4320">
        <f>IF(B4320="","",IFERROR(VALUE(TEXT(B4320,"[$-1170401]yyyy")),""))</f>
        <v/>
      </c>
      <c r="M4320">
        <f>IF(B4320="","",IFERROR(VALUE(TEXT(B4320,"[$-1170401]mm")),""))</f>
        <v/>
      </c>
    </row>
    <row r="4321">
      <c r="B4321" s="30" t="n"/>
      <c r="G4321" s="9">
        <f>IF(AND(E4321&lt;&gt;"",E4321&lt;&gt;0,H4321&lt;&gt;""),H4321/E4321,"")</f>
        <v/>
      </c>
      <c r="L4321">
        <f>IF(B4321="","",IFERROR(VALUE(TEXT(B4321,"[$-1170401]yyyy")),""))</f>
        <v/>
      </c>
      <c r="M4321">
        <f>IF(B4321="","",IFERROR(VALUE(TEXT(B4321,"[$-1170401]mm")),""))</f>
        <v/>
      </c>
    </row>
    <row r="4322">
      <c r="B4322" s="30" t="n"/>
      <c r="G4322" s="9">
        <f>IF(AND(E4322&lt;&gt;"",E4322&lt;&gt;0,H4322&lt;&gt;""),H4322/E4322,"")</f>
        <v/>
      </c>
      <c r="L4322">
        <f>IF(B4322="","",IFERROR(VALUE(TEXT(B4322,"[$-1170401]yyyy")),""))</f>
        <v/>
      </c>
      <c r="M4322">
        <f>IF(B4322="","",IFERROR(VALUE(TEXT(B4322,"[$-1170401]mm")),""))</f>
        <v/>
      </c>
    </row>
    <row r="4323">
      <c r="B4323" s="30" t="n"/>
      <c r="G4323" s="9">
        <f>IF(AND(E4323&lt;&gt;"",E4323&lt;&gt;0,H4323&lt;&gt;""),H4323/E4323,"")</f>
        <v/>
      </c>
      <c r="L4323">
        <f>IF(B4323="","",IFERROR(VALUE(TEXT(B4323,"[$-1170401]yyyy")),""))</f>
        <v/>
      </c>
      <c r="M4323">
        <f>IF(B4323="","",IFERROR(VALUE(TEXT(B4323,"[$-1170401]mm")),""))</f>
        <v/>
      </c>
    </row>
    <row r="4324">
      <c r="B4324" s="30" t="n"/>
      <c r="G4324" s="9">
        <f>IF(AND(E4324&lt;&gt;"",E4324&lt;&gt;0,H4324&lt;&gt;""),H4324/E4324,"")</f>
        <v/>
      </c>
      <c r="L4324">
        <f>IF(B4324="","",IFERROR(VALUE(TEXT(B4324,"[$-1170401]yyyy")),""))</f>
        <v/>
      </c>
      <c r="M4324">
        <f>IF(B4324="","",IFERROR(VALUE(TEXT(B4324,"[$-1170401]mm")),""))</f>
        <v/>
      </c>
    </row>
    <row r="4325">
      <c r="B4325" s="30" t="n"/>
      <c r="G4325" s="9">
        <f>IF(AND(E4325&lt;&gt;"",E4325&lt;&gt;0,H4325&lt;&gt;""),H4325/E4325,"")</f>
        <v/>
      </c>
      <c r="L4325">
        <f>IF(B4325="","",IFERROR(VALUE(TEXT(B4325,"[$-1170401]yyyy")),""))</f>
        <v/>
      </c>
      <c r="M4325">
        <f>IF(B4325="","",IFERROR(VALUE(TEXT(B4325,"[$-1170401]mm")),""))</f>
        <v/>
      </c>
    </row>
    <row r="4326">
      <c r="B4326" s="30" t="n"/>
      <c r="G4326" s="9">
        <f>IF(AND(E4326&lt;&gt;"",E4326&lt;&gt;0,H4326&lt;&gt;""),H4326/E4326,"")</f>
        <v/>
      </c>
      <c r="L4326">
        <f>IF(B4326="","",IFERROR(VALUE(TEXT(B4326,"[$-1170401]yyyy")),""))</f>
        <v/>
      </c>
      <c r="M4326">
        <f>IF(B4326="","",IFERROR(VALUE(TEXT(B4326,"[$-1170401]mm")),""))</f>
        <v/>
      </c>
    </row>
    <row r="4327">
      <c r="B4327" s="30" t="n"/>
      <c r="G4327" s="9">
        <f>IF(AND(E4327&lt;&gt;"",E4327&lt;&gt;0,H4327&lt;&gt;""),H4327/E4327,"")</f>
        <v/>
      </c>
      <c r="L4327">
        <f>IF(B4327="","",IFERROR(VALUE(TEXT(B4327,"[$-1170401]yyyy")),""))</f>
        <v/>
      </c>
      <c r="M4327">
        <f>IF(B4327="","",IFERROR(VALUE(TEXT(B4327,"[$-1170401]mm")),""))</f>
        <v/>
      </c>
    </row>
    <row r="4328">
      <c r="B4328" s="30" t="n"/>
      <c r="G4328" s="9">
        <f>IF(AND(E4328&lt;&gt;"",E4328&lt;&gt;0,H4328&lt;&gt;""),H4328/E4328,"")</f>
        <v/>
      </c>
      <c r="L4328">
        <f>IF(B4328="","",IFERROR(VALUE(TEXT(B4328,"[$-1170401]yyyy")),""))</f>
        <v/>
      </c>
      <c r="M4328">
        <f>IF(B4328="","",IFERROR(VALUE(TEXT(B4328,"[$-1170401]mm")),""))</f>
        <v/>
      </c>
    </row>
    <row r="4329">
      <c r="B4329" s="30" t="n"/>
      <c r="G4329" s="9">
        <f>IF(AND(E4329&lt;&gt;"",E4329&lt;&gt;0,H4329&lt;&gt;""),H4329/E4329,"")</f>
        <v/>
      </c>
      <c r="L4329">
        <f>IF(B4329="","",IFERROR(VALUE(TEXT(B4329,"[$-1170401]yyyy")),""))</f>
        <v/>
      </c>
      <c r="M4329">
        <f>IF(B4329="","",IFERROR(VALUE(TEXT(B4329,"[$-1170401]mm")),""))</f>
        <v/>
      </c>
    </row>
    <row r="4330">
      <c r="B4330" s="30" t="n"/>
      <c r="G4330" s="9">
        <f>IF(AND(E4330&lt;&gt;"",E4330&lt;&gt;0,H4330&lt;&gt;""),H4330/E4330,"")</f>
        <v/>
      </c>
      <c r="L4330">
        <f>IF(B4330="","",IFERROR(VALUE(TEXT(B4330,"[$-1170401]yyyy")),""))</f>
        <v/>
      </c>
      <c r="M4330">
        <f>IF(B4330="","",IFERROR(VALUE(TEXT(B4330,"[$-1170401]mm")),""))</f>
        <v/>
      </c>
    </row>
    <row r="4331">
      <c r="B4331" s="30" t="n"/>
      <c r="G4331" s="9">
        <f>IF(AND(E4331&lt;&gt;"",E4331&lt;&gt;0,H4331&lt;&gt;""),H4331/E4331,"")</f>
        <v/>
      </c>
      <c r="L4331">
        <f>IF(B4331="","",IFERROR(VALUE(TEXT(B4331,"[$-1170401]yyyy")),""))</f>
        <v/>
      </c>
      <c r="M4331">
        <f>IF(B4331="","",IFERROR(VALUE(TEXT(B4331,"[$-1170401]mm")),""))</f>
        <v/>
      </c>
    </row>
    <row r="4332">
      <c r="B4332" s="30" t="n"/>
      <c r="G4332" s="9">
        <f>IF(AND(E4332&lt;&gt;"",E4332&lt;&gt;0,H4332&lt;&gt;""),H4332/E4332,"")</f>
        <v/>
      </c>
      <c r="L4332">
        <f>IF(B4332="","",IFERROR(VALUE(TEXT(B4332,"[$-1170401]yyyy")),""))</f>
        <v/>
      </c>
      <c r="M4332">
        <f>IF(B4332="","",IFERROR(VALUE(TEXT(B4332,"[$-1170401]mm")),""))</f>
        <v/>
      </c>
    </row>
    <row r="4333">
      <c r="B4333" s="30" t="n"/>
      <c r="G4333" s="9">
        <f>IF(AND(E4333&lt;&gt;"",E4333&lt;&gt;0,H4333&lt;&gt;""),H4333/E4333,"")</f>
        <v/>
      </c>
      <c r="L4333">
        <f>IF(B4333="","",IFERROR(VALUE(TEXT(B4333,"[$-1170401]yyyy")),""))</f>
        <v/>
      </c>
      <c r="M4333">
        <f>IF(B4333="","",IFERROR(VALUE(TEXT(B4333,"[$-1170401]mm")),""))</f>
        <v/>
      </c>
    </row>
    <row r="4334">
      <c r="B4334" s="30" t="n"/>
      <c r="G4334" s="9">
        <f>IF(AND(E4334&lt;&gt;"",E4334&lt;&gt;0,H4334&lt;&gt;""),H4334/E4334,"")</f>
        <v/>
      </c>
      <c r="L4334">
        <f>IF(B4334="","",IFERROR(VALUE(TEXT(B4334,"[$-1170401]yyyy")),""))</f>
        <v/>
      </c>
      <c r="M4334">
        <f>IF(B4334="","",IFERROR(VALUE(TEXT(B4334,"[$-1170401]mm")),""))</f>
        <v/>
      </c>
    </row>
    <row r="4335">
      <c r="B4335" s="30" t="n"/>
      <c r="G4335" s="9">
        <f>IF(AND(E4335&lt;&gt;"",E4335&lt;&gt;0,H4335&lt;&gt;""),H4335/E4335,"")</f>
        <v/>
      </c>
      <c r="L4335">
        <f>IF(B4335="","",IFERROR(VALUE(TEXT(B4335,"[$-1170401]yyyy")),""))</f>
        <v/>
      </c>
      <c r="M4335">
        <f>IF(B4335="","",IFERROR(VALUE(TEXT(B4335,"[$-1170401]mm")),""))</f>
        <v/>
      </c>
    </row>
    <row r="4336">
      <c r="B4336" s="30" t="n"/>
      <c r="G4336" s="9">
        <f>IF(AND(E4336&lt;&gt;"",E4336&lt;&gt;0,H4336&lt;&gt;""),H4336/E4336,"")</f>
        <v/>
      </c>
      <c r="L4336">
        <f>IF(B4336="","",IFERROR(VALUE(TEXT(B4336,"[$-1170401]yyyy")),""))</f>
        <v/>
      </c>
      <c r="M4336">
        <f>IF(B4336="","",IFERROR(VALUE(TEXT(B4336,"[$-1170401]mm")),""))</f>
        <v/>
      </c>
    </row>
    <row r="4337">
      <c r="B4337" s="30" t="n"/>
      <c r="G4337" s="9">
        <f>IF(AND(E4337&lt;&gt;"",E4337&lt;&gt;0,H4337&lt;&gt;""),H4337/E4337,"")</f>
        <v/>
      </c>
      <c r="L4337">
        <f>IF(B4337="","",IFERROR(VALUE(TEXT(B4337,"[$-1170401]yyyy")),""))</f>
        <v/>
      </c>
      <c r="M4337">
        <f>IF(B4337="","",IFERROR(VALUE(TEXT(B4337,"[$-1170401]mm")),""))</f>
        <v/>
      </c>
    </row>
    <row r="4338">
      <c r="B4338" s="30" t="n"/>
      <c r="G4338" s="9">
        <f>IF(AND(E4338&lt;&gt;"",E4338&lt;&gt;0,H4338&lt;&gt;""),H4338/E4338,"")</f>
        <v/>
      </c>
      <c r="L4338">
        <f>IF(B4338="","",IFERROR(VALUE(TEXT(B4338,"[$-1170401]yyyy")),""))</f>
        <v/>
      </c>
      <c r="M4338">
        <f>IF(B4338="","",IFERROR(VALUE(TEXT(B4338,"[$-1170401]mm")),""))</f>
        <v/>
      </c>
    </row>
    <row r="4339">
      <c r="B4339" s="30" t="n"/>
      <c r="G4339" s="9">
        <f>IF(AND(E4339&lt;&gt;"",E4339&lt;&gt;0,H4339&lt;&gt;""),H4339/E4339,"")</f>
        <v/>
      </c>
      <c r="L4339">
        <f>IF(B4339="","",IFERROR(VALUE(TEXT(B4339,"[$-1170401]yyyy")),""))</f>
        <v/>
      </c>
      <c r="M4339">
        <f>IF(B4339="","",IFERROR(VALUE(TEXT(B4339,"[$-1170401]mm")),""))</f>
        <v/>
      </c>
    </row>
    <row r="4340">
      <c r="B4340" s="30" t="n"/>
      <c r="G4340" s="9">
        <f>IF(AND(E4340&lt;&gt;"",E4340&lt;&gt;0,H4340&lt;&gt;""),H4340/E4340,"")</f>
        <v/>
      </c>
      <c r="L4340">
        <f>IF(B4340="","",IFERROR(VALUE(TEXT(B4340,"[$-1170401]yyyy")),""))</f>
        <v/>
      </c>
      <c r="M4340">
        <f>IF(B4340="","",IFERROR(VALUE(TEXT(B4340,"[$-1170401]mm")),""))</f>
        <v/>
      </c>
    </row>
    <row r="4341">
      <c r="B4341" s="30" t="n"/>
      <c r="G4341" s="9">
        <f>IF(AND(E4341&lt;&gt;"",E4341&lt;&gt;0,H4341&lt;&gt;""),H4341/E4341,"")</f>
        <v/>
      </c>
      <c r="L4341">
        <f>IF(B4341="","",IFERROR(VALUE(TEXT(B4341,"[$-1170401]yyyy")),""))</f>
        <v/>
      </c>
      <c r="M4341">
        <f>IF(B4341="","",IFERROR(VALUE(TEXT(B4341,"[$-1170401]mm")),""))</f>
        <v/>
      </c>
    </row>
    <row r="4342">
      <c r="B4342" s="30" t="n"/>
      <c r="G4342" s="9">
        <f>IF(AND(E4342&lt;&gt;"",E4342&lt;&gt;0,H4342&lt;&gt;""),H4342/E4342,"")</f>
        <v/>
      </c>
      <c r="L4342">
        <f>IF(B4342="","",IFERROR(VALUE(TEXT(B4342,"[$-1170401]yyyy")),""))</f>
        <v/>
      </c>
      <c r="M4342">
        <f>IF(B4342="","",IFERROR(VALUE(TEXT(B4342,"[$-1170401]mm")),""))</f>
        <v/>
      </c>
    </row>
    <row r="4343">
      <c r="B4343" s="30" t="n"/>
      <c r="G4343" s="9">
        <f>IF(AND(E4343&lt;&gt;"",E4343&lt;&gt;0,H4343&lt;&gt;""),H4343/E4343,"")</f>
        <v/>
      </c>
      <c r="L4343">
        <f>IF(B4343="","",IFERROR(VALUE(TEXT(B4343,"[$-1170401]yyyy")),""))</f>
        <v/>
      </c>
      <c r="M4343">
        <f>IF(B4343="","",IFERROR(VALUE(TEXT(B4343,"[$-1170401]mm")),""))</f>
        <v/>
      </c>
    </row>
    <row r="4344">
      <c r="B4344" s="30" t="n"/>
      <c r="G4344" s="9">
        <f>IF(AND(E4344&lt;&gt;"",E4344&lt;&gt;0,H4344&lt;&gt;""),H4344/E4344,"")</f>
        <v/>
      </c>
      <c r="L4344">
        <f>IF(B4344="","",IFERROR(VALUE(TEXT(B4344,"[$-1170401]yyyy")),""))</f>
        <v/>
      </c>
      <c r="M4344">
        <f>IF(B4344="","",IFERROR(VALUE(TEXT(B4344,"[$-1170401]mm")),""))</f>
        <v/>
      </c>
    </row>
    <row r="4345">
      <c r="B4345" s="30" t="n"/>
      <c r="G4345" s="9">
        <f>IF(AND(E4345&lt;&gt;"",E4345&lt;&gt;0,H4345&lt;&gt;""),H4345/E4345,"")</f>
        <v/>
      </c>
      <c r="L4345">
        <f>IF(B4345="","",IFERROR(VALUE(TEXT(B4345,"[$-1170401]yyyy")),""))</f>
        <v/>
      </c>
      <c r="M4345">
        <f>IF(B4345="","",IFERROR(VALUE(TEXT(B4345,"[$-1170401]mm")),""))</f>
        <v/>
      </c>
    </row>
    <row r="4346">
      <c r="B4346" s="30" t="n"/>
      <c r="G4346" s="9">
        <f>IF(AND(E4346&lt;&gt;"",E4346&lt;&gt;0,H4346&lt;&gt;""),H4346/E4346,"")</f>
        <v/>
      </c>
      <c r="L4346">
        <f>IF(B4346="","",IFERROR(VALUE(TEXT(B4346,"[$-1170401]yyyy")),""))</f>
        <v/>
      </c>
      <c r="M4346">
        <f>IF(B4346="","",IFERROR(VALUE(TEXT(B4346,"[$-1170401]mm")),""))</f>
        <v/>
      </c>
    </row>
    <row r="4347">
      <c r="B4347" s="30" t="n"/>
      <c r="G4347" s="9">
        <f>IF(AND(E4347&lt;&gt;"",E4347&lt;&gt;0,H4347&lt;&gt;""),H4347/E4347,"")</f>
        <v/>
      </c>
      <c r="L4347">
        <f>IF(B4347="","",IFERROR(VALUE(TEXT(B4347,"[$-1170401]yyyy")),""))</f>
        <v/>
      </c>
      <c r="M4347">
        <f>IF(B4347="","",IFERROR(VALUE(TEXT(B4347,"[$-1170401]mm")),""))</f>
        <v/>
      </c>
    </row>
    <row r="4348">
      <c r="B4348" s="30" t="n"/>
      <c r="G4348" s="9">
        <f>IF(AND(E4348&lt;&gt;"",E4348&lt;&gt;0,H4348&lt;&gt;""),H4348/E4348,"")</f>
        <v/>
      </c>
      <c r="L4348">
        <f>IF(B4348="","",IFERROR(VALUE(TEXT(B4348,"[$-1170401]yyyy")),""))</f>
        <v/>
      </c>
      <c r="M4348">
        <f>IF(B4348="","",IFERROR(VALUE(TEXT(B4348,"[$-1170401]mm")),""))</f>
        <v/>
      </c>
    </row>
    <row r="4349">
      <c r="B4349" s="30" t="n"/>
      <c r="G4349" s="9">
        <f>IF(AND(E4349&lt;&gt;"",E4349&lt;&gt;0,H4349&lt;&gt;""),H4349/E4349,"")</f>
        <v/>
      </c>
      <c r="L4349">
        <f>IF(B4349="","",IFERROR(VALUE(TEXT(B4349,"[$-1170401]yyyy")),""))</f>
        <v/>
      </c>
      <c r="M4349">
        <f>IF(B4349="","",IFERROR(VALUE(TEXT(B4349,"[$-1170401]mm")),""))</f>
        <v/>
      </c>
    </row>
    <row r="4350">
      <c r="B4350" s="30" t="n"/>
      <c r="G4350" s="9">
        <f>IF(AND(E4350&lt;&gt;"",E4350&lt;&gt;0,H4350&lt;&gt;""),H4350/E4350,"")</f>
        <v/>
      </c>
      <c r="L4350">
        <f>IF(B4350="","",IFERROR(VALUE(TEXT(B4350,"[$-1170401]yyyy")),""))</f>
        <v/>
      </c>
      <c r="M4350">
        <f>IF(B4350="","",IFERROR(VALUE(TEXT(B4350,"[$-1170401]mm")),""))</f>
        <v/>
      </c>
    </row>
    <row r="4351">
      <c r="B4351" s="30" t="n"/>
      <c r="G4351" s="9">
        <f>IF(AND(E4351&lt;&gt;"",E4351&lt;&gt;0,H4351&lt;&gt;""),H4351/E4351,"")</f>
        <v/>
      </c>
      <c r="L4351">
        <f>IF(B4351="","",IFERROR(VALUE(TEXT(B4351,"[$-1170401]yyyy")),""))</f>
        <v/>
      </c>
      <c r="M4351">
        <f>IF(B4351="","",IFERROR(VALUE(TEXT(B4351,"[$-1170401]mm")),""))</f>
        <v/>
      </c>
    </row>
    <row r="4352">
      <c r="B4352" s="30" t="n"/>
      <c r="G4352" s="9">
        <f>IF(AND(E4352&lt;&gt;"",E4352&lt;&gt;0,H4352&lt;&gt;""),H4352/E4352,"")</f>
        <v/>
      </c>
      <c r="L4352">
        <f>IF(B4352="","",IFERROR(VALUE(TEXT(B4352,"[$-1170401]yyyy")),""))</f>
        <v/>
      </c>
      <c r="M4352">
        <f>IF(B4352="","",IFERROR(VALUE(TEXT(B4352,"[$-1170401]mm")),""))</f>
        <v/>
      </c>
    </row>
    <row r="4353">
      <c r="B4353" s="30" t="n"/>
      <c r="G4353" s="9">
        <f>IF(AND(E4353&lt;&gt;"",E4353&lt;&gt;0,H4353&lt;&gt;""),H4353/E4353,"")</f>
        <v/>
      </c>
      <c r="L4353">
        <f>IF(B4353="","",IFERROR(VALUE(TEXT(B4353,"[$-1170401]yyyy")),""))</f>
        <v/>
      </c>
      <c r="M4353">
        <f>IF(B4353="","",IFERROR(VALUE(TEXT(B4353,"[$-1170401]mm")),""))</f>
        <v/>
      </c>
    </row>
    <row r="4354">
      <c r="B4354" s="30" t="n"/>
      <c r="G4354" s="9">
        <f>IF(AND(E4354&lt;&gt;"",E4354&lt;&gt;0,H4354&lt;&gt;""),H4354/E4354,"")</f>
        <v/>
      </c>
      <c r="L4354">
        <f>IF(B4354="","",IFERROR(VALUE(TEXT(B4354,"[$-1170401]yyyy")),""))</f>
        <v/>
      </c>
      <c r="M4354">
        <f>IF(B4354="","",IFERROR(VALUE(TEXT(B4354,"[$-1170401]mm")),""))</f>
        <v/>
      </c>
    </row>
    <row r="4355">
      <c r="B4355" s="30" t="n"/>
      <c r="G4355" s="9">
        <f>IF(AND(E4355&lt;&gt;"",E4355&lt;&gt;0,H4355&lt;&gt;""),H4355/E4355,"")</f>
        <v/>
      </c>
      <c r="L4355">
        <f>IF(B4355="","",IFERROR(VALUE(TEXT(B4355,"[$-1170401]yyyy")),""))</f>
        <v/>
      </c>
      <c r="M4355">
        <f>IF(B4355="","",IFERROR(VALUE(TEXT(B4355,"[$-1170401]mm")),""))</f>
        <v/>
      </c>
    </row>
    <row r="4356">
      <c r="B4356" s="30" t="n"/>
      <c r="G4356" s="9">
        <f>IF(AND(E4356&lt;&gt;"",E4356&lt;&gt;0,H4356&lt;&gt;""),H4356/E4356,"")</f>
        <v/>
      </c>
      <c r="L4356">
        <f>IF(B4356="","",IFERROR(VALUE(TEXT(B4356,"[$-1170401]yyyy")),""))</f>
        <v/>
      </c>
      <c r="M4356">
        <f>IF(B4356="","",IFERROR(VALUE(TEXT(B4356,"[$-1170401]mm")),""))</f>
        <v/>
      </c>
    </row>
    <row r="4357">
      <c r="B4357" s="30" t="n"/>
      <c r="G4357" s="9">
        <f>IF(AND(E4357&lt;&gt;"",E4357&lt;&gt;0,H4357&lt;&gt;""),H4357/E4357,"")</f>
        <v/>
      </c>
      <c r="L4357">
        <f>IF(B4357="","",IFERROR(VALUE(TEXT(B4357,"[$-1170401]yyyy")),""))</f>
        <v/>
      </c>
      <c r="M4357">
        <f>IF(B4357="","",IFERROR(VALUE(TEXT(B4357,"[$-1170401]mm")),""))</f>
        <v/>
      </c>
    </row>
    <row r="4358">
      <c r="B4358" s="30" t="n"/>
      <c r="G4358" s="9">
        <f>IF(AND(E4358&lt;&gt;"",E4358&lt;&gt;0,H4358&lt;&gt;""),H4358/E4358,"")</f>
        <v/>
      </c>
      <c r="L4358">
        <f>IF(B4358="","",IFERROR(VALUE(TEXT(B4358,"[$-1170401]yyyy")),""))</f>
        <v/>
      </c>
      <c r="M4358">
        <f>IF(B4358="","",IFERROR(VALUE(TEXT(B4358,"[$-1170401]mm")),""))</f>
        <v/>
      </c>
    </row>
    <row r="4359">
      <c r="B4359" s="30" t="n"/>
      <c r="G4359" s="9">
        <f>IF(AND(E4359&lt;&gt;"",E4359&lt;&gt;0,H4359&lt;&gt;""),H4359/E4359,"")</f>
        <v/>
      </c>
      <c r="L4359">
        <f>IF(B4359="","",IFERROR(VALUE(TEXT(B4359,"[$-1170401]yyyy")),""))</f>
        <v/>
      </c>
      <c r="M4359">
        <f>IF(B4359="","",IFERROR(VALUE(TEXT(B4359,"[$-1170401]mm")),""))</f>
        <v/>
      </c>
    </row>
    <row r="4360">
      <c r="B4360" s="30" t="n"/>
      <c r="G4360" s="9">
        <f>IF(AND(E4360&lt;&gt;"",E4360&lt;&gt;0,H4360&lt;&gt;""),H4360/E4360,"")</f>
        <v/>
      </c>
      <c r="L4360">
        <f>IF(B4360="","",IFERROR(VALUE(TEXT(B4360,"[$-1170401]yyyy")),""))</f>
        <v/>
      </c>
      <c r="M4360">
        <f>IF(B4360="","",IFERROR(VALUE(TEXT(B4360,"[$-1170401]mm")),""))</f>
        <v/>
      </c>
    </row>
    <row r="4361">
      <c r="B4361" s="30" t="n"/>
      <c r="G4361" s="9">
        <f>IF(AND(E4361&lt;&gt;"",E4361&lt;&gt;0,H4361&lt;&gt;""),H4361/E4361,"")</f>
        <v/>
      </c>
      <c r="L4361">
        <f>IF(B4361="","",IFERROR(VALUE(TEXT(B4361,"[$-1170401]yyyy")),""))</f>
        <v/>
      </c>
      <c r="M4361">
        <f>IF(B4361="","",IFERROR(VALUE(TEXT(B4361,"[$-1170401]mm")),""))</f>
        <v/>
      </c>
    </row>
    <row r="4362">
      <c r="B4362" s="30" t="n"/>
      <c r="G4362" s="9">
        <f>IF(AND(E4362&lt;&gt;"",E4362&lt;&gt;0,H4362&lt;&gt;""),H4362/E4362,"")</f>
        <v/>
      </c>
      <c r="L4362">
        <f>IF(B4362="","",IFERROR(VALUE(TEXT(B4362,"[$-1170401]yyyy")),""))</f>
        <v/>
      </c>
      <c r="M4362">
        <f>IF(B4362="","",IFERROR(VALUE(TEXT(B4362,"[$-1170401]mm")),""))</f>
        <v/>
      </c>
    </row>
    <row r="4363">
      <c r="B4363" s="30" t="n"/>
      <c r="G4363" s="9">
        <f>IF(AND(E4363&lt;&gt;"",E4363&lt;&gt;0,H4363&lt;&gt;""),H4363/E4363,"")</f>
        <v/>
      </c>
      <c r="L4363">
        <f>IF(B4363="","",IFERROR(VALUE(TEXT(B4363,"[$-1170401]yyyy")),""))</f>
        <v/>
      </c>
      <c r="M4363">
        <f>IF(B4363="","",IFERROR(VALUE(TEXT(B4363,"[$-1170401]mm")),""))</f>
        <v/>
      </c>
    </row>
    <row r="4364">
      <c r="B4364" s="30" t="n"/>
      <c r="G4364" s="9">
        <f>IF(AND(E4364&lt;&gt;"",E4364&lt;&gt;0,H4364&lt;&gt;""),H4364/E4364,"")</f>
        <v/>
      </c>
      <c r="L4364">
        <f>IF(B4364="","",IFERROR(VALUE(TEXT(B4364,"[$-1170401]yyyy")),""))</f>
        <v/>
      </c>
      <c r="M4364">
        <f>IF(B4364="","",IFERROR(VALUE(TEXT(B4364,"[$-1170401]mm")),""))</f>
        <v/>
      </c>
    </row>
    <row r="4365">
      <c r="B4365" s="30" t="n"/>
      <c r="G4365" s="9">
        <f>IF(AND(E4365&lt;&gt;"",E4365&lt;&gt;0,H4365&lt;&gt;""),H4365/E4365,"")</f>
        <v/>
      </c>
      <c r="L4365">
        <f>IF(B4365="","",IFERROR(VALUE(TEXT(B4365,"[$-1170401]yyyy")),""))</f>
        <v/>
      </c>
      <c r="M4365">
        <f>IF(B4365="","",IFERROR(VALUE(TEXT(B4365,"[$-1170401]mm")),""))</f>
        <v/>
      </c>
    </row>
    <row r="4366">
      <c r="B4366" s="30" t="n"/>
      <c r="G4366" s="9">
        <f>IF(AND(E4366&lt;&gt;"",E4366&lt;&gt;0,H4366&lt;&gt;""),H4366/E4366,"")</f>
        <v/>
      </c>
      <c r="L4366">
        <f>IF(B4366="","",IFERROR(VALUE(TEXT(B4366,"[$-1170401]yyyy")),""))</f>
        <v/>
      </c>
      <c r="M4366">
        <f>IF(B4366="","",IFERROR(VALUE(TEXT(B4366,"[$-1170401]mm")),""))</f>
        <v/>
      </c>
    </row>
    <row r="4367">
      <c r="B4367" s="30" t="n"/>
      <c r="G4367" s="9">
        <f>IF(AND(E4367&lt;&gt;"",E4367&lt;&gt;0,H4367&lt;&gt;""),H4367/E4367,"")</f>
        <v/>
      </c>
      <c r="L4367">
        <f>IF(B4367="","",IFERROR(VALUE(TEXT(B4367,"[$-1170401]yyyy")),""))</f>
        <v/>
      </c>
      <c r="M4367">
        <f>IF(B4367="","",IFERROR(VALUE(TEXT(B4367,"[$-1170401]mm")),""))</f>
        <v/>
      </c>
    </row>
    <row r="4368">
      <c r="B4368" s="30" t="n"/>
      <c r="G4368" s="9">
        <f>IF(AND(E4368&lt;&gt;"",E4368&lt;&gt;0,H4368&lt;&gt;""),H4368/E4368,"")</f>
        <v/>
      </c>
      <c r="L4368">
        <f>IF(B4368="","",IFERROR(VALUE(TEXT(B4368,"[$-1170401]yyyy")),""))</f>
        <v/>
      </c>
      <c r="M4368">
        <f>IF(B4368="","",IFERROR(VALUE(TEXT(B4368,"[$-1170401]mm")),""))</f>
        <v/>
      </c>
    </row>
    <row r="4369">
      <c r="B4369" s="30" t="n"/>
      <c r="G4369" s="9">
        <f>IF(AND(E4369&lt;&gt;"",E4369&lt;&gt;0,H4369&lt;&gt;""),H4369/E4369,"")</f>
        <v/>
      </c>
      <c r="L4369">
        <f>IF(B4369="","",IFERROR(VALUE(TEXT(B4369,"[$-1170401]yyyy")),""))</f>
        <v/>
      </c>
      <c r="M4369">
        <f>IF(B4369="","",IFERROR(VALUE(TEXT(B4369,"[$-1170401]mm")),""))</f>
        <v/>
      </c>
    </row>
    <row r="4370">
      <c r="B4370" s="30" t="n"/>
      <c r="G4370" s="9">
        <f>IF(AND(E4370&lt;&gt;"",E4370&lt;&gt;0,H4370&lt;&gt;""),H4370/E4370,"")</f>
        <v/>
      </c>
      <c r="L4370">
        <f>IF(B4370="","",IFERROR(VALUE(TEXT(B4370,"[$-1170401]yyyy")),""))</f>
        <v/>
      </c>
      <c r="M4370">
        <f>IF(B4370="","",IFERROR(VALUE(TEXT(B4370,"[$-1170401]mm")),""))</f>
        <v/>
      </c>
    </row>
    <row r="4371">
      <c r="B4371" s="30" t="n"/>
      <c r="G4371" s="9">
        <f>IF(AND(E4371&lt;&gt;"",E4371&lt;&gt;0,H4371&lt;&gt;""),H4371/E4371,"")</f>
        <v/>
      </c>
      <c r="L4371">
        <f>IF(B4371="","",IFERROR(VALUE(TEXT(B4371,"[$-1170401]yyyy")),""))</f>
        <v/>
      </c>
      <c r="M4371">
        <f>IF(B4371="","",IFERROR(VALUE(TEXT(B4371,"[$-1170401]mm")),""))</f>
        <v/>
      </c>
    </row>
    <row r="4372">
      <c r="B4372" s="30" t="n"/>
      <c r="G4372" s="9">
        <f>IF(AND(E4372&lt;&gt;"",E4372&lt;&gt;0,H4372&lt;&gt;""),H4372/E4372,"")</f>
        <v/>
      </c>
      <c r="L4372">
        <f>IF(B4372="","",IFERROR(VALUE(TEXT(B4372,"[$-1170401]yyyy")),""))</f>
        <v/>
      </c>
      <c r="M4372">
        <f>IF(B4372="","",IFERROR(VALUE(TEXT(B4372,"[$-1170401]mm")),""))</f>
        <v/>
      </c>
    </row>
    <row r="4373">
      <c r="B4373" s="30" t="n"/>
      <c r="G4373" s="9">
        <f>IF(AND(E4373&lt;&gt;"",E4373&lt;&gt;0,H4373&lt;&gt;""),H4373/E4373,"")</f>
        <v/>
      </c>
      <c r="L4373">
        <f>IF(B4373="","",IFERROR(VALUE(TEXT(B4373,"[$-1170401]yyyy")),""))</f>
        <v/>
      </c>
      <c r="M4373">
        <f>IF(B4373="","",IFERROR(VALUE(TEXT(B4373,"[$-1170401]mm")),""))</f>
        <v/>
      </c>
    </row>
    <row r="4374">
      <c r="B4374" s="30" t="n"/>
      <c r="G4374" s="9">
        <f>IF(AND(E4374&lt;&gt;"",E4374&lt;&gt;0,H4374&lt;&gt;""),H4374/E4374,"")</f>
        <v/>
      </c>
      <c r="L4374">
        <f>IF(B4374="","",IFERROR(VALUE(TEXT(B4374,"[$-1170401]yyyy")),""))</f>
        <v/>
      </c>
      <c r="M4374">
        <f>IF(B4374="","",IFERROR(VALUE(TEXT(B4374,"[$-1170401]mm")),""))</f>
        <v/>
      </c>
    </row>
    <row r="4375">
      <c r="B4375" s="30" t="n"/>
      <c r="G4375" s="9">
        <f>IF(AND(E4375&lt;&gt;"",E4375&lt;&gt;0,H4375&lt;&gt;""),H4375/E4375,"")</f>
        <v/>
      </c>
      <c r="L4375">
        <f>IF(B4375="","",IFERROR(VALUE(TEXT(B4375,"[$-1170401]yyyy")),""))</f>
        <v/>
      </c>
      <c r="M4375">
        <f>IF(B4375="","",IFERROR(VALUE(TEXT(B4375,"[$-1170401]mm")),""))</f>
        <v/>
      </c>
    </row>
    <row r="4376">
      <c r="B4376" s="30" t="n"/>
      <c r="G4376" s="9">
        <f>IF(AND(E4376&lt;&gt;"",E4376&lt;&gt;0,H4376&lt;&gt;""),H4376/E4376,"")</f>
        <v/>
      </c>
      <c r="L4376">
        <f>IF(B4376="","",IFERROR(VALUE(TEXT(B4376,"[$-1170401]yyyy")),""))</f>
        <v/>
      </c>
      <c r="M4376">
        <f>IF(B4376="","",IFERROR(VALUE(TEXT(B4376,"[$-1170401]mm")),""))</f>
        <v/>
      </c>
    </row>
    <row r="4377">
      <c r="B4377" s="30" t="n"/>
      <c r="G4377" s="9">
        <f>IF(AND(E4377&lt;&gt;"",E4377&lt;&gt;0,H4377&lt;&gt;""),H4377/E4377,"")</f>
        <v/>
      </c>
      <c r="L4377">
        <f>IF(B4377="","",IFERROR(VALUE(TEXT(B4377,"[$-1170401]yyyy")),""))</f>
        <v/>
      </c>
      <c r="M4377">
        <f>IF(B4377="","",IFERROR(VALUE(TEXT(B4377,"[$-1170401]mm")),""))</f>
        <v/>
      </c>
    </row>
    <row r="4378">
      <c r="B4378" s="30" t="n"/>
      <c r="G4378" s="9">
        <f>IF(AND(E4378&lt;&gt;"",E4378&lt;&gt;0,H4378&lt;&gt;""),H4378/E4378,"")</f>
        <v/>
      </c>
      <c r="L4378">
        <f>IF(B4378="","",IFERROR(VALUE(TEXT(B4378,"[$-1170401]yyyy")),""))</f>
        <v/>
      </c>
      <c r="M4378">
        <f>IF(B4378="","",IFERROR(VALUE(TEXT(B4378,"[$-1170401]mm")),""))</f>
        <v/>
      </c>
    </row>
    <row r="4379">
      <c r="B4379" s="30" t="n"/>
      <c r="G4379" s="9">
        <f>IF(AND(E4379&lt;&gt;"",E4379&lt;&gt;0,H4379&lt;&gt;""),H4379/E4379,"")</f>
        <v/>
      </c>
      <c r="L4379">
        <f>IF(B4379="","",IFERROR(VALUE(TEXT(B4379,"[$-1170401]yyyy")),""))</f>
        <v/>
      </c>
      <c r="M4379">
        <f>IF(B4379="","",IFERROR(VALUE(TEXT(B4379,"[$-1170401]mm")),""))</f>
        <v/>
      </c>
    </row>
    <row r="4380">
      <c r="B4380" s="30" t="n"/>
      <c r="G4380" s="9">
        <f>IF(AND(E4380&lt;&gt;"",E4380&lt;&gt;0,H4380&lt;&gt;""),H4380/E4380,"")</f>
        <v/>
      </c>
      <c r="L4380">
        <f>IF(B4380="","",IFERROR(VALUE(TEXT(B4380,"[$-1170401]yyyy")),""))</f>
        <v/>
      </c>
      <c r="M4380">
        <f>IF(B4380="","",IFERROR(VALUE(TEXT(B4380,"[$-1170401]mm")),""))</f>
        <v/>
      </c>
    </row>
    <row r="4381">
      <c r="B4381" s="30" t="n"/>
      <c r="G4381" s="9">
        <f>IF(AND(E4381&lt;&gt;"",E4381&lt;&gt;0,H4381&lt;&gt;""),H4381/E4381,"")</f>
        <v/>
      </c>
      <c r="L4381">
        <f>IF(B4381="","",IFERROR(VALUE(TEXT(B4381,"[$-1170401]yyyy")),""))</f>
        <v/>
      </c>
      <c r="M4381">
        <f>IF(B4381="","",IFERROR(VALUE(TEXT(B4381,"[$-1170401]mm")),""))</f>
        <v/>
      </c>
    </row>
    <row r="4382">
      <c r="B4382" s="30" t="n"/>
      <c r="G4382" s="9">
        <f>IF(AND(E4382&lt;&gt;"",E4382&lt;&gt;0,H4382&lt;&gt;""),H4382/E4382,"")</f>
        <v/>
      </c>
      <c r="L4382">
        <f>IF(B4382="","",IFERROR(VALUE(TEXT(B4382,"[$-1170401]yyyy")),""))</f>
        <v/>
      </c>
      <c r="M4382">
        <f>IF(B4382="","",IFERROR(VALUE(TEXT(B4382,"[$-1170401]mm")),""))</f>
        <v/>
      </c>
    </row>
    <row r="4383">
      <c r="B4383" s="30" t="n"/>
      <c r="G4383" s="9">
        <f>IF(AND(E4383&lt;&gt;"",E4383&lt;&gt;0,H4383&lt;&gt;""),H4383/E4383,"")</f>
        <v/>
      </c>
      <c r="L4383">
        <f>IF(B4383="","",IFERROR(VALUE(TEXT(B4383,"[$-1170401]yyyy")),""))</f>
        <v/>
      </c>
      <c r="M4383">
        <f>IF(B4383="","",IFERROR(VALUE(TEXT(B4383,"[$-1170401]mm")),""))</f>
        <v/>
      </c>
    </row>
    <row r="4384">
      <c r="B4384" s="30" t="n"/>
      <c r="G4384" s="9">
        <f>IF(AND(E4384&lt;&gt;"",E4384&lt;&gt;0,H4384&lt;&gt;""),H4384/E4384,"")</f>
        <v/>
      </c>
      <c r="L4384">
        <f>IF(B4384="","",IFERROR(VALUE(TEXT(B4384,"[$-1170401]yyyy")),""))</f>
        <v/>
      </c>
      <c r="M4384">
        <f>IF(B4384="","",IFERROR(VALUE(TEXT(B4384,"[$-1170401]mm")),""))</f>
        <v/>
      </c>
    </row>
    <row r="4385">
      <c r="B4385" s="30" t="n"/>
      <c r="G4385" s="9">
        <f>IF(AND(E4385&lt;&gt;"",E4385&lt;&gt;0,H4385&lt;&gt;""),H4385/E4385,"")</f>
        <v/>
      </c>
      <c r="L4385">
        <f>IF(B4385="","",IFERROR(VALUE(TEXT(B4385,"[$-1170401]yyyy")),""))</f>
        <v/>
      </c>
      <c r="M4385">
        <f>IF(B4385="","",IFERROR(VALUE(TEXT(B4385,"[$-1170401]mm")),""))</f>
        <v/>
      </c>
    </row>
    <row r="4386">
      <c r="B4386" s="30" t="n"/>
      <c r="G4386" s="9">
        <f>IF(AND(E4386&lt;&gt;"",E4386&lt;&gt;0,H4386&lt;&gt;""),H4386/E4386,"")</f>
        <v/>
      </c>
      <c r="L4386">
        <f>IF(B4386="","",IFERROR(VALUE(TEXT(B4386,"[$-1170401]yyyy")),""))</f>
        <v/>
      </c>
      <c r="M4386">
        <f>IF(B4386="","",IFERROR(VALUE(TEXT(B4386,"[$-1170401]mm")),""))</f>
        <v/>
      </c>
    </row>
    <row r="4387">
      <c r="B4387" s="30" t="n"/>
      <c r="G4387" s="9">
        <f>IF(AND(E4387&lt;&gt;"",E4387&lt;&gt;0,H4387&lt;&gt;""),H4387/E4387,"")</f>
        <v/>
      </c>
      <c r="L4387">
        <f>IF(B4387="","",IFERROR(VALUE(TEXT(B4387,"[$-1170401]yyyy")),""))</f>
        <v/>
      </c>
      <c r="M4387">
        <f>IF(B4387="","",IFERROR(VALUE(TEXT(B4387,"[$-1170401]mm")),""))</f>
        <v/>
      </c>
    </row>
    <row r="4388">
      <c r="B4388" s="30" t="n"/>
      <c r="G4388" s="9">
        <f>IF(AND(E4388&lt;&gt;"",E4388&lt;&gt;0,H4388&lt;&gt;""),H4388/E4388,"")</f>
        <v/>
      </c>
      <c r="L4388">
        <f>IF(B4388="","",IFERROR(VALUE(TEXT(B4388,"[$-1170401]yyyy")),""))</f>
        <v/>
      </c>
      <c r="M4388">
        <f>IF(B4388="","",IFERROR(VALUE(TEXT(B4388,"[$-1170401]mm")),""))</f>
        <v/>
      </c>
    </row>
    <row r="4389">
      <c r="B4389" s="30" t="n"/>
      <c r="G4389" s="9">
        <f>IF(AND(E4389&lt;&gt;"",E4389&lt;&gt;0,H4389&lt;&gt;""),H4389/E4389,"")</f>
        <v/>
      </c>
      <c r="L4389">
        <f>IF(B4389="","",IFERROR(VALUE(TEXT(B4389,"[$-1170401]yyyy")),""))</f>
        <v/>
      </c>
      <c r="M4389">
        <f>IF(B4389="","",IFERROR(VALUE(TEXT(B4389,"[$-1170401]mm")),""))</f>
        <v/>
      </c>
    </row>
    <row r="4390">
      <c r="B4390" s="30" t="n"/>
      <c r="G4390" s="9">
        <f>IF(AND(E4390&lt;&gt;"",E4390&lt;&gt;0,H4390&lt;&gt;""),H4390/E4390,"")</f>
        <v/>
      </c>
      <c r="L4390">
        <f>IF(B4390="","",IFERROR(VALUE(TEXT(B4390,"[$-1170401]yyyy")),""))</f>
        <v/>
      </c>
      <c r="M4390">
        <f>IF(B4390="","",IFERROR(VALUE(TEXT(B4390,"[$-1170401]mm")),""))</f>
        <v/>
      </c>
    </row>
    <row r="4391">
      <c r="B4391" s="30" t="n"/>
      <c r="G4391" s="9">
        <f>IF(AND(E4391&lt;&gt;"",E4391&lt;&gt;0,H4391&lt;&gt;""),H4391/E4391,"")</f>
        <v/>
      </c>
      <c r="L4391">
        <f>IF(B4391="","",IFERROR(VALUE(TEXT(B4391,"[$-1170401]yyyy")),""))</f>
        <v/>
      </c>
      <c r="M4391">
        <f>IF(B4391="","",IFERROR(VALUE(TEXT(B4391,"[$-1170401]mm")),""))</f>
        <v/>
      </c>
    </row>
    <row r="4392">
      <c r="B4392" s="30" t="n"/>
      <c r="G4392" s="9">
        <f>IF(AND(E4392&lt;&gt;"",E4392&lt;&gt;0,H4392&lt;&gt;""),H4392/E4392,"")</f>
        <v/>
      </c>
      <c r="L4392">
        <f>IF(B4392="","",IFERROR(VALUE(TEXT(B4392,"[$-1170401]yyyy")),""))</f>
        <v/>
      </c>
      <c r="M4392">
        <f>IF(B4392="","",IFERROR(VALUE(TEXT(B4392,"[$-1170401]mm")),""))</f>
        <v/>
      </c>
    </row>
    <row r="4393">
      <c r="B4393" s="30" t="n"/>
      <c r="G4393" s="9">
        <f>IF(AND(E4393&lt;&gt;"",E4393&lt;&gt;0,H4393&lt;&gt;""),H4393/E4393,"")</f>
        <v/>
      </c>
      <c r="L4393">
        <f>IF(B4393="","",IFERROR(VALUE(TEXT(B4393,"[$-1170401]yyyy")),""))</f>
        <v/>
      </c>
      <c r="M4393">
        <f>IF(B4393="","",IFERROR(VALUE(TEXT(B4393,"[$-1170401]mm")),""))</f>
        <v/>
      </c>
    </row>
    <row r="4394">
      <c r="B4394" s="30" t="n"/>
      <c r="G4394" s="9">
        <f>IF(AND(E4394&lt;&gt;"",E4394&lt;&gt;0,H4394&lt;&gt;""),H4394/E4394,"")</f>
        <v/>
      </c>
      <c r="L4394">
        <f>IF(B4394="","",IFERROR(VALUE(TEXT(B4394,"[$-1170401]yyyy")),""))</f>
        <v/>
      </c>
      <c r="M4394">
        <f>IF(B4394="","",IFERROR(VALUE(TEXT(B4394,"[$-1170401]mm")),""))</f>
        <v/>
      </c>
    </row>
    <row r="4395">
      <c r="B4395" s="30" t="n"/>
      <c r="G4395" s="9">
        <f>IF(AND(E4395&lt;&gt;"",E4395&lt;&gt;0,H4395&lt;&gt;""),H4395/E4395,"")</f>
        <v/>
      </c>
      <c r="L4395">
        <f>IF(B4395="","",IFERROR(VALUE(TEXT(B4395,"[$-1170401]yyyy")),""))</f>
        <v/>
      </c>
      <c r="M4395">
        <f>IF(B4395="","",IFERROR(VALUE(TEXT(B4395,"[$-1170401]mm")),""))</f>
        <v/>
      </c>
    </row>
    <row r="4396">
      <c r="B4396" s="30" t="n"/>
      <c r="G4396" s="9">
        <f>IF(AND(E4396&lt;&gt;"",E4396&lt;&gt;0,H4396&lt;&gt;""),H4396/E4396,"")</f>
        <v/>
      </c>
      <c r="L4396">
        <f>IF(B4396="","",IFERROR(VALUE(TEXT(B4396,"[$-1170401]yyyy")),""))</f>
        <v/>
      </c>
      <c r="M4396">
        <f>IF(B4396="","",IFERROR(VALUE(TEXT(B4396,"[$-1170401]mm")),""))</f>
        <v/>
      </c>
    </row>
    <row r="4397">
      <c r="B4397" s="30" t="n"/>
      <c r="G4397" s="9">
        <f>IF(AND(E4397&lt;&gt;"",E4397&lt;&gt;0,H4397&lt;&gt;""),H4397/E4397,"")</f>
        <v/>
      </c>
      <c r="L4397">
        <f>IF(B4397="","",IFERROR(VALUE(TEXT(B4397,"[$-1170401]yyyy")),""))</f>
        <v/>
      </c>
      <c r="M4397">
        <f>IF(B4397="","",IFERROR(VALUE(TEXT(B4397,"[$-1170401]mm")),""))</f>
        <v/>
      </c>
    </row>
    <row r="4398">
      <c r="B4398" s="30" t="n"/>
      <c r="G4398" s="9">
        <f>IF(AND(E4398&lt;&gt;"",E4398&lt;&gt;0,H4398&lt;&gt;""),H4398/E4398,"")</f>
        <v/>
      </c>
      <c r="L4398">
        <f>IF(B4398="","",IFERROR(VALUE(TEXT(B4398,"[$-1170401]yyyy")),""))</f>
        <v/>
      </c>
      <c r="M4398">
        <f>IF(B4398="","",IFERROR(VALUE(TEXT(B4398,"[$-1170401]mm")),""))</f>
        <v/>
      </c>
    </row>
    <row r="4399">
      <c r="B4399" s="30" t="n"/>
      <c r="G4399" s="9">
        <f>IF(AND(E4399&lt;&gt;"",E4399&lt;&gt;0,H4399&lt;&gt;""),H4399/E4399,"")</f>
        <v/>
      </c>
      <c r="L4399">
        <f>IF(B4399="","",IFERROR(VALUE(TEXT(B4399,"[$-1170401]yyyy")),""))</f>
        <v/>
      </c>
      <c r="M4399">
        <f>IF(B4399="","",IFERROR(VALUE(TEXT(B4399,"[$-1170401]mm")),""))</f>
        <v/>
      </c>
    </row>
    <row r="4400">
      <c r="B4400" s="30" t="n"/>
      <c r="G4400" s="9">
        <f>IF(AND(E4400&lt;&gt;"",E4400&lt;&gt;0,H4400&lt;&gt;""),H4400/E4400,"")</f>
        <v/>
      </c>
      <c r="L4400">
        <f>IF(B4400="","",IFERROR(VALUE(TEXT(B4400,"[$-1170401]yyyy")),""))</f>
        <v/>
      </c>
      <c r="M4400">
        <f>IF(B4400="","",IFERROR(VALUE(TEXT(B4400,"[$-1170401]mm")),""))</f>
        <v/>
      </c>
    </row>
    <row r="4401">
      <c r="B4401" s="30" t="n"/>
      <c r="G4401" s="9">
        <f>IF(AND(E4401&lt;&gt;"",E4401&lt;&gt;0,H4401&lt;&gt;""),H4401/E4401,"")</f>
        <v/>
      </c>
      <c r="L4401">
        <f>IF(B4401="","",IFERROR(VALUE(TEXT(B4401,"[$-1170401]yyyy")),""))</f>
        <v/>
      </c>
      <c r="M4401">
        <f>IF(B4401="","",IFERROR(VALUE(TEXT(B4401,"[$-1170401]mm")),""))</f>
        <v/>
      </c>
    </row>
    <row r="4402">
      <c r="B4402" s="30" t="n"/>
      <c r="G4402" s="9">
        <f>IF(AND(E4402&lt;&gt;"",E4402&lt;&gt;0,H4402&lt;&gt;""),H4402/E4402,"")</f>
        <v/>
      </c>
      <c r="L4402">
        <f>IF(B4402="","",IFERROR(VALUE(TEXT(B4402,"[$-1170401]yyyy")),""))</f>
        <v/>
      </c>
      <c r="M4402">
        <f>IF(B4402="","",IFERROR(VALUE(TEXT(B4402,"[$-1170401]mm")),""))</f>
        <v/>
      </c>
    </row>
    <row r="4403">
      <c r="B4403" s="30" t="n"/>
      <c r="G4403" s="9">
        <f>IF(AND(E4403&lt;&gt;"",E4403&lt;&gt;0,H4403&lt;&gt;""),H4403/E4403,"")</f>
        <v/>
      </c>
      <c r="L4403">
        <f>IF(B4403="","",IFERROR(VALUE(TEXT(B4403,"[$-1170401]yyyy")),""))</f>
        <v/>
      </c>
      <c r="M4403">
        <f>IF(B4403="","",IFERROR(VALUE(TEXT(B4403,"[$-1170401]mm")),""))</f>
        <v/>
      </c>
    </row>
    <row r="4404">
      <c r="B4404" s="30" t="n"/>
      <c r="G4404" s="9">
        <f>IF(AND(E4404&lt;&gt;"",E4404&lt;&gt;0,H4404&lt;&gt;""),H4404/E4404,"")</f>
        <v/>
      </c>
      <c r="L4404">
        <f>IF(B4404="","",IFERROR(VALUE(TEXT(B4404,"[$-1170401]yyyy")),""))</f>
        <v/>
      </c>
      <c r="M4404">
        <f>IF(B4404="","",IFERROR(VALUE(TEXT(B4404,"[$-1170401]mm")),""))</f>
        <v/>
      </c>
    </row>
    <row r="4405">
      <c r="B4405" s="30" t="n"/>
      <c r="G4405" s="9">
        <f>IF(AND(E4405&lt;&gt;"",E4405&lt;&gt;0,H4405&lt;&gt;""),H4405/E4405,"")</f>
        <v/>
      </c>
      <c r="L4405">
        <f>IF(B4405="","",IFERROR(VALUE(TEXT(B4405,"[$-1170401]yyyy")),""))</f>
        <v/>
      </c>
      <c r="M4405">
        <f>IF(B4405="","",IFERROR(VALUE(TEXT(B4405,"[$-1170401]mm")),""))</f>
        <v/>
      </c>
    </row>
    <row r="4406">
      <c r="B4406" s="30" t="n"/>
      <c r="G4406" s="9">
        <f>IF(AND(E4406&lt;&gt;"",E4406&lt;&gt;0,H4406&lt;&gt;""),H4406/E4406,"")</f>
        <v/>
      </c>
      <c r="L4406">
        <f>IF(B4406="","",IFERROR(VALUE(TEXT(B4406,"[$-1170401]yyyy")),""))</f>
        <v/>
      </c>
      <c r="M4406">
        <f>IF(B4406="","",IFERROR(VALUE(TEXT(B4406,"[$-1170401]mm")),""))</f>
        <v/>
      </c>
    </row>
    <row r="4407">
      <c r="B4407" s="30" t="n"/>
      <c r="G4407" s="9">
        <f>IF(AND(E4407&lt;&gt;"",E4407&lt;&gt;0,H4407&lt;&gt;""),H4407/E4407,"")</f>
        <v/>
      </c>
      <c r="L4407">
        <f>IF(B4407="","",IFERROR(VALUE(TEXT(B4407,"[$-1170401]yyyy")),""))</f>
        <v/>
      </c>
      <c r="M4407">
        <f>IF(B4407="","",IFERROR(VALUE(TEXT(B4407,"[$-1170401]mm")),""))</f>
        <v/>
      </c>
    </row>
    <row r="4408">
      <c r="B4408" s="30" t="n"/>
      <c r="G4408" s="9">
        <f>IF(AND(E4408&lt;&gt;"",E4408&lt;&gt;0,H4408&lt;&gt;""),H4408/E4408,"")</f>
        <v/>
      </c>
      <c r="L4408">
        <f>IF(B4408="","",IFERROR(VALUE(TEXT(B4408,"[$-1170401]yyyy")),""))</f>
        <v/>
      </c>
      <c r="M4408">
        <f>IF(B4408="","",IFERROR(VALUE(TEXT(B4408,"[$-1170401]mm")),""))</f>
        <v/>
      </c>
    </row>
    <row r="4409">
      <c r="B4409" s="30" t="n"/>
      <c r="G4409" s="9">
        <f>IF(AND(E4409&lt;&gt;"",E4409&lt;&gt;0,H4409&lt;&gt;""),H4409/E4409,"")</f>
        <v/>
      </c>
      <c r="L4409">
        <f>IF(B4409="","",IFERROR(VALUE(TEXT(B4409,"[$-1170401]yyyy")),""))</f>
        <v/>
      </c>
      <c r="M4409">
        <f>IF(B4409="","",IFERROR(VALUE(TEXT(B4409,"[$-1170401]mm")),""))</f>
        <v/>
      </c>
    </row>
    <row r="4410">
      <c r="B4410" s="30" t="n"/>
      <c r="G4410" s="9">
        <f>IF(AND(E4410&lt;&gt;"",E4410&lt;&gt;0,H4410&lt;&gt;""),H4410/E4410,"")</f>
        <v/>
      </c>
      <c r="L4410">
        <f>IF(B4410="","",IFERROR(VALUE(TEXT(B4410,"[$-1170401]yyyy")),""))</f>
        <v/>
      </c>
      <c r="M4410">
        <f>IF(B4410="","",IFERROR(VALUE(TEXT(B4410,"[$-1170401]mm")),""))</f>
        <v/>
      </c>
    </row>
    <row r="4411">
      <c r="B4411" s="30" t="n"/>
      <c r="G4411" s="9">
        <f>IF(AND(E4411&lt;&gt;"",E4411&lt;&gt;0,H4411&lt;&gt;""),H4411/E4411,"")</f>
        <v/>
      </c>
      <c r="L4411">
        <f>IF(B4411="","",IFERROR(VALUE(TEXT(B4411,"[$-1170401]yyyy")),""))</f>
        <v/>
      </c>
      <c r="M4411">
        <f>IF(B4411="","",IFERROR(VALUE(TEXT(B4411,"[$-1170401]mm")),""))</f>
        <v/>
      </c>
    </row>
    <row r="4412">
      <c r="B4412" s="30" t="n"/>
      <c r="G4412" s="9">
        <f>IF(AND(E4412&lt;&gt;"",E4412&lt;&gt;0,H4412&lt;&gt;""),H4412/E4412,"")</f>
        <v/>
      </c>
      <c r="L4412">
        <f>IF(B4412="","",IFERROR(VALUE(TEXT(B4412,"[$-1170401]yyyy")),""))</f>
        <v/>
      </c>
      <c r="M4412">
        <f>IF(B4412="","",IFERROR(VALUE(TEXT(B4412,"[$-1170401]mm")),""))</f>
        <v/>
      </c>
    </row>
    <row r="4413">
      <c r="B4413" s="30" t="n"/>
      <c r="G4413" s="9">
        <f>IF(AND(E4413&lt;&gt;"",E4413&lt;&gt;0,H4413&lt;&gt;""),H4413/E4413,"")</f>
        <v/>
      </c>
      <c r="L4413">
        <f>IF(B4413="","",IFERROR(VALUE(TEXT(B4413,"[$-1170401]yyyy")),""))</f>
        <v/>
      </c>
      <c r="M4413">
        <f>IF(B4413="","",IFERROR(VALUE(TEXT(B4413,"[$-1170401]mm")),""))</f>
        <v/>
      </c>
    </row>
    <row r="4414">
      <c r="B4414" s="30" t="n"/>
      <c r="G4414" s="9">
        <f>IF(AND(E4414&lt;&gt;"",E4414&lt;&gt;0,H4414&lt;&gt;""),H4414/E4414,"")</f>
        <v/>
      </c>
      <c r="L4414">
        <f>IF(B4414="","",IFERROR(VALUE(TEXT(B4414,"[$-1170401]yyyy")),""))</f>
        <v/>
      </c>
      <c r="M4414">
        <f>IF(B4414="","",IFERROR(VALUE(TEXT(B4414,"[$-1170401]mm")),""))</f>
        <v/>
      </c>
    </row>
    <row r="4415">
      <c r="B4415" s="30" t="n"/>
      <c r="G4415" s="9">
        <f>IF(AND(E4415&lt;&gt;"",E4415&lt;&gt;0,H4415&lt;&gt;""),H4415/E4415,"")</f>
        <v/>
      </c>
      <c r="L4415">
        <f>IF(B4415="","",IFERROR(VALUE(TEXT(B4415,"[$-1170401]yyyy")),""))</f>
        <v/>
      </c>
      <c r="M4415">
        <f>IF(B4415="","",IFERROR(VALUE(TEXT(B4415,"[$-1170401]mm")),""))</f>
        <v/>
      </c>
    </row>
    <row r="4416">
      <c r="B4416" s="30" t="n"/>
      <c r="G4416" s="9">
        <f>IF(AND(E4416&lt;&gt;"",E4416&lt;&gt;0,H4416&lt;&gt;""),H4416/E4416,"")</f>
        <v/>
      </c>
      <c r="L4416">
        <f>IF(B4416="","",IFERROR(VALUE(TEXT(B4416,"[$-1170401]yyyy")),""))</f>
        <v/>
      </c>
      <c r="M4416">
        <f>IF(B4416="","",IFERROR(VALUE(TEXT(B4416,"[$-1170401]mm")),""))</f>
        <v/>
      </c>
    </row>
    <row r="4417">
      <c r="B4417" s="30" t="n"/>
      <c r="G4417" s="9">
        <f>IF(AND(E4417&lt;&gt;"",E4417&lt;&gt;0,H4417&lt;&gt;""),H4417/E4417,"")</f>
        <v/>
      </c>
      <c r="L4417">
        <f>IF(B4417="","",IFERROR(VALUE(TEXT(B4417,"[$-1170401]yyyy")),""))</f>
        <v/>
      </c>
      <c r="M4417">
        <f>IF(B4417="","",IFERROR(VALUE(TEXT(B4417,"[$-1170401]mm")),""))</f>
        <v/>
      </c>
    </row>
    <row r="4418">
      <c r="B4418" s="30" t="n"/>
      <c r="G4418" s="9">
        <f>IF(AND(E4418&lt;&gt;"",E4418&lt;&gt;0,H4418&lt;&gt;""),H4418/E4418,"")</f>
        <v/>
      </c>
      <c r="L4418">
        <f>IF(B4418="","",IFERROR(VALUE(TEXT(B4418,"[$-1170401]yyyy")),""))</f>
        <v/>
      </c>
      <c r="M4418">
        <f>IF(B4418="","",IFERROR(VALUE(TEXT(B4418,"[$-1170401]mm")),""))</f>
        <v/>
      </c>
    </row>
    <row r="4419">
      <c r="B4419" s="30" t="n"/>
      <c r="G4419" s="9">
        <f>IF(AND(E4419&lt;&gt;"",E4419&lt;&gt;0,H4419&lt;&gt;""),H4419/E4419,"")</f>
        <v/>
      </c>
      <c r="L4419">
        <f>IF(B4419="","",IFERROR(VALUE(TEXT(B4419,"[$-1170401]yyyy")),""))</f>
        <v/>
      </c>
      <c r="M4419">
        <f>IF(B4419="","",IFERROR(VALUE(TEXT(B4419,"[$-1170401]mm")),""))</f>
        <v/>
      </c>
    </row>
    <row r="4420">
      <c r="B4420" s="30" t="n"/>
      <c r="G4420" s="9">
        <f>IF(AND(E4420&lt;&gt;"",E4420&lt;&gt;0,H4420&lt;&gt;""),H4420/E4420,"")</f>
        <v/>
      </c>
      <c r="L4420">
        <f>IF(B4420="","",IFERROR(VALUE(TEXT(B4420,"[$-1170401]yyyy")),""))</f>
        <v/>
      </c>
      <c r="M4420">
        <f>IF(B4420="","",IFERROR(VALUE(TEXT(B4420,"[$-1170401]mm")),""))</f>
        <v/>
      </c>
    </row>
    <row r="4421">
      <c r="B4421" s="30" t="n"/>
      <c r="G4421" s="9">
        <f>IF(AND(E4421&lt;&gt;"",E4421&lt;&gt;0,H4421&lt;&gt;""),H4421/E4421,"")</f>
        <v/>
      </c>
      <c r="L4421">
        <f>IF(B4421="","",IFERROR(VALUE(TEXT(B4421,"[$-1170401]yyyy")),""))</f>
        <v/>
      </c>
      <c r="M4421">
        <f>IF(B4421="","",IFERROR(VALUE(TEXT(B4421,"[$-1170401]mm")),""))</f>
        <v/>
      </c>
    </row>
    <row r="4422">
      <c r="B4422" s="30" t="n"/>
      <c r="G4422" s="9">
        <f>IF(AND(E4422&lt;&gt;"",E4422&lt;&gt;0,H4422&lt;&gt;""),H4422/E4422,"")</f>
        <v/>
      </c>
      <c r="L4422">
        <f>IF(B4422="","",IFERROR(VALUE(TEXT(B4422,"[$-1170401]yyyy")),""))</f>
        <v/>
      </c>
      <c r="M4422">
        <f>IF(B4422="","",IFERROR(VALUE(TEXT(B4422,"[$-1170401]mm")),""))</f>
        <v/>
      </c>
    </row>
    <row r="4423">
      <c r="B4423" s="30" t="n"/>
      <c r="G4423" s="9">
        <f>IF(AND(E4423&lt;&gt;"",E4423&lt;&gt;0,H4423&lt;&gt;""),H4423/E4423,"")</f>
        <v/>
      </c>
      <c r="L4423">
        <f>IF(B4423="","",IFERROR(VALUE(TEXT(B4423,"[$-1170401]yyyy")),""))</f>
        <v/>
      </c>
      <c r="M4423">
        <f>IF(B4423="","",IFERROR(VALUE(TEXT(B4423,"[$-1170401]mm")),""))</f>
        <v/>
      </c>
    </row>
    <row r="4424">
      <c r="B4424" s="30" t="n"/>
      <c r="G4424" s="9">
        <f>IF(AND(E4424&lt;&gt;"",E4424&lt;&gt;0,H4424&lt;&gt;""),H4424/E4424,"")</f>
        <v/>
      </c>
      <c r="L4424">
        <f>IF(B4424="","",IFERROR(VALUE(TEXT(B4424,"[$-1170401]yyyy")),""))</f>
        <v/>
      </c>
      <c r="M4424">
        <f>IF(B4424="","",IFERROR(VALUE(TEXT(B4424,"[$-1170401]mm")),""))</f>
        <v/>
      </c>
    </row>
    <row r="4425">
      <c r="B4425" s="30" t="n"/>
      <c r="G4425" s="9">
        <f>IF(AND(E4425&lt;&gt;"",E4425&lt;&gt;0,H4425&lt;&gt;""),H4425/E4425,"")</f>
        <v/>
      </c>
      <c r="L4425">
        <f>IF(B4425="","",IFERROR(VALUE(TEXT(B4425,"[$-1170401]yyyy")),""))</f>
        <v/>
      </c>
      <c r="M4425">
        <f>IF(B4425="","",IFERROR(VALUE(TEXT(B4425,"[$-1170401]mm")),""))</f>
        <v/>
      </c>
    </row>
    <row r="4426">
      <c r="B4426" s="30" t="n"/>
      <c r="G4426" s="9">
        <f>IF(AND(E4426&lt;&gt;"",E4426&lt;&gt;0,H4426&lt;&gt;""),H4426/E4426,"")</f>
        <v/>
      </c>
      <c r="L4426">
        <f>IF(B4426="","",IFERROR(VALUE(TEXT(B4426,"[$-1170401]yyyy")),""))</f>
        <v/>
      </c>
      <c r="M4426">
        <f>IF(B4426="","",IFERROR(VALUE(TEXT(B4426,"[$-1170401]mm")),""))</f>
        <v/>
      </c>
    </row>
    <row r="4427">
      <c r="B4427" s="30" t="n"/>
      <c r="G4427" s="9">
        <f>IF(AND(E4427&lt;&gt;"",E4427&lt;&gt;0,H4427&lt;&gt;""),H4427/E4427,"")</f>
        <v/>
      </c>
      <c r="L4427">
        <f>IF(B4427="","",IFERROR(VALUE(TEXT(B4427,"[$-1170401]yyyy")),""))</f>
        <v/>
      </c>
      <c r="M4427">
        <f>IF(B4427="","",IFERROR(VALUE(TEXT(B4427,"[$-1170401]mm")),""))</f>
        <v/>
      </c>
    </row>
    <row r="4428">
      <c r="B4428" s="30" t="n"/>
      <c r="G4428" s="9">
        <f>IF(AND(E4428&lt;&gt;"",E4428&lt;&gt;0,H4428&lt;&gt;""),H4428/E4428,"")</f>
        <v/>
      </c>
      <c r="L4428">
        <f>IF(B4428="","",IFERROR(VALUE(TEXT(B4428,"[$-1170401]yyyy")),""))</f>
        <v/>
      </c>
      <c r="M4428">
        <f>IF(B4428="","",IFERROR(VALUE(TEXT(B4428,"[$-1170401]mm")),""))</f>
        <v/>
      </c>
    </row>
    <row r="4429">
      <c r="B4429" s="30" t="n"/>
      <c r="G4429" s="9">
        <f>IF(AND(E4429&lt;&gt;"",E4429&lt;&gt;0,H4429&lt;&gt;""),H4429/E4429,"")</f>
        <v/>
      </c>
      <c r="L4429">
        <f>IF(B4429="","",IFERROR(VALUE(TEXT(B4429,"[$-1170401]yyyy")),""))</f>
        <v/>
      </c>
      <c r="M4429">
        <f>IF(B4429="","",IFERROR(VALUE(TEXT(B4429,"[$-1170401]mm")),""))</f>
        <v/>
      </c>
    </row>
    <row r="4430">
      <c r="B4430" s="30" t="n"/>
      <c r="G4430" s="9">
        <f>IF(AND(E4430&lt;&gt;"",E4430&lt;&gt;0,H4430&lt;&gt;""),H4430/E4430,"")</f>
        <v/>
      </c>
      <c r="L4430">
        <f>IF(B4430="","",IFERROR(VALUE(TEXT(B4430,"[$-1170401]yyyy")),""))</f>
        <v/>
      </c>
      <c r="M4430">
        <f>IF(B4430="","",IFERROR(VALUE(TEXT(B4430,"[$-1170401]mm")),""))</f>
        <v/>
      </c>
    </row>
    <row r="4431">
      <c r="B4431" s="30" t="n"/>
      <c r="G4431" s="9">
        <f>IF(AND(E4431&lt;&gt;"",E4431&lt;&gt;0,H4431&lt;&gt;""),H4431/E4431,"")</f>
        <v/>
      </c>
      <c r="L4431">
        <f>IF(B4431="","",IFERROR(VALUE(TEXT(B4431,"[$-1170401]yyyy")),""))</f>
        <v/>
      </c>
      <c r="M4431">
        <f>IF(B4431="","",IFERROR(VALUE(TEXT(B4431,"[$-1170401]mm")),""))</f>
        <v/>
      </c>
    </row>
    <row r="4432">
      <c r="B4432" s="30" t="n"/>
      <c r="G4432" s="9">
        <f>IF(AND(E4432&lt;&gt;"",E4432&lt;&gt;0,H4432&lt;&gt;""),H4432/E4432,"")</f>
        <v/>
      </c>
      <c r="L4432">
        <f>IF(B4432="","",IFERROR(VALUE(TEXT(B4432,"[$-1170401]yyyy")),""))</f>
        <v/>
      </c>
      <c r="M4432">
        <f>IF(B4432="","",IFERROR(VALUE(TEXT(B4432,"[$-1170401]mm")),""))</f>
        <v/>
      </c>
    </row>
    <row r="4433">
      <c r="B4433" s="30" t="n"/>
      <c r="G4433" s="9">
        <f>IF(AND(E4433&lt;&gt;"",E4433&lt;&gt;0,H4433&lt;&gt;""),H4433/E4433,"")</f>
        <v/>
      </c>
      <c r="L4433">
        <f>IF(B4433="","",IFERROR(VALUE(TEXT(B4433,"[$-1170401]yyyy")),""))</f>
        <v/>
      </c>
      <c r="M4433">
        <f>IF(B4433="","",IFERROR(VALUE(TEXT(B4433,"[$-1170401]mm")),""))</f>
        <v/>
      </c>
    </row>
    <row r="4434">
      <c r="B4434" s="30" t="n"/>
      <c r="G4434" s="9">
        <f>IF(AND(E4434&lt;&gt;"",E4434&lt;&gt;0,H4434&lt;&gt;""),H4434/E4434,"")</f>
        <v/>
      </c>
      <c r="L4434">
        <f>IF(B4434="","",IFERROR(VALUE(TEXT(B4434,"[$-1170401]yyyy")),""))</f>
        <v/>
      </c>
      <c r="M4434">
        <f>IF(B4434="","",IFERROR(VALUE(TEXT(B4434,"[$-1170401]mm")),""))</f>
        <v/>
      </c>
    </row>
    <row r="4435">
      <c r="B4435" s="30" t="n"/>
      <c r="G4435" s="9">
        <f>IF(AND(E4435&lt;&gt;"",E4435&lt;&gt;0,H4435&lt;&gt;""),H4435/E4435,"")</f>
        <v/>
      </c>
      <c r="L4435">
        <f>IF(B4435="","",IFERROR(VALUE(TEXT(B4435,"[$-1170401]yyyy")),""))</f>
        <v/>
      </c>
      <c r="M4435">
        <f>IF(B4435="","",IFERROR(VALUE(TEXT(B4435,"[$-1170401]mm")),""))</f>
        <v/>
      </c>
    </row>
    <row r="4436">
      <c r="B4436" s="30" t="n"/>
      <c r="G4436" s="9">
        <f>IF(AND(E4436&lt;&gt;"",E4436&lt;&gt;0,H4436&lt;&gt;""),H4436/E4436,"")</f>
        <v/>
      </c>
      <c r="L4436">
        <f>IF(B4436="","",IFERROR(VALUE(TEXT(B4436,"[$-1170401]yyyy")),""))</f>
        <v/>
      </c>
      <c r="M4436">
        <f>IF(B4436="","",IFERROR(VALUE(TEXT(B4436,"[$-1170401]mm")),""))</f>
        <v/>
      </c>
    </row>
    <row r="4437">
      <c r="B4437" s="30" t="n"/>
      <c r="G4437" s="9">
        <f>IF(AND(E4437&lt;&gt;"",E4437&lt;&gt;0,H4437&lt;&gt;""),H4437/E4437,"")</f>
        <v/>
      </c>
      <c r="L4437">
        <f>IF(B4437="","",IFERROR(VALUE(TEXT(B4437,"[$-1170401]yyyy")),""))</f>
        <v/>
      </c>
      <c r="M4437">
        <f>IF(B4437="","",IFERROR(VALUE(TEXT(B4437,"[$-1170401]mm")),""))</f>
        <v/>
      </c>
    </row>
    <row r="4438">
      <c r="B4438" s="30" t="n"/>
      <c r="G4438" s="9">
        <f>IF(AND(E4438&lt;&gt;"",E4438&lt;&gt;0,H4438&lt;&gt;""),H4438/E4438,"")</f>
        <v/>
      </c>
      <c r="L4438">
        <f>IF(B4438="","",IFERROR(VALUE(TEXT(B4438,"[$-1170401]yyyy")),""))</f>
        <v/>
      </c>
      <c r="M4438">
        <f>IF(B4438="","",IFERROR(VALUE(TEXT(B4438,"[$-1170401]mm")),""))</f>
        <v/>
      </c>
    </row>
    <row r="4439">
      <c r="B4439" s="30" t="n"/>
      <c r="G4439" s="9">
        <f>IF(AND(E4439&lt;&gt;"",E4439&lt;&gt;0,H4439&lt;&gt;""),H4439/E4439,"")</f>
        <v/>
      </c>
      <c r="L4439">
        <f>IF(B4439="","",IFERROR(VALUE(TEXT(B4439,"[$-1170401]yyyy")),""))</f>
        <v/>
      </c>
      <c r="M4439">
        <f>IF(B4439="","",IFERROR(VALUE(TEXT(B4439,"[$-1170401]mm")),""))</f>
        <v/>
      </c>
    </row>
    <row r="4440">
      <c r="B4440" s="30" t="n"/>
      <c r="G4440" s="9">
        <f>IF(AND(E4440&lt;&gt;"",E4440&lt;&gt;0,H4440&lt;&gt;""),H4440/E4440,"")</f>
        <v/>
      </c>
      <c r="L4440">
        <f>IF(B4440="","",IFERROR(VALUE(TEXT(B4440,"[$-1170401]yyyy")),""))</f>
        <v/>
      </c>
      <c r="M4440">
        <f>IF(B4440="","",IFERROR(VALUE(TEXT(B4440,"[$-1170401]mm")),""))</f>
        <v/>
      </c>
    </row>
    <row r="4441">
      <c r="B4441" s="30" t="n"/>
      <c r="G4441" s="9">
        <f>IF(AND(E4441&lt;&gt;"",E4441&lt;&gt;0,H4441&lt;&gt;""),H4441/E4441,"")</f>
        <v/>
      </c>
      <c r="L4441">
        <f>IF(B4441="","",IFERROR(VALUE(TEXT(B4441,"[$-1170401]yyyy")),""))</f>
        <v/>
      </c>
      <c r="M4441">
        <f>IF(B4441="","",IFERROR(VALUE(TEXT(B4441,"[$-1170401]mm")),""))</f>
        <v/>
      </c>
    </row>
    <row r="4442">
      <c r="B4442" s="30" t="n"/>
      <c r="G4442" s="9">
        <f>IF(AND(E4442&lt;&gt;"",E4442&lt;&gt;0,H4442&lt;&gt;""),H4442/E4442,"")</f>
        <v/>
      </c>
      <c r="L4442">
        <f>IF(B4442="","",IFERROR(VALUE(TEXT(B4442,"[$-1170401]yyyy")),""))</f>
        <v/>
      </c>
      <c r="M4442">
        <f>IF(B4442="","",IFERROR(VALUE(TEXT(B4442,"[$-1170401]mm")),""))</f>
        <v/>
      </c>
    </row>
    <row r="4443">
      <c r="B4443" s="30" t="n"/>
      <c r="G4443" s="9">
        <f>IF(AND(E4443&lt;&gt;"",E4443&lt;&gt;0,H4443&lt;&gt;""),H4443/E4443,"")</f>
        <v/>
      </c>
      <c r="L4443">
        <f>IF(B4443="","",IFERROR(VALUE(TEXT(B4443,"[$-1170401]yyyy")),""))</f>
        <v/>
      </c>
      <c r="M4443">
        <f>IF(B4443="","",IFERROR(VALUE(TEXT(B4443,"[$-1170401]mm")),""))</f>
        <v/>
      </c>
    </row>
    <row r="4444">
      <c r="B4444" s="30" t="n"/>
      <c r="G4444" s="9">
        <f>IF(AND(E4444&lt;&gt;"",E4444&lt;&gt;0,H4444&lt;&gt;""),H4444/E4444,"")</f>
        <v/>
      </c>
      <c r="L4444">
        <f>IF(B4444="","",IFERROR(VALUE(TEXT(B4444,"[$-1170401]yyyy")),""))</f>
        <v/>
      </c>
      <c r="M4444">
        <f>IF(B4444="","",IFERROR(VALUE(TEXT(B4444,"[$-1170401]mm")),""))</f>
        <v/>
      </c>
    </row>
    <row r="4445">
      <c r="B4445" s="30" t="n"/>
      <c r="G4445" s="9">
        <f>IF(AND(E4445&lt;&gt;"",E4445&lt;&gt;0,H4445&lt;&gt;""),H4445/E4445,"")</f>
        <v/>
      </c>
      <c r="L4445">
        <f>IF(B4445="","",IFERROR(VALUE(TEXT(B4445,"[$-1170401]yyyy")),""))</f>
        <v/>
      </c>
      <c r="M4445">
        <f>IF(B4445="","",IFERROR(VALUE(TEXT(B4445,"[$-1170401]mm")),""))</f>
        <v/>
      </c>
    </row>
    <row r="4446">
      <c r="B4446" s="30" t="n"/>
      <c r="G4446" s="9">
        <f>IF(AND(E4446&lt;&gt;"",E4446&lt;&gt;0,H4446&lt;&gt;""),H4446/E4446,"")</f>
        <v/>
      </c>
      <c r="L4446">
        <f>IF(B4446="","",IFERROR(VALUE(TEXT(B4446,"[$-1170401]yyyy")),""))</f>
        <v/>
      </c>
      <c r="M4446">
        <f>IF(B4446="","",IFERROR(VALUE(TEXT(B4446,"[$-1170401]mm")),""))</f>
        <v/>
      </c>
    </row>
    <row r="4447">
      <c r="B4447" s="30" t="n"/>
      <c r="G4447" s="9">
        <f>IF(AND(E4447&lt;&gt;"",E4447&lt;&gt;0,H4447&lt;&gt;""),H4447/E4447,"")</f>
        <v/>
      </c>
      <c r="L4447">
        <f>IF(B4447="","",IFERROR(VALUE(TEXT(B4447,"[$-1170401]yyyy")),""))</f>
        <v/>
      </c>
      <c r="M4447">
        <f>IF(B4447="","",IFERROR(VALUE(TEXT(B4447,"[$-1170401]mm")),""))</f>
        <v/>
      </c>
    </row>
    <row r="4448">
      <c r="B4448" s="30" t="n"/>
      <c r="G4448" s="9">
        <f>IF(AND(E4448&lt;&gt;"",E4448&lt;&gt;0,H4448&lt;&gt;""),H4448/E4448,"")</f>
        <v/>
      </c>
      <c r="L4448">
        <f>IF(B4448="","",IFERROR(VALUE(TEXT(B4448,"[$-1170401]yyyy")),""))</f>
        <v/>
      </c>
      <c r="M4448">
        <f>IF(B4448="","",IFERROR(VALUE(TEXT(B4448,"[$-1170401]mm")),""))</f>
        <v/>
      </c>
    </row>
    <row r="4449">
      <c r="B4449" s="30" t="n"/>
      <c r="G4449" s="9">
        <f>IF(AND(E4449&lt;&gt;"",E4449&lt;&gt;0,H4449&lt;&gt;""),H4449/E4449,"")</f>
        <v/>
      </c>
      <c r="L4449">
        <f>IF(B4449="","",IFERROR(VALUE(TEXT(B4449,"[$-1170401]yyyy")),""))</f>
        <v/>
      </c>
      <c r="M4449">
        <f>IF(B4449="","",IFERROR(VALUE(TEXT(B4449,"[$-1170401]mm")),""))</f>
        <v/>
      </c>
    </row>
    <row r="4450">
      <c r="B4450" s="30" t="n"/>
      <c r="G4450" s="9">
        <f>IF(AND(E4450&lt;&gt;"",E4450&lt;&gt;0,H4450&lt;&gt;""),H4450/E4450,"")</f>
        <v/>
      </c>
      <c r="L4450">
        <f>IF(B4450="","",IFERROR(VALUE(TEXT(B4450,"[$-1170401]yyyy")),""))</f>
        <v/>
      </c>
      <c r="M4450">
        <f>IF(B4450="","",IFERROR(VALUE(TEXT(B4450,"[$-1170401]mm")),""))</f>
        <v/>
      </c>
    </row>
    <row r="4451">
      <c r="B4451" s="30" t="n"/>
      <c r="G4451" s="9">
        <f>IF(AND(E4451&lt;&gt;"",E4451&lt;&gt;0,H4451&lt;&gt;""),H4451/E4451,"")</f>
        <v/>
      </c>
      <c r="L4451">
        <f>IF(B4451="","",IFERROR(VALUE(TEXT(B4451,"[$-1170401]yyyy")),""))</f>
        <v/>
      </c>
      <c r="M4451">
        <f>IF(B4451="","",IFERROR(VALUE(TEXT(B4451,"[$-1170401]mm")),""))</f>
        <v/>
      </c>
    </row>
    <row r="4452">
      <c r="B4452" s="30" t="n"/>
      <c r="G4452" s="9">
        <f>IF(AND(E4452&lt;&gt;"",E4452&lt;&gt;0,H4452&lt;&gt;""),H4452/E4452,"")</f>
        <v/>
      </c>
      <c r="L4452">
        <f>IF(B4452="","",IFERROR(VALUE(TEXT(B4452,"[$-1170401]yyyy")),""))</f>
        <v/>
      </c>
      <c r="M4452">
        <f>IF(B4452="","",IFERROR(VALUE(TEXT(B4452,"[$-1170401]mm")),""))</f>
        <v/>
      </c>
    </row>
    <row r="4453">
      <c r="B4453" s="30" t="n"/>
      <c r="G4453" s="9">
        <f>IF(AND(E4453&lt;&gt;"",E4453&lt;&gt;0,H4453&lt;&gt;""),H4453/E4453,"")</f>
        <v/>
      </c>
      <c r="L4453">
        <f>IF(B4453="","",IFERROR(VALUE(TEXT(B4453,"[$-1170401]yyyy")),""))</f>
        <v/>
      </c>
      <c r="M4453">
        <f>IF(B4453="","",IFERROR(VALUE(TEXT(B4453,"[$-1170401]mm")),""))</f>
        <v/>
      </c>
    </row>
    <row r="4454">
      <c r="B4454" s="30" t="n"/>
      <c r="G4454" s="9">
        <f>IF(AND(E4454&lt;&gt;"",E4454&lt;&gt;0,H4454&lt;&gt;""),H4454/E4454,"")</f>
        <v/>
      </c>
      <c r="L4454">
        <f>IF(B4454="","",IFERROR(VALUE(TEXT(B4454,"[$-1170401]yyyy")),""))</f>
        <v/>
      </c>
      <c r="M4454">
        <f>IF(B4454="","",IFERROR(VALUE(TEXT(B4454,"[$-1170401]mm")),""))</f>
        <v/>
      </c>
    </row>
    <row r="4455">
      <c r="B4455" s="30" t="n"/>
      <c r="G4455" s="9">
        <f>IF(AND(E4455&lt;&gt;"",E4455&lt;&gt;0,H4455&lt;&gt;""),H4455/E4455,"")</f>
        <v/>
      </c>
      <c r="L4455">
        <f>IF(B4455="","",IFERROR(VALUE(TEXT(B4455,"[$-1170401]yyyy")),""))</f>
        <v/>
      </c>
      <c r="M4455">
        <f>IF(B4455="","",IFERROR(VALUE(TEXT(B4455,"[$-1170401]mm")),""))</f>
        <v/>
      </c>
    </row>
    <row r="4456">
      <c r="B4456" s="30" t="n"/>
      <c r="G4456" s="9">
        <f>IF(AND(E4456&lt;&gt;"",E4456&lt;&gt;0,H4456&lt;&gt;""),H4456/E4456,"")</f>
        <v/>
      </c>
      <c r="L4456">
        <f>IF(B4456="","",IFERROR(VALUE(TEXT(B4456,"[$-1170401]yyyy")),""))</f>
        <v/>
      </c>
      <c r="M4456">
        <f>IF(B4456="","",IFERROR(VALUE(TEXT(B4456,"[$-1170401]mm")),""))</f>
        <v/>
      </c>
    </row>
    <row r="4457">
      <c r="B4457" s="30" t="n"/>
      <c r="G4457" s="9">
        <f>IF(AND(E4457&lt;&gt;"",E4457&lt;&gt;0,H4457&lt;&gt;""),H4457/E4457,"")</f>
        <v/>
      </c>
      <c r="L4457">
        <f>IF(B4457="","",IFERROR(VALUE(TEXT(B4457,"[$-1170401]yyyy")),""))</f>
        <v/>
      </c>
      <c r="M4457">
        <f>IF(B4457="","",IFERROR(VALUE(TEXT(B4457,"[$-1170401]mm")),""))</f>
        <v/>
      </c>
    </row>
    <row r="4458">
      <c r="B4458" s="30" t="n"/>
      <c r="G4458" s="9">
        <f>IF(AND(E4458&lt;&gt;"",E4458&lt;&gt;0,H4458&lt;&gt;""),H4458/E4458,"")</f>
        <v/>
      </c>
      <c r="L4458">
        <f>IF(B4458="","",IFERROR(VALUE(TEXT(B4458,"[$-1170401]yyyy")),""))</f>
        <v/>
      </c>
      <c r="M4458">
        <f>IF(B4458="","",IFERROR(VALUE(TEXT(B4458,"[$-1170401]mm")),""))</f>
        <v/>
      </c>
    </row>
    <row r="4459">
      <c r="B4459" s="30" t="n"/>
      <c r="G4459" s="9">
        <f>IF(AND(E4459&lt;&gt;"",E4459&lt;&gt;0,H4459&lt;&gt;""),H4459/E4459,"")</f>
        <v/>
      </c>
      <c r="L4459">
        <f>IF(B4459="","",IFERROR(VALUE(TEXT(B4459,"[$-1170401]yyyy")),""))</f>
        <v/>
      </c>
      <c r="M4459">
        <f>IF(B4459="","",IFERROR(VALUE(TEXT(B4459,"[$-1170401]mm")),""))</f>
        <v/>
      </c>
    </row>
    <row r="4460">
      <c r="B4460" s="30" t="n"/>
      <c r="G4460" s="9">
        <f>IF(AND(E4460&lt;&gt;"",E4460&lt;&gt;0,H4460&lt;&gt;""),H4460/E4460,"")</f>
        <v/>
      </c>
      <c r="L4460">
        <f>IF(B4460="","",IFERROR(VALUE(TEXT(B4460,"[$-1170401]yyyy")),""))</f>
        <v/>
      </c>
      <c r="M4460">
        <f>IF(B4460="","",IFERROR(VALUE(TEXT(B4460,"[$-1170401]mm")),""))</f>
        <v/>
      </c>
    </row>
    <row r="4461">
      <c r="B4461" s="30" t="n"/>
      <c r="G4461" s="9">
        <f>IF(AND(E4461&lt;&gt;"",E4461&lt;&gt;0,H4461&lt;&gt;""),H4461/E4461,"")</f>
        <v/>
      </c>
      <c r="L4461">
        <f>IF(B4461="","",IFERROR(VALUE(TEXT(B4461,"[$-1170401]yyyy")),""))</f>
        <v/>
      </c>
      <c r="M4461">
        <f>IF(B4461="","",IFERROR(VALUE(TEXT(B4461,"[$-1170401]mm")),""))</f>
        <v/>
      </c>
    </row>
    <row r="4462">
      <c r="B4462" s="30" t="n"/>
      <c r="G4462" s="9">
        <f>IF(AND(E4462&lt;&gt;"",E4462&lt;&gt;0,H4462&lt;&gt;""),H4462/E4462,"")</f>
        <v/>
      </c>
      <c r="L4462">
        <f>IF(B4462="","",IFERROR(VALUE(TEXT(B4462,"[$-1170401]yyyy")),""))</f>
        <v/>
      </c>
      <c r="M4462">
        <f>IF(B4462="","",IFERROR(VALUE(TEXT(B4462,"[$-1170401]mm")),""))</f>
        <v/>
      </c>
    </row>
    <row r="4463">
      <c r="B4463" s="30" t="n"/>
      <c r="G4463" s="9">
        <f>IF(AND(E4463&lt;&gt;"",E4463&lt;&gt;0,H4463&lt;&gt;""),H4463/E4463,"")</f>
        <v/>
      </c>
      <c r="L4463">
        <f>IF(B4463="","",IFERROR(VALUE(TEXT(B4463,"[$-1170401]yyyy")),""))</f>
        <v/>
      </c>
      <c r="M4463">
        <f>IF(B4463="","",IFERROR(VALUE(TEXT(B4463,"[$-1170401]mm")),""))</f>
        <v/>
      </c>
    </row>
    <row r="4464">
      <c r="B4464" s="30" t="n"/>
      <c r="G4464" s="9">
        <f>IF(AND(E4464&lt;&gt;"",E4464&lt;&gt;0,H4464&lt;&gt;""),H4464/E4464,"")</f>
        <v/>
      </c>
      <c r="L4464">
        <f>IF(B4464="","",IFERROR(VALUE(TEXT(B4464,"[$-1170401]yyyy")),""))</f>
        <v/>
      </c>
      <c r="M4464">
        <f>IF(B4464="","",IFERROR(VALUE(TEXT(B4464,"[$-1170401]mm")),""))</f>
        <v/>
      </c>
    </row>
    <row r="4465">
      <c r="B4465" s="30" t="n"/>
      <c r="G4465" s="9">
        <f>IF(AND(E4465&lt;&gt;"",E4465&lt;&gt;0,H4465&lt;&gt;""),H4465/E4465,"")</f>
        <v/>
      </c>
      <c r="L4465">
        <f>IF(B4465="","",IFERROR(VALUE(TEXT(B4465,"[$-1170401]yyyy")),""))</f>
        <v/>
      </c>
      <c r="M4465">
        <f>IF(B4465="","",IFERROR(VALUE(TEXT(B4465,"[$-1170401]mm")),""))</f>
        <v/>
      </c>
    </row>
    <row r="4466">
      <c r="B4466" s="30" t="n"/>
      <c r="G4466" s="9">
        <f>IF(AND(E4466&lt;&gt;"",E4466&lt;&gt;0,H4466&lt;&gt;""),H4466/E4466,"")</f>
        <v/>
      </c>
      <c r="L4466">
        <f>IF(B4466="","",IFERROR(VALUE(TEXT(B4466,"[$-1170401]yyyy")),""))</f>
        <v/>
      </c>
      <c r="M4466">
        <f>IF(B4466="","",IFERROR(VALUE(TEXT(B4466,"[$-1170401]mm")),""))</f>
        <v/>
      </c>
    </row>
    <row r="4467">
      <c r="B4467" s="30" t="n"/>
      <c r="G4467" s="9">
        <f>IF(AND(E4467&lt;&gt;"",E4467&lt;&gt;0,H4467&lt;&gt;""),H4467/E4467,"")</f>
        <v/>
      </c>
      <c r="L4467">
        <f>IF(B4467="","",IFERROR(VALUE(TEXT(B4467,"[$-1170401]yyyy")),""))</f>
        <v/>
      </c>
      <c r="M4467">
        <f>IF(B4467="","",IFERROR(VALUE(TEXT(B4467,"[$-1170401]mm")),""))</f>
        <v/>
      </c>
    </row>
    <row r="4468">
      <c r="B4468" s="30" t="n"/>
      <c r="G4468" s="9">
        <f>IF(AND(E4468&lt;&gt;"",E4468&lt;&gt;0,H4468&lt;&gt;""),H4468/E4468,"")</f>
        <v/>
      </c>
      <c r="L4468">
        <f>IF(B4468="","",IFERROR(VALUE(TEXT(B4468,"[$-1170401]yyyy")),""))</f>
        <v/>
      </c>
      <c r="M4468">
        <f>IF(B4468="","",IFERROR(VALUE(TEXT(B4468,"[$-1170401]mm")),""))</f>
        <v/>
      </c>
    </row>
    <row r="4469">
      <c r="B4469" s="30" t="n"/>
      <c r="G4469" s="9">
        <f>IF(AND(E4469&lt;&gt;"",E4469&lt;&gt;0,H4469&lt;&gt;""),H4469/E4469,"")</f>
        <v/>
      </c>
      <c r="L4469">
        <f>IF(B4469="","",IFERROR(VALUE(TEXT(B4469,"[$-1170401]yyyy")),""))</f>
        <v/>
      </c>
      <c r="M4469">
        <f>IF(B4469="","",IFERROR(VALUE(TEXT(B4469,"[$-1170401]mm")),""))</f>
        <v/>
      </c>
    </row>
    <row r="4470">
      <c r="B4470" s="30" t="n"/>
      <c r="G4470" s="9">
        <f>IF(AND(E4470&lt;&gt;"",E4470&lt;&gt;0,H4470&lt;&gt;""),H4470/E4470,"")</f>
        <v/>
      </c>
      <c r="L4470">
        <f>IF(B4470="","",IFERROR(VALUE(TEXT(B4470,"[$-1170401]yyyy")),""))</f>
        <v/>
      </c>
      <c r="M4470">
        <f>IF(B4470="","",IFERROR(VALUE(TEXT(B4470,"[$-1170401]mm")),""))</f>
        <v/>
      </c>
    </row>
    <row r="4471">
      <c r="B4471" s="30" t="n"/>
      <c r="G4471" s="9">
        <f>IF(AND(E4471&lt;&gt;"",E4471&lt;&gt;0,H4471&lt;&gt;""),H4471/E4471,"")</f>
        <v/>
      </c>
      <c r="L4471">
        <f>IF(B4471="","",IFERROR(VALUE(TEXT(B4471,"[$-1170401]yyyy")),""))</f>
        <v/>
      </c>
      <c r="M4471">
        <f>IF(B4471="","",IFERROR(VALUE(TEXT(B4471,"[$-1170401]mm")),""))</f>
        <v/>
      </c>
    </row>
    <row r="4472">
      <c r="B4472" s="30" t="n"/>
      <c r="G4472" s="9">
        <f>IF(AND(E4472&lt;&gt;"",E4472&lt;&gt;0,H4472&lt;&gt;""),H4472/E4472,"")</f>
        <v/>
      </c>
      <c r="L4472">
        <f>IF(B4472="","",IFERROR(VALUE(TEXT(B4472,"[$-1170401]yyyy")),""))</f>
        <v/>
      </c>
      <c r="M4472">
        <f>IF(B4472="","",IFERROR(VALUE(TEXT(B4472,"[$-1170401]mm")),""))</f>
        <v/>
      </c>
    </row>
    <row r="4473">
      <c r="B4473" s="30" t="n"/>
      <c r="G4473" s="9">
        <f>IF(AND(E4473&lt;&gt;"",E4473&lt;&gt;0,H4473&lt;&gt;""),H4473/E4473,"")</f>
        <v/>
      </c>
      <c r="L4473">
        <f>IF(B4473="","",IFERROR(VALUE(TEXT(B4473,"[$-1170401]yyyy")),""))</f>
        <v/>
      </c>
      <c r="M4473">
        <f>IF(B4473="","",IFERROR(VALUE(TEXT(B4473,"[$-1170401]mm")),""))</f>
        <v/>
      </c>
    </row>
    <row r="4474">
      <c r="B4474" s="30" t="n"/>
      <c r="G4474" s="9">
        <f>IF(AND(E4474&lt;&gt;"",E4474&lt;&gt;0,H4474&lt;&gt;""),H4474/E4474,"")</f>
        <v/>
      </c>
      <c r="L4474">
        <f>IF(B4474="","",IFERROR(VALUE(TEXT(B4474,"[$-1170401]yyyy")),""))</f>
        <v/>
      </c>
      <c r="M4474">
        <f>IF(B4474="","",IFERROR(VALUE(TEXT(B4474,"[$-1170401]mm")),""))</f>
        <v/>
      </c>
    </row>
    <row r="4475">
      <c r="B4475" s="30" t="n"/>
      <c r="G4475" s="9">
        <f>IF(AND(E4475&lt;&gt;"",E4475&lt;&gt;0,H4475&lt;&gt;""),H4475/E4475,"")</f>
        <v/>
      </c>
      <c r="L4475">
        <f>IF(B4475="","",IFERROR(VALUE(TEXT(B4475,"[$-1170401]yyyy")),""))</f>
        <v/>
      </c>
      <c r="M4475">
        <f>IF(B4475="","",IFERROR(VALUE(TEXT(B4475,"[$-1170401]mm")),""))</f>
        <v/>
      </c>
    </row>
    <row r="4476">
      <c r="B4476" s="30" t="n"/>
      <c r="G4476" s="9">
        <f>IF(AND(E4476&lt;&gt;"",E4476&lt;&gt;0,H4476&lt;&gt;""),H4476/E4476,"")</f>
        <v/>
      </c>
      <c r="L4476">
        <f>IF(B4476="","",IFERROR(VALUE(TEXT(B4476,"[$-1170401]yyyy")),""))</f>
        <v/>
      </c>
      <c r="M4476">
        <f>IF(B4476="","",IFERROR(VALUE(TEXT(B4476,"[$-1170401]mm")),""))</f>
        <v/>
      </c>
    </row>
    <row r="4477">
      <c r="B4477" s="30" t="n"/>
      <c r="G4477" s="9">
        <f>IF(AND(E4477&lt;&gt;"",E4477&lt;&gt;0,H4477&lt;&gt;""),H4477/E4477,"")</f>
        <v/>
      </c>
      <c r="L4477">
        <f>IF(B4477="","",IFERROR(VALUE(TEXT(B4477,"[$-1170401]yyyy")),""))</f>
        <v/>
      </c>
      <c r="M4477">
        <f>IF(B4477="","",IFERROR(VALUE(TEXT(B4477,"[$-1170401]mm")),""))</f>
        <v/>
      </c>
    </row>
    <row r="4478">
      <c r="B4478" s="30" t="n"/>
      <c r="G4478" s="9">
        <f>IF(AND(E4478&lt;&gt;"",E4478&lt;&gt;0,H4478&lt;&gt;""),H4478/E4478,"")</f>
        <v/>
      </c>
      <c r="L4478">
        <f>IF(B4478="","",IFERROR(VALUE(TEXT(B4478,"[$-1170401]yyyy")),""))</f>
        <v/>
      </c>
      <c r="M4478">
        <f>IF(B4478="","",IFERROR(VALUE(TEXT(B4478,"[$-1170401]mm")),""))</f>
        <v/>
      </c>
    </row>
    <row r="4479">
      <c r="B4479" s="30" t="n"/>
      <c r="G4479" s="9">
        <f>IF(AND(E4479&lt;&gt;"",E4479&lt;&gt;0,H4479&lt;&gt;""),H4479/E4479,"")</f>
        <v/>
      </c>
      <c r="L4479">
        <f>IF(B4479="","",IFERROR(VALUE(TEXT(B4479,"[$-1170401]yyyy")),""))</f>
        <v/>
      </c>
      <c r="M4479">
        <f>IF(B4479="","",IFERROR(VALUE(TEXT(B4479,"[$-1170401]mm")),""))</f>
        <v/>
      </c>
    </row>
    <row r="4480">
      <c r="B4480" s="30" t="n"/>
      <c r="G4480" s="9">
        <f>IF(AND(E4480&lt;&gt;"",E4480&lt;&gt;0,H4480&lt;&gt;""),H4480/E4480,"")</f>
        <v/>
      </c>
      <c r="L4480">
        <f>IF(B4480="","",IFERROR(VALUE(TEXT(B4480,"[$-1170401]yyyy")),""))</f>
        <v/>
      </c>
      <c r="M4480">
        <f>IF(B4480="","",IFERROR(VALUE(TEXT(B4480,"[$-1170401]mm")),""))</f>
        <v/>
      </c>
    </row>
    <row r="4481">
      <c r="B4481" s="30" t="n"/>
      <c r="G4481" s="9">
        <f>IF(AND(E4481&lt;&gt;"",E4481&lt;&gt;0,H4481&lt;&gt;""),H4481/E4481,"")</f>
        <v/>
      </c>
      <c r="L4481">
        <f>IF(B4481="","",IFERROR(VALUE(TEXT(B4481,"[$-1170401]yyyy")),""))</f>
        <v/>
      </c>
      <c r="M4481">
        <f>IF(B4481="","",IFERROR(VALUE(TEXT(B4481,"[$-1170401]mm")),""))</f>
        <v/>
      </c>
    </row>
    <row r="4482">
      <c r="B4482" s="30" t="n"/>
      <c r="G4482" s="9">
        <f>IF(AND(E4482&lt;&gt;"",E4482&lt;&gt;0,H4482&lt;&gt;""),H4482/E4482,"")</f>
        <v/>
      </c>
      <c r="L4482">
        <f>IF(B4482="","",IFERROR(VALUE(TEXT(B4482,"[$-1170401]yyyy")),""))</f>
        <v/>
      </c>
      <c r="M4482">
        <f>IF(B4482="","",IFERROR(VALUE(TEXT(B4482,"[$-1170401]mm")),""))</f>
        <v/>
      </c>
    </row>
    <row r="4483">
      <c r="B4483" s="30" t="n"/>
      <c r="G4483" s="9">
        <f>IF(AND(E4483&lt;&gt;"",E4483&lt;&gt;0,H4483&lt;&gt;""),H4483/E4483,"")</f>
        <v/>
      </c>
      <c r="L4483">
        <f>IF(B4483="","",IFERROR(VALUE(TEXT(B4483,"[$-1170401]yyyy")),""))</f>
        <v/>
      </c>
      <c r="M4483">
        <f>IF(B4483="","",IFERROR(VALUE(TEXT(B4483,"[$-1170401]mm")),""))</f>
        <v/>
      </c>
    </row>
    <row r="4484">
      <c r="B4484" s="30" t="n"/>
      <c r="G4484" s="9">
        <f>IF(AND(E4484&lt;&gt;"",E4484&lt;&gt;0,H4484&lt;&gt;""),H4484/E4484,"")</f>
        <v/>
      </c>
      <c r="L4484">
        <f>IF(B4484="","",IFERROR(VALUE(TEXT(B4484,"[$-1170401]yyyy")),""))</f>
        <v/>
      </c>
      <c r="M4484">
        <f>IF(B4484="","",IFERROR(VALUE(TEXT(B4484,"[$-1170401]mm")),""))</f>
        <v/>
      </c>
    </row>
    <row r="4485">
      <c r="B4485" s="30" t="n"/>
      <c r="G4485" s="9">
        <f>IF(AND(E4485&lt;&gt;"",E4485&lt;&gt;0,H4485&lt;&gt;""),H4485/E4485,"")</f>
        <v/>
      </c>
      <c r="L4485">
        <f>IF(B4485="","",IFERROR(VALUE(TEXT(B4485,"[$-1170401]yyyy")),""))</f>
        <v/>
      </c>
      <c r="M4485">
        <f>IF(B4485="","",IFERROR(VALUE(TEXT(B4485,"[$-1170401]mm")),""))</f>
        <v/>
      </c>
    </row>
    <row r="4486">
      <c r="B4486" s="30" t="n"/>
      <c r="G4486" s="9">
        <f>IF(AND(E4486&lt;&gt;"",E4486&lt;&gt;0,H4486&lt;&gt;""),H4486/E4486,"")</f>
        <v/>
      </c>
      <c r="L4486">
        <f>IF(B4486="","",IFERROR(VALUE(TEXT(B4486,"[$-1170401]yyyy")),""))</f>
        <v/>
      </c>
      <c r="M4486">
        <f>IF(B4486="","",IFERROR(VALUE(TEXT(B4486,"[$-1170401]mm")),""))</f>
        <v/>
      </c>
    </row>
    <row r="4487">
      <c r="B4487" s="30" t="n"/>
      <c r="G4487" s="9">
        <f>IF(AND(E4487&lt;&gt;"",E4487&lt;&gt;0,H4487&lt;&gt;""),H4487/E4487,"")</f>
        <v/>
      </c>
      <c r="L4487">
        <f>IF(B4487="","",IFERROR(VALUE(TEXT(B4487,"[$-1170401]yyyy")),""))</f>
        <v/>
      </c>
      <c r="M4487">
        <f>IF(B4487="","",IFERROR(VALUE(TEXT(B4487,"[$-1170401]mm")),""))</f>
        <v/>
      </c>
    </row>
    <row r="4488">
      <c r="B4488" s="30" t="n"/>
      <c r="G4488" s="9">
        <f>IF(AND(E4488&lt;&gt;"",E4488&lt;&gt;0,H4488&lt;&gt;""),H4488/E4488,"")</f>
        <v/>
      </c>
      <c r="L4488">
        <f>IF(B4488="","",IFERROR(VALUE(TEXT(B4488,"[$-1170401]yyyy")),""))</f>
        <v/>
      </c>
      <c r="M4488">
        <f>IF(B4488="","",IFERROR(VALUE(TEXT(B4488,"[$-1170401]mm")),""))</f>
        <v/>
      </c>
    </row>
    <row r="4489">
      <c r="B4489" s="30" t="n"/>
      <c r="G4489" s="9">
        <f>IF(AND(E4489&lt;&gt;"",E4489&lt;&gt;0,H4489&lt;&gt;""),H4489/E4489,"")</f>
        <v/>
      </c>
      <c r="L4489">
        <f>IF(B4489="","",IFERROR(VALUE(TEXT(B4489,"[$-1170401]yyyy")),""))</f>
        <v/>
      </c>
      <c r="M4489">
        <f>IF(B4489="","",IFERROR(VALUE(TEXT(B4489,"[$-1170401]mm")),""))</f>
        <v/>
      </c>
    </row>
    <row r="4490">
      <c r="B4490" s="30" t="n"/>
      <c r="G4490" s="9">
        <f>IF(AND(E4490&lt;&gt;"",E4490&lt;&gt;0,H4490&lt;&gt;""),H4490/E4490,"")</f>
        <v/>
      </c>
      <c r="L4490">
        <f>IF(B4490="","",IFERROR(VALUE(TEXT(B4490,"[$-1170401]yyyy")),""))</f>
        <v/>
      </c>
      <c r="M4490">
        <f>IF(B4490="","",IFERROR(VALUE(TEXT(B4490,"[$-1170401]mm")),""))</f>
        <v/>
      </c>
    </row>
    <row r="4491">
      <c r="B4491" s="30" t="n"/>
      <c r="G4491" s="9">
        <f>IF(AND(E4491&lt;&gt;"",E4491&lt;&gt;0,H4491&lt;&gt;""),H4491/E4491,"")</f>
        <v/>
      </c>
      <c r="L4491">
        <f>IF(B4491="","",IFERROR(VALUE(TEXT(B4491,"[$-1170401]yyyy")),""))</f>
        <v/>
      </c>
      <c r="M4491">
        <f>IF(B4491="","",IFERROR(VALUE(TEXT(B4491,"[$-1170401]mm")),""))</f>
        <v/>
      </c>
    </row>
    <row r="4492">
      <c r="B4492" s="30" t="n"/>
      <c r="G4492" s="9">
        <f>IF(AND(E4492&lt;&gt;"",E4492&lt;&gt;0,H4492&lt;&gt;""),H4492/E4492,"")</f>
        <v/>
      </c>
      <c r="L4492">
        <f>IF(B4492="","",IFERROR(VALUE(TEXT(B4492,"[$-1170401]yyyy")),""))</f>
        <v/>
      </c>
      <c r="M4492">
        <f>IF(B4492="","",IFERROR(VALUE(TEXT(B4492,"[$-1170401]mm")),""))</f>
        <v/>
      </c>
    </row>
    <row r="4493">
      <c r="B4493" s="30" t="n"/>
      <c r="G4493" s="9">
        <f>IF(AND(E4493&lt;&gt;"",E4493&lt;&gt;0,H4493&lt;&gt;""),H4493/E4493,"")</f>
        <v/>
      </c>
      <c r="L4493">
        <f>IF(B4493="","",IFERROR(VALUE(TEXT(B4493,"[$-1170401]yyyy")),""))</f>
        <v/>
      </c>
      <c r="M4493">
        <f>IF(B4493="","",IFERROR(VALUE(TEXT(B4493,"[$-1170401]mm")),""))</f>
        <v/>
      </c>
    </row>
    <row r="4494">
      <c r="B4494" s="30" t="n"/>
      <c r="G4494" s="9">
        <f>IF(AND(E4494&lt;&gt;"",E4494&lt;&gt;0,H4494&lt;&gt;""),H4494/E4494,"")</f>
        <v/>
      </c>
      <c r="L4494">
        <f>IF(B4494="","",IFERROR(VALUE(TEXT(B4494,"[$-1170401]yyyy")),""))</f>
        <v/>
      </c>
      <c r="M4494">
        <f>IF(B4494="","",IFERROR(VALUE(TEXT(B4494,"[$-1170401]mm")),""))</f>
        <v/>
      </c>
    </row>
    <row r="4495">
      <c r="B4495" s="30" t="n"/>
      <c r="G4495" s="9">
        <f>IF(AND(E4495&lt;&gt;"",E4495&lt;&gt;0,H4495&lt;&gt;""),H4495/E4495,"")</f>
        <v/>
      </c>
      <c r="L4495">
        <f>IF(B4495="","",IFERROR(VALUE(TEXT(B4495,"[$-1170401]yyyy")),""))</f>
        <v/>
      </c>
      <c r="M4495">
        <f>IF(B4495="","",IFERROR(VALUE(TEXT(B4495,"[$-1170401]mm")),""))</f>
        <v/>
      </c>
    </row>
    <row r="4496">
      <c r="B4496" s="30" t="n"/>
      <c r="G4496" s="9">
        <f>IF(AND(E4496&lt;&gt;"",E4496&lt;&gt;0,H4496&lt;&gt;""),H4496/E4496,"")</f>
        <v/>
      </c>
      <c r="L4496">
        <f>IF(B4496="","",IFERROR(VALUE(TEXT(B4496,"[$-1170401]yyyy")),""))</f>
        <v/>
      </c>
      <c r="M4496">
        <f>IF(B4496="","",IFERROR(VALUE(TEXT(B4496,"[$-1170401]mm")),""))</f>
        <v/>
      </c>
    </row>
    <row r="4497">
      <c r="B4497" s="30" t="n"/>
      <c r="G4497" s="9">
        <f>IF(AND(E4497&lt;&gt;"",E4497&lt;&gt;0,H4497&lt;&gt;""),H4497/E4497,"")</f>
        <v/>
      </c>
      <c r="L4497">
        <f>IF(B4497="","",IFERROR(VALUE(TEXT(B4497,"[$-1170401]yyyy")),""))</f>
        <v/>
      </c>
      <c r="M4497">
        <f>IF(B4497="","",IFERROR(VALUE(TEXT(B4497,"[$-1170401]mm")),""))</f>
        <v/>
      </c>
    </row>
    <row r="4498">
      <c r="B4498" s="30" t="n"/>
      <c r="G4498" s="9">
        <f>IF(AND(E4498&lt;&gt;"",E4498&lt;&gt;0,H4498&lt;&gt;""),H4498/E4498,"")</f>
        <v/>
      </c>
      <c r="L4498">
        <f>IF(B4498="","",IFERROR(VALUE(TEXT(B4498,"[$-1170401]yyyy")),""))</f>
        <v/>
      </c>
      <c r="M4498">
        <f>IF(B4498="","",IFERROR(VALUE(TEXT(B4498,"[$-1170401]mm")),""))</f>
        <v/>
      </c>
    </row>
    <row r="4499">
      <c r="B4499" s="30" t="n"/>
      <c r="G4499" s="9">
        <f>IF(AND(E4499&lt;&gt;"",E4499&lt;&gt;0,H4499&lt;&gt;""),H4499/E4499,"")</f>
        <v/>
      </c>
      <c r="L4499">
        <f>IF(B4499="","",IFERROR(VALUE(TEXT(B4499,"[$-1170401]yyyy")),""))</f>
        <v/>
      </c>
      <c r="M4499">
        <f>IF(B4499="","",IFERROR(VALUE(TEXT(B4499,"[$-1170401]mm")),""))</f>
        <v/>
      </c>
    </row>
    <row r="4500">
      <c r="B4500" s="30" t="n"/>
      <c r="G4500" s="9">
        <f>IF(AND(E4500&lt;&gt;"",E4500&lt;&gt;0,H4500&lt;&gt;""),H4500/E4500,"")</f>
        <v/>
      </c>
      <c r="L4500">
        <f>IF(B4500="","",IFERROR(VALUE(TEXT(B4500,"[$-1170401]yyyy")),""))</f>
        <v/>
      </c>
      <c r="M4500">
        <f>IF(B4500="","",IFERROR(VALUE(TEXT(B4500,"[$-1170401]mm")),""))</f>
        <v/>
      </c>
    </row>
    <row r="4501">
      <c r="B4501" s="30" t="n"/>
      <c r="G4501" s="9">
        <f>IF(AND(E4501&lt;&gt;"",E4501&lt;&gt;0,H4501&lt;&gt;""),H4501/E4501,"")</f>
        <v/>
      </c>
      <c r="L4501">
        <f>IF(B4501="","",IFERROR(VALUE(TEXT(B4501,"[$-1170401]yyyy")),""))</f>
        <v/>
      </c>
      <c r="M4501">
        <f>IF(B4501="","",IFERROR(VALUE(TEXT(B4501,"[$-1170401]mm")),""))</f>
        <v/>
      </c>
    </row>
    <row r="4502">
      <c r="B4502" s="30" t="n"/>
      <c r="G4502" s="9">
        <f>IF(AND(E4502&lt;&gt;"",E4502&lt;&gt;0,H4502&lt;&gt;""),H4502/E4502,"")</f>
        <v/>
      </c>
      <c r="L4502">
        <f>IF(B4502="","",IFERROR(VALUE(TEXT(B4502,"[$-1170401]yyyy")),""))</f>
        <v/>
      </c>
      <c r="M4502">
        <f>IF(B4502="","",IFERROR(VALUE(TEXT(B4502,"[$-1170401]mm")),""))</f>
        <v/>
      </c>
    </row>
    <row r="4503">
      <c r="B4503" s="30" t="n"/>
      <c r="G4503" s="9">
        <f>IF(AND(E4503&lt;&gt;"",E4503&lt;&gt;0,H4503&lt;&gt;""),H4503/E4503,"")</f>
        <v/>
      </c>
      <c r="L4503">
        <f>IF(B4503="","",IFERROR(VALUE(TEXT(B4503,"[$-1170401]yyyy")),""))</f>
        <v/>
      </c>
      <c r="M4503">
        <f>IF(B4503="","",IFERROR(VALUE(TEXT(B4503,"[$-1170401]mm")),""))</f>
        <v/>
      </c>
    </row>
    <row r="4504">
      <c r="B4504" s="30" t="n"/>
      <c r="G4504" s="9">
        <f>IF(AND(E4504&lt;&gt;"",E4504&lt;&gt;0,H4504&lt;&gt;""),H4504/E4504,"")</f>
        <v/>
      </c>
      <c r="L4504">
        <f>IF(B4504="","",IFERROR(VALUE(TEXT(B4504,"[$-1170401]yyyy")),""))</f>
        <v/>
      </c>
      <c r="M4504">
        <f>IF(B4504="","",IFERROR(VALUE(TEXT(B4504,"[$-1170401]mm")),""))</f>
        <v/>
      </c>
    </row>
    <row r="4505">
      <c r="B4505" s="30" t="n"/>
      <c r="G4505" s="9">
        <f>IF(AND(E4505&lt;&gt;"",E4505&lt;&gt;0,H4505&lt;&gt;""),H4505/E4505,"")</f>
        <v/>
      </c>
      <c r="L4505">
        <f>IF(B4505="","",IFERROR(VALUE(TEXT(B4505,"[$-1170401]yyyy")),""))</f>
        <v/>
      </c>
      <c r="M4505">
        <f>IF(B4505="","",IFERROR(VALUE(TEXT(B4505,"[$-1170401]mm")),""))</f>
        <v/>
      </c>
    </row>
    <row r="4506">
      <c r="B4506" s="30" t="n"/>
      <c r="G4506" s="9">
        <f>IF(AND(E4506&lt;&gt;"",E4506&lt;&gt;0,H4506&lt;&gt;""),H4506/E4506,"")</f>
        <v/>
      </c>
      <c r="L4506">
        <f>IF(B4506="","",IFERROR(VALUE(TEXT(B4506,"[$-1170401]yyyy")),""))</f>
        <v/>
      </c>
      <c r="M4506">
        <f>IF(B4506="","",IFERROR(VALUE(TEXT(B4506,"[$-1170401]mm")),""))</f>
        <v/>
      </c>
    </row>
    <row r="4507">
      <c r="B4507" s="30" t="n"/>
      <c r="G4507" s="9">
        <f>IF(AND(E4507&lt;&gt;"",E4507&lt;&gt;0,H4507&lt;&gt;""),H4507/E4507,"")</f>
        <v/>
      </c>
      <c r="L4507">
        <f>IF(B4507="","",IFERROR(VALUE(TEXT(B4507,"[$-1170401]yyyy")),""))</f>
        <v/>
      </c>
      <c r="M4507">
        <f>IF(B4507="","",IFERROR(VALUE(TEXT(B4507,"[$-1170401]mm")),""))</f>
        <v/>
      </c>
    </row>
    <row r="4508">
      <c r="B4508" s="30" t="n"/>
      <c r="G4508" s="9">
        <f>IF(AND(E4508&lt;&gt;"",E4508&lt;&gt;0,H4508&lt;&gt;""),H4508/E4508,"")</f>
        <v/>
      </c>
      <c r="L4508">
        <f>IF(B4508="","",IFERROR(VALUE(TEXT(B4508,"[$-1170401]yyyy")),""))</f>
        <v/>
      </c>
      <c r="M4508">
        <f>IF(B4508="","",IFERROR(VALUE(TEXT(B4508,"[$-1170401]mm")),""))</f>
        <v/>
      </c>
    </row>
    <row r="4509">
      <c r="B4509" s="30" t="n"/>
      <c r="G4509" s="9">
        <f>IF(AND(E4509&lt;&gt;"",E4509&lt;&gt;0,H4509&lt;&gt;""),H4509/E4509,"")</f>
        <v/>
      </c>
      <c r="L4509">
        <f>IF(B4509="","",IFERROR(VALUE(TEXT(B4509,"[$-1170401]yyyy")),""))</f>
        <v/>
      </c>
      <c r="M4509">
        <f>IF(B4509="","",IFERROR(VALUE(TEXT(B4509,"[$-1170401]mm")),""))</f>
        <v/>
      </c>
    </row>
    <row r="4510">
      <c r="B4510" s="30" t="n"/>
      <c r="G4510" s="9">
        <f>IF(AND(E4510&lt;&gt;"",E4510&lt;&gt;0,H4510&lt;&gt;""),H4510/E4510,"")</f>
        <v/>
      </c>
      <c r="L4510">
        <f>IF(B4510="","",IFERROR(VALUE(TEXT(B4510,"[$-1170401]yyyy")),""))</f>
        <v/>
      </c>
      <c r="M4510">
        <f>IF(B4510="","",IFERROR(VALUE(TEXT(B4510,"[$-1170401]mm")),""))</f>
        <v/>
      </c>
    </row>
    <row r="4511">
      <c r="B4511" s="30" t="n"/>
      <c r="G4511" s="9">
        <f>IF(AND(E4511&lt;&gt;"",E4511&lt;&gt;0,H4511&lt;&gt;""),H4511/E4511,"")</f>
        <v/>
      </c>
      <c r="L4511">
        <f>IF(B4511="","",IFERROR(VALUE(TEXT(B4511,"[$-1170401]yyyy")),""))</f>
        <v/>
      </c>
      <c r="M4511">
        <f>IF(B4511="","",IFERROR(VALUE(TEXT(B4511,"[$-1170401]mm")),""))</f>
        <v/>
      </c>
    </row>
    <row r="4512">
      <c r="B4512" s="30" t="n"/>
      <c r="G4512" s="9">
        <f>IF(AND(E4512&lt;&gt;"",E4512&lt;&gt;0,H4512&lt;&gt;""),H4512/E4512,"")</f>
        <v/>
      </c>
      <c r="L4512">
        <f>IF(B4512="","",IFERROR(VALUE(TEXT(B4512,"[$-1170401]yyyy")),""))</f>
        <v/>
      </c>
      <c r="M4512">
        <f>IF(B4512="","",IFERROR(VALUE(TEXT(B4512,"[$-1170401]mm")),""))</f>
        <v/>
      </c>
    </row>
    <row r="4513">
      <c r="B4513" s="30" t="n"/>
      <c r="G4513" s="9">
        <f>IF(AND(E4513&lt;&gt;"",E4513&lt;&gt;0,H4513&lt;&gt;""),H4513/E4513,"")</f>
        <v/>
      </c>
      <c r="L4513">
        <f>IF(B4513="","",IFERROR(VALUE(TEXT(B4513,"[$-1170401]yyyy")),""))</f>
        <v/>
      </c>
      <c r="M4513">
        <f>IF(B4513="","",IFERROR(VALUE(TEXT(B4513,"[$-1170401]mm")),""))</f>
        <v/>
      </c>
    </row>
    <row r="4514">
      <c r="B4514" s="30" t="n"/>
      <c r="G4514" s="9">
        <f>IF(AND(E4514&lt;&gt;"",E4514&lt;&gt;0,H4514&lt;&gt;""),H4514/E4514,"")</f>
        <v/>
      </c>
      <c r="L4514">
        <f>IF(B4514="","",IFERROR(VALUE(TEXT(B4514,"[$-1170401]yyyy")),""))</f>
        <v/>
      </c>
      <c r="M4514">
        <f>IF(B4514="","",IFERROR(VALUE(TEXT(B4514,"[$-1170401]mm")),""))</f>
        <v/>
      </c>
    </row>
    <row r="4515">
      <c r="B4515" s="30" t="n"/>
      <c r="G4515" s="9">
        <f>IF(AND(E4515&lt;&gt;"",E4515&lt;&gt;0,H4515&lt;&gt;""),H4515/E4515,"")</f>
        <v/>
      </c>
      <c r="L4515">
        <f>IF(B4515="","",IFERROR(VALUE(TEXT(B4515,"[$-1170401]yyyy")),""))</f>
        <v/>
      </c>
      <c r="M4515">
        <f>IF(B4515="","",IFERROR(VALUE(TEXT(B4515,"[$-1170401]mm")),""))</f>
        <v/>
      </c>
    </row>
    <row r="4516">
      <c r="B4516" s="30" t="n"/>
      <c r="G4516" s="9">
        <f>IF(AND(E4516&lt;&gt;"",E4516&lt;&gt;0,H4516&lt;&gt;""),H4516/E4516,"")</f>
        <v/>
      </c>
      <c r="L4516">
        <f>IF(B4516="","",IFERROR(VALUE(TEXT(B4516,"[$-1170401]yyyy")),""))</f>
        <v/>
      </c>
      <c r="M4516">
        <f>IF(B4516="","",IFERROR(VALUE(TEXT(B4516,"[$-1170401]mm")),""))</f>
        <v/>
      </c>
    </row>
    <row r="4517">
      <c r="B4517" s="30" t="n"/>
      <c r="G4517" s="9">
        <f>IF(AND(E4517&lt;&gt;"",E4517&lt;&gt;0,H4517&lt;&gt;""),H4517/E4517,"")</f>
        <v/>
      </c>
      <c r="L4517">
        <f>IF(B4517="","",IFERROR(VALUE(TEXT(B4517,"[$-1170401]yyyy")),""))</f>
        <v/>
      </c>
      <c r="M4517">
        <f>IF(B4517="","",IFERROR(VALUE(TEXT(B4517,"[$-1170401]mm")),""))</f>
        <v/>
      </c>
    </row>
    <row r="4518">
      <c r="B4518" s="30" t="n"/>
      <c r="G4518" s="9">
        <f>IF(AND(E4518&lt;&gt;"",E4518&lt;&gt;0,H4518&lt;&gt;""),H4518/E4518,"")</f>
        <v/>
      </c>
      <c r="L4518">
        <f>IF(B4518="","",IFERROR(VALUE(TEXT(B4518,"[$-1170401]yyyy")),""))</f>
        <v/>
      </c>
      <c r="M4518">
        <f>IF(B4518="","",IFERROR(VALUE(TEXT(B4518,"[$-1170401]mm")),""))</f>
        <v/>
      </c>
    </row>
    <row r="4519">
      <c r="B4519" s="30" t="n"/>
      <c r="G4519" s="9">
        <f>IF(AND(E4519&lt;&gt;"",E4519&lt;&gt;0,H4519&lt;&gt;""),H4519/E4519,"")</f>
        <v/>
      </c>
      <c r="L4519">
        <f>IF(B4519="","",IFERROR(VALUE(TEXT(B4519,"[$-1170401]yyyy")),""))</f>
        <v/>
      </c>
      <c r="M4519">
        <f>IF(B4519="","",IFERROR(VALUE(TEXT(B4519,"[$-1170401]mm")),""))</f>
        <v/>
      </c>
    </row>
    <row r="4520">
      <c r="B4520" s="30" t="n"/>
      <c r="G4520" s="9">
        <f>IF(AND(E4520&lt;&gt;"",E4520&lt;&gt;0,H4520&lt;&gt;""),H4520/E4520,"")</f>
        <v/>
      </c>
      <c r="L4520">
        <f>IF(B4520="","",IFERROR(VALUE(TEXT(B4520,"[$-1170401]yyyy")),""))</f>
        <v/>
      </c>
      <c r="M4520">
        <f>IF(B4520="","",IFERROR(VALUE(TEXT(B4520,"[$-1170401]mm")),""))</f>
        <v/>
      </c>
    </row>
    <row r="4521">
      <c r="B4521" s="30" t="n"/>
      <c r="G4521" s="9">
        <f>IF(AND(E4521&lt;&gt;"",E4521&lt;&gt;0,H4521&lt;&gt;""),H4521/E4521,"")</f>
        <v/>
      </c>
      <c r="L4521">
        <f>IF(B4521="","",IFERROR(VALUE(TEXT(B4521,"[$-1170401]yyyy")),""))</f>
        <v/>
      </c>
      <c r="M4521">
        <f>IF(B4521="","",IFERROR(VALUE(TEXT(B4521,"[$-1170401]mm")),""))</f>
        <v/>
      </c>
    </row>
    <row r="4522">
      <c r="B4522" s="30" t="n"/>
      <c r="G4522" s="9">
        <f>IF(AND(E4522&lt;&gt;"",E4522&lt;&gt;0,H4522&lt;&gt;""),H4522/E4522,"")</f>
        <v/>
      </c>
      <c r="L4522">
        <f>IF(B4522="","",IFERROR(VALUE(TEXT(B4522,"[$-1170401]yyyy")),""))</f>
        <v/>
      </c>
      <c r="M4522">
        <f>IF(B4522="","",IFERROR(VALUE(TEXT(B4522,"[$-1170401]mm")),""))</f>
        <v/>
      </c>
    </row>
    <row r="4523">
      <c r="B4523" s="30" t="n"/>
      <c r="G4523" s="9">
        <f>IF(AND(E4523&lt;&gt;"",E4523&lt;&gt;0,H4523&lt;&gt;""),H4523/E4523,"")</f>
        <v/>
      </c>
      <c r="L4523">
        <f>IF(B4523="","",IFERROR(VALUE(TEXT(B4523,"[$-1170401]yyyy")),""))</f>
        <v/>
      </c>
      <c r="M4523">
        <f>IF(B4523="","",IFERROR(VALUE(TEXT(B4523,"[$-1170401]mm")),""))</f>
        <v/>
      </c>
    </row>
    <row r="4524">
      <c r="B4524" s="30" t="n"/>
      <c r="G4524" s="9">
        <f>IF(AND(E4524&lt;&gt;"",E4524&lt;&gt;0,H4524&lt;&gt;""),H4524/E4524,"")</f>
        <v/>
      </c>
      <c r="L4524">
        <f>IF(B4524="","",IFERROR(VALUE(TEXT(B4524,"[$-1170401]yyyy")),""))</f>
        <v/>
      </c>
      <c r="M4524">
        <f>IF(B4524="","",IFERROR(VALUE(TEXT(B4524,"[$-1170401]mm")),""))</f>
        <v/>
      </c>
    </row>
    <row r="4525">
      <c r="B4525" s="30" t="n"/>
      <c r="G4525" s="9">
        <f>IF(AND(E4525&lt;&gt;"",E4525&lt;&gt;0,H4525&lt;&gt;""),H4525/E4525,"")</f>
        <v/>
      </c>
      <c r="L4525">
        <f>IF(B4525="","",IFERROR(VALUE(TEXT(B4525,"[$-1170401]yyyy")),""))</f>
        <v/>
      </c>
      <c r="M4525">
        <f>IF(B4525="","",IFERROR(VALUE(TEXT(B4525,"[$-1170401]mm")),""))</f>
        <v/>
      </c>
    </row>
    <row r="4526">
      <c r="B4526" s="30" t="n"/>
      <c r="G4526" s="9">
        <f>IF(AND(E4526&lt;&gt;"",E4526&lt;&gt;0,H4526&lt;&gt;""),H4526/E4526,"")</f>
        <v/>
      </c>
      <c r="L4526">
        <f>IF(B4526="","",IFERROR(VALUE(TEXT(B4526,"[$-1170401]yyyy")),""))</f>
        <v/>
      </c>
      <c r="M4526">
        <f>IF(B4526="","",IFERROR(VALUE(TEXT(B4526,"[$-1170401]mm")),""))</f>
        <v/>
      </c>
    </row>
    <row r="4527">
      <c r="B4527" s="30" t="n"/>
      <c r="G4527" s="9">
        <f>IF(AND(E4527&lt;&gt;"",E4527&lt;&gt;0,H4527&lt;&gt;""),H4527/E4527,"")</f>
        <v/>
      </c>
      <c r="L4527">
        <f>IF(B4527="","",IFERROR(VALUE(TEXT(B4527,"[$-1170401]yyyy")),""))</f>
        <v/>
      </c>
      <c r="M4527">
        <f>IF(B4527="","",IFERROR(VALUE(TEXT(B4527,"[$-1170401]mm")),""))</f>
        <v/>
      </c>
    </row>
    <row r="4528">
      <c r="B4528" s="30" t="n"/>
      <c r="G4528" s="9">
        <f>IF(AND(E4528&lt;&gt;"",E4528&lt;&gt;0,H4528&lt;&gt;""),H4528/E4528,"")</f>
        <v/>
      </c>
      <c r="L4528">
        <f>IF(B4528="","",IFERROR(VALUE(TEXT(B4528,"[$-1170401]yyyy")),""))</f>
        <v/>
      </c>
      <c r="M4528">
        <f>IF(B4528="","",IFERROR(VALUE(TEXT(B4528,"[$-1170401]mm")),""))</f>
        <v/>
      </c>
    </row>
    <row r="4529">
      <c r="B4529" s="30" t="n"/>
      <c r="G4529" s="9">
        <f>IF(AND(E4529&lt;&gt;"",E4529&lt;&gt;0,H4529&lt;&gt;""),H4529/E4529,"")</f>
        <v/>
      </c>
      <c r="L4529">
        <f>IF(B4529="","",IFERROR(VALUE(TEXT(B4529,"[$-1170401]yyyy")),""))</f>
        <v/>
      </c>
      <c r="M4529">
        <f>IF(B4529="","",IFERROR(VALUE(TEXT(B4529,"[$-1170401]mm")),""))</f>
        <v/>
      </c>
    </row>
    <row r="4530">
      <c r="B4530" s="30" t="n"/>
      <c r="G4530" s="9">
        <f>IF(AND(E4530&lt;&gt;"",E4530&lt;&gt;0,H4530&lt;&gt;""),H4530/E4530,"")</f>
        <v/>
      </c>
      <c r="L4530">
        <f>IF(B4530="","",IFERROR(VALUE(TEXT(B4530,"[$-1170401]yyyy")),""))</f>
        <v/>
      </c>
      <c r="M4530">
        <f>IF(B4530="","",IFERROR(VALUE(TEXT(B4530,"[$-1170401]mm")),""))</f>
        <v/>
      </c>
    </row>
    <row r="4531">
      <c r="B4531" s="30" t="n"/>
      <c r="G4531" s="9">
        <f>IF(AND(E4531&lt;&gt;"",E4531&lt;&gt;0,H4531&lt;&gt;""),H4531/E4531,"")</f>
        <v/>
      </c>
      <c r="L4531">
        <f>IF(B4531="","",IFERROR(VALUE(TEXT(B4531,"[$-1170401]yyyy")),""))</f>
        <v/>
      </c>
      <c r="M4531">
        <f>IF(B4531="","",IFERROR(VALUE(TEXT(B4531,"[$-1170401]mm")),""))</f>
        <v/>
      </c>
    </row>
    <row r="4532">
      <c r="B4532" s="30" t="n"/>
      <c r="G4532" s="9">
        <f>IF(AND(E4532&lt;&gt;"",E4532&lt;&gt;0,H4532&lt;&gt;""),H4532/E4532,"")</f>
        <v/>
      </c>
      <c r="L4532">
        <f>IF(B4532="","",IFERROR(VALUE(TEXT(B4532,"[$-1170401]yyyy")),""))</f>
        <v/>
      </c>
      <c r="M4532">
        <f>IF(B4532="","",IFERROR(VALUE(TEXT(B4532,"[$-1170401]mm")),""))</f>
        <v/>
      </c>
    </row>
    <row r="4533">
      <c r="B4533" s="30" t="n"/>
      <c r="G4533" s="9">
        <f>IF(AND(E4533&lt;&gt;"",E4533&lt;&gt;0,H4533&lt;&gt;""),H4533/E4533,"")</f>
        <v/>
      </c>
      <c r="L4533">
        <f>IF(B4533="","",IFERROR(VALUE(TEXT(B4533,"[$-1170401]yyyy")),""))</f>
        <v/>
      </c>
      <c r="M4533">
        <f>IF(B4533="","",IFERROR(VALUE(TEXT(B4533,"[$-1170401]mm")),""))</f>
        <v/>
      </c>
    </row>
    <row r="4534">
      <c r="B4534" s="30" t="n"/>
      <c r="G4534" s="9">
        <f>IF(AND(E4534&lt;&gt;"",E4534&lt;&gt;0,H4534&lt;&gt;""),H4534/E4534,"")</f>
        <v/>
      </c>
      <c r="L4534">
        <f>IF(B4534="","",IFERROR(VALUE(TEXT(B4534,"[$-1170401]yyyy")),""))</f>
        <v/>
      </c>
      <c r="M4534">
        <f>IF(B4534="","",IFERROR(VALUE(TEXT(B4534,"[$-1170401]mm")),""))</f>
        <v/>
      </c>
    </row>
    <row r="4535">
      <c r="B4535" s="30" t="n"/>
      <c r="G4535" s="9">
        <f>IF(AND(E4535&lt;&gt;"",E4535&lt;&gt;0,H4535&lt;&gt;""),H4535/E4535,"")</f>
        <v/>
      </c>
      <c r="L4535">
        <f>IF(B4535="","",IFERROR(VALUE(TEXT(B4535,"[$-1170401]yyyy")),""))</f>
        <v/>
      </c>
      <c r="M4535">
        <f>IF(B4535="","",IFERROR(VALUE(TEXT(B4535,"[$-1170401]mm")),""))</f>
        <v/>
      </c>
    </row>
    <row r="4536">
      <c r="B4536" s="30" t="n"/>
      <c r="G4536" s="9">
        <f>IF(AND(E4536&lt;&gt;"",E4536&lt;&gt;0,H4536&lt;&gt;""),H4536/E4536,"")</f>
        <v/>
      </c>
      <c r="L4536">
        <f>IF(B4536="","",IFERROR(VALUE(TEXT(B4536,"[$-1170401]yyyy")),""))</f>
        <v/>
      </c>
      <c r="M4536">
        <f>IF(B4536="","",IFERROR(VALUE(TEXT(B4536,"[$-1170401]mm")),""))</f>
        <v/>
      </c>
    </row>
    <row r="4537">
      <c r="B4537" s="30" t="n"/>
      <c r="G4537" s="9">
        <f>IF(AND(E4537&lt;&gt;"",E4537&lt;&gt;0,H4537&lt;&gt;""),H4537/E4537,"")</f>
        <v/>
      </c>
      <c r="L4537">
        <f>IF(B4537="","",IFERROR(VALUE(TEXT(B4537,"[$-1170401]yyyy")),""))</f>
        <v/>
      </c>
      <c r="M4537">
        <f>IF(B4537="","",IFERROR(VALUE(TEXT(B4537,"[$-1170401]mm")),""))</f>
        <v/>
      </c>
    </row>
    <row r="4538">
      <c r="B4538" s="30" t="n"/>
      <c r="G4538" s="9">
        <f>IF(AND(E4538&lt;&gt;"",E4538&lt;&gt;0,H4538&lt;&gt;""),H4538/E4538,"")</f>
        <v/>
      </c>
      <c r="L4538">
        <f>IF(B4538="","",IFERROR(VALUE(TEXT(B4538,"[$-1170401]yyyy")),""))</f>
        <v/>
      </c>
      <c r="M4538">
        <f>IF(B4538="","",IFERROR(VALUE(TEXT(B4538,"[$-1170401]mm")),""))</f>
        <v/>
      </c>
    </row>
    <row r="4539">
      <c r="B4539" s="30" t="n"/>
      <c r="G4539" s="9">
        <f>IF(AND(E4539&lt;&gt;"",E4539&lt;&gt;0,H4539&lt;&gt;""),H4539/E4539,"")</f>
        <v/>
      </c>
      <c r="L4539">
        <f>IF(B4539="","",IFERROR(VALUE(TEXT(B4539,"[$-1170401]yyyy")),""))</f>
        <v/>
      </c>
      <c r="M4539">
        <f>IF(B4539="","",IFERROR(VALUE(TEXT(B4539,"[$-1170401]mm")),""))</f>
        <v/>
      </c>
    </row>
    <row r="4540">
      <c r="B4540" s="30" t="n"/>
      <c r="G4540" s="9">
        <f>IF(AND(E4540&lt;&gt;"",E4540&lt;&gt;0,H4540&lt;&gt;""),H4540/E4540,"")</f>
        <v/>
      </c>
      <c r="L4540">
        <f>IF(B4540="","",IFERROR(VALUE(TEXT(B4540,"[$-1170401]yyyy")),""))</f>
        <v/>
      </c>
      <c r="M4540">
        <f>IF(B4540="","",IFERROR(VALUE(TEXT(B4540,"[$-1170401]mm")),""))</f>
        <v/>
      </c>
    </row>
    <row r="4541">
      <c r="B4541" s="30" t="n"/>
      <c r="G4541" s="9">
        <f>IF(AND(E4541&lt;&gt;"",E4541&lt;&gt;0,H4541&lt;&gt;""),H4541/E4541,"")</f>
        <v/>
      </c>
      <c r="L4541">
        <f>IF(B4541="","",IFERROR(VALUE(TEXT(B4541,"[$-1170401]yyyy")),""))</f>
        <v/>
      </c>
      <c r="M4541">
        <f>IF(B4541="","",IFERROR(VALUE(TEXT(B4541,"[$-1170401]mm")),""))</f>
        <v/>
      </c>
    </row>
    <row r="4542">
      <c r="B4542" s="30" t="n"/>
      <c r="G4542" s="9">
        <f>IF(AND(E4542&lt;&gt;"",E4542&lt;&gt;0,H4542&lt;&gt;""),H4542/E4542,"")</f>
        <v/>
      </c>
      <c r="L4542">
        <f>IF(B4542="","",IFERROR(VALUE(TEXT(B4542,"[$-1170401]yyyy")),""))</f>
        <v/>
      </c>
      <c r="M4542">
        <f>IF(B4542="","",IFERROR(VALUE(TEXT(B4542,"[$-1170401]mm")),""))</f>
        <v/>
      </c>
    </row>
    <row r="4543">
      <c r="B4543" s="30" t="n"/>
      <c r="G4543" s="9">
        <f>IF(AND(E4543&lt;&gt;"",E4543&lt;&gt;0,H4543&lt;&gt;""),H4543/E4543,"")</f>
        <v/>
      </c>
      <c r="L4543">
        <f>IF(B4543="","",IFERROR(VALUE(TEXT(B4543,"[$-1170401]yyyy")),""))</f>
        <v/>
      </c>
      <c r="M4543">
        <f>IF(B4543="","",IFERROR(VALUE(TEXT(B4543,"[$-1170401]mm")),""))</f>
        <v/>
      </c>
    </row>
    <row r="4544">
      <c r="B4544" s="30" t="n"/>
      <c r="G4544" s="9">
        <f>IF(AND(E4544&lt;&gt;"",E4544&lt;&gt;0,H4544&lt;&gt;""),H4544/E4544,"")</f>
        <v/>
      </c>
      <c r="L4544">
        <f>IF(B4544="","",IFERROR(VALUE(TEXT(B4544,"[$-1170401]yyyy")),""))</f>
        <v/>
      </c>
      <c r="M4544">
        <f>IF(B4544="","",IFERROR(VALUE(TEXT(B4544,"[$-1170401]mm")),""))</f>
        <v/>
      </c>
    </row>
    <row r="4545">
      <c r="B4545" s="30" t="n"/>
      <c r="G4545" s="9">
        <f>IF(AND(E4545&lt;&gt;"",E4545&lt;&gt;0,H4545&lt;&gt;""),H4545/E4545,"")</f>
        <v/>
      </c>
      <c r="L4545">
        <f>IF(B4545="","",IFERROR(VALUE(TEXT(B4545,"[$-1170401]yyyy")),""))</f>
        <v/>
      </c>
      <c r="M4545">
        <f>IF(B4545="","",IFERROR(VALUE(TEXT(B4545,"[$-1170401]mm")),""))</f>
        <v/>
      </c>
    </row>
    <row r="4546">
      <c r="B4546" s="30" t="n"/>
      <c r="G4546" s="9">
        <f>IF(AND(E4546&lt;&gt;"",E4546&lt;&gt;0,H4546&lt;&gt;""),H4546/E4546,"")</f>
        <v/>
      </c>
      <c r="L4546">
        <f>IF(B4546="","",IFERROR(VALUE(TEXT(B4546,"[$-1170401]yyyy")),""))</f>
        <v/>
      </c>
      <c r="M4546">
        <f>IF(B4546="","",IFERROR(VALUE(TEXT(B4546,"[$-1170401]mm")),""))</f>
        <v/>
      </c>
    </row>
    <row r="4547">
      <c r="B4547" s="30" t="n"/>
      <c r="G4547" s="9">
        <f>IF(AND(E4547&lt;&gt;"",E4547&lt;&gt;0,H4547&lt;&gt;""),H4547/E4547,"")</f>
        <v/>
      </c>
      <c r="L4547">
        <f>IF(B4547="","",IFERROR(VALUE(TEXT(B4547,"[$-1170401]yyyy")),""))</f>
        <v/>
      </c>
      <c r="M4547">
        <f>IF(B4547="","",IFERROR(VALUE(TEXT(B4547,"[$-1170401]mm")),""))</f>
        <v/>
      </c>
    </row>
    <row r="4548">
      <c r="B4548" s="30" t="n"/>
      <c r="G4548" s="9">
        <f>IF(AND(E4548&lt;&gt;"",E4548&lt;&gt;0,H4548&lt;&gt;""),H4548/E4548,"")</f>
        <v/>
      </c>
      <c r="L4548">
        <f>IF(B4548="","",IFERROR(VALUE(TEXT(B4548,"[$-1170401]yyyy")),""))</f>
        <v/>
      </c>
      <c r="M4548">
        <f>IF(B4548="","",IFERROR(VALUE(TEXT(B4548,"[$-1170401]mm")),""))</f>
        <v/>
      </c>
    </row>
    <row r="4549">
      <c r="B4549" s="30" t="n"/>
      <c r="G4549" s="9">
        <f>IF(AND(E4549&lt;&gt;"",E4549&lt;&gt;0,H4549&lt;&gt;""),H4549/E4549,"")</f>
        <v/>
      </c>
      <c r="L4549">
        <f>IF(B4549="","",IFERROR(VALUE(TEXT(B4549,"[$-1170401]yyyy")),""))</f>
        <v/>
      </c>
      <c r="M4549">
        <f>IF(B4549="","",IFERROR(VALUE(TEXT(B4549,"[$-1170401]mm")),""))</f>
        <v/>
      </c>
    </row>
    <row r="4550">
      <c r="B4550" s="30" t="n"/>
      <c r="G4550" s="9">
        <f>IF(AND(E4550&lt;&gt;"",E4550&lt;&gt;0,H4550&lt;&gt;""),H4550/E4550,"")</f>
        <v/>
      </c>
      <c r="L4550">
        <f>IF(B4550="","",IFERROR(VALUE(TEXT(B4550,"[$-1170401]yyyy")),""))</f>
        <v/>
      </c>
      <c r="M4550">
        <f>IF(B4550="","",IFERROR(VALUE(TEXT(B4550,"[$-1170401]mm")),""))</f>
        <v/>
      </c>
    </row>
    <row r="4551">
      <c r="B4551" s="30" t="n"/>
      <c r="G4551" s="9">
        <f>IF(AND(E4551&lt;&gt;"",E4551&lt;&gt;0,H4551&lt;&gt;""),H4551/E4551,"")</f>
        <v/>
      </c>
      <c r="L4551">
        <f>IF(B4551="","",IFERROR(VALUE(TEXT(B4551,"[$-1170401]yyyy")),""))</f>
        <v/>
      </c>
      <c r="M4551">
        <f>IF(B4551="","",IFERROR(VALUE(TEXT(B4551,"[$-1170401]mm")),""))</f>
        <v/>
      </c>
    </row>
    <row r="4552">
      <c r="B4552" s="30" t="n"/>
      <c r="G4552" s="9">
        <f>IF(AND(E4552&lt;&gt;"",E4552&lt;&gt;0,H4552&lt;&gt;""),H4552/E4552,"")</f>
        <v/>
      </c>
      <c r="L4552">
        <f>IF(B4552="","",IFERROR(VALUE(TEXT(B4552,"[$-1170401]yyyy")),""))</f>
        <v/>
      </c>
      <c r="M4552">
        <f>IF(B4552="","",IFERROR(VALUE(TEXT(B4552,"[$-1170401]mm")),""))</f>
        <v/>
      </c>
    </row>
    <row r="4553">
      <c r="B4553" s="30" t="n"/>
      <c r="G4553" s="9">
        <f>IF(AND(E4553&lt;&gt;"",E4553&lt;&gt;0,H4553&lt;&gt;""),H4553/E4553,"")</f>
        <v/>
      </c>
      <c r="L4553">
        <f>IF(B4553="","",IFERROR(VALUE(TEXT(B4553,"[$-1170401]yyyy")),""))</f>
        <v/>
      </c>
      <c r="M4553">
        <f>IF(B4553="","",IFERROR(VALUE(TEXT(B4553,"[$-1170401]mm")),""))</f>
        <v/>
      </c>
    </row>
    <row r="4554">
      <c r="B4554" s="30" t="n"/>
      <c r="G4554" s="9">
        <f>IF(AND(E4554&lt;&gt;"",E4554&lt;&gt;0,H4554&lt;&gt;""),H4554/E4554,"")</f>
        <v/>
      </c>
      <c r="L4554">
        <f>IF(B4554="","",IFERROR(VALUE(TEXT(B4554,"[$-1170401]yyyy")),""))</f>
        <v/>
      </c>
      <c r="M4554">
        <f>IF(B4554="","",IFERROR(VALUE(TEXT(B4554,"[$-1170401]mm")),""))</f>
        <v/>
      </c>
    </row>
    <row r="4555">
      <c r="B4555" s="30" t="n"/>
      <c r="G4555" s="9">
        <f>IF(AND(E4555&lt;&gt;"",E4555&lt;&gt;0,H4555&lt;&gt;""),H4555/E4555,"")</f>
        <v/>
      </c>
      <c r="L4555">
        <f>IF(B4555="","",IFERROR(VALUE(TEXT(B4555,"[$-1170401]yyyy")),""))</f>
        <v/>
      </c>
      <c r="M4555">
        <f>IF(B4555="","",IFERROR(VALUE(TEXT(B4555,"[$-1170401]mm")),""))</f>
        <v/>
      </c>
    </row>
    <row r="4556">
      <c r="B4556" s="30" t="n"/>
      <c r="G4556" s="9">
        <f>IF(AND(E4556&lt;&gt;"",E4556&lt;&gt;0,H4556&lt;&gt;""),H4556/E4556,"")</f>
        <v/>
      </c>
      <c r="L4556">
        <f>IF(B4556="","",IFERROR(VALUE(TEXT(B4556,"[$-1170401]yyyy")),""))</f>
        <v/>
      </c>
      <c r="M4556">
        <f>IF(B4556="","",IFERROR(VALUE(TEXT(B4556,"[$-1170401]mm")),""))</f>
        <v/>
      </c>
    </row>
    <row r="4557">
      <c r="B4557" s="30" t="n"/>
      <c r="G4557" s="9">
        <f>IF(AND(E4557&lt;&gt;"",E4557&lt;&gt;0,H4557&lt;&gt;""),H4557/E4557,"")</f>
        <v/>
      </c>
      <c r="L4557">
        <f>IF(B4557="","",IFERROR(VALUE(TEXT(B4557,"[$-1170401]yyyy")),""))</f>
        <v/>
      </c>
      <c r="M4557">
        <f>IF(B4557="","",IFERROR(VALUE(TEXT(B4557,"[$-1170401]mm")),""))</f>
        <v/>
      </c>
    </row>
    <row r="4558">
      <c r="B4558" s="30" t="n"/>
      <c r="G4558" s="9">
        <f>IF(AND(E4558&lt;&gt;"",E4558&lt;&gt;0,H4558&lt;&gt;""),H4558/E4558,"")</f>
        <v/>
      </c>
      <c r="L4558">
        <f>IF(B4558="","",IFERROR(VALUE(TEXT(B4558,"[$-1170401]yyyy")),""))</f>
        <v/>
      </c>
      <c r="M4558">
        <f>IF(B4558="","",IFERROR(VALUE(TEXT(B4558,"[$-1170401]mm")),""))</f>
        <v/>
      </c>
    </row>
    <row r="4559">
      <c r="B4559" s="30" t="n"/>
      <c r="G4559" s="9">
        <f>IF(AND(E4559&lt;&gt;"",E4559&lt;&gt;0,H4559&lt;&gt;""),H4559/E4559,"")</f>
        <v/>
      </c>
      <c r="L4559">
        <f>IF(B4559="","",IFERROR(VALUE(TEXT(B4559,"[$-1170401]yyyy")),""))</f>
        <v/>
      </c>
      <c r="M4559">
        <f>IF(B4559="","",IFERROR(VALUE(TEXT(B4559,"[$-1170401]mm")),""))</f>
        <v/>
      </c>
    </row>
    <row r="4560">
      <c r="B4560" s="30" t="n"/>
      <c r="G4560" s="9">
        <f>IF(AND(E4560&lt;&gt;"",E4560&lt;&gt;0,H4560&lt;&gt;""),H4560/E4560,"")</f>
        <v/>
      </c>
      <c r="L4560">
        <f>IF(B4560="","",IFERROR(VALUE(TEXT(B4560,"[$-1170401]yyyy")),""))</f>
        <v/>
      </c>
      <c r="M4560">
        <f>IF(B4560="","",IFERROR(VALUE(TEXT(B4560,"[$-1170401]mm")),""))</f>
        <v/>
      </c>
    </row>
    <row r="4561">
      <c r="B4561" s="30" t="n"/>
      <c r="G4561" s="9">
        <f>IF(AND(E4561&lt;&gt;"",E4561&lt;&gt;0,H4561&lt;&gt;""),H4561/E4561,"")</f>
        <v/>
      </c>
      <c r="L4561">
        <f>IF(B4561="","",IFERROR(VALUE(TEXT(B4561,"[$-1170401]yyyy")),""))</f>
        <v/>
      </c>
      <c r="M4561">
        <f>IF(B4561="","",IFERROR(VALUE(TEXT(B4561,"[$-1170401]mm")),""))</f>
        <v/>
      </c>
    </row>
    <row r="4562">
      <c r="B4562" s="30" t="n"/>
      <c r="G4562" s="9">
        <f>IF(AND(E4562&lt;&gt;"",E4562&lt;&gt;0,H4562&lt;&gt;""),H4562/E4562,"")</f>
        <v/>
      </c>
      <c r="L4562">
        <f>IF(B4562="","",IFERROR(VALUE(TEXT(B4562,"[$-1170401]yyyy")),""))</f>
        <v/>
      </c>
      <c r="M4562">
        <f>IF(B4562="","",IFERROR(VALUE(TEXT(B4562,"[$-1170401]mm")),""))</f>
        <v/>
      </c>
    </row>
    <row r="4563">
      <c r="B4563" s="30" t="n"/>
      <c r="G4563" s="9">
        <f>IF(AND(E4563&lt;&gt;"",E4563&lt;&gt;0,H4563&lt;&gt;""),H4563/E4563,"")</f>
        <v/>
      </c>
      <c r="L4563">
        <f>IF(B4563="","",IFERROR(VALUE(TEXT(B4563,"[$-1170401]yyyy")),""))</f>
        <v/>
      </c>
      <c r="M4563">
        <f>IF(B4563="","",IFERROR(VALUE(TEXT(B4563,"[$-1170401]mm")),""))</f>
        <v/>
      </c>
    </row>
    <row r="4564">
      <c r="B4564" s="30" t="n"/>
      <c r="G4564" s="9">
        <f>IF(AND(E4564&lt;&gt;"",E4564&lt;&gt;0,H4564&lt;&gt;""),H4564/E4564,"")</f>
        <v/>
      </c>
      <c r="L4564">
        <f>IF(B4564="","",IFERROR(VALUE(TEXT(B4564,"[$-1170401]yyyy")),""))</f>
        <v/>
      </c>
      <c r="M4564">
        <f>IF(B4564="","",IFERROR(VALUE(TEXT(B4564,"[$-1170401]mm")),""))</f>
        <v/>
      </c>
    </row>
    <row r="4565">
      <c r="B4565" s="30" t="n"/>
      <c r="G4565" s="9">
        <f>IF(AND(E4565&lt;&gt;"",E4565&lt;&gt;0,H4565&lt;&gt;""),H4565/E4565,"")</f>
        <v/>
      </c>
      <c r="L4565">
        <f>IF(B4565="","",IFERROR(VALUE(TEXT(B4565,"[$-1170401]yyyy")),""))</f>
        <v/>
      </c>
      <c r="M4565">
        <f>IF(B4565="","",IFERROR(VALUE(TEXT(B4565,"[$-1170401]mm")),""))</f>
        <v/>
      </c>
    </row>
    <row r="4566">
      <c r="B4566" s="30" t="n"/>
      <c r="G4566" s="9">
        <f>IF(AND(E4566&lt;&gt;"",E4566&lt;&gt;0,H4566&lt;&gt;""),H4566/E4566,"")</f>
        <v/>
      </c>
      <c r="L4566">
        <f>IF(B4566="","",IFERROR(VALUE(TEXT(B4566,"[$-1170401]yyyy")),""))</f>
        <v/>
      </c>
      <c r="M4566">
        <f>IF(B4566="","",IFERROR(VALUE(TEXT(B4566,"[$-1170401]mm")),""))</f>
        <v/>
      </c>
    </row>
    <row r="4567">
      <c r="B4567" s="30" t="n"/>
      <c r="G4567" s="9">
        <f>IF(AND(E4567&lt;&gt;"",E4567&lt;&gt;0,H4567&lt;&gt;""),H4567/E4567,"")</f>
        <v/>
      </c>
      <c r="L4567">
        <f>IF(B4567="","",IFERROR(VALUE(TEXT(B4567,"[$-1170401]yyyy")),""))</f>
        <v/>
      </c>
      <c r="M4567">
        <f>IF(B4567="","",IFERROR(VALUE(TEXT(B4567,"[$-1170401]mm")),""))</f>
        <v/>
      </c>
    </row>
    <row r="4568">
      <c r="B4568" s="30" t="n"/>
      <c r="G4568" s="9">
        <f>IF(AND(E4568&lt;&gt;"",E4568&lt;&gt;0,H4568&lt;&gt;""),H4568/E4568,"")</f>
        <v/>
      </c>
      <c r="L4568">
        <f>IF(B4568="","",IFERROR(VALUE(TEXT(B4568,"[$-1170401]yyyy")),""))</f>
        <v/>
      </c>
      <c r="M4568">
        <f>IF(B4568="","",IFERROR(VALUE(TEXT(B4568,"[$-1170401]mm")),""))</f>
        <v/>
      </c>
    </row>
    <row r="4569">
      <c r="B4569" s="30" t="n"/>
      <c r="G4569" s="9">
        <f>IF(AND(E4569&lt;&gt;"",E4569&lt;&gt;0,H4569&lt;&gt;""),H4569/E4569,"")</f>
        <v/>
      </c>
      <c r="L4569">
        <f>IF(B4569="","",IFERROR(VALUE(TEXT(B4569,"[$-1170401]yyyy")),""))</f>
        <v/>
      </c>
      <c r="M4569">
        <f>IF(B4569="","",IFERROR(VALUE(TEXT(B4569,"[$-1170401]mm")),""))</f>
        <v/>
      </c>
    </row>
    <row r="4570">
      <c r="B4570" s="30" t="n"/>
      <c r="G4570" s="9">
        <f>IF(AND(E4570&lt;&gt;"",E4570&lt;&gt;0,H4570&lt;&gt;""),H4570/E4570,"")</f>
        <v/>
      </c>
      <c r="L4570">
        <f>IF(B4570="","",IFERROR(VALUE(TEXT(B4570,"[$-1170401]yyyy")),""))</f>
        <v/>
      </c>
      <c r="M4570">
        <f>IF(B4570="","",IFERROR(VALUE(TEXT(B4570,"[$-1170401]mm")),""))</f>
        <v/>
      </c>
    </row>
    <row r="4571">
      <c r="B4571" s="30" t="n"/>
      <c r="G4571" s="9">
        <f>IF(AND(E4571&lt;&gt;"",E4571&lt;&gt;0,H4571&lt;&gt;""),H4571/E4571,"")</f>
        <v/>
      </c>
      <c r="L4571">
        <f>IF(B4571="","",IFERROR(VALUE(TEXT(B4571,"[$-1170401]yyyy")),""))</f>
        <v/>
      </c>
      <c r="M4571">
        <f>IF(B4571="","",IFERROR(VALUE(TEXT(B4571,"[$-1170401]mm")),""))</f>
        <v/>
      </c>
    </row>
    <row r="4572">
      <c r="B4572" s="30" t="n"/>
      <c r="G4572" s="9">
        <f>IF(AND(E4572&lt;&gt;"",E4572&lt;&gt;0,H4572&lt;&gt;""),H4572/E4572,"")</f>
        <v/>
      </c>
      <c r="L4572">
        <f>IF(B4572="","",IFERROR(VALUE(TEXT(B4572,"[$-1170401]yyyy")),""))</f>
        <v/>
      </c>
      <c r="M4572">
        <f>IF(B4572="","",IFERROR(VALUE(TEXT(B4572,"[$-1170401]mm")),""))</f>
        <v/>
      </c>
    </row>
    <row r="4573">
      <c r="B4573" s="30" t="n"/>
      <c r="G4573" s="9">
        <f>IF(AND(E4573&lt;&gt;"",E4573&lt;&gt;0,H4573&lt;&gt;""),H4573/E4573,"")</f>
        <v/>
      </c>
      <c r="L4573">
        <f>IF(B4573="","",IFERROR(VALUE(TEXT(B4573,"[$-1170401]yyyy")),""))</f>
        <v/>
      </c>
      <c r="M4573">
        <f>IF(B4573="","",IFERROR(VALUE(TEXT(B4573,"[$-1170401]mm")),""))</f>
        <v/>
      </c>
    </row>
    <row r="4574">
      <c r="B4574" s="30" t="n"/>
      <c r="G4574" s="9">
        <f>IF(AND(E4574&lt;&gt;"",E4574&lt;&gt;0,H4574&lt;&gt;""),H4574/E4574,"")</f>
        <v/>
      </c>
      <c r="L4574">
        <f>IF(B4574="","",IFERROR(VALUE(TEXT(B4574,"[$-1170401]yyyy")),""))</f>
        <v/>
      </c>
      <c r="M4574">
        <f>IF(B4574="","",IFERROR(VALUE(TEXT(B4574,"[$-1170401]mm")),""))</f>
        <v/>
      </c>
    </row>
    <row r="4575">
      <c r="B4575" s="30" t="n"/>
      <c r="G4575" s="9">
        <f>IF(AND(E4575&lt;&gt;"",E4575&lt;&gt;0,H4575&lt;&gt;""),H4575/E4575,"")</f>
        <v/>
      </c>
      <c r="L4575">
        <f>IF(B4575="","",IFERROR(VALUE(TEXT(B4575,"[$-1170401]yyyy")),""))</f>
        <v/>
      </c>
      <c r="M4575">
        <f>IF(B4575="","",IFERROR(VALUE(TEXT(B4575,"[$-1170401]mm")),""))</f>
        <v/>
      </c>
    </row>
    <row r="4576">
      <c r="B4576" s="30" t="n"/>
      <c r="G4576" s="9">
        <f>IF(AND(E4576&lt;&gt;"",E4576&lt;&gt;0,H4576&lt;&gt;""),H4576/E4576,"")</f>
        <v/>
      </c>
      <c r="L4576">
        <f>IF(B4576="","",IFERROR(VALUE(TEXT(B4576,"[$-1170401]yyyy")),""))</f>
        <v/>
      </c>
      <c r="M4576">
        <f>IF(B4576="","",IFERROR(VALUE(TEXT(B4576,"[$-1170401]mm")),""))</f>
        <v/>
      </c>
    </row>
    <row r="4577">
      <c r="B4577" s="30" t="n"/>
      <c r="G4577" s="9">
        <f>IF(AND(E4577&lt;&gt;"",E4577&lt;&gt;0,H4577&lt;&gt;""),H4577/E4577,"")</f>
        <v/>
      </c>
      <c r="L4577">
        <f>IF(B4577="","",IFERROR(VALUE(TEXT(B4577,"[$-1170401]yyyy")),""))</f>
        <v/>
      </c>
      <c r="M4577">
        <f>IF(B4577="","",IFERROR(VALUE(TEXT(B4577,"[$-1170401]mm")),""))</f>
        <v/>
      </c>
    </row>
    <row r="4578">
      <c r="B4578" s="30" t="n"/>
      <c r="G4578" s="9">
        <f>IF(AND(E4578&lt;&gt;"",E4578&lt;&gt;0,H4578&lt;&gt;""),H4578/E4578,"")</f>
        <v/>
      </c>
      <c r="L4578">
        <f>IF(B4578="","",IFERROR(VALUE(TEXT(B4578,"[$-1170401]yyyy")),""))</f>
        <v/>
      </c>
      <c r="M4578">
        <f>IF(B4578="","",IFERROR(VALUE(TEXT(B4578,"[$-1170401]mm")),""))</f>
        <v/>
      </c>
    </row>
    <row r="4579">
      <c r="B4579" s="30" t="n"/>
      <c r="G4579" s="9">
        <f>IF(AND(E4579&lt;&gt;"",E4579&lt;&gt;0,H4579&lt;&gt;""),H4579/E4579,"")</f>
        <v/>
      </c>
      <c r="L4579">
        <f>IF(B4579="","",IFERROR(VALUE(TEXT(B4579,"[$-1170401]yyyy")),""))</f>
        <v/>
      </c>
      <c r="M4579">
        <f>IF(B4579="","",IFERROR(VALUE(TEXT(B4579,"[$-1170401]mm")),""))</f>
        <v/>
      </c>
    </row>
    <row r="4580">
      <c r="B4580" s="30" t="n"/>
      <c r="G4580" s="9">
        <f>IF(AND(E4580&lt;&gt;"",E4580&lt;&gt;0,H4580&lt;&gt;""),H4580/E4580,"")</f>
        <v/>
      </c>
      <c r="L4580">
        <f>IF(B4580="","",IFERROR(VALUE(TEXT(B4580,"[$-1170401]yyyy")),""))</f>
        <v/>
      </c>
      <c r="M4580">
        <f>IF(B4580="","",IFERROR(VALUE(TEXT(B4580,"[$-1170401]mm")),""))</f>
        <v/>
      </c>
    </row>
    <row r="4581">
      <c r="B4581" s="30" t="n"/>
      <c r="G4581" s="9">
        <f>IF(AND(E4581&lt;&gt;"",E4581&lt;&gt;0,H4581&lt;&gt;""),H4581/E4581,"")</f>
        <v/>
      </c>
      <c r="L4581">
        <f>IF(B4581="","",IFERROR(VALUE(TEXT(B4581,"[$-1170401]yyyy")),""))</f>
        <v/>
      </c>
      <c r="M4581">
        <f>IF(B4581="","",IFERROR(VALUE(TEXT(B4581,"[$-1170401]mm")),""))</f>
        <v/>
      </c>
    </row>
    <row r="4582">
      <c r="B4582" s="30" t="n"/>
      <c r="G4582" s="9">
        <f>IF(AND(E4582&lt;&gt;"",E4582&lt;&gt;0,H4582&lt;&gt;""),H4582/E4582,"")</f>
        <v/>
      </c>
      <c r="L4582">
        <f>IF(B4582="","",IFERROR(VALUE(TEXT(B4582,"[$-1170401]yyyy")),""))</f>
        <v/>
      </c>
      <c r="M4582">
        <f>IF(B4582="","",IFERROR(VALUE(TEXT(B4582,"[$-1170401]mm")),""))</f>
        <v/>
      </c>
    </row>
    <row r="4583">
      <c r="B4583" s="30" t="n"/>
      <c r="G4583" s="9">
        <f>IF(AND(E4583&lt;&gt;"",E4583&lt;&gt;0,H4583&lt;&gt;""),H4583/E4583,"")</f>
        <v/>
      </c>
      <c r="L4583">
        <f>IF(B4583="","",IFERROR(VALUE(TEXT(B4583,"[$-1170401]yyyy")),""))</f>
        <v/>
      </c>
      <c r="M4583">
        <f>IF(B4583="","",IFERROR(VALUE(TEXT(B4583,"[$-1170401]mm")),""))</f>
        <v/>
      </c>
    </row>
    <row r="4584">
      <c r="B4584" s="30" t="n"/>
      <c r="G4584" s="9">
        <f>IF(AND(E4584&lt;&gt;"",E4584&lt;&gt;0,H4584&lt;&gt;""),H4584/E4584,"")</f>
        <v/>
      </c>
      <c r="L4584">
        <f>IF(B4584="","",IFERROR(VALUE(TEXT(B4584,"[$-1170401]yyyy")),""))</f>
        <v/>
      </c>
      <c r="M4584">
        <f>IF(B4584="","",IFERROR(VALUE(TEXT(B4584,"[$-1170401]mm")),""))</f>
        <v/>
      </c>
    </row>
    <row r="4585">
      <c r="B4585" s="30" t="n"/>
      <c r="G4585" s="9">
        <f>IF(AND(E4585&lt;&gt;"",E4585&lt;&gt;0,H4585&lt;&gt;""),H4585/E4585,"")</f>
        <v/>
      </c>
      <c r="L4585">
        <f>IF(B4585="","",IFERROR(VALUE(TEXT(B4585,"[$-1170401]yyyy")),""))</f>
        <v/>
      </c>
      <c r="M4585">
        <f>IF(B4585="","",IFERROR(VALUE(TEXT(B4585,"[$-1170401]mm")),""))</f>
        <v/>
      </c>
    </row>
    <row r="4586">
      <c r="B4586" s="30" t="n"/>
      <c r="G4586" s="9">
        <f>IF(AND(E4586&lt;&gt;"",E4586&lt;&gt;0,H4586&lt;&gt;""),H4586/E4586,"")</f>
        <v/>
      </c>
      <c r="L4586">
        <f>IF(B4586="","",IFERROR(VALUE(TEXT(B4586,"[$-1170401]yyyy")),""))</f>
        <v/>
      </c>
      <c r="M4586">
        <f>IF(B4586="","",IFERROR(VALUE(TEXT(B4586,"[$-1170401]mm")),""))</f>
        <v/>
      </c>
    </row>
    <row r="4587">
      <c r="B4587" s="30" t="n"/>
      <c r="G4587" s="9">
        <f>IF(AND(E4587&lt;&gt;"",E4587&lt;&gt;0,H4587&lt;&gt;""),H4587/E4587,"")</f>
        <v/>
      </c>
      <c r="L4587">
        <f>IF(B4587="","",IFERROR(VALUE(TEXT(B4587,"[$-1170401]yyyy")),""))</f>
        <v/>
      </c>
      <c r="M4587">
        <f>IF(B4587="","",IFERROR(VALUE(TEXT(B4587,"[$-1170401]mm")),""))</f>
        <v/>
      </c>
    </row>
    <row r="4588">
      <c r="B4588" s="30" t="n"/>
      <c r="G4588" s="9">
        <f>IF(AND(E4588&lt;&gt;"",E4588&lt;&gt;0,H4588&lt;&gt;""),H4588/E4588,"")</f>
        <v/>
      </c>
      <c r="L4588">
        <f>IF(B4588="","",IFERROR(VALUE(TEXT(B4588,"[$-1170401]yyyy")),""))</f>
        <v/>
      </c>
      <c r="M4588">
        <f>IF(B4588="","",IFERROR(VALUE(TEXT(B4588,"[$-1170401]mm")),""))</f>
        <v/>
      </c>
    </row>
    <row r="4589">
      <c r="B4589" s="30" t="n"/>
      <c r="G4589" s="9">
        <f>IF(AND(E4589&lt;&gt;"",E4589&lt;&gt;0,H4589&lt;&gt;""),H4589/E4589,"")</f>
        <v/>
      </c>
      <c r="L4589">
        <f>IF(B4589="","",IFERROR(VALUE(TEXT(B4589,"[$-1170401]yyyy")),""))</f>
        <v/>
      </c>
      <c r="M4589">
        <f>IF(B4589="","",IFERROR(VALUE(TEXT(B4589,"[$-1170401]mm")),""))</f>
        <v/>
      </c>
    </row>
    <row r="4590">
      <c r="B4590" s="30" t="n"/>
      <c r="G4590" s="9">
        <f>IF(AND(E4590&lt;&gt;"",E4590&lt;&gt;0,H4590&lt;&gt;""),H4590/E4590,"")</f>
        <v/>
      </c>
      <c r="L4590">
        <f>IF(B4590="","",IFERROR(VALUE(TEXT(B4590,"[$-1170401]yyyy")),""))</f>
        <v/>
      </c>
      <c r="M4590">
        <f>IF(B4590="","",IFERROR(VALUE(TEXT(B4590,"[$-1170401]mm")),""))</f>
        <v/>
      </c>
    </row>
    <row r="4591">
      <c r="B4591" s="30" t="n"/>
      <c r="G4591" s="9">
        <f>IF(AND(E4591&lt;&gt;"",E4591&lt;&gt;0,H4591&lt;&gt;""),H4591/E4591,"")</f>
        <v/>
      </c>
      <c r="L4591">
        <f>IF(B4591="","",IFERROR(VALUE(TEXT(B4591,"[$-1170401]yyyy")),""))</f>
        <v/>
      </c>
      <c r="M4591">
        <f>IF(B4591="","",IFERROR(VALUE(TEXT(B4591,"[$-1170401]mm")),""))</f>
        <v/>
      </c>
    </row>
    <row r="4592">
      <c r="B4592" s="30" t="n"/>
      <c r="G4592" s="9">
        <f>IF(AND(E4592&lt;&gt;"",E4592&lt;&gt;0,H4592&lt;&gt;""),H4592/E4592,"")</f>
        <v/>
      </c>
      <c r="L4592">
        <f>IF(B4592="","",IFERROR(VALUE(TEXT(B4592,"[$-1170401]yyyy")),""))</f>
        <v/>
      </c>
      <c r="M4592">
        <f>IF(B4592="","",IFERROR(VALUE(TEXT(B4592,"[$-1170401]mm")),""))</f>
        <v/>
      </c>
    </row>
    <row r="4593">
      <c r="B4593" s="30" t="n"/>
      <c r="G4593" s="9">
        <f>IF(AND(E4593&lt;&gt;"",E4593&lt;&gt;0,H4593&lt;&gt;""),H4593/E4593,"")</f>
        <v/>
      </c>
      <c r="L4593">
        <f>IF(B4593="","",IFERROR(VALUE(TEXT(B4593,"[$-1170401]yyyy")),""))</f>
        <v/>
      </c>
      <c r="M4593">
        <f>IF(B4593="","",IFERROR(VALUE(TEXT(B4593,"[$-1170401]mm")),""))</f>
        <v/>
      </c>
    </row>
    <row r="4594">
      <c r="B4594" s="30" t="n"/>
      <c r="G4594" s="9">
        <f>IF(AND(E4594&lt;&gt;"",E4594&lt;&gt;0,H4594&lt;&gt;""),H4594/E4594,"")</f>
        <v/>
      </c>
      <c r="L4594">
        <f>IF(B4594="","",IFERROR(VALUE(TEXT(B4594,"[$-1170401]yyyy")),""))</f>
        <v/>
      </c>
      <c r="M4594">
        <f>IF(B4594="","",IFERROR(VALUE(TEXT(B4594,"[$-1170401]mm")),""))</f>
        <v/>
      </c>
    </row>
    <row r="4595">
      <c r="B4595" s="30" t="n"/>
      <c r="G4595" s="9">
        <f>IF(AND(E4595&lt;&gt;"",E4595&lt;&gt;0,H4595&lt;&gt;""),H4595/E4595,"")</f>
        <v/>
      </c>
      <c r="L4595">
        <f>IF(B4595="","",IFERROR(VALUE(TEXT(B4595,"[$-1170401]yyyy")),""))</f>
        <v/>
      </c>
      <c r="M4595">
        <f>IF(B4595="","",IFERROR(VALUE(TEXT(B4595,"[$-1170401]mm")),""))</f>
        <v/>
      </c>
    </row>
    <row r="4596">
      <c r="B4596" s="30" t="n"/>
      <c r="G4596" s="9">
        <f>IF(AND(E4596&lt;&gt;"",E4596&lt;&gt;0,H4596&lt;&gt;""),H4596/E4596,"")</f>
        <v/>
      </c>
      <c r="L4596">
        <f>IF(B4596="","",IFERROR(VALUE(TEXT(B4596,"[$-1170401]yyyy")),""))</f>
        <v/>
      </c>
      <c r="M4596">
        <f>IF(B4596="","",IFERROR(VALUE(TEXT(B4596,"[$-1170401]mm")),""))</f>
        <v/>
      </c>
    </row>
    <row r="4597">
      <c r="B4597" s="30" t="n"/>
      <c r="G4597" s="9">
        <f>IF(AND(E4597&lt;&gt;"",E4597&lt;&gt;0,H4597&lt;&gt;""),H4597/E4597,"")</f>
        <v/>
      </c>
      <c r="L4597">
        <f>IF(B4597="","",IFERROR(VALUE(TEXT(B4597,"[$-1170401]yyyy")),""))</f>
        <v/>
      </c>
      <c r="M4597">
        <f>IF(B4597="","",IFERROR(VALUE(TEXT(B4597,"[$-1170401]mm")),""))</f>
        <v/>
      </c>
    </row>
    <row r="4598">
      <c r="B4598" s="30" t="n"/>
      <c r="G4598" s="9">
        <f>IF(AND(E4598&lt;&gt;"",E4598&lt;&gt;0,H4598&lt;&gt;""),H4598/E4598,"")</f>
        <v/>
      </c>
      <c r="L4598">
        <f>IF(B4598="","",IFERROR(VALUE(TEXT(B4598,"[$-1170401]yyyy")),""))</f>
        <v/>
      </c>
      <c r="M4598">
        <f>IF(B4598="","",IFERROR(VALUE(TEXT(B4598,"[$-1170401]mm")),""))</f>
        <v/>
      </c>
    </row>
    <row r="4599">
      <c r="B4599" s="30" t="n"/>
      <c r="G4599" s="9">
        <f>IF(AND(E4599&lt;&gt;"",E4599&lt;&gt;0,H4599&lt;&gt;""),H4599/E4599,"")</f>
        <v/>
      </c>
      <c r="L4599">
        <f>IF(B4599="","",IFERROR(VALUE(TEXT(B4599,"[$-1170401]yyyy")),""))</f>
        <v/>
      </c>
      <c r="M4599">
        <f>IF(B4599="","",IFERROR(VALUE(TEXT(B4599,"[$-1170401]mm")),""))</f>
        <v/>
      </c>
    </row>
    <row r="4600">
      <c r="B4600" s="30" t="n"/>
      <c r="G4600" s="9">
        <f>IF(AND(E4600&lt;&gt;"",E4600&lt;&gt;0,H4600&lt;&gt;""),H4600/E4600,"")</f>
        <v/>
      </c>
      <c r="L4600">
        <f>IF(B4600="","",IFERROR(VALUE(TEXT(B4600,"[$-1170401]yyyy")),""))</f>
        <v/>
      </c>
      <c r="M4600">
        <f>IF(B4600="","",IFERROR(VALUE(TEXT(B4600,"[$-1170401]mm")),""))</f>
        <v/>
      </c>
    </row>
    <row r="4601">
      <c r="B4601" s="30" t="n"/>
      <c r="G4601" s="9">
        <f>IF(AND(E4601&lt;&gt;"",E4601&lt;&gt;0,H4601&lt;&gt;""),H4601/E4601,"")</f>
        <v/>
      </c>
      <c r="L4601">
        <f>IF(B4601="","",IFERROR(VALUE(TEXT(B4601,"[$-1170401]yyyy")),""))</f>
        <v/>
      </c>
      <c r="M4601">
        <f>IF(B4601="","",IFERROR(VALUE(TEXT(B4601,"[$-1170401]mm")),""))</f>
        <v/>
      </c>
    </row>
    <row r="4602">
      <c r="B4602" s="30" t="n"/>
      <c r="G4602" s="9">
        <f>IF(AND(E4602&lt;&gt;"",E4602&lt;&gt;0,H4602&lt;&gt;""),H4602/E4602,"")</f>
        <v/>
      </c>
      <c r="L4602">
        <f>IF(B4602="","",IFERROR(VALUE(TEXT(B4602,"[$-1170401]yyyy")),""))</f>
        <v/>
      </c>
      <c r="M4602">
        <f>IF(B4602="","",IFERROR(VALUE(TEXT(B4602,"[$-1170401]mm")),""))</f>
        <v/>
      </c>
    </row>
    <row r="4603">
      <c r="B4603" s="30" t="n"/>
      <c r="G4603" s="9">
        <f>IF(AND(E4603&lt;&gt;"",E4603&lt;&gt;0,H4603&lt;&gt;""),H4603/E4603,"")</f>
        <v/>
      </c>
      <c r="L4603">
        <f>IF(B4603="","",IFERROR(VALUE(TEXT(B4603,"[$-1170401]yyyy")),""))</f>
        <v/>
      </c>
      <c r="M4603">
        <f>IF(B4603="","",IFERROR(VALUE(TEXT(B4603,"[$-1170401]mm")),""))</f>
        <v/>
      </c>
    </row>
    <row r="4604">
      <c r="B4604" s="30" t="n"/>
      <c r="G4604" s="9">
        <f>IF(AND(E4604&lt;&gt;"",E4604&lt;&gt;0,H4604&lt;&gt;""),H4604/E4604,"")</f>
        <v/>
      </c>
      <c r="L4604">
        <f>IF(B4604="","",IFERROR(VALUE(TEXT(B4604,"[$-1170401]yyyy")),""))</f>
        <v/>
      </c>
      <c r="M4604">
        <f>IF(B4604="","",IFERROR(VALUE(TEXT(B4604,"[$-1170401]mm")),""))</f>
        <v/>
      </c>
    </row>
    <row r="4605">
      <c r="B4605" s="30" t="n"/>
      <c r="G4605" s="9">
        <f>IF(AND(E4605&lt;&gt;"",E4605&lt;&gt;0,H4605&lt;&gt;""),H4605/E4605,"")</f>
        <v/>
      </c>
      <c r="L4605">
        <f>IF(B4605="","",IFERROR(VALUE(TEXT(B4605,"[$-1170401]yyyy")),""))</f>
        <v/>
      </c>
      <c r="M4605">
        <f>IF(B4605="","",IFERROR(VALUE(TEXT(B4605,"[$-1170401]mm")),""))</f>
        <v/>
      </c>
    </row>
    <row r="4606">
      <c r="B4606" s="30" t="n"/>
      <c r="G4606" s="9">
        <f>IF(AND(E4606&lt;&gt;"",E4606&lt;&gt;0,H4606&lt;&gt;""),H4606/E4606,"")</f>
        <v/>
      </c>
      <c r="L4606">
        <f>IF(B4606="","",IFERROR(VALUE(TEXT(B4606,"[$-1170401]yyyy")),""))</f>
        <v/>
      </c>
      <c r="M4606">
        <f>IF(B4606="","",IFERROR(VALUE(TEXT(B4606,"[$-1170401]mm")),""))</f>
        <v/>
      </c>
    </row>
    <row r="4607">
      <c r="B4607" s="30" t="n"/>
      <c r="G4607" s="9">
        <f>IF(AND(E4607&lt;&gt;"",E4607&lt;&gt;0,H4607&lt;&gt;""),H4607/E4607,"")</f>
        <v/>
      </c>
      <c r="L4607">
        <f>IF(B4607="","",IFERROR(VALUE(TEXT(B4607,"[$-1170401]yyyy")),""))</f>
        <v/>
      </c>
      <c r="M4607">
        <f>IF(B4607="","",IFERROR(VALUE(TEXT(B4607,"[$-1170401]mm")),""))</f>
        <v/>
      </c>
    </row>
    <row r="4608">
      <c r="B4608" s="30" t="n"/>
      <c r="G4608" s="9">
        <f>IF(AND(E4608&lt;&gt;"",E4608&lt;&gt;0,H4608&lt;&gt;""),H4608/E4608,"")</f>
        <v/>
      </c>
      <c r="L4608">
        <f>IF(B4608="","",IFERROR(VALUE(TEXT(B4608,"[$-1170401]yyyy")),""))</f>
        <v/>
      </c>
      <c r="M4608">
        <f>IF(B4608="","",IFERROR(VALUE(TEXT(B4608,"[$-1170401]mm")),""))</f>
        <v/>
      </c>
    </row>
    <row r="4609">
      <c r="B4609" s="30" t="n"/>
      <c r="G4609" s="9">
        <f>IF(AND(E4609&lt;&gt;"",E4609&lt;&gt;0,H4609&lt;&gt;""),H4609/E4609,"")</f>
        <v/>
      </c>
      <c r="L4609">
        <f>IF(B4609="","",IFERROR(VALUE(TEXT(B4609,"[$-1170401]yyyy")),""))</f>
        <v/>
      </c>
      <c r="M4609">
        <f>IF(B4609="","",IFERROR(VALUE(TEXT(B4609,"[$-1170401]mm")),""))</f>
        <v/>
      </c>
    </row>
    <row r="4610">
      <c r="B4610" s="30" t="n"/>
      <c r="G4610" s="9">
        <f>IF(AND(E4610&lt;&gt;"",E4610&lt;&gt;0,H4610&lt;&gt;""),H4610/E4610,"")</f>
        <v/>
      </c>
      <c r="L4610">
        <f>IF(B4610="","",IFERROR(VALUE(TEXT(B4610,"[$-1170401]yyyy")),""))</f>
        <v/>
      </c>
      <c r="M4610">
        <f>IF(B4610="","",IFERROR(VALUE(TEXT(B4610,"[$-1170401]mm")),""))</f>
        <v/>
      </c>
    </row>
    <row r="4611">
      <c r="B4611" s="30" t="n"/>
      <c r="G4611" s="9">
        <f>IF(AND(E4611&lt;&gt;"",E4611&lt;&gt;0,H4611&lt;&gt;""),H4611/E4611,"")</f>
        <v/>
      </c>
      <c r="L4611">
        <f>IF(B4611="","",IFERROR(VALUE(TEXT(B4611,"[$-1170401]yyyy")),""))</f>
        <v/>
      </c>
      <c r="M4611">
        <f>IF(B4611="","",IFERROR(VALUE(TEXT(B4611,"[$-1170401]mm")),""))</f>
        <v/>
      </c>
    </row>
    <row r="4612">
      <c r="B4612" s="30" t="n"/>
      <c r="G4612" s="9">
        <f>IF(AND(E4612&lt;&gt;"",E4612&lt;&gt;0,H4612&lt;&gt;""),H4612/E4612,"")</f>
        <v/>
      </c>
      <c r="L4612">
        <f>IF(B4612="","",IFERROR(VALUE(TEXT(B4612,"[$-1170401]yyyy")),""))</f>
        <v/>
      </c>
      <c r="M4612">
        <f>IF(B4612="","",IFERROR(VALUE(TEXT(B4612,"[$-1170401]mm")),""))</f>
        <v/>
      </c>
    </row>
    <row r="4613">
      <c r="B4613" s="30" t="n"/>
      <c r="G4613" s="9">
        <f>IF(AND(E4613&lt;&gt;"",E4613&lt;&gt;0,H4613&lt;&gt;""),H4613/E4613,"")</f>
        <v/>
      </c>
      <c r="L4613">
        <f>IF(B4613="","",IFERROR(VALUE(TEXT(B4613,"[$-1170401]yyyy")),""))</f>
        <v/>
      </c>
      <c r="M4613">
        <f>IF(B4613="","",IFERROR(VALUE(TEXT(B4613,"[$-1170401]mm")),""))</f>
        <v/>
      </c>
    </row>
    <row r="4614">
      <c r="B4614" s="30" t="n"/>
      <c r="G4614" s="9">
        <f>IF(AND(E4614&lt;&gt;"",E4614&lt;&gt;0,H4614&lt;&gt;""),H4614/E4614,"")</f>
        <v/>
      </c>
      <c r="L4614">
        <f>IF(B4614="","",IFERROR(VALUE(TEXT(B4614,"[$-1170401]yyyy")),""))</f>
        <v/>
      </c>
      <c r="M4614">
        <f>IF(B4614="","",IFERROR(VALUE(TEXT(B4614,"[$-1170401]mm")),""))</f>
        <v/>
      </c>
    </row>
    <row r="4615">
      <c r="B4615" s="30" t="n"/>
      <c r="G4615" s="9">
        <f>IF(AND(E4615&lt;&gt;"",E4615&lt;&gt;0,H4615&lt;&gt;""),H4615/E4615,"")</f>
        <v/>
      </c>
      <c r="L4615">
        <f>IF(B4615="","",IFERROR(VALUE(TEXT(B4615,"[$-1170401]yyyy")),""))</f>
        <v/>
      </c>
      <c r="M4615">
        <f>IF(B4615="","",IFERROR(VALUE(TEXT(B4615,"[$-1170401]mm")),""))</f>
        <v/>
      </c>
    </row>
    <row r="4616">
      <c r="B4616" s="30" t="n"/>
      <c r="G4616" s="9">
        <f>IF(AND(E4616&lt;&gt;"",E4616&lt;&gt;0,H4616&lt;&gt;""),H4616/E4616,"")</f>
        <v/>
      </c>
      <c r="L4616">
        <f>IF(B4616="","",IFERROR(VALUE(TEXT(B4616,"[$-1170401]yyyy")),""))</f>
        <v/>
      </c>
      <c r="M4616">
        <f>IF(B4616="","",IFERROR(VALUE(TEXT(B4616,"[$-1170401]mm")),""))</f>
        <v/>
      </c>
    </row>
    <row r="4617">
      <c r="B4617" s="30" t="n"/>
      <c r="G4617" s="9">
        <f>IF(AND(E4617&lt;&gt;"",E4617&lt;&gt;0,H4617&lt;&gt;""),H4617/E4617,"")</f>
        <v/>
      </c>
      <c r="L4617">
        <f>IF(B4617="","",IFERROR(VALUE(TEXT(B4617,"[$-1170401]yyyy")),""))</f>
        <v/>
      </c>
      <c r="M4617">
        <f>IF(B4617="","",IFERROR(VALUE(TEXT(B4617,"[$-1170401]mm")),""))</f>
        <v/>
      </c>
    </row>
    <row r="4618">
      <c r="B4618" s="30" t="n"/>
      <c r="G4618" s="9">
        <f>IF(AND(E4618&lt;&gt;"",E4618&lt;&gt;0,H4618&lt;&gt;""),H4618/E4618,"")</f>
        <v/>
      </c>
      <c r="L4618">
        <f>IF(B4618="","",IFERROR(VALUE(TEXT(B4618,"[$-1170401]yyyy")),""))</f>
        <v/>
      </c>
      <c r="M4618">
        <f>IF(B4618="","",IFERROR(VALUE(TEXT(B4618,"[$-1170401]mm")),""))</f>
        <v/>
      </c>
    </row>
    <row r="4619">
      <c r="B4619" s="30" t="n"/>
      <c r="G4619" s="9">
        <f>IF(AND(E4619&lt;&gt;"",E4619&lt;&gt;0,H4619&lt;&gt;""),H4619/E4619,"")</f>
        <v/>
      </c>
      <c r="L4619">
        <f>IF(B4619="","",IFERROR(VALUE(TEXT(B4619,"[$-1170401]yyyy")),""))</f>
        <v/>
      </c>
      <c r="M4619">
        <f>IF(B4619="","",IFERROR(VALUE(TEXT(B4619,"[$-1170401]mm")),""))</f>
        <v/>
      </c>
    </row>
    <row r="4620">
      <c r="B4620" s="30" t="n"/>
      <c r="G4620" s="9">
        <f>IF(AND(E4620&lt;&gt;"",E4620&lt;&gt;0,H4620&lt;&gt;""),H4620/E4620,"")</f>
        <v/>
      </c>
      <c r="L4620">
        <f>IF(B4620="","",IFERROR(VALUE(TEXT(B4620,"[$-1170401]yyyy")),""))</f>
        <v/>
      </c>
      <c r="M4620">
        <f>IF(B4620="","",IFERROR(VALUE(TEXT(B4620,"[$-1170401]mm")),""))</f>
        <v/>
      </c>
    </row>
    <row r="4621">
      <c r="B4621" s="30" t="n"/>
      <c r="G4621" s="9">
        <f>IF(AND(E4621&lt;&gt;"",E4621&lt;&gt;0,H4621&lt;&gt;""),H4621/E4621,"")</f>
        <v/>
      </c>
      <c r="L4621">
        <f>IF(B4621="","",IFERROR(VALUE(TEXT(B4621,"[$-1170401]yyyy")),""))</f>
        <v/>
      </c>
      <c r="M4621">
        <f>IF(B4621="","",IFERROR(VALUE(TEXT(B4621,"[$-1170401]mm")),""))</f>
        <v/>
      </c>
    </row>
    <row r="4622">
      <c r="B4622" s="30" t="n"/>
      <c r="G4622" s="9">
        <f>IF(AND(E4622&lt;&gt;"",E4622&lt;&gt;0,H4622&lt;&gt;""),H4622/E4622,"")</f>
        <v/>
      </c>
      <c r="L4622">
        <f>IF(B4622="","",IFERROR(VALUE(TEXT(B4622,"[$-1170401]yyyy")),""))</f>
        <v/>
      </c>
      <c r="M4622">
        <f>IF(B4622="","",IFERROR(VALUE(TEXT(B4622,"[$-1170401]mm")),""))</f>
        <v/>
      </c>
    </row>
    <row r="4623">
      <c r="B4623" s="30" t="n"/>
      <c r="G4623" s="9">
        <f>IF(AND(E4623&lt;&gt;"",E4623&lt;&gt;0,H4623&lt;&gt;""),H4623/E4623,"")</f>
        <v/>
      </c>
      <c r="L4623">
        <f>IF(B4623="","",IFERROR(VALUE(TEXT(B4623,"[$-1170401]yyyy")),""))</f>
        <v/>
      </c>
      <c r="M4623">
        <f>IF(B4623="","",IFERROR(VALUE(TEXT(B4623,"[$-1170401]mm")),""))</f>
        <v/>
      </c>
    </row>
    <row r="4624">
      <c r="B4624" s="30" t="n"/>
      <c r="G4624" s="9">
        <f>IF(AND(E4624&lt;&gt;"",E4624&lt;&gt;0,H4624&lt;&gt;""),H4624/E4624,"")</f>
        <v/>
      </c>
      <c r="L4624">
        <f>IF(B4624="","",IFERROR(VALUE(TEXT(B4624,"[$-1170401]yyyy")),""))</f>
        <v/>
      </c>
      <c r="M4624">
        <f>IF(B4624="","",IFERROR(VALUE(TEXT(B4624,"[$-1170401]mm")),""))</f>
        <v/>
      </c>
    </row>
    <row r="4625">
      <c r="B4625" s="30" t="n"/>
      <c r="G4625" s="9">
        <f>IF(AND(E4625&lt;&gt;"",E4625&lt;&gt;0,H4625&lt;&gt;""),H4625/E4625,"")</f>
        <v/>
      </c>
      <c r="L4625">
        <f>IF(B4625="","",IFERROR(VALUE(TEXT(B4625,"[$-1170401]yyyy")),""))</f>
        <v/>
      </c>
      <c r="M4625">
        <f>IF(B4625="","",IFERROR(VALUE(TEXT(B4625,"[$-1170401]mm")),""))</f>
        <v/>
      </c>
    </row>
    <row r="4626">
      <c r="B4626" s="30" t="n"/>
      <c r="G4626" s="9">
        <f>IF(AND(E4626&lt;&gt;"",E4626&lt;&gt;0,H4626&lt;&gt;""),H4626/E4626,"")</f>
        <v/>
      </c>
      <c r="L4626">
        <f>IF(B4626="","",IFERROR(VALUE(TEXT(B4626,"[$-1170401]yyyy")),""))</f>
        <v/>
      </c>
      <c r="M4626">
        <f>IF(B4626="","",IFERROR(VALUE(TEXT(B4626,"[$-1170401]mm")),""))</f>
        <v/>
      </c>
    </row>
    <row r="4627">
      <c r="B4627" s="30" t="n"/>
      <c r="G4627" s="9">
        <f>IF(AND(E4627&lt;&gt;"",E4627&lt;&gt;0,H4627&lt;&gt;""),H4627/E4627,"")</f>
        <v/>
      </c>
      <c r="L4627">
        <f>IF(B4627="","",IFERROR(VALUE(TEXT(B4627,"[$-1170401]yyyy")),""))</f>
        <v/>
      </c>
      <c r="M4627">
        <f>IF(B4627="","",IFERROR(VALUE(TEXT(B4627,"[$-1170401]mm")),""))</f>
        <v/>
      </c>
    </row>
    <row r="4628">
      <c r="B4628" s="30" t="n"/>
      <c r="G4628" s="9">
        <f>IF(AND(E4628&lt;&gt;"",E4628&lt;&gt;0,H4628&lt;&gt;""),H4628/E4628,"")</f>
        <v/>
      </c>
      <c r="L4628">
        <f>IF(B4628="","",IFERROR(VALUE(TEXT(B4628,"[$-1170401]yyyy")),""))</f>
        <v/>
      </c>
      <c r="M4628">
        <f>IF(B4628="","",IFERROR(VALUE(TEXT(B4628,"[$-1170401]mm")),""))</f>
        <v/>
      </c>
    </row>
    <row r="4629">
      <c r="B4629" s="30" t="n"/>
      <c r="G4629" s="9">
        <f>IF(AND(E4629&lt;&gt;"",E4629&lt;&gt;0,H4629&lt;&gt;""),H4629/E4629,"")</f>
        <v/>
      </c>
      <c r="L4629">
        <f>IF(B4629="","",IFERROR(VALUE(TEXT(B4629,"[$-1170401]yyyy")),""))</f>
        <v/>
      </c>
      <c r="M4629">
        <f>IF(B4629="","",IFERROR(VALUE(TEXT(B4629,"[$-1170401]mm")),""))</f>
        <v/>
      </c>
    </row>
    <row r="4630">
      <c r="B4630" s="30" t="n"/>
      <c r="G4630" s="9">
        <f>IF(AND(E4630&lt;&gt;"",E4630&lt;&gt;0,H4630&lt;&gt;""),H4630/E4630,"")</f>
        <v/>
      </c>
      <c r="L4630">
        <f>IF(B4630="","",IFERROR(VALUE(TEXT(B4630,"[$-1170401]yyyy")),""))</f>
        <v/>
      </c>
      <c r="M4630">
        <f>IF(B4630="","",IFERROR(VALUE(TEXT(B4630,"[$-1170401]mm")),""))</f>
        <v/>
      </c>
    </row>
    <row r="4631">
      <c r="B4631" s="30" t="n"/>
      <c r="G4631" s="9">
        <f>IF(AND(E4631&lt;&gt;"",E4631&lt;&gt;0,H4631&lt;&gt;""),H4631/E4631,"")</f>
        <v/>
      </c>
      <c r="L4631">
        <f>IF(B4631="","",IFERROR(VALUE(TEXT(B4631,"[$-1170401]yyyy")),""))</f>
        <v/>
      </c>
      <c r="M4631">
        <f>IF(B4631="","",IFERROR(VALUE(TEXT(B4631,"[$-1170401]mm")),""))</f>
        <v/>
      </c>
    </row>
    <row r="4632">
      <c r="B4632" s="30" t="n"/>
      <c r="G4632" s="9">
        <f>IF(AND(E4632&lt;&gt;"",E4632&lt;&gt;0,H4632&lt;&gt;""),H4632/E4632,"")</f>
        <v/>
      </c>
      <c r="L4632">
        <f>IF(B4632="","",IFERROR(VALUE(TEXT(B4632,"[$-1170401]yyyy")),""))</f>
        <v/>
      </c>
      <c r="M4632">
        <f>IF(B4632="","",IFERROR(VALUE(TEXT(B4632,"[$-1170401]mm")),""))</f>
        <v/>
      </c>
    </row>
    <row r="4633">
      <c r="B4633" s="30" t="n"/>
      <c r="G4633" s="9">
        <f>IF(AND(E4633&lt;&gt;"",E4633&lt;&gt;0,H4633&lt;&gt;""),H4633/E4633,"")</f>
        <v/>
      </c>
      <c r="L4633">
        <f>IF(B4633="","",IFERROR(VALUE(TEXT(B4633,"[$-1170401]yyyy")),""))</f>
        <v/>
      </c>
      <c r="M4633">
        <f>IF(B4633="","",IFERROR(VALUE(TEXT(B4633,"[$-1170401]mm")),""))</f>
        <v/>
      </c>
    </row>
    <row r="4634">
      <c r="B4634" s="30" t="n"/>
      <c r="G4634" s="9">
        <f>IF(AND(E4634&lt;&gt;"",E4634&lt;&gt;0,H4634&lt;&gt;""),H4634/E4634,"")</f>
        <v/>
      </c>
      <c r="L4634">
        <f>IF(B4634="","",IFERROR(VALUE(TEXT(B4634,"[$-1170401]yyyy")),""))</f>
        <v/>
      </c>
      <c r="M4634">
        <f>IF(B4634="","",IFERROR(VALUE(TEXT(B4634,"[$-1170401]mm")),""))</f>
        <v/>
      </c>
    </row>
    <row r="4635">
      <c r="B4635" s="30" t="n"/>
      <c r="G4635" s="9">
        <f>IF(AND(E4635&lt;&gt;"",E4635&lt;&gt;0,H4635&lt;&gt;""),H4635/E4635,"")</f>
        <v/>
      </c>
      <c r="L4635">
        <f>IF(B4635="","",IFERROR(VALUE(TEXT(B4635,"[$-1170401]yyyy")),""))</f>
        <v/>
      </c>
      <c r="M4635">
        <f>IF(B4635="","",IFERROR(VALUE(TEXT(B4635,"[$-1170401]mm")),""))</f>
        <v/>
      </c>
    </row>
    <row r="4636">
      <c r="B4636" s="30" t="n"/>
      <c r="G4636" s="9">
        <f>IF(AND(E4636&lt;&gt;"",E4636&lt;&gt;0,H4636&lt;&gt;""),H4636/E4636,"")</f>
        <v/>
      </c>
      <c r="L4636">
        <f>IF(B4636="","",IFERROR(VALUE(TEXT(B4636,"[$-1170401]yyyy")),""))</f>
        <v/>
      </c>
      <c r="M4636">
        <f>IF(B4636="","",IFERROR(VALUE(TEXT(B4636,"[$-1170401]mm")),""))</f>
        <v/>
      </c>
    </row>
    <row r="4637">
      <c r="B4637" s="30" t="n"/>
      <c r="G4637" s="9">
        <f>IF(AND(E4637&lt;&gt;"",E4637&lt;&gt;0,H4637&lt;&gt;""),H4637/E4637,"")</f>
        <v/>
      </c>
      <c r="L4637">
        <f>IF(B4637="","",IFERROR(VALUE(TEXT(B4637,"[$-1170401]yyyy")),""))</f>
        <v/>
      </c>
      <c r="M4637">
        <f>IF(B4637="","",IFERROR(VALUE(TEXT(B4637,"[$-1170401]mm")),""))</f>
        <v/>
      </c>
    </row>
    <row r="4638">
      <c r="B4638" s="30" t="n"/>
      <c r="G4638" s="9">
        <f>IF(AND(E4638&lt;&gt;"",E4638&lt;&gt;0,H4638&lt;&gt;""),H4638/E4638,"")</f>
        <v/>
      </c>
      <c r="L4638">
        <f>IF(B4638="","",IFERROR(VALUE(TEXT(B4638,"[$-1170401]yyyy")),""))</f>
        <v/>
      </c>
      <c r="M4638">
        <f>IF(B4638="","",IFERROR(VALUE(TEXT(B4638,"[$-1170401]mm")),""))</f>
        <v/>
      </c>
    </row>
    <row r="4639">
      <c r="B4639" s="30" t="n"/>
      <c r="G4639" s="9">
        <f>IF(AND(E4639&lt;&gt;"",E4639&lt;&gt;0,H4639&lt;&gt;""),H4639/E4639,"")</f>
        <v/>
      </c>
      <c r="L4639">
        <f>IF(B4639="","",IFERROR(VALUE(TEXT(B4639,"[$-1170401]yyyy")),""))</f>
        <v/>
      </c>
      <c r="M4639">
        <f>IF(B4639="","",IFERROR(VALUE(TEXT(B4639,"[$-1170401]mm")),""))</f>
        <v/>
      </c>
    </row>
    <row r="4640">
      <c r="B4640" s="30" t="n"/>
      <c r="G4640" s="9">
        <f>IF(AND(E4640&lt;&gt;"",E4640&lt;&gt;0,H4640&lt;&gt;""),H4640/E4640,"")</f>
        <v/>
      </c>
      <c r="L4640">
        <f>IF(B4640="","",IFERROR(VALUE(TEXT(B4640,"[$-1170401]yyyy")),""))</f>
        <v/>
      </c>
      <c r="M4640">
        <f>IF(B4640="","",IFERROR(VALUE(TEXT(B4640,"[$-1170401]mm")),""))</f>
        <v/>
      </c>
    </row>
    <row r="4641">
      <c r="B4641" s="30" t="n"/>
      <c r="G4641" s="9">
        <f>IF(AND(E4641&lt;&gt;"",E4641&lt;&gt;0,H4641&lt;&gt;""),H4641/E4641,"")</f>
        <v/>
      </c>
      <c r="L4641">
        <f>IF(B4641="","",IFERROR(VALUE(TEXT(B4641,"[$-1170401]yyyy")),""))</f>
        <v/>
      </c>
      <c r="M4641">
        <f>IF(B4641="","",IFERROR(VALUE(TEXT(B4641,"[$-1170401]mm")),""))</f>
        <v/>
      </c>
    </row>
    <row r="4642">
      <c r="B4642" s="30" t="n"/>
      <c r="G4642" s="9">
        <f>IF(AND(E4642&lt;&gt;"",E4642&lt;&gt;0,H4642&lt;&gt;""),H4642/E4642,"")</f>
        <v/>
      </c>
      <c r="L4642">
        <f>IF(B4642="","",IFERROR(VALUE(TEXT(B4642,"[$-1170401]yyyy")),""))</f>
        <v/>
      </c>
      <c r="M4642">
        <f>IF(B4642="","",IFERROR(VALUE(TEXT(B4642,"[$-1170401]mm")),""))</f>
        <v/>
      </c>
    </row>
    <row r="4643">
      <c r="B4643" s="30" t="n"/>
      <c r="G4643" s="9">
        <f>IF(AND(E4643&lt;&gt;"",E4643&lt;&gt;0,H4643&lt;&gt;""),H4643/E4643,"")</f>
        <v/>
      </c>
      <c r="L4643">
        <f>IF(B4643="","",IFERROR(VALUE(TEXT(B4643,"[$-1170401]yyyy")),""))</f>
        <v/>
      </c>
      <c r="M4643">
        <f>IF(B4643="","",IFERROR(VALUE(TEXT(B4643,"[$-1170401]mm")),""))</f>
        <v/>
      </c>
    </row>
    <row r="4644">
      <c r="B4644" s="30" t="n"/>
      <c r="G4644" s="9">
        <f>IF(AND(E4644&lt;&gt;"",E4644&lt;&gt;0,H4644&lt;&gt;""),H4644/E4644,"")</f>
        <v/>
      </c>
      <c r="L4644">
        <f>IF(B4644="","",IFERROR(VALUE(TEXT(B4644,"[$-1170401]yyyy")),""))</f>
        <v/>
      </c>
      <c r="M4644">
        <f>IF(B4644="","",IFERROR(VALUE(TEXT(B4644,"[$-1170401]mm")),""))</f>
        <v/>
      </c>
    </row>
    <row r="4645">
      <c r="B4645" s="30" t="n"/>
      <c r="G4645" s="9">
        <f>IF(AND(E4645&lt;&gt;"",E4645&lt;&gt;0,H4645&lt;&gt;""),H4645/E4645,"")</f>
        <v/>
      </c>
      <c r="L4645">
        <f>IF(B4645="","",IFERROR(VALUE(TEXT(B4645,"[$-1170401]yyyy")),""))</f>
        <v/>
      </c>
      <c r="M4645">
        <f>IF(B4645="","",IFERROR(VALUE(TEXT(B4645,"[$-1170401]mm")),""))</f>
        <v/>
      </c>
    </row>
    <row r="4646">
      <c r="B4646" s="30" t="n"/>
      <c r="G4646" s="9">
        <f>IF(AND(E4646&lt;&gt;"",E4646&lt;&gt;0,H4646&lt;&gt;""),H4646/E4646,"")</f>
        <v/>
      </c>
      <c r="L4646">
        <f>IF(B4646="","",IFERROR(VALUE(TEXT(B4646,"[$-1170401]yyyy")),""))</f>
        <v/>
      </c>
      <c r="M4646">
        <f>IF(B4646="","",IFERROR(VALUE(TEXT(B4646,"[$-1170401]mm")),""))</f>
        <v/>
      </c>
    </row>
    <row r="4647">
      <c r="B4647" s="30" t="n"/>
      <c r="G4647" s="9">
        <f>IF(AND(E4647&lt;&gt;"",E4647&lt;&gt;0,H4647&lt;&gt;""),H4647/E4647,"")</f>
        <v/>
      </c>
      <c r="L4647">
        <f>IF(B4647="","",IFERROR(VALUE(TEXT(B4647,"[$-1170401]yyyy")),""))</f>
        <v/>
      </c>
      <c r="M4647">
        <f>IF(B4647="","",IFERROR(VALUE(TEXT(B4647,"[$-1170401]mm")),""))</f>
        <v/>
      </c>
    </row>
    <row r="4648">
      <c r="B4648" s="30" t="n"/>
      <c r="G4648" s="9">
        <f>IF(AND(E4648&lt;&gt;"",E4648&lt;&gt;0,H4648&lt;&gt;""),H4648/E4648,"")</f>
        <v/>
      </c>
      <c r="L4648">
        <f>IF(B4648="","",IFERROR(VALUE(TEXT(B4648,"[$-1170401]yyyy")),""))</f>
        <v/>
      </c>
      <c r="M4648">
        <f>IF(B4648="","",IFERROR(VALUE(TEXT(B4648,"[$-1170401]mm")),""))</f>
        <v/>
      </c>
    </row>
    <row r="4649">
      <c r="B4649" s="30" t="n"/>
      <c r="G4649" s="9">
        <f>IF(AND(E4649&lt;&gt;"",E4649&lt;&gt;0,H4649&lt;&gt;""),H4649/E4649,"")</f>
        <v/>
      </c>
      <c r="L4649">
        <f>IF(B4649="","",IFERROR(VALUE(TEXT(B4649,"[$-1170401]yyyy")),""))</f>
        <v/>
      </c>
      <c r="M4649">
        <f>IF(B4649="","",IFERROR(VALUE(TEXT(B4649,"[$-1170401]mm")),""))</f>
        <v/>
      </c>
    </row>
    <row r="4650">
      <c r="B4650" s="30" t="n"/>
      <c r="G4650" s="9">
        <f>IF(AND(E4650&lt;&gt;"",E4650&lt;&gt;0,H4650&lt;&gt;""),H4650/E4650,"")</f>
        <v/>
      </c>
      <c r="L4650">
        <f>IF(B4650="","",IFERROR(VALUE(TEXT(B4650,"[$-1170401]yyyy")),""))</f>
        <v/>
      </c>
      <c r="M4650">
        <f>IF(B4650="","",IFERROR(VALUE(TEXT(B4650,"[$-1170401]mm")),""))</f>
        <v/>
      </c>
    </row>
    <row r="4651">
      <c r="B4651" s="30" t="n"/>
      <c r="G4651" s="9">
        <f>IF(AND(E4651&lt;&gt;"",E4651&lt;&gt;0,H4651&lt;&gt;""),H4651/E4651,"")</f>
        <v/>
      </c>
      <c r="L4651">
        <f>IF(B4651="","",IFERROR(VALUE(TEXT(B4651,"[$-1170401]yyyy")),""))</f>
        <v/>
      </c>
      <c r="M4651">
        <f>IF(B4651="","",IFERROR(VALUE(TEXT(B4651,"[$-1170401]mm")),""))</f>
        <v/>
      </c>
    </row>
    <row r="4652">
      <c r="B4652" s="30" t="n"/>
      <c r="G4652" s="9">
        <f>IF(AND(E4652&lt;&gt;"",E4652&lt;&gt;0,H4652&lt;&gt;""),H4652/E4652,"")</f>
        <v/>
      </c>
      <c r="L4652">
        <f>IF(B4652="","",IFERROR(VALUE(TEXT(B4652,"[$-1170401]yyyy")),""))</f>
        <v/>
      </c>
      <c r="M4652">
        <f>IF(B4652="","",IFERROR(VALUE(TEXT(B4652,"[$-1170401]mm")),""))</f>
        <v/>
      </c>
    </row>
    <row r="4653">
      <c r="B4653" s="30" t="n"/>
      <c r="G4653" s="9">
        <f>IF(AND(E4653&lt;&gt;"",E4653&lt;&gt;0,H4653&lt;&gt;""),H4653/E4653,"")</f>
        <v/>
      </c>
      <c r="L4653">
        <f>IF(B4653="","",IFERROR(VALUE(TEXT(B4653,"[$-1170401]yyyy")),""))</f>
        <v/>
      </c>
      <c r="M4653">
        <f>IF(B4653="","",IFERROR(VALUE(TEXT(B4653,"[$-1170401]mm")),""))</f>
        <v/>
      </c>
    </row>
    <row r="4654">
      <c r="B4654" s="30" t="n"/>
      <c r="G4654" s="9">
        <f>IF(AND(E4654&lt;&gt;"",E4654&lt;&gt;0,H4654&lt;&gt;""),H4654/E4654,"")</f>
        <v/>
      </c>
      <c r="L4654">
        <f>IF(B4654="","",IFERROR(VALUE(TEXT(B4654,"[$-1170401]yyyy")),""))</f>
        <v/>
      </c>
      <c r="M4654">
        <f>IF(B4654="","",IFERROR(VALUE(TEXT(B4654,"[$-1170401]mm")),""))</f>
        <v/>
      </c>
    </row>
    <row r="4655">
      <c r="B4655" s="30" t="n"/>
      <c r="G4655" s="9">
        <f>IF(AND(E4655&lt;&gt;"",E4655&lt;&gt;0,H4655&lt;&gt;""),H4655/E4655,"")</f>
        <v/>
      </c>
      <c r="L4655">
        <f>IF(B4655="","",IFERROR(VALUE(TEXT(B4655,"[$-1170401]yyyy")),""))</f>
        <v/>
      </c>
      <c r="M4655">
        <f>IF(B4655="","",IFERROR(VALUE(TEXT(B4655,"[$-1170401]mm")),""))</f>
        <v/>
      </c>
    </row>
    <row r="4656">
      <c r="B4656" s="30" t="n"/>
      <c r="G4656" s="9">
        <f>IF(AND(E4656&lt;&gt;"",E4656&lt;&gt;0,H4656&lt;&gt;""),H4656/E4656,"")</f>
        <v/>
      </c>
      <c r="L4656">
        <f>IF(B4656="","",IFERROR(VALUE(TEXT(B4656,"[$-1170401]yyyy")),""))</f>
        <v/>
      </c>
      <c r="M4656">
        <f>IF(B4656="","",IFERROR(VALUE(TEXT(B4656,"[$-1170401]mm")),""))</f>
        <v/>
      </c>
    </row>
    <row r="4657">
      <c r="B4657" s="30" t="n"/>
      <c r="G4657" s="9">
        <f>IF(AND(E4657&lt;&gt;"",E4657&lt;&gt;0,H4657&lt;&gt;""),H4657/E4657,"")</f>
        <v/>
      </c>
      <c r="L4657">
        <f>IF(B4657="","",IFERROR(VALUE(TEXT(B4657,"[$-1170401]yyyy")),""))</f>
        <v/>
      </c>
      <c r="M4657">
        <f>IF(B4657="","",IFERROR(VALUE(TEXT(B4657,"[$-1170401]mm")),""))</f>
        <v/>
      </c>
    </row>
    <row r="4658">
      <c r="B4658" s="30" t="n"/>
      <c r="G4658" s="9">
        <f>IF(AND(E4658&lt;&gt;"",E4658&lt;&gt;0,H4658&lt;&gt;""),H4658/E4658,"")</f>
        <v/>
      </c>
      <c r="L4658">
        <f>IF(B4658="","",IFERROR(VALUE(TEXT(B4658,"[$-1170401]yyyy")),""))</f>
        <v/>
      </c>
      <c r="M4658">
        <f>IF(B4658="","",IFERROR(VALUE(TEXT(B4658,"[$-1170401]mm")),""))</f>
        <v/>
      </c>
    </row>
    <row r="4659">
      <c r="B4659" s="30" t="n"/>
      <c r="G4659" s="9">
        <f>IF(AND(E4659&lt;&gt;"",E4659&lt;&gt;0,H4659&lt;&gt;""),H4659/E4659,"")</f>
        <v/>
      </c>
      <c r="L4659">
        <f>IF(B4659="","",IFERROR(VALUE(TEXT(B4659,"[$-1170401]yyyy")),""))</f>
        <v/>
      </c>
      <c r="M4659">
        <f>IF(B4659="","",IFERROR(VALUE(TEXT(B4659,"[$-1170401]mm")),""))</f>
        <v/>
      </c>
    </row>
    <row r="4660">
      <c r="B4660" s="30" t="n"/>
      <c r="G4660" s="9">
        <f>IF(AND(E4660&lt;&gt;"",E4660&lt;&gt;0,H4660&lt;&gt;""),H4660/E4660,"")</f>
        <v/>
      </c>
      <c r="L4660">
        <f>IF(B4660="","",IFERROR(VALUE(TEXT(B4660,"[$-1170401]yyyy")),""))</f>
        <v/>
      </c>
      <c r="M4660">
        <f>IF(B4660="","",IFERROR(VALUE(TEXT(B4660,"[$-1170401]mm")),""))</f>
        <v/>
      </c>
    </row>
    <row r="4661">
      <c r="B4661" s="30" t="n"/>
      <c r="G4661" s="9">
        <f>IF(AND(E4661&lt;&gt;"",E4661&lt;&gt;0,H4661&lt;&gt;""),H4661/E4661,"")</f>
        <v/>
      </c>
      <c r="L4661">
        <f>IF(B4661="","",IFERROR(VALUE(TEXT(B4661,"[$-1170401]yyyy")),""))</f>
        <v/>
      </c>
      <c r="M4661">
        <f>IF(B4661="","",IFERROR(VALUE(TEXT(B4661,"[$-1170401]mm")),""))</f>
        <v/>
      </c>
    </row>
    <row r="4662">
      <c r="B4662" s="30" t="n"/>
      <c r="G4662" s="9">
        <f>IF(AND(E4662&lt;&gt;"",E4662&lt;&gt;0,H4662&lt;&gt;""),H4662/E4662,"")</f>
        <v/>
      </c>
      <c r="L4662">
        <f>IF(B4662="","",IFERROR(VALUE(TEXT(B4662,"[$-1170401]yyyy")),""))</f>
        <v/>
      </c>
      <c r="M4662">
        <f>IF(B4662="","",IFERROR(VALUE(TEXT(B4662,"[$-1170401]mm")),""))</f>
        <v/>
      </c>
    </row>
    <row r="4663">
      <c r="B4663" s="30" t="n"/>
      <c r="G4663" s="9">
        <f>IF(AND(E4663&lt;&gt;"",E4663&lt;&gt;0,H4663&lt;&gt;""),H4663/E4663,"")</f>
        <v/>
      </c>
      <c r="L4663">
        <f>IF(B4663="","",IFERROR(VALUE(TEXT(B4663,"[$-1170401]yyyy")),""))</f>
        <v/>
      </c>
      <c r="M4663">
        <f>IF(B4663="","",IFERROR(VALUE(TEXT(B4663,"[$-1170401]mm")),""))</f>
        <v/>
      </c>
    </row>
    <row r="4664">
      <c r="B4664" s="30" t="n"/>
      <c r="G4664" s="9">
        <f>IF(AND(E4664&lt;&gt;"",E4664&lt;&gt;0,H4664&lt;&gt;""),H4664/E4664,"")</f>
        <v/>
      </c>
      <c r="L4664">
        <f>IF(B4664="","",IFERROR(VALUE(TEXT(B4664,"[$-1170401]yyyy")),""))</f>
        <v/>
      </c>
      <c r="M4664">
        <f>IF(B4664="","",IFERROR(VALUE(TEXT(B4664,"[$-1170401]mm")),""))</f>
        <v/>
      </c>
    </row>
    <row r="4665">
      <c r="B4665" s="30" t="n"/>
      <c r="G4665" s="9">
        <f>IF(AND(E4665&lt;&gt;"",E4665&lt;&gt;0,H4665&lt;&gt;""),H4665/E4665,"")</f>
        <v/>
      </c>
      <c r="L4665">
        <f>IF(B4665="","",IFERROR(VALUE(TEXT(B4665,"[$-1170401]yyyy")),""))</f>
        <v/>
      </c>
      <c r="M4665">
        <f>IF(B4665="","",IFERROR(VALUE(TEXT(B4665,"[$-1170401]mm")),""))</f>
        <v/>
      </c>
    </row>
    <row r="4666">
      <c r="B4666" s="30" t="n"/>
      <c r="G4666" s="9">
        <f>IF(AND(E4666&lt;&gt;"",E4666&lt;&gt;0,H4666&lt;&gt;""),H4666/E4666,"")</f>
        <v/>
      </c>
      <c r="L4666">
        <f>IF(B4666="","",IFERROR(VALUE(TEXT(B4666,"[$-1170401]yyyy")),""))</f>
        <v/>
      </c>
      <c r="M4666">
        <f>IF(B4666="","",IFERROR(VALUE(TEXT(B4666,"[$-1170401]mm")),""))</f>
        <v/>
      </c>
    </row>
    <row r="4667">
      <c r="B4667" s="30" t="n"/>
      <c r="G4667" s="9">
        <f>IF(AND(E4667&lt;&gt;"",E4667&lt;&gt;0,H4667&lt;&gt;""),H4667/E4667,"")</f>
        <v/>
      </c>
      <c r="L4667">
        <f>IF(B4667="","",IFERROR(VALUE(TEXT(B4667,"[$-1170401]yyyy")),""))</f>
        <v/>
      </c>
      <c r="M4667">
        <f>IF(B4667="","",IFERROR(VALUE(TEXT(B4667,"[$-1170401]mm")),""))</f>
        <v/>
      </c>
    </row>
    <row r="4668">
      <c r="B4668" s="30" t="n"/>
      <c r="G4668" s="9">
        <f>IF(AND(E4668&lt;&gt;"",E4668&lt;&gt;0,H4668&lt;&gt;""),H4668/E4668,"")</f>
        <v/>
      </c>
      <c r="L4668">
        <f>IF(B4668="","",IFERROR(VALUE(TEXT(B4668,"[$-1170401]yyyy")),""))</f>
        <v/>
      </c>
      <c r="M4668">
        <f>IF(B4668="","",IFERROR(VALUE(TEXT(B4668,"[$-1170401]mm")),""))</f>
        <v/>
      </c>
    </row>
    <row r="4669">
      <c r="B4669" s="30" t="n"/>
      <c r="G4669" s="9">
        <f>IF(AND(E4669&lt;&gt;"",E4669&lt;&gt;0,H4669&lt;&gt;""),H4669/E4669,"")</f>
        <v/>
      </c>
      <c r="L4669">
        <f>IF(B4669="","",IFERROR(VALUE(TEXT(B4669,"[$-1170401]yyyy")),""))</f>
        <v/>
      </c>
      <c r="M4669">
        <f>IF(B4669="","",IFERROR(VALUE(TEXT(B4669,"[$-1170401]mm")),""))</f>
        <v/>
      </c>
    </row>
    <row r="4670">
      <c r="B4670" s="30" t="n"/>
      <c r="G4670" s="9">
        <f>IF(AND(E4670&lt;&gt;"",E4670&lt;&gt;0,H4670&lt;&gt;""),H4670/E4670,"")</f>
        <v/>
      </c>
      <c r="L4670">
        <f>IF(B4670="","",IFERROR(VALUE(TEXT(B4670,"[$-1170401]yyyy")),""))</f>
        <v/>
      </c>
      <c r="M4670">
        <f>IF(B4670="","",IFERROR(VALUE(TEXT(B4670,"[$-1170401]mm")),""))</f>
        <v/>
      </c>
    </row>
    <row r="4671">
      <c r="B4671" s="30" t="n"/>
      <c r="G4671" s="9">
        <f>IF(AND(E4671&lt;&gt;"",E4671&lt;&gt;0,H4671&lt;&gt;""),H4671/E4671,"")</f>
        <v/>
      </c>
      <c r="L4671">
        <f>IF(B4671="","",IFERROR(VALUE(TEXT(B4671,"[$-1170401]yyyy")),""))</f>
        <v/>
      </c>
      <c r="M4671">
        <f>IF(B4671="","",IFERROR(VALUE(TEXT(B4671,"[$-1170401]mm")),""))</f>
        <v/>
      </c>
    </row>
    <row r="4672">
      <c r="B4672" s="30" t="n"/>
      <c r="G4672" s="9">
        <f>IF(AND(E4672&lt;&gt;"",E4672&lt;&gt;0,H4672&lt;&gt;""),H4672/E4672,"")</f>
        <v/>
      </c>
      <c r="L4672">
        <f>IF(B4672="","",IFERROR(VALUE(TEXT(B4672,"[$-1170401]yyyy")),""))</f>
        <v/>
      </c>
      <c r="M4672">
        <f>IF(B4672="","",IFERROR(VALUE(TEXT(B4672,"[$-1170401]mm")),""))</f>
        <v/>
      </c>
    </row>
    <row r="4673">
      <c r="B4673" s="30" t="n"/>
      <c r="G4673" s="9">
        <f>IF(AND(E4673&lt;&gt;"",E4673&lt;&gt;0,H4673&lt;&gt;""),H4673/E4673,"")</f>
        <v/>
      </c>
      <c r="L4673">
        <f>IF(B4673="","",IFERROR(VALUE(TEXT(B4673,"[$-1170401]yyyy")),""))</f>
        <v/>
      </c>
      <c r="M4673">
        <f>IF(B4673="","",IFERROR(VALUE(TEXT(B4673,"[$-1170401]mm")),""))</f>
        <v/>
      </c>
    </row>
    <row r="4674">
      <c r="B4674" s="30" t="n"/>
      <c r="G4674" s="9">
        <f>IF(AND(E4674&lt;&gt;"",E4674&lt;&gt;0,H4674&lt;&gt;""),H4674/E4674,"")</f>
        <v/>
      </c>
      <c r="L4674">
        <f>IF(B4674="","",IFERROR(VALUE(TEXT(B4674,"[$-1170401]yyyy")),""))</f>
        <v/>
      </c>
      <c r="M4674">
        <f>IF(B4674="","",IFERROR(VALUE(TEXT(B4674,"[$-1170401]mm")),""))</f>
        <v/>
      </c>
    </row>
    <row r="4675">
      <c r="B4675" s="30" t="n"/>
      <c r="G4675" s="9">
        <f>IF(AND(E4675&lt;&gt;"",E4675&lt;&gt;0,H4675&lt;&gt;""),H4675/E4675,"")</f>
        <v/>
      </c>
      <c r="L4675">
        <f>IF(B4675="","",IFERROR(VALUE(TEXT(B4675,"[$-1170401]yyyy")),""))</f>
        <v/>
      </c>
      <c r="M4675">
        <f>IF(B4675="","",IFERROR(VALUE(TEXT(B4675,"[$-1170401]mm")),""))</f>
        <v/>
      </c>
    </row>
    <row r="4676">
      <c r="B4676" s="30" t="n"/>
      <c r="G4676" s="9">
        <f>IF(AND(E4676&lt;&gt;"",E4676&lt;&gt;0,H4676&lt;&gt;""),H4676/E4676,"")</f>
        <v/>
      </c>
      <c r="L4676">
        <f>IF(B4676="","",IFERROR(VALUE(TEXT(B4676,"[$-1170401]yyyy")),""))</f>
        <v/>
      </c>
      <c r="M4676">
        <f>IF(B4676="","",IFERROR(VALUE(TEXT(B4676,"[$-1170401]mm")),""))</f>
        <v/>
      </c>
    </row>
    <row r="4677">
      <c r="B4677" s="30" t="n"/>
      <c r="G4677" s="9">
        <f>IF(AND(E4677&lt;&gt;"",E4677&lt;&gt;0,H4677&lt;&gt;""),H4677/E4677,"")</f>
        <v/>
      </c>
      <c r="L4677">
        <f>IF(B4677="","",IFERROR(VALUE(TEXT(B4677,"[$-1170401]yyyy")),""))</f>
        <v/>
      </c>
      <c r="M4677">
        <f>IF(B4677="","",IFERROR(VALUE(TEXT(B4677,"[$-1170401]mm")),""))</f>
        <v/>
      </c>
    </row>
    <row r="4678">
      <c r="B4678" s="30" t="n"/>
      <c r="G4678" s="9">
        <f>IF(AND(E4678&lt;&gt;"",E4678&lt;&gt;0,H4678&lt;&gt;""),H4678/E4678,"")</f>
        <v/>
      </c>
      <c r="L4678">
        <f>IF(B4678="","",IFERROR(VALUE(TEXT(B4678,"[$-1170401]yyyy")),""))</f>
        <v/>
      </c>
      <c r="M4678">
        <f>IF(B4678="","",IFERROR(VALUE(TEXT(B4678,"[$-1170401]mm")),""))</f>
        <v/>
      </c>
    </row>
    <row r="4679">
      <c r="B4679" s="30" t="n"/>
      <c r="G4679" s="9">
        <f>IF(AND(E4679&lt;&gt;"",E4679&lt;&gt;0,H4679&lt;&gt;""),H4679/E4679,"")</f>
        <v/>
      </c>
      <c r="L4679">
        <f>IF(B4679="","",IFERROR(VALUE(TEXT(B4679,"[$-1170401]yyyy")),""))</f>
        <v/>
      </c>
      <c r="M4679">
        <f>IF(B4679="","",IFERROR(VALUE(TEXT(B4679,"[$-1170401]mm")),""))</f>
        <v/>
      </c>
    </row>
    <row r="4680">
      <c r="B4680" s="30" t="n"/>
      <c r="G4680" s="9">
        <f>IF(AND(E4680&lt;&gt;"",E4680&lt;&gt;0,H4680&lt;&gt;""),H4680/E4680,"")</f>
        <v/>
      </c>
      <c r="L4680">
        <f>IF(B4680="","",IFERROR(VALUE(TEXT(B4680,"[$-1170401]yyyy")),""))</f>
        <v/>
      </c>
      <c r="M4680">
        <f>IF(B4680="","",IFERROR(VALUE(TEXT(B4680,"[$-1170401]mm")),""))</f>
        <v/>
      </c>
    </row>
    <row r="4681">
      <c r="B4681" s="30" t="n"/>
      <c r="G4681" s="9">
        <f>IF(AND(E4681&lt;&gt;"",E4681&lt;&gt;0,H4681&lt;&gt;""),H4681/E4681,"")</f>
        <v/>
      </c>
      <c r="L4681">
        <f>IF(B4681="","",IFERROR(VALUE(TEXT(B4681,"[$-1170401]yyyy")),""))</f>
        <v/>
      </c>
      <c r="M4681">
        <f>IF(B4681="","",IFERROR(VALUE(TEXT(B4681,"[$-1170401]mm")),""))</f>
        <v/>
      </c>
    </row>
    <row r="4682">
      <c r="B4682" s="30" t="n"/>
      <c r="G4682" s="9">
        <f>IF(AND(E4682&lt;&gt;"",E4682&lt;&gt;0,H4682&lt;&gt;""),H4682/E4682,"")</f>
        <v/>
      </c>
      <c r="L4682">
        <f>IF(B4682="","",IFERROR(VALUE(TEXT(B4682,"[$-1170401]yyyy")),""))</f>
        <v/>
      </c>
      <c r="M4682">
        <f>IF(B4682="","",IFERROR(VALUE(TEXT(B4682,"[$-1170401]mm")),""))</f>
        <v/>
      </c>
    </row>
    <row r="4683">
      <c r="B4683" s="30" t="n"/>
      <c r="G4683" s="9">
        <f>IF(AND(E4683&lt;&gt;"",E4683&lt;&gt;0,H4683&lt;&gt;""),H4683/E4683,"")</f>
        <v/>
      </c>
      <c r="L4683">
        <f>IF(B4683="","",IFERROR(VALUE(TEXT(B4683,"[$-1170401]yyyy")),""))</f>
        <v/>
      </c>
      <c r="M4683">
        <f>IF(B4683="","",IFERROR(VALUE(TEXT(B4683,"[$-1170401]mm")),""))</f>
        <v/>
      </c>
    </row>
    <row r="4684">
      <c r="B4684" s="30" t="n"/>
      <c r="G4684" s="9">
        <f>IF(AND(E4684&lt;&gt;"",E4684&lt;&gt;0,H4684&lt;&gt;""),H4684/E4684,"")</f>
        <v/>
      </c>
      <c r="L4684">
        <f>IF(B4684="","",IFERROR(VALUE(TEXT(B4684,"[$-1170401]yyyy")),""))</f>
        <v/>
      </c>
      <c r="M4684">
        <f>IF(B4684="","",IFERROR(VALUE(TEXT(B4684,"[$-1170401]mm")),""))</f>
        <v/>
      </c>
    </row>
    <row r="4685">
      <c r="B4685" s="30" t="n"/>
      <c r="G4685" s="9">
        <f>IF(AND(E4685&lt;&gt;"",E4685&lt;&gt;0,H4685&lt;&gt;""),H4685/E4685,"")</f>
        <v/>
      </c>
      <c r="L4685">
        <f>IF(B4685="","",IFERROR(VALUE(TEXT(B4685,"[$-1170401]yyyy")),""))</f>
        <v/>
      </c>
      <c r="M4685">
        <f>IF(B4685="","",IFERROR(VALUE(TEXT(B4685,"[$-1170401]mm")),""))</f>
        <v/>
      </c>
    </row>
    <row r="4686">
      <c r="B4686" s="30" t="n"/>
      <c r="G4686" s="9">
        <f>IF(AND(E4686&lt;&gt;"",E4686&lt;&gt;0,H4686&lt;&gt;""),H4686/E4686,"")</f>
        <v/>
      </c>
      <c r="L4686">
        <f>IF(B4686="","",IFERROR(VALUE(TEXT(B4686,"[$-1170401]yyyy")),""))</f>
        <v/>
      </c>
      <c r="M4686">
        <f>IF(B4686="","",IFERROR(VALUE(TEXT(B4686,"[$-1170401]mm")),""))</f>
        <v/>
      </c>
    </row>
    <row r="4687">
      <c r="B4687" s="30" t="n"/>
      <c r="G4687" s="9">
        <f>IF(AND(E4687&lt;&gt;"",E4687&lt;&gt;0,H4687&lt;&gt;""),H4687/E4687,"")</f>
        <v/>
      </c>
      <c r="L4687">
        <f>IF(B4687="","",IFERROR(VALUE(TEXT(B4687,"[$-1170401]yyyy")),""))</f>
        <v/>
      </c>
      <c r="M4687">
        <f>IF(B4687="","",IFERROR(VALUE(TEXT(B4687,"[$-1170401]mm")),""))</f>
        <v/>
      </c>
    </row>
    <row r="4688">
      <c r="B4688" s="30" t="n"/>
      <c r="G4688" s="9">
        <f>IF(AND(E4688&lt;&gt;"",E4688&lt;&gt;0,H4688&lt;&gt;""),H4688/E4688,"")</f>
        <v/>
      </c>
      <c r="L4688">
        <f>IF(B4688="","",IFERROR(VALUE(TEXT(B4688,"[$-1170401]yyyy")),""))</f>
        <v/>
      </c>
      <c r="M4688">
        <f>IF(B4688="","",IFERROR(VALUE(TEXT(B4688,"[$-1170401]mm")),""))</f>
        <v/>
      </c>
    </row>
    <row r="4689">
      <c r="B4689" s="30" t="n"/>
      <c r="G4689" s="9">
        <f>IF(AND(E4689&lt;&gt;"",E4689&lt;&gt;0,H4689&lt;&gt;""),H4689/E4689,"")</f>
        <v/>
      </c>
      <c r="L4689">
        <f>IF(B4689="","",IFERROR(VALUE(TEXT(B4689,"[$-1170401]yyyy")),""))</f>
        <v/>
      </c>
      <c r="M4689">
        <f>IF(B4689="","",IFERROR(VALUE(TEXT(B4689,"[$-1170401]mm")),""))</f>
        <v/>
      </c>
    </row>
    <row r="4690">
      <c r="B4690" s="30" t="n"/>
      <c r="G4690" s="9">
        <f>IF(AND(E4690&lt;&gt;"",E4690&lt;&gt;0,H4690&lt;&gt;""),H4690/E4690,"")</f>
        <v/>
      </c>
      <c r="L4690">
        <f>IF(B4690="","",IFERROR(VALUE(TEXT(B4690,"[$-1170401]yyyy")),""))</f>
        <v/>
      </c>
      <c r="M4690">
        <f>IF(B4690="","",IFERROR(VALUE(TEXT(B4690,"[$-1170401]mm")),""))</f>
        <v/>
      </c>
    </row>
    <row r="4691">
      <c r="B4691" s="30" t="n"/>
      <c r="G4691" s="9">
        <f>IF(AND(E4691&lt;&gt;"",E4691&lt;&gt;0,H4691&lt;&gt;""),H4691/E4691,"")</f>
        <v/>
      </c>
      <c r="L4691">
        <f>IF(B4691="","",IFERROR(VALUE(TEXT(B4691,"[$-1170401]yyyy")),""))</f>
        <v/>
      </c>
      <c r="M4691">
        <f>IF(B4691="","",IFERROR(VALUE(TEXT(B4691,"[$-1170401]mm")),""))</f>
        <v/>
      </c>
    </row>
    <row r="4692">
      <c r="B4692" s="30" t="n"/>
      <c r="G4692" s="9">
        <f>IF(AND(E4692&lt;&gt;"",E4692&lt;&gt;0,H4692&lt;&gt;""),H4692/E4692,"")</f>
        <v/>
      </c>
      <c r="L4692">
        <f>IF(B4692="","",IFERROR(VALUE(TEXT(B4692,"[$-1170401]yyyy")),""))</f>
        <v/>
      </c>
      <c r="M4692">
        <f>IF(B4692="","",IFERROR(VALUE(TEXT(B4692,"[$-1170401]mm")),""))</f>
        <v/>
      </c>
    </row>
    <row r="4693">
      <c r="B4693" s="30" t="n"/>
      <c r="G4693" s="9">
        <f>IF(AND(E4693&lt;&gt;"",E4693&lt;&gt;0,H4693&lt;&gt;""),H4693/E4693,"")</f>
        <v/>
      </c>
      <c r="L4693">
        <f>IF(B4693="","",IFERROR(VALUE(TEXT(B4693,"[$-1170401]yyyy")),""))</f>
        <v/>
      </c>
      <c r="M4693">
        <f>IF(B4693="","",IFERROR(VALUE(TEXT(B4693,"[$-1170401]mm")),""))</f>
        <v/>
      </c>
    </row>
    <row r="4694">
      <c r="B4694" s="30" t="n"/>
      <c r="G4694" s="9">
        <f>IF(AND(E4694&lt;&gt;"",E4694&lt;&gt;0,H4694&lt;&gt;""),H4694/E4694,"")</f>
        <v/>
      </c>
      <c r="L4694">
        <f>IF(B4694="","",IFERROR(VALUE(TEXT(B4694,"[$-1170401]yyyy")),""))</f>
        <v/>
      </c>
      <c r="M4694">
        <f>IF(B4694="","",IFERROR(VALUE(TEXT(B4694,"[$-1170401]mm")),""))</f>
        <v/>
      </c>
    </row>
    <row r="4695">
      <c r="B4695" s="30" t="n"/>
      <c r="G4695" s="9">
        <f>IF(AND(E4695&lt;&gt;"",E4695&lt;&gt;0,H4695&lt;&gt;""),H4695/E4695,"")</f>
        <v/>
      </c>
      <c r="L4695">
        <f>IF(B4695="","",IFERROR(VALUE(TEXT(B4695,"[$-1170401]yyyy")),""))</f>
        <v/>
      </c>
      <c r="M4695">
        <f>IF(B4695="","",IFERROR(VALUE(TEXT(B4695,"[$-1170401]mm")),""))</f>
        <v/>
      </c>
    </row>
    <row r="4696">
      <c r="B4696" s="30" t="n"/>
      <c r="G4696" s="9">
        <f>IF(AND(E4696&lt;&gt;"",E4696&lt;&gt;0,H4696&lt;&gt;""),H4696/E4696,"")</f>
        <v/>
      </c>
      <c r="L4696">
        <f>IF(B4696="","",IFERROR(VALUE(TEXT(B4696,"[$-1170401]yyyy")),""))</f>
        <v/>
      </c>
      <c r="M4696">
        <f>IF(B4696="","",IFERROR(VALUE(TEXT(B4696,"[$-1170401]mm")),""))</f>
        <v/>
      </c>
    </row>
    <row r="4697">
      <c r="B4697" s="30" t="n"/>
      <c r="G4697" s="9">
        <f>IF(AND(E4697&lt;&gt;"",E4697&lt;&gt;0,H4697&lt;&gt;""),H4697/E4697,"")</f>
        <v/>
      </c>
      <c r="L4697">
        <f>IF(B4697="","",IFERROR(VALUE(TEXT(B4697,"[$-1170401]yyyy")),""))</f>
        <v/>
      </c>
      <c r="M4697">
        <f>IF(B4697="","",IFERROR(VALUE(TEXT(B4697,"[$-1170401]mm")),""))</f>
        <v/>
      </c>
    </row>
    <row r="4698">
      <c r="B4698" s="30" t="n"/>
      <c r="G4698" s="9">
        <f>IF(AND(E4698&lt;&gt;"",E4698&lt;&gt;0,H4698&lt;&gt;""),H4698/E4698,"")</f>
        <v/>
      </c>
      <c r="L4698">
        <f>IF(B4698="","",IFERROR(VALUE(TEXT(B4698,"[$-1170401]yyyy")),""))</f>
        <v/>
      </c>
      <c r="M4698">
        <f>IF(B4698="","",IFERROR(VALUE(TEXT(B4698,"[$-1170401]mm")),""))</f>
        <v/>
      </c>
    </row>
    <row r="4699">
      <c r="B4699" s="30" t="n"/>
      <c r="G4699" s="9">
        <f>IF(AND(E4699&lt;&gt;"",E4699&lt;&gt;0,H4699&lt;&gt;""),H4699/E4699,"")</f>
        <v/>
      </c>
      <c r="L4699">
        <f>IF(B4699="","",IFERROR(VALUE(TEXT(B4699,"[$-1170401]yyyy")),""))</f>
        <v/>
      </c>
      <c r="M4699">
        <f>IF(B4699="","",IFERROR(VALUE(TEXT(B4699,"[$-1170401]mm")),""))</f>
        <v/>
      </c>
    </row>
    <row r="4700">
      <c r="B4700" s="30" t="n"/>
      <c r="G4700" s="9">
        <f>IF(AND(E4700&lt;&gt;"",E4700&lt;&gt;0,H4700&lt;&gt;""),H4700/E4700,"")</f>
        <v/>
      </c>
      <c r="L4700">
        <f>IF(B4700="","",IFERROR(VALUE(TEXT(B4700,"[$-1170401]yyyy")),""))</f>
        <v/>
      </c>
      <c r="M4700">
        <f>IF(B4700="","",IFERROR(VALUE(TEXT(B4700,"[$-1170401]mm")),""))</f>
        <v/>
      </c>
    </row>
    <row r="4701">
      <c r="B4701" s="30" t="n"/>
      <c r="G4701" s="9">
        <f>IF(AND(E4701&lt;&gt;"",E4701&lt;&gt;0,H4701&lt;&gt;""),H4701/E4701,"")</f>
        <v/>
      </c>
      <c r="L4701">
        <f>IF(B4701="","",IFERROR(VALUE(TEXT(B4701,"[$-1170401]yyyy")),""))</f>
        <v/>
      </c>
      <c r="M4701">
        <f>IF(B4701="","",IFERROR(VALUE(TEXT(B4701,"[$-1170401]mm")),""))</f>
        <v/>
      </c>
    </row>
    <row r="4702">
      <c r="B4702" s="30" t="n"/>
      <c r="G4702" s="9">
        <f>IF(AND(E4702&lt;&gt;"",E4702&lt;&gt;0,H4702&lt;&gt;""),H4702/E4702,"")</f>
        <v/>
      </c>
      <c r="L4702">
        <f>IF(B4702="","",IFERROR(VALUE(TEXT(B4702,"[$-1170401]yyyy")),""))</f>
        <v/>
      </c>
      <c r="M4702">
        <f>IF(B4702="","",IFERROR(VALUE(TEXT(B4702,"[$-1170401]mm")),""))</f>
        <v/>
      </c>
    </row>
    <row r="4703">
      <c r="B4703" s="30" t="n"/>
      <c r="G4703" s="9">
        <f>IF(AND(E4703&lt;&gt;"",E4703&lt;&gt;0,H4703&lt;&gt;""),H4703/E4703,"")</f>
        <v/>
      </c>
      <c r="L4703">
        <f>IF(B4703="","",IFERROR(VALUE(TEXT(B4703,"[$-1170401]yyyy")),""))</f>
        <v/>
      </c>
      <c r="M4703">
        <f>IF(B4703="","",IFERROR(VALUE(TEXT(B4703,"[$-1170401]mm")),""))</f>
        <v/>
      </c>
    </row>
    <row r="4704">
      <c r="B4704" s="30" t="n"/>
      <c r="G4704" s="9">
        <f>IF(AND(E4704&lt;&gt;"",E4704&lt;&gt;0,H4704&lt;&gt;""),H4704/E4704,"")</f>
        <v/>
      </c>
      <c r="L4704">
        <f>IF(B4704="","",IFERROR(VALUE(TEXT(B4704,"[$-1170401]yyyy")),""))</f>
        <v/>
      </c>
      <c r="M4704">
        <f>IF(B4704="","",IFERROR(VALUE(TEXT(B4704,"[$-1170401]mm")),""))</f>
        <v/>
      </c>
    </row>
    <row r="4705">
      <c r="B4705" s="30" t="n"/>
      <c r="G4705" s="9">
        <f>IF(AND(E4705&lt;&gt;"",E4705&lt;&gt;0,H4705&lt;&gt;""),H4705/E4705,"")</f>
        <v/>
      </c>
      <c r="L4705">
        <f>IF(B4705="","",IFERROR(VALUE(TEXT(B4705,"[$-1170401]yyyy")),""))</f>
        <v/>
      </c>
      <c r="M4705">
        <f>IF(B4705="","",IFERROR(VALUE(TEXT(B4705,"[$-1170401]mm")),""))</f>
        <v/>
      </c>
    </row>
    <row r="4706">
      <c r="B4706" s="30" t="n"/>
      <c r="G4706" s="9">
        <f>IF(AND(E4706&lt;&gt;"",E4706&lt;&gt;0,H4706&lt;&gt;""),H4706/E4706,"")</f>
        <v/>
      </c>
      <c r="L4706">
        <f>IF(B4706="","",IFERROR(VALUE(TEXT(B4706,"[$-1170401]yyyy")),""))</f>
        <v/>
      </c>
      <c r="M4706">
        <f>IF(B4706="","",IFERROR(VALUE(TEXT(B4706,"[$-1170401]mm")),""))</f>
        <v/>
      </c>
    </row>
    <row r="4707">
      <c r="B4707" s="30" t="n"/>
      <c r="G4707" s="9">
        <f>IF(AND(E4707&lt;&gt;"",E4707&lt;&gt;0,H4707&lt;&gt;""),H4707/E4707,"")</f>
        <v/>
      </c>
      <c r="L4707">
        <f>IF(B4707="","",IFERROR(VALUE(TEXT(B4707,"[$-1170401]yyyy")),""))</f>
        <v/>
      </c>
      <c r="M4707">
        <f>IF(B4707="","",IFERROR(VALUE(TEXT(B4707,"[$-1170401]mm")),""))</f>
        <v/>
      </c>
    </row>
    <row r="4708">
      <c r="B4708" s="30" t="n"/>
      <c r="G4708" s="9">
        <f>IF(AND(E4708&lt;&gt;"",E4708&lt;&gt;0,H4708&lt;&gt;""),H4708/E4708,"")</f>
        <v/>
      </c>
      <c r="L4708">
        <f>IF(B4708="","",IFERROR(VALUE(TEXT(B4708,"[$-1170401]yyyy")),""))</f>
        <v/>
      </c>
      <c r="M4708">
        <f>IF(B4708="","",IFERROR(VALUE(TEXT(B4708,"[$-1170401]mm")),""))</f>
        <v/>
      </c>
    </row>
    <row r="4709">
      <c r="B4709" s="30" t="n"/>
      <c r="G4709" s="9">
        <f>IF(AND(E4709&lt;&gt;"",E4709&lt;&gt;0,H4709&lt;&gt;""),H4709/E4709,"")</f>
        <v/>
      </c>
      <c r="L4709">
        <f>IF(B4709="","",IFERROR(VALUE(TEXT(B4709,"[$-1170401]yyyy")),""))</f>
        <v/>
      </c>
      <c r="M4709">
        <f>IF(B4709="","",IFERROR(VALUE(TEXT(B4709,"[$-1170401]mm")),""))</f>
        <v/>
      </c>
    </row>
    <row r="4710">
      <c r="B4710" s="30" t="n"/>
      <c r="G4710" s="9">
        <f>IF(AND(E4710&lt;&gt;"",E4710&lt;&gt;0,H4710&lt;&gt;""),H4710/E4710,"")</f>
        <v/>
      </c>
      <c r="L4710">
        <f>IF(B4710="","",IFERROR(VALUE(TEXT(B4710,"[$-1170401]yyyy")),""))</f>
        <v/>
      </c>
      <c r="M4710">
        <f>IF(B4710="","",IFERROR(VALUE(TEXT(B4710,"[$-1170401]mm")),""))</f>
        <v/>
      </c>
    </row>
    <row r="4711">
      <c r="B4711" s="30" t="n"/>
      <c r="G4711" s="9">
        <f>IF(AND(E4711&lt;&gt;"",E4711&lt;&gt;0,H4711&lt;&gt;""),H4711/E4711,"")</f>
        <v/>
      </c>
      <c r="L4711">
        <f>IF(B4711="","",IFERROR(VALUE(TEXT(B4711,"[$-1170401]yyyy")),""))</f>
        <v/>
      </c>
      <c r="M4711">
        <f>IF(B4711="","",IFERROR(VALUE(TEXT(B4711,"[$-1170401]mm")),""))</f>
        <v/>
      </c>
    </row>
    <row r="4712">
      <c r="B4712" s="30" t="n"/>
      <c r="G4712" s="9">
        <f>IF(AND(E4712&lt;&gt;"",E4712&lt;&gt;0,H4712&lt;&gt;""),H4712/E4712,"")</f>
        <v/>
      </c>
      <c r="L4712">
        <f>IF(B4712="","",IFERROR(VALUE(TEXT(B4712,"[$-1170401]yyyy")),""))</f>
        <v/>
      </c>
      <c r="M4712">
        <f>IF(B4712="","",IFERROR(VALUE(TEXT(B4712,"[$-1170401]mm")),""))</f>
        <v/>
      </c>
    </row>
    <row r="4713">
      <c r="B4713" s="30" t="n"/>
      <c r="G4713" s="9">
        <f>IF(AND(E4713&lt;&gt;"",E4713&lt;&gt;0,H4713&lt;&gt;""),H4713/E4713,"")</f>
        <v/>
      </c>
      <c r="L4713">
        <f>IF(B4713="","",IFERROR(VALUE(TEXT(B4713,"[$-1170401]yyyy")),""))</f>
        <v/>
      </c>
      <c r="M4713">
        <f>IF(B4713="","",IFERROR(VALUE(TEXT(B4713,"[$-1170401]mm")),""))</f>
        <v/>
      </c>
    </row>
    <row r="4714">
      <c r="B4714" s="30" t="n"/>
      <c r="G4714" s="9">
        <f>IF(AND(E4714&lt;&gt;"",E4714&lt;&gt;0,H4714&lt;&gt;""),H4714/E4714,"")</f>
        <v/>
      </c>
      <c r="L4714">
        <f>IF(B4714="","",IFERROR(VALUE(TEXT(B4714,"[$-1170401]yyyy")),""))</f>
        <v/>
      </c>
      <c r="M4714">
        <f>IF(B4714="","",IFERROR(VALUE(TEXT(B4714,"[$-1170401]mm")),""))</f>
        <v/>
      </c>
    </row>
    <row r="4715">
      <c r="B4715" s="30" t="n"/>
      <c r="G4715" s="9">
        <f>IF(AND(E4715&lt;&gt;"",E4715&lt;&gt;0,H4715&lt;&gt;""),H4715/E4715,"")</f>
        <v/>
      </c>
      <c r="L4715">
        <f>IF(B4715="","",IFERROR(VALUE(TEXT(B4715,"[$-1170401]yyyy")),""))</f>
        <v/>
      </c>
      <c r="M4715">
        <f>IF(B4715="","",IFERROR(VALUE(TEXT(B4715,"[$-1170401]mm")),""))</f>
        <v/>
      </c>
    </row>
    <row r="4716">
      <c r="B4716" s="30" t="n"/>
      <c r="G4716" s="9">
        <f>IF(AND(E4716&lt;&gt;"",E4716&lt;&gt;0,H4716&lt;&gt;""),H4716/E4716,"")</f>
        <v/>
      </c>
      <c r="L4716">
        <f>IF(B4716="","",IFERROR(VALUE(TEXT(B4716,"[$-1170401]yyyy")),""))</f>
        <v/>
      </c>
      <c r="M4716">
        <f>IF(B4716="","",IFERROR(VALUE(TEXT(B4716,"[$-1170401]mm")),""))</f>
        <v/>
      </c>
    </row>
    <row r="4717">
      <c r="B4717" s="30" t="n"/>
      <c r="G4717" s="9">
        <f>IF(AND(E4717&lt;&gt;"",E4717&lt;&gt;0,H4717&lt;&gt;""),H4717/E4717,"")</f>
        <v/>
      </c>
      <c r="L4717">
        <f>IF(B4717="","",IFERROR(VALUE(TEXT(B4717,"[$-1170401]yyyy")),""))</f>
        <v/>
      </c>
      <c r="M4717">
        <f>IF(B4717="","",IFERROR(VALUE(TEXT(B4717,"[$-1170401]mm")),""))</f>
        <v/>
      </c>
    </row>
    <row r="4718">
      <c r="B4718" s="30" t="n"/>
      <c r="G4718" s="9">
        <f>IF(AND(E4718&lt;&gt;"",E4718&lt;&gt;0,H4718&lt;&gt;""),H4718/E4718,"")</f>
        <v/>
      </c>
      <c r="L4718">
        <f>IF(B4718="","",IFERROR(VALUE(TEXT(B4718,"[$-1170401]yyyy")),""))</f>
        <v/>
      </c>
      <c r="M4718">
        <f>IF(B4718="","",IFERROR(VALUE(TEXT(B4718,"[$-1170401]mm")),""))</f>
        <v/>
      </c>
    </row>
    <row r="4719">
      <c r="B4719" s="30" t="n"/>
      <c r="G4719" s="9">
        <f>IF(AND(E4719&lt;&gt;"",E4719&lt;&gt;0,H4719&lt;&gt;""),H4719/E4719,"")</f>
        <v/>
      </c>
      <c r="L4719">
        <f>IF(B4719="","",IFERROR(VALUE(TEXT(B4719,"[$-1170401]yyyy")),""))</f>
        <v/>
      </c>
      <c r="M4719">
        <f>IF(B4719="","",IFERROR(VALUE(TEXT(B4719,"[$-1170401]mm")),""))</f>
        <v/>
      </c>
    </row>
    <row r="4720">
      <c r="B4720" s="30" t="n"/>
      <c r="G4720" s="9">
        <f>IF(AND(E4720&lt;&gt;"",E4720&lt;&gt;0,H4720&lt;&gt;""),H4720/E4720,"")</f>
        <v/>
      </c>
      <c r="L4720">
        <f>IF(B4720="","",IFERROR(VALUE(TEXT(B4720,"[$-1170401]yyyy")),""))</f>
        <v/>
      </c>
      <c r="M4720">
        <f>IF(B4720="","",IFERROR(VALUE(TEXT(B4720,"[$-1170401]mm")),""))</f>
        <v/>
      </c>
    </row>
    <row r="4721">
      <c r="B4721" s="30" t="n"/>
      <c r="G4721" s="9">
        <f>IF(AND(E4721&lt;&gt;"",E4721&lt;&gt;0,H4721&lt;&gt;""),H4721/E4721,"")</f>
        <v/>
      </c>
      <c r="L4721">
        <f>IF(B4721="","",IFERROR(VALUE(TEXT(B4721,"[$-1170401]yyyy")),""))</f>
        <v/>
      </c>
      <c r="M4721">
        <f>IF(B4721="","",IFERROR(VALUE(TEXT(B4721,"[$-1170401]mm")),""))</f>
        <v/>
      </c>
    </row>
    <row r="4722">
      <c r="B4722" s="30" t="n"/>
      <c r="G4722" s="9">
        <f>IF(AND(E4722&lt;&gt;"",E4722&lt;&gt;0,H4722&lt;&gt;""),H4722/E4722,"")</f>
        <v/>
      </c>
      <c r="L4722">
        <f>IF(B4722="","",IFERROR(VALUE(TEXT(B4722,"[$-1170401]yyyy")),""))</f>
        <v/>
      </c>
      <c r="M4722">
        <f>IF(B4722="","",IFERROR(VALUE(TEXT(B4722,"[$-1170401]mm")),""))</f>
        <v/>
      </c>
    </row>
    <row r="4723">
      <c r="B4723" s="30" t="n"/>
      <c r="G4723" s="9">
        <f>IF(AND(E4723&lt;&gt;"",E4723&lt;&gt;0,H4723&lt;&gt;""),H4723/E4723,"")</f>
        <v/>
      </c>
      <c r="L4723">
        <f>IF(B4723="","",IFERROR(VALUE(TEXT(B4723,"[$-1170401]yyyy")),""))</f>
        <v/>
      </c>
      <c r="M4723">
        <f>IF(B4723="","",IFERROR(VALUE(TEXT(B4723,"[$-1170401]mm")),""))</f>
        <v/>
      </c>
    </row>
    <row r="4724">
      <c r="B4724" s="30" t="n"/>
      <c r="G4724" s="9">
        <f>IF(AND(E4724&lt;&gt;"",E4724&lt;&gt;0,H4724&lt;&gt;""),H4724/E4724,"")</f>
        <v/>
      </c>
      <c r="L4724">
        <f>IF(B4724="","",IFERROR(VALUE(TEXT(B4724,"[$-1170401]yyyy")),""))</f>
        <v/>
      </c>
      <c r="M4724">
        <f>IF(B4724="","",IFERROR(VALUE(TEXT(B4724,"[$-1170401]mm")),""))</f>
        <v/>
      </c>
    </row>
    <row r="4725">
      <c r="B4725" s="30" t="n"/>
      <c r="G4725" s="9">
        <f>IF(AND(E4725&lt;&gt;"",E4725&lt;&gt;0,H4725&lt;&gt;""),H4725/E4725,"")</f>
        <v/>
      </c>
      <c r="L4725">
        <f>IF(B4725="","",IFERROR(VALUE(TEXT(B4725,"[$-1170401]yyyy")),""))</f>
        <v/>
      </c>
      <c r="M4725">
        <f>IF(B4725="","",IFERROR(VALUE(TEXT(B4725,"[$-1170401]mm")),""))</f>
        <v/>
      </c>
    </row>
    <row r="4726">
      <c r="B4726" s="30" t="n"/>
      <c r="G4726" s="9">
        <f>IF(AND(E4726&lt;&gt;"",E4726&lt;&gt;0,H4726&lt;&gt;""),H4726/E4726,"")</f>
        <v/>
      </c>
      <c r="L4726">
        <f>IF(B4726="","",IFERROR(VALUE(TEXT(B4726,"[$-1170401]yyyy")),""))</f>
        <v/>
      </c>
      <c r="M4726">
        <f>IF(B4726="","",IFERROR(VALUE(TEXT(B4726,"[$-1170401]mm")),""))</f>
        <v/>
      </c>
    </row>
    <row r="4727">
      <c r="B4727" s="30" t="n"/>
      <c r="G4727" s="9">
        <f>IF(AND(E4727&lt;&gt;"",E4727&lt;&gt;0,H4727&lt;&gt;""),H4727/E4727,"")</f>
        <v/>
      </c>
      <c r="L4727">
        <f>IF(B4727="","",IFERROR(VALUE(TEXT(B4727,"[$-1170401]yyyy")),""))</f>
        <v/>
      </c>
      <c r="M4727">
        <f>IF(B4727="","",IFERROR(VALUE(TEXT(B4727,"[$-1170401]mm")),""))</f>
        <v/>
      </c>
    </row>
    <row r="4728">
      <c r="B4728" s="30" t="n"/>
      <c r="G4728" s="9">
        <f>IF(AND(E4728&lt;&gt;"",E4728&lt;&gt;0,H4728&lt;&gt;""),H4728/E4728,"")</f>
        <v/>
      </c>
      <c r="L4728">
        <f>IF(B4728="","",IFERROR(VALUE(TEXT(B4728,"[$-1170401]yyyy")),""))</f>
        <v/>
      </c>
      <c r="M4728">
        <f>IF(B4728="","",IFERROR(VALUE(TEXT(B4728,"[$-1170401]mm")),""))</f>
        <v/>
      </c>
    </row>
    <row r="4729">
      <c r="B4729" s="30" t="n"/>
      <c r="G4729" s="9">
        <f>IF(AND(E4729&lt;&gt;"",E4729&lt;&gt;0,H4729&lt;&gt;""),H4729/E4729,"")</f>
        <v/>
      </c>
      <c r="L4729">
        <f>IF(B4729="","",IFERROR(VALUE(TEXT(B4729,"[$-1170401]yyyy")),""))</f>
        <v/>
      </c>
      <c r="M4729">
        <f>IF(B4729="","",IFERROR(VALUE(TEXT(B4729,"[$-1170401]mm")),""))</f>
        <v/>
      </c>
    </row>
    <row r="4730">
      <c r="B4730" s="30" t="n"/>
      <c r="G4730" s="9">
        <f>IF(AND(E4730&lt;&gt;"",E4730&lt;&gt;0,H4730&lt;&gt;""),H4730/E4730,"")</f>
        <v/>
      </c>
      <c r="L4730">
        <f>IF(B4730="","",IFERROR(VALUE(TEXT(B4730,"[$-1170401]yyyy")),""))</f>
        <v/>
      </c>
      <c r="M4730">
        <f>IF(B4730="","",IFERROR(VALUE(TEXT(B4730,"[$-1170401]mm")),""))</f>
        <v/>
      </c>
    </row>
    <row r="4731">
      <c r="B4731" s="30" t="n"/>
      <c r="G4731" s="9">
        <f>IF(AND(E4731&lt;&gt;"",E4731&lt;&gt;0,H4731&lt;&gt;""),H4731/E4731,"")</f>
        <v/>
      </c>
      <c r="L4731">
        <f>IF(B4731="","",IFERROR(VALUE(TEXT(B4731,"[$-1170401]yyyy")),""))</f>
        <v/>
      </c>
      <c r="M4731">
        <f>IF(B4731="","",IFERROR(VALUE(TEXT(B4731,"[$-1170401]mm")),""))</f>
        <v/>
      </c>
    </row>
    <row r="4732">
      <c r="B4732" s="30" t="n"/>
      <c r="G4732" s="9">
        <f>IF(AND(E4732&lt;&gt;"",E4732&lt;&gt;0,H4732&lt;&gt;""),H4732/E4732,"")</f>
        <v/>
      </c>
      <c r="L4732">
        <f>IF(B4732="","",IFERROR(VALUE(TEXT(B4732,"[$-1170401]yyyy")),""))</f>
        <v/>
      </c>
      <c r="M4732">
        <f>IF(B4732="","",IFERROR(VALUE(TEXT(B4732,"[$-1170401]mm")),""))</f>
        <v/>
      </c>
    </row>
    <row r="4733">
      <c r="B4733" s="30" t="n"/>
      <c r="G4733" s="9">
        <f>IF(AND(E4733&lt;&gt;"",E4733&lt;&gt;0,H4733&lt;&gt;""),H4733/E4733,"")</f>
        <v/>
      </c>
      <c r="L4733">
        <f>IF(B4733="","",IFERROR(VALUE(TEXT(B4733,"[$-1170401]yyyy")),""))</f>
        <v/>
      </c>
      <c r="M4733">
        <f>IF(B4733="","",IFERROR(VALUE(TEXT(B4733,"[$-1170401]mm")),""))</f>
        <v/>
      </c>
    </row>
    <row r="4734">
      <c r="B4734" s="30" t="n"/>
      <c r="G4734" s="9">
        <f>IF(AND(E4734&lt;&gt;"",E4734&lt;&gt;0,H4734&lt;&gt;""),H4734/E4734,"")</f>
        <v/>
      </c>
      <c r="L4734">
        <f>IF(B4734="","",IFERROR(VALUE(TEXT(B4734,"[$-1170401]yyyy")),""))</f>
        <v/>
      </c>
      <c r="M4734">
        <f>IF(B4734="","",IFERROR(VALUE(TEXT(B4734,"[$-1170401]mm")),""))</f>
        <v/>
      </c>
    </row>
    <row r="4735">
      <c r="B4735" s="30" t="n"/>
      <c r="G4735" s="9">
        <f>IF(AND(E4735&lt;&gt;"",E4735&lt;&gt;0,H4735&lt;&gt;""),H4735/E4735,"")</f>
        <v/>
      </c>
      <c r="L4735">
        <f>IF(B4735="","",IFERROR(VALUE(TEXT(B4735,"[$-1170401]yyyy")),""))</f>
        <v/>
      </c>
      <c r="M4735">
        <f>IF(B4735="","",IFERROR(VALUE(TEXT(B4735,"[$-1170401]mm")),""))</f>
        <v/>
      </c>
    </row>
    <row r="4736">
      <c r="B4736" s="30" t="n"/>
      <c r="G4736" s="9">
        <f>IF(AND(E4736&lt;&gt;"",E4736&lt;&gt;0,H4736&lt;&gt;""),H4736/E4736,"")</f>
        <v/>
      </c>
      <c r="L4736">
        <f>IF(B4736="","",IFERROR(VALUE(TEXT(B4736,"[$-1170401]yyyy")),""))</f>
        <v/>
      </c>
      <c r="M4736">
        <f>IF(B4736="","",IFERROR(VALUE(TEXT(B4736,"[$-1170401]mm")),""))</f>
        <v/>
      </c>
    </row>
    <row r="4737">
      <c r="B4737" s="30" t="n"/>
      <c r="G4737" s="9">
        <f>IF(AND(E4737&lt;&gt;"",E4737&lt;&gt;0,H4737&lt;&gt;""),H4737/E4737,"")</f>
        <v/>
      </c>
      <c r="L4737">
        <f>IF(B4737="","",IFERROR(VALUE(TEXT(B4737,"[$-1170401]yyyy")),""))</f>
        <v/>
      </c>
      <c r="M4737">
        <f>IF(B4737="","",IFERROR(VALUE(TEXT(B4737,"[$-1170401]mm")),""))</f>
        <v/>
      </c>
    </row>
    <row r="4738">
      <c r="B4738" s="30" t="n"/>
      <c r="G4738" s="9">
        <f>IF(AND(E4738&lt;&gt;"",E4738&lt;&gt;0,H4738&lt;&gt;""),H4738/E4738,"")</f>
        <v/>
      </c>
      <c r="L4738">
        <f>IF(B4738="","",IFERROR(VALUE(TEXT(B4738,"[$-1170401]yyyy")),""))</f>
        <v/>
      </c>
      <c r="M4738">
        <f>IF(B4738="","",IFERROR(VALUE(TEXT(B4738,"[$-1170401]mm")),""))</f>
        <v/>
      </c>
    </row>
    <row r="4739">
      <c r="B4739" s="30" t="n"/>
      <c r="G4739" s="9">
        <f>IF(AND(E4739&lt;&gt;"",E4739&lt;&gt;0,H4739&lt;&gt;""),H4739/E4739,"")</f>
        <v/>
      </c>
      <c r="L4739">
        <f>IF(B4739="","",IFERROR(VALUE(TEXT(B4739,"[$-1170401]yyyy")),""))</f>
        <v/>
      </c>
      <c r="M4739">
        <f>IF(B4739="","",IFERROR(VALUE(TEXT(B4739,"[$-1170401]mm")),""))</f>
        <v/>
      </c>
    </row>
    <row r="4740">
      <c r="B4740" s="30" t="n"/>
      <c r="G4740" s="9">
        <f>IF(AND(E4740&lt;&gt;"",E4740&lt;&gt;0,H4740&lt;&gt;""),H4740/E4740,"")</f>
        <v/>
      </c>
      <c r="L4740">
        <f>IF(B4740="","",IFERROR(VALUE(TEXT(B4740,"[$-1170401]yyyy")),""))</f>
        <v/>
      </c>
      <c r="M4740">
        <f>IF(B4740="","",IFERROR(VALUE(TEXT(B4740,"[$-1170401]mm")),""))</f>
        <v/>
      </c>
    </row>
    <row r="4741">
      <c r="B4741" s="30" t="n"/>
      <c r="G4741" s="9">
        <f>IF(AND(E4741&lt;&gt;"",E4741&lt;&gt;0,H4741&lt;&gt;""),H4741/E4741,"")</f>
        <v/>
      </c>
      <c r="L4741">
        <f>IF(B4741="","",IFERROR(VALUE(TEXT(B4741,"[$-1170401]yyyy")),""))</f>
        <v/>
      </c>
      <c r="M4741">
        <f>IF(B4741="","",IFERROR(VALUE(TEXT(B4741,"[$-1170401]mm")),""))</f>
        <v/>
      </c>
    </row>
    <row r="4742">
      <c r="B4742" s="30" t="n"/>
      <c r="G4742" s="9">
        <f>IF(AND(E4742&lt;&gt;"",E4742&lt;&gt;0,H4742&lt;&gt;""),H4742/E4742,"")</f>
        <v/>
      </c>
      <c r="L4742">
        <f>IF(B4742="","",IFERROR(VALUE(TEXT(B4742,"[$-1170401]yyyy")),""))</f>
        <v/>
      </c>
      <c r="M4742">
        <f>IF(B4742="","",IFERROR(VALUE(TEXT(B4742,"[$-1170401]mm")),""))</f>
        <v/>
      </c>
    </row>
    <row r="4743">
      <c r="B4743" s="30" t="n"/>
      <c r="G4743" s="9">
        <f>IF(AND(E4743&lt;&gt;"",E4743&lt;&gt;0,H4743&lt;&gt;""),H4743/E4743,"")</f>
        <v/>
      </c>
      <c r="L4743">
        <f>IF(B4743="","",IFERROR(VALUE(TEXT(B4743,"[$-1170401]yyyy")),""))</f>
        <v/>
      </c>
      <c r="M4743">
        <f>IF(B4743="","",IFERROR(VALUE(TEXT(B4743,"[$-1170401]mm")),""))</f>
        <v/>
      </c>
    </row>
    <row r="4744">
      <c r="B4744" s="30" t="n"/>
      <c r="G4744" s="9">
        <f>IF(AND(E4744&lt;&gt;"",E4744&lt;&gt;0,H4744&lt;&gt;""),H4744/E4744,"")</f>
        <v/>
      </c>
      <c r="L4744">
        <f>IF(B4744="","",IFERROR(VALUE(TEXT(B4744,"[$-1170401]yyyy")),""))</f>
        <v/>
      </c>
      <c r="M4744">
        <f>IF(B4744="","",IFERROR(VALUE(TEXT(B4744,"[$-1170401]mm")),""))</f>
        <v/>
      </c>
    </row>
    <row r="4745">
      <c r="B4745" s="30" t="n"/>
      <c r="G4745" s="9">
        <f>IF(AND(E4745&lt;&gt;"",E4745&lt;&gt;0,H4745&lt;&gt;""),H4745/E4745,"")</f>
        <v/>
      </c>
      <c r="L4745">
        <f>IF(B4745="","",IFERROR(VALUE(TEXT(B4745,"[$-1170401]yyyy")),""))</f>
        <v/>
      </c>
      <c r="M4745">
        <f>IF(B4745="","",IFERROR(VALUE(TEXT(B4745,"[$-1170401]mm")),""))</f>
        <v/>
      </c>
    </row>
    <row r="4746">
      <c r="B4746" s="30" t="n"/>
      <c r="G4746" s="9">
        <f>IF(AND(E4746&lt;&gt;"",E4746&lt;&gt;0,H4746&lt;&gt;""),H4746/E4746,"")</f>
        <v/>
      </c>
      <c r="L4746">
        <f>IF(B4746="","",IFERROR(VALUE(TEXT(B4746,"[$-1170401]yyyy")),""))</f>
        <v/>
      </c>
      <c r="M4746">
        <f>IF(B4746="","",IFERROR(VALUE(TEXT(B4746,"[$-1170401]mm")),""))</f>
        <v/>
      </c>
    </row>
    <row r="4747">
      <c r="B4747" s="30" t="n"/>
      <c r="G4747" s="9">
        <f>IF(AND(E4747&lt;&gt;"",E4747&lt;&gt;0,H4747&lt;&gt;""),H4747/E4747,"")</f>
        <v/>
      </c>
      <c r="L4747">
        <f>IF(B4747="","",IFERROR(VALUE(TEXT(B4747,"[$-1170401]yyyy")),""))</f>
        <v/>
      </c>
      <c r="M4747">
        <f>IF(B4747="","",IFERROR(VALUE(TEXT(B4747,"[$-1170401]mm")),""))</f>
        <v/>
      </c>
    </row>
    <row r="4748">
      <c r="B4748" s="30" t="n"/>
      <c r="G4748" s="9">
        <f>IF(AND(E4748&lt;&gt;"",E4748&lt;&gt;0,H4748&lt;&gt;""),H4748/E4748,"")</f>
        <v/>
      </c>
      <c r="L4748">
        <f>IF(B4748="","",IFERROR(VALUE(TEXT(B4748,"[$-1170401]yyyy")),""))</f>
        <v/>
      </c>
      <c r="M4748">
        <f>IF(B4748="","",IFERROR(VALUE(TEXT(B4748,"[$-1170401]mm")),""))</f>
        <v/>
      </c>
    </row>
    <row r="4749">
      <c r="B4749" s="30" t="n"/>
      <c r="G4749" s="9">
        <f>IF(AND(E4749&lt;&gt;"",E4749&lt;&gt;0,H4749&lt;&gt;""),H4749/E4749,"")</f>
        <v/>
      </c>
      <c r="L4749">
        <f>IF(B4749="","",IFERROR(VALUE(TEXT(B4749,"[$-1170401]yyyy")),""))</f>
        <v/>
      </c>
      <c r="M4749">
        <f>IF(B4749="","",IFERROR(VALUE(TEXT(B4749,"[$-1170401]mm")),""))</f>
        <v/>
      </c>
    </row>
    <row r="4750">
      <c r="B4750" s="30" t="n"/>
      <c r="G4750" s="9">
        <f>IF(AND(E4750&lt;&gt;"",E4750&lt;&gt;0,H4750&lt;&gt;""),H4750/E4750,"")</f>
        <v/>
      </c>
      <c r="L4750">
        <f>IF(B4750="","",IFERROR(VALUE(TEXT(B4750,"[$-1170401]yyyy")),""))</f>
        <v/>
      </c>
      <c r="M4750">
        <f>IF(B4750="","",IFERROR(VALUE(TEXT(B4750,"[$-1170401]mm")),""))</f>
        <v/>
      </c>
    </row>
    <row r="4751">
      <c r="B4751" s="30" t="n"/>
      <c r="G4751" s="9">
        <f>IF(AND(E4751&lt;&gt;"",E4751&lt;&gt;0,H4751&lt;&gt;""),H4751/E4751,"")</f>
        <v/>
      </c>
      <c r="L4751">
        <f>IF(B4751="","",IFERROR(VALUE(TEXT(B4751,"[$-1170401]yyyy")),""))</f>
        <v/>
      </c>
      <c r="M4751">
        <f>IF(B4751="","",IFERROR(VALUE(TEXT(B4751,"[$-1170401]mm")),""))</f>
        <v/>
      </c>
    </row>
    <row r="4752">
      <c r="B4752" s="30" t="n"/>
      <c r="G4752" s="9">
        <f>IF(AND(E4752&lt;&gt;"",E4752&lt;&gt;0,H4752&lt;&gt;""),H4752/E4752,"")</f>
        <v/>
      </c>
      <c r="L4752">
        <f>IF(B4752="","",IFERROR(VALUE(TEXT(B4752,"[$-1170401]yyyy")),""))</f>
        <v/>
      </c>
      <c r="M4752">
        <f>IF(B4752="","",IFERROR(VALUE(TEXT(B4752,"[$-1170401]mm")),""))</f>
        <v/>
      </c>
    </row>
    <row r="4753">
      <c r="B4753" s="30" t="n"/>
      <c r="G4753" s="9">
        <f>IF(AND(E4753&lt;&gt;"",E4753&lt;&gt;0,H4753&lt;&gt;""),H4753/E4753,"")</f>
        <v/>
      </c>
      <c r="L4753">
        <f>IF(B4753="","",IFERROR(VALUE(TEXT(B4753,"[$-1170401]yyyy")),""))</f>
        <v/>
      </c>
      <c r="M4753">
        <f>IF(B4753="","",IFERROR(VALUE(TEXT(B4753,"[$-1170401]mm")),""))</f>
        <v/>
      </c>
    </row>
    <row r="4754">
      <c r="B4754" s="30" t="n"/>
      <c r="G4754" s="9">
        <f>IF(AND(E4754&lt;&gt;"",E4754&lt;&gt;0,H4754&lt;&gt;""),H4754/E4754,"")</f>
        <v/>
      </c>
      <c r="L4754">
        <f>IF(B4754="","",IFERROR(VALUE(TEXT(B4754,"[$-1170401]yyyy")),""))</f>
        <v/>
      </c>
      <c r="M4754">
        <f>IF(B4754="","",IFERROR(VALUE(TEXT(B4754,"[$-1170401]mm")),""))</f>
        <v/>
      </c>
    </row>
    <row r="4755">
      <c r="B4755" s="30" t="n"/>
      <c r="G4755" s="9">
        <f>IF(AND(E4755&lt;&gt;"",E4755&lt;&gt;0,H4755&lt;&gt;""),H4755/E4755,"")</f>
        <v/>
      </c>
      <c r="L4755">
        <f>IF(B4755="","",IFERROR(VALUE(TEXT(B4755,"[$-1170401]yyyy")),""))</f>
        <v/>
      </c>
      <c r="M4755">
        <f>IF(B4755="","",IFERROR(VALUE(TEXT(B4755,"[$-1170401]mm")),""))</f>
        <v/>
      </c>
    </row>
    <row r="4756">
      <c r="B4756" s="30" t="n"/>
      <c r="G4756" s="9">
        <f>IF(AND(E4756&lt;&gt;"",E4756&lt;&gt;0,H4756&lt;&gt;""),H4756/E4756,"")</f>
        <v/>
      </c>
      <c r="L4756">
        <f>IF(B4756="","",IFERROR(VALUE(TEXT(B4756,"[$-1170401]yyyy")),""))</f>
        <v/>
      </c>
      <c r="M4756">
        <f>IF(B4756="","",IFERROR(VALUE(TEXT(B4756,"[$-1170401]mm")),""))</f>
        <v/>
      </c>
    </row>
    <row r="4757">
      <c r="B4757" s="30" t="n"/>
      <c r="G4757" s="9">
        <f>IF(AND(E4757&lt;&gt;"",E4757&lt;&gt;0,H4757&lt;&gt;""),H4757/E4757,"")</f>
        <v/>
      </c>
      <c r="L4757">
        <f>IF(B4757="","",IFERROR(VALUE(TEXT(B4757,"[$-1170401]yyyy")),""))</f>
        <v/>
      </c>
      <c r="M4757">
        <f>IF(B4757="","",IFERROR(VALUE(TEXT(B4757,"[$-1170401]mm")),""))</f>
        <v/>
      </c>
    </row>
    <row r="4758">
      <c r="B4758" s="30" t="n"/>
      <c r="G4758" s="9">
        <f>IF(AND(E4758&lt;&gt;"",E4758&lt;&gt;0,H4758&lt;&gt;""),H4758/E4758,"")</f>
        <v/>
      </c>
      <c r="L4758">
        <f>IF(B4758="","",IFERROR(VALUE(TEXT(B4758,"[$-1170401]yyyy")),""))</f>
        <v/>
      </c>
      <c r="M4758">
        <f>IF(B4758="","",IFERROR(VALUE(TEXT(B4758,"[$-1170401]mm")),""))</f>
        <v/>
      </c>
    </row>
    <row r="4759">
      <c r="B4759" s="30" t="n"/>
      <c r="G4759" s="9">
        <f>IF(AND(E4759&lt;&gt;"",E4759&lt;&gt;0,H4759&lt;&gt;""),H4759/E4759,"")</f>
        <v/>
      </c>
      <c r="L4759">
        <f>IF(B4759="","",IFERROR(VALUE(TEXT(B4759,"[$-1170401]yyyy")),""))</f>
        <v/>
      </c>
      <c r="M4759">
        <f>IF(B4759="","",IFERROR(VALUE(TEXT(B4759,"[$-1170401]mm")),""))</f>
        <v/>
      </c>
    </row>
    <row r="4760">
      <c r="B4760" s="30" t="n"/>
      <c r="G4760" s="9">
        <f>IF(AND(E4760&lt;&gt;"",E4760&lt;&gt;0,H4760&lt;&gt;""),H4760/E4760,"")</f>
        <v/>
      </c>
      <c r="L4760">
        <f>IF(B4760="","",IFERROR(VALUE(TEXT(B4760,"[$-1170401]yyyy")),""))</f>
        <v/>
      </c>
      <c r="M4760">
        <f>IF(B4760="","",IFERROR(VALUE(TEXT(B4760,"[$-1170401]mm")),""))</f>
        <v/>
      </c>
    </row>
    <row r="4761">
      <c r="B4761" s="30" t="n"/>
      <c r="G4761" s="9">
        <f>IF(AND(E4761&lt;&gt;"",E4761&lt;&gt;0,H4761&lt;&gt;""),H4761/E4761,"")</f>
        <v/>
      </c>
      <c r="L4761">
        <f>IF(B4761="","",IFERROR(VALUE(TEXT(B4761,"[$-1170401]yyyy")),""))</f>
        <v/>
      </c>
      <c r="M4761">
        <f>IF(B4761="","",IFERROR(VALUE(TEXT(B4761,"[$-1170401]mm")),""))</f>
        <v/>
      </c>
    </row>
    <row r="4762">
      <c r="B4762" s="30" t="n"/>
      <c r="G4762" s="9">
        <f>IF(AND(E4762&lt;&gt;"",E4762&lt;&gt;0,H4762&lt;&gt;""),H4762/E4762,"")</f>
        <v/>
      </c>
      <c r="L4762">
        <f>IF(B4762="","",IFERROR(VALUE(TEXT(B4762,"[$-1170401]yyyy")),""))</f>
        <v/>
      </c>
      <c r="M4762">
        <f>IF(B4762="","",IFERROR(VALUE(TEXT(B4762,"[$-1170401]mm")),""))</f>
        <v/>
      </c>
    </row>
    <row r="4763">
      <c r="B4763" s="30" t="n"/>
      <c r="G4763" s="9">
        <f>IF(AND(E4763&lt;&gt;"",E4763&lt;&gt;0,H4763&lt;&gt;""),H4763/E4763,"")</f>
        <v/>
      </c>
      <c r="L4763">
        <f>IF(B4763="","",IFERROR(VALUE(TEXT(B4763,"[$-1170401]yyyy")),""))</f>
        <v/>
      </c>
      <c r="M4763">
        <f>IF(B4763="","",IFERROR(VALUE(TEXT(B4763,"[$-1170401]mm")),""))</f>
        <v/>
      </c>
    </row>
    <row r="4764">
      <c r="B4764" s="30" t="n"/>
      <c r="G4764" s="9">
        <f>IF(AND(E4764&lt;&gt;"",E4764&lt;&gt;0,H4764&lt;&gt;""),H4764/E4764,"")</f>
        <v/>
      </c>
      <c r="L4764">
        <f>IF(B4764="","",IFERROR(VALUE(TEXT(B4764,"[$-1170401]yyyy")),""))</f>
        <v/>
      </c>
      <c r="M4764">
        <f>IF(B4764="","",IFERROR(VALUE(TEXT(B4764,"[$-1170401]mm")),""))</f>
        <v/>
      </c>
    </row>
    <row r="4765">
      <c r="B4765" s="30" t="n"/>
      <c r="G4765" s="9">
        <f>IF(AND(E4765&lt;&gt;"",E4765&lt;&gt;0,H4765&lt;&gt;""),H4765/E4765,"")</f>
        <v/>
      </c>
      <c r="L4765">
        <f>IF(B4765="","",IFERROR(VALUE(TEXT(B4765,"[$-1170401]yyyy")),""))</f>
        <v/>
      </c>
      <c r="M4765">
        <f>IF(B4765="","",IFERROR(VALUE(TEXT(B4765,"[$-1170401]mm")),""))</f>
        <v/>
      </c>
    </row>
    <row r="4766">
      <c r="B4766" s="30" t="n"/>
      <c r="G4766" s="9">
        <f>IF(AND(E4766&lt;&gt;"",E4766&lt;&gt;0,H4766&lt;&gt;""),H4766/E4766,"")</f>
        <v/>
      </c>
      <c r="L4766">
        <f>IF(B4766="","",IFERROR(VALUE(TEXT(B4766,"[$-1170401]yyyy")),""))</f>
        <v/>
      </c>
      <c r="M4766">
        <f>IF(B4766="","",IFERROR(VALUE(TEXT(B4766,"[$-1170401]mm")),""))</f>
        <v/>
      </c>
    </row>
    <row r="4767">
      <c r="B4767" s="30" t="n"/>
      <c r="G4767" s="9">
        <f>IF(AND(E4767&lt;&gt;"",E4767&lt;&gt;0,H4767&lt;&gt;""),H4767/E4767,"")</f>
        <v/>
      </c>
      <c r="L4767">
        <f>IF(B4767="","",IFERROR(VALUE(TEXT(B4767,"[$-1170401]yyyy")),""))</f>
        <v/>
      </c>
      <c r="M4767">
        <f>IF(B4767="","",IFERROR(VALUE(TEXT(B4767,"[$-1170401]mm")),""))</f>
        <v/>
      </c>
    </row>
    <row r="4768">
      <c r="B4768" s="30" t="n"/>
      <c r="G4768" s="9">
        <f>IF(AND(E4768&lt;&gt;"",E4768&lt;&gt;0,H4768&lt;&gt;""),H4768/E4768,"")</f>
        <v/>
      </c>
      <c r="L4768">
        <f>IF(B4768="","",IFERROR(VALUE(TEXT(B4768,"[$-1170401]yyyy")),""))</f>
        <v/>
      </c>
      <c r="M4768">
        <f>IF(B4768="","",IFERROR(VALUE(TEXT(B4768,"[$-1170401]mm")),""))</f>
        <v/>
      </c>
    </row>
    <row r="4769">
      <c r="B4769" s="30" t="n"/>
      <c r="G4769" s="9">
        <f>IF(AND(E4769&lt;&gt;"",E4769&lt;&gt;0,H4769&lt;&gt;""),H4769/E4769,"")</f>
        <v/>
      </c>
      <c r="L4769">
        <f>IF(B4769="","",IFERROR(VALUE(TEXT(B4769,"[$-1170401]yyyy")),""))</f>
        <v/>
      </c>
      <c r="M4769">
        <f>IF(B4769="","",IFERROR(VALUE(TEXT(B4769,"[$-1170401]mm")),""))</f>
        <v/>
      </c>
    </row>
    <row r="4770">
      <c r="B4770" s="30" t="n"/>
      <c r="G4770" s="9">
        <f>IF(AND(E4770&lt;&gt;"",E4770&lt;&gt;0,H4770&lt;&gt;""),H4770/E4770,"")</f>
        <v/>
      </c>
      <c r="L4770">
        <f>IF(B4770="","",IFERROR(VALUE(TEXT(B4770,"[$-1170401]yyyy")),""))</f>
        <v/>
      </c>
      <c r="M4770">
        <f>IF(B4770="","",IFERROR(VALUE(TEXT(B4770,"[$-1170401]mm")),""))</f>
        <v/>
      </c>
    </row>
    <row r="4771">
      <c r="B4771" s="30" t="n"/>
      <c r="G4771" s="9">
        <f>IF(AND(E4771&lt;&gt;"",E4771&lt;&gt;0,H4771&lt;&gt;""),H4771/E4771,"")</f>
        <v/>
      </c>
      <c r="L4771">
        <f>IF(B4771="","",IFERROR(VALUE(TEXT(B4771,"[$-1170401]yyyy")),""))</f>
        <v/>
      </c>
      <c r="M4771">
        <f>IF(B4771="","",IFERROR(VALUE(TEXT(B4771,"[$-1170401]mm")),""))</f>
        <v/>
      </c>
    </row>
    <row r="4772">
      <c r="B4772" s="30" t="n"/>
      <c r="G4772" s="9">
        <f>IF(AND(E4772&lt;&gt;"",E4772&lt;&gt;0,H4772&lt;&gt;""),H4772/E4772,"")</f>
        <v/>
      </c>
      <c r="L4772">
        <f>IF(B4772="","",IFERROR(VALUE(TEXT(B4772,"[$-1170401]yyyy")),""))</f>
        <v/>
      </c>
      <c r="M4772">
        <f>IF(B4772="","",IFERROR(VALUE(TEXT(B4772,"[$-1170401]mm")),""))</f>
        <v/>
      </c>
    </row>
    <row r="4773">
      <c r="B4773" s="30" t="n"/>
      <c r="G4773" s="9">
        <f>IF(AND(E4773&lt;&gt;"",E4773&lt;&gt;0,H4773&lt;&gt;""),H4773/E4773,"")</f>
        <v/>
      </c>
      <c r="L4773">
        <f>IF(B4773="","",IFERROR(VALUE(TEXT(B4773,"[$-1170401]yyyy")),""))</f>
        <v/>
      </c>
      <c r="M4773">
        <f>IF(B4773="","",IFERROR(VALUE(TEXT(B4773,"[$-1170401]mm")),""))</f>
        <v/>
      </c>
    </row>
    <row r="4774">
      <c r="B4774" s="30" t="n"/>
      <c r="G4774" s="9">
        <f>IF(AND(E4774&lt;&gt;"",E4774&lt;&gt;0,H4774&lt;&gt;""),H4774/E4774,"")</f>
        <v/>
      </c>
      <c r="L4774">
        <f>IF(B4774="","",IFERROR(VALUE(TEXT(B4774,"[$-1170401]yyyy")),""))</f>
        <v/>
      </c>
      <c r="M4774">
        <f>IF(B4774="","",IFERROR(VALUE(TEXT(B4774,"[$-1170401]mm")),""))</f>
        <v/>
      </c>
    </row>
    <row r="4775">
      <c r="B4775" s="30" t="n"/>
      <c r="G4775" s="9">
        <f>IF(AND(E4775&lt;&gt;"",E4775&lt;&gt;0,H4775&lt;&gt;""),H4775/E4775,"")</f>
        <v/>
      </c>
      <c r="L4775">
        <f>IF(B4775="","",IFERROR(VALUE(TEXT(B4775,"[$-1170401]yyyy")),""))</f>
        <v/>
      </c>
      <c r="M4775">
        <f>IF(B4775="","",IFERROR(VALUE(TEXT(B4775,"[$-1170401]mm")),""))</f>
        <v/>
      </c>
    </row>
    <row r="4776">
      <c r="B4776" s="30" t="n"/>
      <c r="G4776" s="9">
        <f>IF(AND(E4776&lt;&gt;"",E4776&lt;&gt;0,H4776&lt;&gt;""),H4776/E4776,"")</f>
        <v/>
      </c>
      <c r="L4776">
        <f>IF(B4776="","",IFERROR(VALUE(TEXT(B4776,"[$-1170401]yyyy")),""))</f>
        <v/>
      </c>
      <c r="M4776">
        <f>IF(B4776="","",IFERROR(VALUE(TEXT(B4776,"[$-1170401]mm")),""))</f>
        <v/>
      </c>
    </row>
    <row r="4777">
      <c r="B4777" s="30" t="n"/>
      <c r="G4777" s="9">
        <f>IF(AND(E4777&lt;&gt;"",E4777&lt;&gt;0,H4777&lt;&gt;""),H4777/E4777,"")</f>
        <v/>
      </c>
      <c r="L4777">
        <f>IF(B4777="","",IFERROR(VALUE(TEXT(B4777,"[$-1170401]yyyy")),""))</f>
        <v/>
      </c>
      <c r="M4777">
        <f>IF(B4777="","",IFERROR(VALUE(TEXT(B4777,"[$-1170401]mm")),""))</f>
        <v/>
      </c>
    </row>
    <row r="4778">
      <c r="B4778" s="30" t="n"/>
      <c r="G4778" s="9">
        <f>IF(AND(E4778&lt;&gt;"",E4778&lt;&gt;0,H4778&lt;&gt;""),H4778/E4778,"")</f>
        <v/>
      </c>
      <c r="L4778">
        <f>IF(B4778="","",IFERROR(VALUE(TEXT(B4778,"[$-1170401]yyyy")),""))</f>
        <v/>
      </c>
      <c r="M4778">
        <f>IF(B4778="","",IFERROR(VALUE(TEXT(B4778,"[$-1170401]mm")),""))</f>
        <v/>
      </c>
    </row>
    <row r="4779">
      <c r="B4779" s="30" t="n"/>
      <c r="G4779" s="9">
        <f>IF(AND(E4779&lt;&gt;"",E4779&lt;&gt;0,H4779&lt;&gt;""),H4779/E4779,"")</f>
        <v/>
      </c>
      <c r="L4779">
        <f>IF(B4779="","",IFERROR(VALUE(TEXT(B4779,"[$-1170401]yyyy")),""))</f>
        <v/>
      </c>
      <c r="M4779">
        <f>IF(B4779="","",IFERROR(VALUE(TEXT(B4779,"[$-1170401]mm")),""))</f>
        <v/>
      </c>
    </row>
    <row r="4780">
      <c r="B4780" s="30" t="n"/>
      <c r="G4780" s="9">
        <f>IF(AND(E4780&lt;&gt;"",E4780&lt;&gt;0,H4780&lt;&gt;""),H4780/E4780,"")</f>
        <v/>
      </c>
      <c r="L4780">
        <f>IF(B4780="","",IFERROR(VALUE(TEXT(B4780,"[$-1170401]yyyy")),""))</f>
        <v/>
      </c>
      <c r="M4780">
        <f>IF(B4780="","",IFERROR(VALUE(TEXT(B4780,"[$-1170401]mm")),""))</f>
        <v/>
      </c>
    </row>
    <row r="4781">
      <c r="B4781" s="30" t="n"/>
      <c r="G4781" s="9">
        <f>IF(AND(E4781&lt;&gt;"",E4781&lt;&gt;0,H4781&lt;&gt;""),H4781/E4781,"")</f>
        <v/>
      </c>
      <c r="L4781">
        <f>IF(B4781="","",IFERROR(VALUE(TEXT(B4781,"[$-1170401]yyyy")),""))</f>
        <v/>
      </c>
      <c r="M4781">
        <f>IF(B4781="","",IFERROR(VALUE(TEXT(B4781,"[$-1170401]mm")),""))</f>
        <v/>
      </c>
    </row>
    <row r="4782">
      <c r="B4782" s="30" t="n"/>
      <c r="G4782" s="9">
        <f>IF(AND(E4782&lt;&gt;"",E4782&lt;&gt;0,H4782&lt;&gt;""),H4782/E4782,"")</f>
        <v/>
      </c>
      <c r="L4782">
        <f>IF(B4782="","",IFERROR(VALUE(TEXT(B4782,"[$-1170401]yyyy")),""))</f>
        <v/>
      </c>
      <c r="M4782">
        <f>IF(B4782="","",IFERROR(VALUE(TEXT(B4782,"[$-1170401]mm")),""))</f>
        <v/>
      </c>
    </row>
    <row r="4783">
      <c r="B4783" s="30" t="n"/>
      <c r="G4783" s="9">
        <f>IF(AND(E4783&lt;&gt;"",E4783&lt;&gt;0,H4783&lt;&gt;""),H4783/E4783,"")</f>
        <v/>
      </c>
      <c r="L4783">
        <f>IF(B4783="","",IFERROR(VALUE(TEXT(B4783,"[$-1170401]yyyy")),""))</f>
        <v/>
      </c>
      <c r="M4783">
        <f>IF(B4783="","",IFERROR(VALUE(TEXT(B4783,"[$-1170401]mm")),""))</f>
        <v/>
      </c>
    </row>
    <row r="4784">
      <c r="B4784" s="30" t="n"/>
      <c r="G4784" s="9">
        <f>IF(AND(E4784&lt;&gt;"",E4784&lt;&gt;0,H4784&lt;&gt;""),H4784/E4784,"")</f>
        <v/>
      </c>
      <c r="L4784">
        <f>IF(B4784="","",IFERROR(VALUE(TEXT(B4784,"[$-1170401]yyyy")),""))</f>
        <v/>
      </c>
      <c r="M4784">
        <f>IF(B4784="","",IFERROR(VALUE(TEXT(B4784,"[$-1170401]mm")),""))</f>
        <v/>
      </c>
    </row>
    <row r="4785">
      <c r="B4785" s="30" t="n"/>
      <c r="G4785" s="9">
        <f>IF(AND(E4785&lt;&gt;"",E4785&lt;&gt;0,H4785&lt;&gt;""),H4785/E4785,"")</f>
        <v/>
      </c>
      <c r="L4785">
        <f>IF(B4785="","",IFERROR(VALUE(TEXT(B4785,"[$-1170401]yyyy")),""))</f>
        <v/>
      </c>
      <c r="M4785">
        <f>IF(B4785="","",IFERROR(VALUE(TEXT(B4785,"[$-1170401]mm")),""))</f>
        <v/>
      </c>
    </row>
    <row r="4786">
      <c r="B4786" s="30" t="n"/>
      <c r="G4786" s="9">
        <f>IF(AND(E4786&lt;&gt;"",E4786&lt;&gt;0,H4786&lt;&gt;""),H4786/E4786,"")</f>
        <v/>
      </c>
      <c r="L4786">
        <f>IF(B4786="","",IFERROR(VALUE(TEXT(B4786,"[$-1170401]yyyy")),""))</f>
        <v/>
      </c>
      <c r="M4786">
        <f>IF(B4786="","",IFERROR(VALUE(TEXT(B4786,"[$-1170401]mm")),""))</f>
        <v/>
      </c>
    </row>
    <row r="4787">
      <c r="B4787" s="30" t="n"/>
      <c r="G4787" s="9">
        <f>IF(AND(E4787&lt;&gt;"",E4787&lt;&gt;0,H4787&lt;&gt;""),H4787/E4787,"")</f>
        <v/>
      </c>
      <c r="L4787">
        <f>IF(B4787="","",IFERROR(VALUE(TEXT(B4787,"[$-1170401]yyyy")),""))</f>
        <v/>
      </c>
      <c r="M4787">
        <f>IF(B4787="","",IFERROR(VALUE(TEXT(B4787,"[$-1170401]mm")),""))</f>
        <v/>
      </c>
    </row>
    <row r="4788">
      <c r="B4788" s="30" t="n"/>
      <c r="G4788" s="9">
        <f>IF(AND(E4788&lt;&gt;"",E4788&lt;&gt;0,H4788&lt;&gt;""),H4788/E4788,"")</f>
        <v/>
      </c>
      <c r="L4788">
        <f>IF(B4788="","",IFERROR(VALUE(TEXT(B4788,"[$-1170401]yyyy")),""))</f>
        <v/>
      </c>
      <c r="M4788">
        <f>IF(B4788="","",IFERROR(VALUE(TEXT(B4788,"[$-1170401]mm")),""))</f>
        <v/>
      </c>
    </row>
    <row r="4789">
      <c r="B4789" s="30" t="n"/>
      <c r="G4789" s="9">
        <f>IF(AND(E4789&lt;&gt;"",E4789&lt;&gt;0,H4789&lt;&gt;""),H4789/E4789,"")</f>
        <v/>
      </c>
      <c r="L4789">
        <f>IF(B4789="","",IFERROR(VALUE(TEXT(B4789,"[$-1170401]yyyy")),""))</f>
        <v/>
      </c>
      <c r="M4789">
        <f>IF(B4789="","",IFERROR(VALUE(TEXT(B4789,"[$-1170401]mm")),""))</f>
        <v/>
      </c>
    </row>
    <row r="4790">
      <c r="B4790" s="30" t="n"/>
      <c r="G4790" s="9">
        <f>IF(AND(E4790&lt;&gt;"",E4790&lt;&gt;0,H4790&lt;&gt;""),H4790/E4790,"")</f>
        <v/>
      </c>
      <c r="L4790">
        <f>IF(B4790="","",IFERROR(VALUE(TEXT(B4790,"[$-1170401]yyyy")),""))</f>
        <v/>
      </c>
      <c r="M4790">
        <f>IF(B4790="","",IFERROR(VALUE(TEXT(B4790,"[$-1170401]mm")),""))</f>
        <v/>
      </c>
    </row>
    <row r="4791">
      <c r="B4791" s="30" t="n"/>
      <c r="G4791" s="9">
        <f>IF(AND(E4791&lt;&gt;"",E4791&lt;&gt;0,H4791&lt;&gt;""),H4791/E4791,"")</f>
        <v/>
      </c>
      <c r="L4791">
        <f>IF(B4791="","",IFERROR(VALUE(TEXT(B4791,"[$-1170401]yyyy")),""))</f>
        <v/>
      </c>
      <c r="M4791">
        <f>IF(B4791="","",IFERROR(VALUE(TEXT(B4791,"[$-1170401]mm")),""))</f>
        <v/>
      </c>
    </row>
    <row r="4792">
      <c r="B4792" s="30" t="n"/>
      <c r="G4792" s="9">
        <f>IF(AND(E4792&lt;&gt;"",E4792&lt;&gt;0,H4792&lt;&gt;""),H4792/E4792,"")</f>
        <v/>
      </c>
      <c r="L4792">
        <f>IF(B4792="","",IFERROR(VALUE(TEXT(B4792,"[$-1170401]yyyy")),""))</f>
        <v/>
      </c>
      <c r="M4792">
        <f>IF(B4792="","",IFERROR(VALUE(TEXT(B4792,"[$-1170401]mm")),""))</f>
        <v/>
      </c>
    </row>
    <row r="4793">
      <c r="B4793" s="30" t="n"/>
      <c r="G4793" s="9">
        <f>IF(AND(E4793&lt;&gt;"",E4793&lt;&gt;0,H4793&lt;&gt;""),H4793/E4793,"")</f>
        <v/>
      </c>
      <c r="L4793">
        <f>IF(B4793="","",IFERROR(VALUE(TEXT(B4793,"[$-1170401]yyyy")),""))</f>
        <v/>
      </c>
      <c r="M4793">
        <f>IF(B4793="","",IFERROR(VALUE(TEXT(B4793,"[$-1170401]mm")),""))</f>
        <v/>
      </c>
    </row>
    <row r="4794">
      <c r="B4794" s="30" t="n"/>
      <c r="G4794" s="9">
        <f>IF(AND(E4794&lt;&gt;"",E4794&lt;&gt;0,H4794&lt;&gt;""),H4794/E4794,"")</f>
        <v/>
      </c>
      <c r="L4794">
        <f>IF(B4794="","",IFERROR(VALUE(TEXT(B4794,"[$-1170401]yyyy")),""))</f>
        <v/>
      </c>
      <c r="M4794">
        <f>IF(B4794="","",IFERROR(VALUE(TEXT(B4794,"[$-1170401]mm")),""))</f>
        <v/>
      </c>
    </row>
    <row r="4795">
      <c r="B4795" s="30" t="n"/>
      <c r="G4795" s="9">
        <f>IF(AND(E4795&lt;&gt;"",E4795&lt;&gt;0,H4795&lt;&gt;""),H4795/E4795,"")</f>
        <v/>
      </c>
      <c r="L4795">
        <f>IF(B4795="","",IFERROR(VALUE(TEXT(B4795,"[$-1170401]yyyy")),""))</f>
        <v/>
      </c>
      <c r="M4795">
        <f>IF(B4795="","",IFERROR(VALUE(TEXT(B4795,"[$-1170401]mm")),""))</f>
        <v/>
      </c>
    </row>
    <row r="4796">
      <c r="B4796" s="30" t="n"/>
      <c r="G4796" s="9">
        <f>IF(AND(E4796&lt;&gt;"",E4796&lt;&gt;0,H4796&lt;&gt;""),H4796/E4796,"")</f>
        <v/>
      </c>
      <c r="L4796">
        <f>IF(B4796="","",IFERROR(VALUE(TEXT(B4796,"[$-1170401]yyyy")),""))</f>
        <v/>
      </c>
      <c r="M4796">
        <f>IF(B4796="","",IFERROR(VALUE(TEXT(B4796,"[$-1170401]mm")),""))</f>
        <v/>
      </c>
    </row>
    <row r="4797">
      <c r="B4797" s="30" t="n"/>
      <c r="G4797" s="9">
        <f>IF(AND(E4797&lt;&gt;"",E4797&lt;&gt;0,H4797&lt;&gt;""),H4797/E4797,"")</f>
        <v/>
      </c>
      <c r="L4797">
        <f>IF(B4797="","",IFERROR(VALUE(TEXT(B4797,"[$-1170401]yyyy")),""))</f>
        <v/>
      </c>
      <c r="M4797">
        <f>IF(B4797="","",IFERROR(VALUE(TEXT(B4797,"[$-1170401]mm")),""))</f>
        <v/>
      </c>
    </row>
    <row r="4798">
      <c r="B4798" s="30" t="n"/>
      <c r="G4798" s="9">
        <f>IF(AND(E4798&lt;&gt;"",E4798&lt;&gt;0,H4798&lt;&gt;""),H4798/E4798,"")</f>
        <v/>
      </c>
      <c r="L4798">
        <f>IF(B4798="","",IFERROR(VALUE(TEXT(B4798,"[$-1170401]yyyy")),""))</f>
        <v/>
      </c>
      <c r="M4798">
        <f>IF(B4798="","",IFERROR(VALUE(TEXT(B4798,"[$-1170401]mm")),""))</f>
        <v/>
      </c>
    </row>
    <row r="4799">
      <c r="B4799" s="30" t="n"/>
      <c r="G4799" s="9">
        <f>IF(AND(E4799&lt;&gt;"",E4799&lt;&gt;0,H4799&lt;&gt;""),H4799/E4799,"")</f>
        <v/>
      </c>
      <c r="L4799">
        <f>IF(B4799="","",IFERROR(VALUE(TEXT(B4799,"[$-1170401]yyyy")),""))</f>
        <v/>
      </c>
      <c r="M4799">
        <f>IF(B4799="","",IFERROR(VALUE(TEXT(B4799,"[$-1170401]mm")),""))</f>
        <v/>
      </c>
    </row>
    <row r="4800">
      <c r="B4800" s="30" t="n"/>
      <c r="G4800" s="9">
        <f>IF(AND(E4800&lt;&gt;"",E4800&lt;&gt;0,H4800&lt;&gt;""),H4800/E4800,"")</f>
        <v/>
      </c>
      <c r="L4800">
        <f>IF(B4800="","",IFERROR(VALUE(TEXT(B4800,"[$-1170401]yyyy")),""))</f>
        <v/>
      </c>
      <c r="M4800">
        <f>IF(B4800="","",IFERROR(VALUE(TEXT(B4800,"[$-1170401]mm")),""))</f>
        <v/>
      </c>
    </row>
    <row r="4801">
      <c r="B4801" s="30" t="n"/>
      <c r="G4801" s="9">
        <f>IF(AND(E4801&lt;&gt;"",E4801&lt;&gt;0,H4801&lt;&gt;""),H4801/E4801,"")</f>
        <v/>
      </c>
      <c r="L4801">
        <f>IF(B4801="","",IFERROR(VALUE(TEXT(B4801,"[$-1170401]yyyy")),""))</f>
        <v/>
      </c>
      <c r="M4801">
        <f>IF(B4801="","",IFERROR(VALUE(TEXT(B4801,"[$-1170401]mm")),""))</f>
        <v/>
      </c>
    </row>
    <row r="4802">
      <c r="B4802" s="30" t="n"/>
      <c r="G4802" s="9">
        <f>IF(AND(E4802&lt;&gt;"",E4802&lt;&gt;0,H4802&lt;&gt;""),H4802/E4802,"")</f>
        <v/>
      </c>
      <c r="L4802">
        <f>IF(B4802="","",IFERROR(VALUE(TEXT(B4802,"[$-1170401]yyyy")),""))</f>
        <v/>
      </c>
      <c r="M4802">
        <f>IF(B4802="","",IFERROR(VALUE(TEXT(B4802,"[$-1170401]mm")),""))</f>
        <v/>
      </c>
    </row>
    <row r="4803">
      <c r="B4803" s="30" t="n"/>
      <c r="G4803" s="9">
        <f>IF(AND(E4803&lt;&gt;"",E4803&lt;&gt;0,H4803&lt;&gt;""),H4803/E4803,"")</f>
        <v/>
      </c>
      <c r="L4803">
        <f>IF(B4803="","",IFERROR(VALUE(TEXT(B4803,"[$-1170401]yyyy")),""))</f>
        <v/>
      </c>
      <c r="M4803">
        <f>IF(B4803="","",IFERROR(VALUE(TEXT(B4803,"[$-1170401]mm")),""))</f>
        <v/>
      </c>
    </row>
    <row r="4804">
      <c r="B4804" s="30" t="n"/>
      <c r="G4804" s="9">
        <f>IF(AND(E4804&lt;&gt;"",E4804&lt;&gt;0,H4804&lt;&gt;""),H4804/E4804,"")</f>
        <v/>
      </c>
      <c r="L4804">
        <f>IF(B4804="","",IFERROR(VALUE(TEXT(B4804,"[$-1170401]yyyy")),""))</f>
        <v/>
      </c>
      <c r="M4804">
        <f>IF(B4804="","",IFERROR(VALUE(TEXT(B4804,"[$-1170401]mm")),""))</f>
        <v/>
      </c>
    </row>
    <row r="4805">
      <c r="B4805" s="30" t="n"/>
      <c r="G4805" s="9">
        <f>IF(AND(E4805&lt;&gt;"",E4805&lt;&gt;0,H4805&lt;&gt;""),H4805/E4805,"")</f>
        <v/>
      </c>
      <c r="L4805">
        <f>IF(B4805="","",IFERROR(VALUE(TEXT(B4805,"[$-1170401]yyyy")),""))</f>
        <v/>
      </c>
      <c r="M4805">
        <f>IF(B4805="","",IFERROR(VALUE(TEXT(B4805,"[$-1170401]mm")),""))</f>
        <v/>
      </c>
    </row>
    <row r="4806">
      <c r="B4806" s="30" t="n"/>
      <c r="G4806" s="9">
        <f>IF(AND(E4806&lt;&gt;"",E4806&lt;&gt;0,H4806&lt;&gt;""),H4806/E4806,"")</f>
        <v/>
      </c>
      <c r="L4806">
        <f>IF(B4806="","",IFERROR(VALUE(TEXT(B4806,"[$-1170401]yyyy")),""))</f>
        <v/>
      </c>
      <c r="M4806">
        <f>IF(B4806="","",IFERROR(VALUE(TEXT(B4806,"[$-1170401]mm")),""))</f>
        <v/>
      </c>
    </row>
    <row r="4807">
      <c r="B4807" s="30" t="n"/>
      <c r="G4807" s="9">
        <f>IF(AND(E4807&lt;&gt;"",E4807&lt;&gt;0,H4807&lt;&gt;""),H4807/E4807,"")</f>
        <v/>
      </c>
      <c r="L4807">
        <f>IF(B4807="","",IFERROR(VALUE(TEXT(B4807,"[$-1170401]yyyy")),""))</f>
        <v/>
      </c>
      <c r="M4807">
        <f>IF(B4807="","",IFERROR(VALUE(TEXT(B4807,"[$-1170401]mm")),""))</f>
        <v/>
      </c>
    </row>
    <row r="4808">
      <c r="B4808" s="30" t="n"/>
      <c r="G4808" s="9">
        <f>IF(AND(E4808&lt;&gt;"",E4808&lt;&gt;0,H4808&lt;&gt;""),H4808/E4808,"")</f>
        <v/>
      </c>
      <c r="L4808">
        <f>IF(B4808="","",IFERROR(VALUE(TEXT(B4808,"[$-1170401]yyyy")),""))</f>
        <v/>
      </c>
      <c r="M4808">
        <f>IF(B4808="","",IFERROR(VALUE(TEXT(B4808,"[$-1170401]mm")),""))</f>
        <v/>
      </c>
    </row>
    <row r="4809">
      <c r="B4809" s="30" t="n"/>
      <c r="G4809" s="9">
        <f>IF(AND(E4809&lt;&gt;"",E4809&lt;&gt;0,H4809&lt;&gt;""),H4809/E4809,"")</f>
        <v/>
      </c>
      <c r="L4809">
        <f>IF(B4809="","",IFERROR(VALUE(TEXT(B4809,"[$-1170401]yyyy")),""))</f>
        <v/>
      </c>
      <c r="M4809">
        <f>IF(B4809="","",IFERROR(VALUE(TEXT(B4809,"[$-1170401]mm")),""))</f>
        <v/>
      </c>
    </row>
    <row r="4810">
      <c r="B4810" s="30" t="n"/>
      <c r="G4810" s="9">
        <f>IF(AND(E4810&lt;&gt;"",E4810&lt;&gt;0,H4810&lt;&gt;""),H4810/E4810,"")</f>
        <v/>
      </c>
      <c r="L4810">
        <f>IF(B4810="","",IFERROR(VALUE(TEXT(B4810,"[$-1170401]yyyy")),""))</f>
        <v/>
      </c>
      <c r="M4810">
        <f>IF(B4810="","",IFERROR(VALUE(TEXT(B4810,"[$-1170401]mm")),""))</f>
        <v/>
      </c>
    </row>
    <row r="4811">
      <c r="B4811" s="30" t="n"/>
      <c r="G4811" s="9">
        <f>IF(AND(E4811&lt;&gt;"",E4811&lt;&gt;0,H4811&lt;&gt;""),H4811/E4811,"")</f>
        <v/>
      </c>
      <c r="L4811">
        <f>IF(B4811="","",IFERROR(VALUE(TEXT(B4811,"[$-1170401]yyyy")),""))</f>
        <v/>
      </c>
      <c r="M4811">
        <f>IF(B4811="","",IFERROR(VALUE(TEXT(B4811,"[$-1170401]mm")),""))</f>
        <v/>
      </c>
    </row>
    <row r="4812">
      <c r="B4812" s="30" t="n"/>
      <c r="G4812" s="9">
        <f>IF(AND(E4812&lt;&gt;"",E4812&lt;&gt;0,H4812&lt;&gt;""),H4812/E4812,"")</f>
        <v/>
      </c>
      <c r="L4812">
        <f>IF(B4812="","",IFERROR(VALUE(TEXT(B4812,"[$-1170401]yyyy")),""))</f>
        <v/>
      </c>
      <c r="M4812">
        <f>IF(B4812="","",IFERROR(VALUE(TEXT(B4812,"[$-1170401]mm")),""))</f>
        <v/>
      </c>
    </row>
    <row r="4813">
      <c r="B4813" s="30" t="n"/>
      <c r="G4813" s="9">
        <f>IF(AND(E4813&lt;&gt;"",E4813&lt;&gt;0,H4813&lt;&gt;""),H4813/E4813,"")</f>
        <v/>
      </c>
      <c r="L4813">
        <f>IF(B4813="","",IFERROR(VALUE(TEXT(B4813,"[$-1170401]yyyy")),""))</f>
        <v/>
      </c>
      <c r="M4813">
        <f>IF(B4813="","",IFERROR(VALUE(TEXT(B4813,"[$-1170401]mm")),""))</f>
        <v/>
      </c>
    </row>
    <row r="4814">
      <c r="B4814" s="30" t="n"/>
      <c r="G4814" s="9">
        <f>IF(AND(E4814&lt;&gt;"",E4814&lt;&gt;0,H4814&lt;&gt;""),H4814/E4814,"")</f>
        <v/>
      </c>
      <c r="L4814">
        <f>IF(B4814="","",IFERROR(VALUE(TEXT(B4814,"[$-1170401]yyyy")),""))</f>
        <v/>
      </c>
      <c r="M4814">
        <f>IF(B4814="","",IFERROR(VALUE(TEXT(B4814,"[$-1170401]mm")),""))</f>
        <v/>
      </c>
    </row>
    <row r="4815">
      <c r="B4815" s="30" t="n"/>
      <c r="G4815" s="9">
        <f>IF(AND(E4815&lt;&gt;"",E4815&lt;&gt;0,H4815&lt;&gt;""),H4815/E4815,"")</f>
        <v/>
      </c>
      <c r="L4815">
        <f>IF(B4815="","",IFERROR(VALUE(TEXT(B4815,"[$-1170401]yyyy")),""))</f>
        <v/>
      </c>
      <c r="M4815">
        <f>IF(B4815="","",IFERROR(VALUE(TEXT(B4815,"[$-1170401]mm")),""))</f>
        <v/>
      </c>
    </row>
    <row r="4816">
      <c r="B4816" s="30" t="n"/>
      <c r="G4816" s="9">
        <f>IF(AND(E4816&lt;&gt;"",E4816&lt;&gt;0,H4816&lt;&gt;""),H4816/E4816,"")</f>
        <v/>
      </c>
      <c r="L4816">
        <f>IF(B4816="","",IFERROR(VALUE(TEXT(B4816,"[$-1170401]yyyy")),""))</f>
        <v/>
      </c>
      <c r="M4816">
        <f>IF(B4816="","",IFERROR(VALUE(TEXT(B4816,"[$-1170401]mm")),""))</f>
        <v/>
      </c>
    </row>
    <row r="4817">
      <c r="B4817" s="30" t="n"/>
      <c r="G4817" s="9">
        <f>IF(AND(E4817&lt;&gt;"",E4817&lt;&gt;0,H4817&lt;&gt;""),H4817/E4817,"")</f>
        <v/>
      </c>
      <c r="L4817">
        <f>IF(B4817="","",IFERROR(VALUE(TEXT(B4817,"[$-1170401]yyyy")),""))</f>
        <v/>
      </c>
      <c r="M4817">
        <f>IF(B4817="","",IFERROR(VALUE(TEXT(B4817,"[$-1170401]mm")),""))</f>
        <v/>
      </c>
    </row>
    <row r="4818">
      <c r="B4818" s="30" t="n"/>
      <c r="G4818" s="9">
        <f>IF(AND(E4818&lt;&gt;"",E4818&lt;&gt;0,H4818&lt;&gt;""),H4818/E4818,"")</f>
        <v/>
      </c>
      <c r="L4818">
        <f>IF(B4818="","",IFERROR(VALUE(TEXT(B4818,"[$-1170401]yyyy")),""))</f>
        <v/>
      </c>
      <c r="M4818">
        <f>IF(B4818="","",IFERROR(VALUE(TEXT(B4818,"[$-1170401]mm")),""))</f>
        <v/>
      </c>
    </row>
    <row r="4819">
      <c r="B4819" s="30" t="n"/>
      <c r="G4819" s="9">
        <f>IF(AND(E4819&lt;&gt;"",E4819&lt;&gt;0,H4819&lt;&gt;""),H4819/E4819,"")</f>
        <v/>
      </c>
      <c r="L4819">
        <f>IF(B4819="","",IFERROR(VALUE(TEXT(B4819,"[$-1170401]yyyy")),""))</f>
        <v/>
      </c>
      <c r="M4819">
        <f>IF(B4819="","",IFERROR(VALUE(TEXT(B4819,"[$-1170401]mm")),""))</f>
        <v/>
      </c>
    </row>
    <row r="4820">
      <c r="B4820" s="30" t="n"/>
      <c r="G4820" s="9">
        <f>IF(AND(E4820&lt;&gt;"",E4820&lt;&gt;0,H4820&lt;&gt;""),H4820/E4820,"")</f>
        <v/>
      </c>
      <c r="L4820">
        <f>IF(B4820="","",IFERROR(VALUE(TEXT(B4820,"[$-1170401]yyyy")),""))</f>
        <v/>
      </c>
      <c r="M4820">
        <f>IF(B4820="","",IFERROR(VALUE(TEXT(B4820,"[$-1170401]mm")),""))</f>
        <v/>
      </c>
    </row>
    <row r="4821">
      <c r="B4821" s="30" t="n"/>
      <c r="G4821" s="9">
        <f>IF(AND(E4821&lt;&gt;"",E4821&lt;&gt;0,H4821&lt;&gt;""),H4821/E4821,"")</f>
        <v/>
      </c>
      <c r="L4821">
        <f>IF(B4821="","",IFERROR(VALUE(TEXT(B4821,"[$-1170401]yyyy")),""))</f>
        <v/>
      </c>
      <c r="M4821">
        <f>IF(B4821="","",IFERROR(VALUE(TEXT(B4821,"[$-1170401]mm")),""))</f>
        <v/>
      </c>
    </row>
    <row r="4822">
      <c r="B4822" s="30" t="n"/>
      <c r="G4822" s="9">
        <f>IF(AND(E4822&lt;&gt;"",E4822&lt;&gt;0,H4822&lt;&gt;""),H4822/E4822,"")</f>
        <v/>
      </c>
      <c r="L4822">
        <f>IF(B4822="","",IFERROR(VALUE(TEXT(B4822,"[$-1170401]yyyy")),""))</f>
        <v/>
      </c>
      <c r="M4822">
        <f>IF(B4822="","",IFERROR(VALUE(TEXT(B4822,"[$-1170401]mm")),""))</f>
        <v/>
      </c>
    </row>
    <row r="4823">
      <c r="B4823" s="30" t="n"/>
      <c r="G4823" s="9">
        <f>IF(AND(E4823&lt;&gt;"",E4823&lt;&gt;0,H4823&lt;&gt;""),H4823/E4823,"")</f>
        <v/>
      </c>
      <c r="L4823">
        <f>IF(B4823="","",IFERROR(VALUE(TEXT(B4823,"[$-1170401]yyyy")),""))</f>
        <v/>
      </c>
      <c r="M4823">
        <f>IF(B4823="","",IFERROR(VALUE(TEXT(B4823,"[$-1170401]mm")),""))</f>
        <v/>
      </c>
    </row>
    <row r="4824">
      <c r="B4824" s="30" t="n"/>
      <c r="G4824" s="9">
        <f>IF(AND(E4824&lt;&gt;"",E4824&lt;&gt;0,H4824&lt;&gt;""),H4824/E4824,"")</f>
        <v/>
      </c>
      <c r="L4824">
        <f>IF(B4824="","",IFERROR(VALUE(TEXT(B4824,"[$-1170401]yyyy")),""))</f>
        <v/>
      </c>
      <c r="M4824">
        <f>IF(B4824="","",IFERROR(VALUE(TEXT(B4824,"[$-1170401]mm")),""))</f>
        <v/>
      </c>
    </row>
    <row r="4825">
      <c r="B4825" s="30" t="n"/>
      <c r="G4825" s="9">
        <f>IF(AND(E4825&lt;&gt;"",E4825&lt;&gt;0,H4825&lt;&gt;""),H4825/E4825,"")</f>
        <v/>
      </c>
      <c r="L4825">
        <f>IF(B4825="","",IFERROR(VALUE(TEXT(B4825,"[$-1170401]yyyy")),""))</f>
        <v/>
      </c>
      <c r="M4825">
        <f>IF(B4825="","",IFERROR(VALUE(TEXT(B4825,"[$-1170401]mm")),""))</f>
        <v/>
      </c>
    </row>
    <row r="4826">
      <c r="B4826" s="30" t="n"/>
      <c r="G4826" s="9">
        <f>IF(AND(E4826&lt;&gt;"",E4826&lt;&gt;0,H4826&lt;&gt;""),H4826/E4826,"")</f>
        <v/>
      </c>
      <c r="L4826">
        <f>IF(B4826="","",IFERROR(VALUE(TEXT(B4826,"[$-1170401]yyyy")),""))</f>
        <v/>
      </c>
      <c r="M4826">
        <f>IF(B4826="","",IFERROR(VALUE(TEXT(B4826,"[$-1170401]mm")),""))</f>
        <v/>
      </c>
    </row>
    <row r="4827">
      <c r="B4827" s="30" t="n"/>
      <c r="G4827" s="9">
        <f>IF(AND(E4827&lt;&gt;"",E4827&lt;&gt;0,H4827&lt;&gt;""),H4827/E4827,"")</f>
        <v/>
      </c>
      <c r="L4827">
        <f>IF(B4827="","",IFERROR(VALUE(TEXT(B4827,"[$-1170401]yyyy")),""))</f>
        <v/>
      </c>
      <c r="M4827">
        <f>IF(B4827="","",IFERROR(VALUE(TEXT(B4827,"[$-1170401]mm")),""))</f>
        <v/>
      </c>
    </row>
    <row r="4828">
      <c r="B4828" s="30" t="n"/>
      <c r="G4828" s="9">
        <f>IF(AND(E4828&lt;&gt;"",E4828&lt;&gt;0,H4828&lt;&gt;""),H4828/E4828,"")</f>
        <v/>
      </c>
      <c r="L4828">
        <f>IF(B4828="","",IFERROR(VALUE(TEXT(B4828,"[$-1170401]yyyy")),""))</f>
        <v/>
      </c>
      <c r="M4828">
        <f>IF(B4828="","",IFERROR(VALUE(TEXT(B4828,"[$-1170401]mm")),""))</f>
        <v/>
      </c>
    </row>
    <row r="4829">
      <c r="B4829" s="30" t="n"/>
      <c r="G4829" s="9">
        <f>IF(AND(E4829&lt;&gt;"",E4829&lt;&gt;0,H4829&lt;&gt;""),H4829/E4829,"")</f>
        <v/>
      </c>
      <c r="L4829">
        <f>IF(B4829="","",IFERROR(VALUE(TEXT(B4829,"[$-1170401]yyyy")),""))</f>
        <v/>
      </c>
      <c r="M4829">
        <f>IF(B4829="","",IFERROR(VALUE(TEXT(B4829,"[$-1170401]mm")),""))</f>
        <v/>
      </c>
    </row>
    <row r="4830">
      <c r="B4830" s="30" t="n"/>
      <c r="G4830" s="9">
        <f>IF(AND(E4830&lt;&gt;"",E4830&lt;&gt;0,H4830&lt;&gt;""),H4830/E4830,"")</f>
        <v/>
      </c>
      <c r="L4830">
        <f>IF(B4830="","",IFERROR(VALUE(TEXT(B4830,"[$-1170401]yyyy")),""))</f>
        <v/>
      </c>
      <c r="M4830">
        <f>IF(B4830="","",IFERROR(VALUE(TEXT(B4830,"[$-1170401]mm")),""))</f>
        <v/>
      </c>
    </row>
    <row r="4831">
      <c r="B4831" s="30" t="n"/>
      <c r="G4831" s="9">
        <f>IF(AND(E4831&lt;&gt;"",E4831&lt;&gt;0,H4831&lt;&gt;""),H4831/E4831,"")</f>
        <v/>
      </c>
      <c r="L4831">
        <f>IF(B4831="","",IFERROR(VALUE(TEXT(B4831,"[$-1170401]yyyy")),""))</f>
        <v/>
      </c>
      <c r="M4831">
        <f>IF(B4831="","",IFERROR(VALUE(TEXT(B4831,"[$-1170401]mm")),""))</f>
        <v/>
      </c>
    </row>
    <row r="4832">
      <c r="B4832" s="30" t="n"/>
      <c r="G4832" s="9">
        <f>IF(AND(E4832&lt;&gt;"",E4832&lt;&gt;0,H4832&lt;&gt;""),H4832/E4832,"")</f>
        <v/>
      </c>
      <c r="L4832">
        <f>IF(B4832="","",IFERROR(VALUE(TEXT(B4832,"[$-1170401]yyyy")),""))</f>
        <v/>
      </c>
      <c r="M4832">
        <f>IF(B4832="","",IFERROR(VALUE(TEXT(B4832,"[$-1170401]mm")),""))</f>
        <v/>
      </c>
    </row>
    <row r="4833">
      <c r="B4833" s="30" t="n"/>
      <c r="G4833" s="9">
        <f>IF(AND(E4833&lt;&gt;"",E4833&lt;&gt;0,H4833&lt;&gt;""),H4833/E4833,"")</f>
        <v/>
      </c>
      <c r="L4833">
        <f>IF(B4833="","",IFERROR(VALUE(TEXT(B4833,"[$-1170401]yyyy")),""))</f>
        <v/>
      </c>
      <c r="M4833">
        <f>IF(B4833="","",IFERROR(VALUE(TEXT(B4833,"[$-1170401]mm")),""))</f>
        <v/>
      </c>
    </row>
    <row r="4834">
      <c r="B4834" s="30" t="n"/>
      <c r="G4834" s="9">
        <f>IF(AND(E4834&lt;&gt;"",E4834&lt;&gt;0,H4834&lt;&gt;""),H4834/E4834,"")</f>
        <v/>
      </c>
      <c r="L4834">
        <f>IF(B4834="","",IFERROR(VALUE(TEXT(B4834,"[$-1170401]yyyy")),""))</f>
        <v/>
      </c>
      <c r="M4834">
        <f>IF(B4834="","",IFERROR(VALUE(TEXT(B4834,"[$-1170401]mm")),""))</f>
        <v/>
      </c>
    </row>
    <row r="4835">
      <c r="B4835" s="30" t="n"/>
      <c r="G4835" s="9">
        <f>IF(AND(E4835&lt;&gt;"",E4835&lt;&gt;0,H4835&lt;&gt;""),H4835/E4835,"")</f>
        <v/>
      </c>
      <c r="L4835">
        <f>IF(B4835="","",IFERROR(VALUE(TEXT(B4835,"[$-1170401]yyyy")),""))</f>
        <v/>
      </c>
      <c r="M4835">
        <f>IF(B4835="","",IFERROR(VALUE(TEXT(B4835,"[$-1170401]mm")),""))</f>
        <v/>
      </c>
    </row>
    <row r="4836">
      <c r="B4836" s="30" t="n"/>
      <c r="G4836" s="9">
        <f>IF(AND(E4836&lt;&gt;"",E4836&lt;&gt;0,H4836&lt;&gt;""),H4836/E4836,"")</f>
        <v/>
      </c>
      <c r="L4836">
        <f>IF(B4836="","",IFERROR(VALUE(TEXT(B4836,"[$-1170401]yyyy")),""))</f>
        <v/>
      </c>
      <c r="M4836">
        <f>IF(B4836="","",IFERROR(VALUE(TEXT(B4836,"[$-1170401]mm")),""))</f>
        <v/>
      </c>
    </row>
    <row r="4837">
      <c r="B4837" s="30" t="n"/>
      <c r="G4837" s="9">
        <f>IF(AND(E4837&lt;&gt;"",E4837&lt;&gt;0,H4837&lt;&gt;""),H4837/E4837,"")</f>
        <v/>
      </c>
      <c r="L4837">
        <f>IF(B4837="","",IFERROR(VALUE(TEXT(B4837,"[$-1170401]yyyy")),""))</f>
        <v/>
      </c>
      <c r="M4837">
        <f>IF(B4837="","",IFERROR(VALUE(TEXT(B4837,"[$-1170401]mm")),""))</f>
        <v/>
      </c>
    </row>
    <row r="4838">
      <c r="B4838" s="30" t="n"/>
      <c r="G4838" s="9">
        <f>IF(AND(E4838&lt;&gt;"",E4838&lt;&gt;0,H4838&lt;&gt;""),H4838/E4838,"")</f>
        <v/>
      </c>
      <c r="L4838">
        <f>IF(B4838="","",IFERROR(VALUE(TEXT(B4838,"[$-1170401]yyyy")),""))</f>
        <v/>
      </c>
      <c r="M4838">
        <f>IF(B4838="","",IFERROR(VALUE(TEXT(B4838,"[$-1170401]mm")),""))</f>
        <v/>
      </c>
    </row>
    <row r="4839">
      <c r="B4839" s="30" t="n"/>
      <c r="G4839" s="9">
        <f>IF(AND(E4839&lt;&gt;"",E4839&lt;&gt;0,H4839&lt;&gt;""),H4839/E4839,"")</f>
        <v/>
      </c>
      <c r="L4839">
        <f>IF(B4839="","",IFERROR(VALUE(TEXT(B4839,"[$-1170401]yyyy")),""))</f>
        <v/>
      </c>
      <c r="M4839">
        <f>IF(B4839="","",IFERROR(VALUE(TEXT(B4839,"[$-1170401]mm")),""))</f>
        <v/>
      </c>
    </row>
    <row r="4840">
      <c r="B4840" s="30" t="n"/>
      <c r="G4840" s="9">
        <f>IF(AND(E4840&lt;&gt;"",E4840&lt;&gt;0,H4840&lt;&gt;""),H4840/E4840,"")</f>
        <v/>
      </c>
      <c r="L4840">
        <f>IF(B4840="","",IFERROR(VALUE(TEXT(B4840,"[$-1170401]yyyy")),""))</f>
        <v/>
      </c>
      <c r="M4840">
        <f>IF(B4840="","",IFERROR(VALUE(TEXT(B4840,"[$-1170401]mm")),""))</f>
        <v/>
      </c>
    </row>
    <row r="4841">
      <c r="B4841" s="30" t="n"/>
      <c r="G4841" s="9">
        <f>IF(AND(E4841&lt;&gt;"",E4841&lt;&gt;0,H4841&lt;&gt;""),H4841/E4841,"")</f>
        <v/>
      </c>
      <c r="L4841">
        <f>IF(B4841="","",IFERROR(VALUE(TEXT(B4841,"[$-1170401]yyyy")),""))</f>
        <v/>
      </c>
      <c r="M4841">
        <f>IF(B4841="","",IFERROR(VALUE(TEXT(B4841,"[$-1170401]mm")),""))</f>
        <v/>
      </c>
    </row>
    <row r="4842">
      <c r="B4842" s="30" t="n"/>
      <c r="G4842" s="9">
        <f>IF(AND(E4842&lt;&gt;"",E4842&lt;&gt;0,H4842&lt;&gt;""),H4842/E4842,"")</f>
        <v/>
      </c>
      <c r="L4842">
        <f>IF(B4842="","",IFERROR(VALUE(TEXT(B4842,"[$-1170401]yyyy")),""))</f>
        <v/>
      </c>
      <c r="M4842">
        <f>IF(B4842="","",IFERROR(VALUE(TEXT(B4842,"[$-1170401]mm")),""))</f>
        <v/>
      </c>
    </row>
    <row r="4843">
      <c r="B4843" s="30" t="n"/>
      <c r="G4843" s="9">
        <f>IF(AND(E4843&lt;&gt;"",E4843&lt;&gt;0,H4843&lt;&gt;""),H4843/E4843,"")</f>
        <v/>
      </c>
      <c r="L4843">
        <f>IF(B4843="","",IFERROR(VALUE(TEXT(B4843,"[$-1170401]yyyy")),""))</f>
        <v/>
      </c>
      <c r="M4843">
        <f>IF(B4843="","",IFERROR(VALUE(TEXT(B4843,"[$-1170401]mm")),""))</f>
        <v/>
      </c>
    </row>
    <row r="4844">
      <c r="B4844" s="30" t="n"/>
      <c r="G4844" s="9">
        <f>IF(AND(E4844&lt;&gt;"",E4844&lt;&gt;0,H4844&lt;&gt;""),H4844/E4844,"")</f>
        <v/>
      </c>
      <c r="L4844">
        <f>IF(B4844="","",IFERROR(VALUE(TEXT(B4844,"[$-1170401]yyyy")),""))</f>
        <v/>
      </c>
      <c r="M4844">
        <f>IF(B4844="","",IFERROR(VALUE(TEXT(B4844,"[$-1170401]mm")),""))</f>
        <v/>
      </c>
    </row>
    <row r="4845">
      <c r="B4845" s="30" t="n"/>
      <c r="G4845" s="9">
        <f>IF(AND(E4845&lt;&gt;"",E4845&lt;&gt;0,H4845&lt;&gt;""),H4845/E4845,"")</f>
        <v/>
      </c>
      <c r="L4845">
        <f>IF(B4845="","",IFERROR(VALUE(TEXT(B4845,"[$-1170401]yyyy")),""))</f>
        <v/>
      </c>
      <c r="M4845">
        <f>IF(B4845="","",IFERROR(VALUE(TEXT(B4845,"[$-1170401]mm")),""))</f>
        <v/>
      </c>
    </row>
    <row r="4846">
      <c r="B4846" s="30" t="n"/>
      <c r="G4846" s="9">
        <f>IF(AND(E4846&lt;&gt;"",E4846&lt;&gt;0,H4846&lt;&gt;""),H4846/E4846,"")</f>
        <v/>
      </c>
      <c r="L4846">
        <f>IF(B4846="","",IFERROR(VALUE(TEXT(B4846,"[$-1170401]yyyy")),""))</f>
        <v/>
      </c>
      <c r="M4846">
        <f>IF(B4846="","",IFERROR(VALUE(TEXT(B4846,"[$-1170401]mm")),""))</f>
        <v/>
      </c>
    </row>
    <row r="4847">
      <c r="B4847" s="30" t="n"/>
      <c r="G4847" s="9">
        <f>IF(AND(E4847&lt;&gt;"",E4847&lt;&gt;0,H4847&lt;&gt;""),H4847/E4847,"")</f>
        <v/>
      </c>
      <c r="L4847">
        <f>IF(B4847="","",IFERROR(VALUE(TEXT(B4847,"[$-1170401]yyyy")),""))</f>
        <v/>
      </c>
      <c r="M4847">
        <f>IF(B4847="","",IFERROR(VALUE(TEXT(B4847,"[$-1170401]mm")),""))</f>
        <v/>
      </c>
    </row>
    <row r="4848">
      <c r="B4848" s="30" t="n"/>
      <c r="G4848" s="9">
        <f>IF(AND(E4848&lt;&gt;"",E4848&lt;&gt;0,H4848&lt;&gt;""),H4848/E4848,"")</f>
        <v/>
      </c>
      <c r="L4848">
        <f>IF(B4848="","",IFERROR(VALUE(TEXT(B4848,"[$-1170401]yyyy")),""))</f>
        <v/>
      </c>
      <c r="M4848">
        <f>IF(B4848="","",IFERROR(VALUE(TEXT(B4848,"[$-1170401]mm")),""))</f>
        <v/>
      </c>
    </row>
    <row r="4849">
      <c r="B4849" s="30" t="n"/>
      <c r="G4849" s="9">
        <f>IF(AND(E4849&lt;&gt;"",E4849&lt;&gt;0,H4849&lt;&gt;""),H4849/E4849,"")</f>
        <v/>
      </c>
      <c r="L4849">
        <f>IF(B4849="","",IFERROR(VALUE(TEXT(B4849,"[$-1170401]yyyy")),""))</f>
        <v/>
      </c>
      <c r="M4849">
        <f>IF(B4849="","",IFERROR(VALUE(TEXT(B4849,"[$-1170401]mm")),""))</f>
        <v/>
      </c>
    </row>
    <row r="4850">
      <c r="B4850" s="30" t="n"/>
      <c r="G4850" s="9">
        <f>IF(AND(E4850&lt;&gt;"",E4850&lt;&gt;0,H4850&lt;&gt;""),H4850/E4850,"")</f>
        <v/>
      </c>
      <c r="L4850">
        <f>IF(B4850="","",IFERROR(VALUE(TEXT(B4850,"[$-1170401]yyyy")),""))</f>
        <v/>
      </c>
      <c r="M4850">
        <f>IF(B4850="","",IFERROR(VALUE(TEXT(B4850,"[$-1170401]mm")),""))</f>
        <v/>
      </c>
    </row>
    <row r="4851">
      <c r="B4851" s="30" t="n"/>
      <c r="G4851" s="9">
        <f>IF(AND(E4851&lt;&gt;"",E4851&lt;&gt;0,H4851&lt;&gt;""),H4851/E4851,"")</f>
        <v/>
      </c>
      <c r="L4851">
        <f>IF(B4851="","",IFERROR(VALUE(TEXT(B4851,"[$-1170401]yyyy")),""))</f>
        <v/>
      </c>
      <c r="M4851">
        <f>IF(B4851="","",IFERROR(VALUE(TEXT(B4851,"[$-1170401]mm")),""))</f>
        <v/>
      </c>
    </row>
    <row r="4852">
      <c r="B4852" s="30" t="n"/>
      <c r="G4852" s="9">
        <f>IF(AND(E4852&lt;&gt;"",E4852&lt;&gt;0,H4852&lt;&gt;""),H4852/E4852,"")</f>
        <v/>
      </c>
      <c r="L4852">
        <f>IF(B4852="","",IFERROR(VALUE(TEXT(B4852,"[$-1170401]yyyy")),""))</f>
        <v/>
      </c>
      <c r="M4852">
        <f>IF(B4852="","",IFERROR(VALUE(TEXT(B4852,"[$-1170401]mm")),""))</f>
        <v/>
      </c>
    </row>
    <row r="4853">
      <c r="B4853" s="30" t="n"/>
      <c r="G4853" s="9">
        <f>IF(AND(E4853&lt;&gt;"",E4853&lt;&gt;0,H4853&lt;&gt;""),H4853/E4853,"")</f>
        <v/>
      </c>
      <c r="L4853">
        <f>IF(B4853="","",IFERROR(VALUE(TEXT(B4853,"[$-1170401]yyyy")),""))</f>
        <v/>
      </c>
      <c r="M4853">
        <f>IF(B4853="","",IFERROR(VALUE(TEXT(B4853,"[$-1170401]mm")),""))</f>
        <v/>
      </c>
    </row>
    <row r="4854">
      <c r="B4854" s="30" t="n"/>
      <c r="G4854" s="9">
        <f>IF(AND(E4854&lt;&gt;"",E4854&lt;&gt;0,H4854&lt;&gt;""),H4854/E4854,"")</f>
        <v/>
      </c>
      <c r="L4854">
        <f>IF(B4854="","",IFERROR(VALUE(TEXT(B4854,"[$-1170401]yyyy")),""))</f>
        <v/>
      </c>
      <c r="M4854">
        <f>IF(B4854="","",IFERROR(VALUE(TEXT(B4854,"[$-1170401]mm")),""))</f>
        <v/>
      </c>
    </row>
    <row r="4855">
      <c r="B4855" s="30" t="n"/>
      <c r="G4855" s="9">
        <f>IF(AND(E4855&lt;&gt;"",E4855&lt;&gt;0,H4855&lt;&gt;""),H4855/E4855,"")</f>
        <v/>
      </c>
      <c r="L4855">
        <f>IF(B4855="","",IFERROR(VALUE(TEXT(B4855,"[$-1170401]yyyy")),""))</f>
        <v/>
      </c>
      <c r="M4855">
        <f>IF(B4855="","",IFERROR(VALUE(TEXT(B4855,"[$-1170401]mm")),""))</f>
        <v/>
      </c>
    </row>
    <row r="4856">
      <c r="B4856" s="30" t="n"/>
      <c r="G4856" s="9">
        <f>IF(AND(E4856&lt;&gt;"",E4856&lt;&gt;0,H4856&lt;&gt;""),H4856/E4856,"")</f>
        <v/>
      </c>
      <c r="L4856">
        <f>IF(B4856="","",IFERROR(VALUE(TEXT(B4856,"[$-1170401]yyyy")),""))</f>
        <v/>
      </c>
      <c r="M4856">
        <f>IF(B4856="","",IFERROR(VALUE(TEXT(B4856,"[$-1170401]mm")),""))</f>
        <v/>
      </c>
    </row>
    <row r="4857">
      <c r="B4857" s="30" t="n"/>
      <c r="G4857" s="9">
        <f>IF(AND(E4857&lt;&gt;"",E4857&lt;&gt;0,H4857&lt;&gt;""),H4857/E4857,"")</f>
        <v/>
      </c>
      <c r="L4857">
        <f>IF(B4857="","",IFERROR(VALUE(TEXT(B4857,"[$-1170401]yyyy")),""))</f>
        <v/>
      </c>
      <c r="M4857">
        <f>IF(B4857="","",IFERROR(VALUE(TEXT(B4857,"[$-1170401]mm")),""))</f>
        <v/>
      </c>
    </row>
    <row r="4858">
      <c r="B4858" s="30" t="n"/>
      <c r="G4858" s="9">
        <f>IF(AND(E4858&lt;&gt;"",E4858&lt;&gt;0,H4858&lt;&gt;""),H4858/E4858,"")</f>
        <v/>
      </c>
      <c r="L4858">
        <f>IF(B4858="","",IFERROR(VALUE(TEXT(B4858,"[$-1170401]yyyy")),""))</f>
        <v/>
      </c>
      <c r="M4858">
        <f>IF(B4858="","",IFERROR(VALUE(TEXT(B4858,"[$-1170401]mm")),""))</f>
        <v/>
      </c>
    </row>
    <row r="4859">
      <c r="B4859" s="30" t="n"/>
      <c r="G4859" s="9">
        <f>IF(AND(E4859&lt;&gt;"",E4859&lt;&gt;0,H4859&lt;&gt;""),H4859/E4859,"")</f>
        <v/>
      </c>
      <c r="L4859">
        <f>IF(B4859="","",IFERROR(VALUE(TEXT(B4859,"[$-1170401]yyyy")),""))</f>
        <v/>
      </c>
      <c r="M4859">
        <f>IF(B4859="","",IFERROR(VALUE(TEXT(B4859,"[$-1170401]mm")),""))</f>
        <v/>
      </c>
    </row>
    <row r="4860">
      <c r="B4860" s="30" t="n"/>
      <c r="G4860" s="9">
        <f>IF(AND(E4860&lt;&gt;"",E4860&lt;&gt;0,H4860&lt;&gt;""),H4860/E4860,"")</f>
        <v/>
      </c>
      <c r="L4860">
        <f>IF(B4860="","",IFERROR(VALUE(TEXT(B4860,"[$-1170401]yyyy")),""))</f>
        <v/>
      </c>
      <c r="M4860">
        <f>IF(B4860="","",IFERROR(VALUE(TEXT(B4860,"[$-1170401]mm")),""))</f>
        <v/>
      </c>
    </row>
    <row r="4861">
      <c r="B4861" s="30" t="n"/>
      <c r="G4861" s="9">
        <f>IF(AND(E4861&lt;&gt;"",E4861&lt;&gt;0,H4861&lt;&gt;""),H4861/E4861,"")</f>
        <v/>
      </c>
      <c r="L4861">
        <f>IF(B4861="","",IFERROR(VALUE(TEXT(B4861,"[$-1170401]yyyy")),""))</f>
        <v/>
      </c>
      <c r="M4861">
        <f>IF(B4861="","",IFERROR(VALUE(TEXT(B4861,"[$-1170401]mm")),""))</f>
        <v/>
      </c>
    </row>
    <row r="4862">
      <c r="B4862" s="30" t="n"/>
      <c r="G4862" s="9">
        <f>IF(AND(E4862&lt;&gt;"",E4862&lt;&gt;0,H4862&lt;&gt;""),H4862/E4862,"")</f>
        <v/>
      </c>
      <c r="L4862">
        <f>IF(B4862="","",IFERROR(VALUE(TEXT(B4862,"[$-1170401]yyyy")),""))</f>
        <v/>
      </c>
      <c r="M4862">
        <f>IF(B4862="","",IFERROR(VALUE(TEXT(B4862,"[$-1170401]mm")),""))</f>
        <v/>
      </c>
    </row>
    <row r="4863">
      <c r="B4863" s="30" t="n"/>
      <c r="G4863" s="9">
        <f>IF(AND(E4863&lt;&gt;"",E4863&lt;&gt;0,H4863&lt;&gt;""),H4863/E4863,"")</f>
        <v/>
      </c>
      <c r="L4863">
        <f>IF(B4863="","",IFERROR(VALUE(TEXT(B4863,"[$-1170401]yyyy")),""))</f>
        <v/>
      </c>
      <c r="M4863">
        <f>IF(B4863="","",IFERROR(VALUE(TEXT(B4863,"[$-1170401]mm")),""))</f>
        <v/>
      </c>
    </row>
    <row r="4864">
      <c r="B4864" s="30" t="n"/>
      <c r="G4864" s="9">
        <f>IF(AND(E4864&lt;&gt;"",E4864&lt;&gt;0,H4864&lt;&gt;""),H4864/E4864,"")</f>
        <v/>
      </c>
      <c r="L4864">
        <f>IF(B4864="","",IFERROR(VALUE(TEXT(B4864,"[$-1170401]yyyy")),""))</f>
        <v/>
      </c>
      <c r="M4864">
        <f>IF(B4864="","",IFERROR(VALUE(TEXT(B4864,"[$-1170401]mm")),""))</f>
        <v/>
      </c>
    </row>
    <row r="4865">
      <c r="B4865" s="30" t="n"/>
      <c r="G4865" s="9">
        <f>IF(AND(E4865&lt;&gt;"",E4865&lt;&gt;0,H4865&lt;&gt;""),H4865/E4865,"")</f>
        <v/>
      </c>
      <c r="L4865">
        <f>IF(B4865="","",IFERROR(VALUE(TEXT(B4865,"[$-1170401]yyyy")),""))</f>
        <v/>
      </c>
      <c r="M4865">
        <f>IF(B4865="","",IFERROR(VALUE(TEXT(B4865,"[$-1170401]mm")),""))</f>
        <v/>
      </c>
    </row>
    <row r="4866">
      <c r="B4866" s="30" t="n"/>
      <c r="G4866" s="9">
        <f>IF(AND(E4866&lt;&gt;"",E4866&lt;&gt;0,H4866&lt;&gt;""),H4866/E4866,"")</f>
        <v/>
      </c>
      <c r="L4866">
        <f>IF(B4866="","",IFERROR(VALUE(TEXT(B4866,"[$-1170401]yyyy")),""))</f>
        <v/>
      </c>
      <c r="M4866">
        <f>IF(B4866="","",IFERROR(VALUE(TEXT(B4866,"[$-1170401]mm")),""))</f>
        <v/>
      </c>
    </row>
    <row r="4867">
      <c r="B4867" s="30" t="n"/>
      <c r="G4867" s="9">
        <f>IF(AND(E4867&lt;&gt;"",E4867&lt;&gt;0,H4867&lt;&gt;""),H4867/E4867,"")</f>
        <v/>
      </c>
      <c r="L4867">
        <f>IF(B4867="","",IFERROR(VALUE(TEXT(B4867,"[$-1170401]yyyy")),""))</f>
        <v/>
      </c>
      <c r="M4867">
        <f>IF(B4867="","",IFERROR(VALUE(TEXT(B4867,"[$-1170401]mm")),""))</f>
        <v/>
      </c>
    </row>
    <row r="4868">
      <c r="B4868" s="30" t="n"/>
      <c r="G4868" s="9">
        <f>IF(AND(E4868&lt;&gt;"",E4868&lt;&gt;0,H4868&lt;&gt;""),H4868/E4868,"")</f>
        <v/>
      </c>
      <c r="L4868">
        <f>IF(B4868="","",IFERROR(VALUE(TEXT(B4868,"[$-1170401]yyyy")),""))</f>
        <v/>
      </c>
      <c r="M4868">
        <f>IF(B4868="","",IFERROR(VALUE(TEXT(B4868,"[$-1170401]mm")),""))</f>
        <v/>
      </c>
    </row>
    <row r="4869">
      <c r="B4869" s="30" t="n"/>
      <c r="G4869" s="9">
        <f>IF(AND(E4869&lt;&gt;"",E4869&lt;&gt;0,H4869&lt;&gt;""),H4869/E4869,"")</f>
        <v/>
      </c>
      <c r="L4869">
        <f>IF(B4869="","",IFERROR(VALUE(TEXT(B4869,"[$-1170401]yyyy")),""))</f>
        <v/>
      </c>
      <c r="M4869">
        <f>IF(B4869="","",IFERROR(VALUE(TEXT(B4869,"[$-1170401]mm")),""))</f>
        <v/>
      </c>
    </row>
    <row r="4870">
      <c r="B4870" s="30" t="n"/>
      <c r="G4870" s="9">
        <f>IF(AND(E4870&lt;&gt;"",E4870&lt;&gt;0,H4870&lt;&gt;""),H4870/E4870,"")</f>
        <v/>
      </c>
      <c r="L4870">
        <f>IF(B4870="","",IFERROR(VALUE(TEXT(B4870,"[$-1170401]yyyy")),""))</f>
        <v/>
      </c>
      <c r="M4870">
        <f>IF(B4870="","",IFERROR(VALUE(TEXT(B4870,"[$-1170401]mm")),""))</f>
        <v/>
      </c>
    </row>
    <row r="4871">
      <c r="B4871" s="30" t="n"/>
      <c r="G4871" s="9">
        <f>IF(AND(E4871&lt;&gt;"",E4871&lt;&gt;0,H4871&lt;&gt;""),H4871/E4871,"")</f>
        <v/>
      </c>
      <c r="L4871">
        <f>IF(B4871="","",IFERROR(VALUE(TEXT(B4871,"[$-1170401]yyyy")),""))</f>
        <v/>
      </c>
      <c r="M4871">
        <f>IF(B4871="","",IFERROR(VALUE(TEXT(B4871,"[$-1170401]mm")),""))</f>
        <v/>
      </c>
    </row>
    <row r="4872">
      <c r="B4872" s="30" t="n"/>
      <c r="G4872" s="9">
        <f>IF(AND(E4872&lt;&gt;"",E4872&lt;&gt;0,H4872&lt;&gt;""),H4872/E4872,"")</f>
        <v/>
      </c>
      <c r="L4872">
        <f>IF(B4872="","",IFERROR(VALUE(TEXT(B4872,"[$-1170401]yyyy")),""))</f>
        <v/>
      </c>
      <c r="M4872">
        <f>IF(B4872="","",IFERROR(VALUE(TEXT(B4872,"[$-1170401]mm")),""))</f>
        <v/>
      </c>
    </row>
    <row r="4873">
      <c r="B4873" s="30" t="n"/>
      <c r="G4873" s="9">
        <f>IF(AND(E4873&lt;&gt;"",E4873&lt;&gt;0,H4873&lt;&gt;""),H4873/E4873,"")</f>
        <v/>
      </c>
      <c r="L4873">
        <f>IF(B4873="","",IFERROR(VALUE(TEXT(B4873,"[$-1170401]yyyy")),""))</f>
        <v/>
      </c>
      <c r="M4873">
        <f>IF(B4873="","",IFERROR(VALUE(TEXT(B4873,"[$-1170401]mm")),""))</f>
        <v/>
      </c>
    </row>
    <row r="4874">
      <c r="B4874" s="30" t="n"/>
      <c r="G4874" s="9">
        <f>IF(AND(E4874&lt;&gt;"",E4874&lt;&gt;0,H4874&lt;&gt;""),H4874/E4874,"")</f>
        <v/>
      </c>
      <c r="L4874">
        <f>IF(B4874="","",IFERROR(VALUE(TEXT(B4874,"[$-1170401]yyyy")),""))</f>
        <v/>
      </c>
      <c r="M4874">
        <f>IF(B4874="","",IFERROR(VALUE(TEXT(B4874,"[$-1170401]mm")),""))</f>
        <v/>
      </c>
    </row>
    <row r="4875">
      <c r="B4875" s="30" t="n"/>
      <c r="G4875" s="9">
        <f>IF(AND(E4875&lt;&gt;"",E4875&lt;&gt;0,H4875&lt;&gt;""),H4875/E4875,"")</f>
        <v/>
      </c>
      <c r="L4875">
        <f>IF(B4875="","",IFERROR(VALUE(TEXT(B4875,"[$-1170401]yyyy")),""))</f>
        <v/>
      </c>
      <c r="M4875">
        <f>IF(B4875="","",IFERROR(VALUE(TEXT(B4875,"[$-1170401]mm")),""))</f>
        <v/>
      </c>
    </row>
    <row r="4876">
      <c r="B4876" s="30" t="n"/>
      <c r="G4876" s="9">
        <f>IF(AND(E4876&lt;&gt;"",E4876&lt;&gt;0,H4876&lt;&gt;""),H4876/E4876,"")</f>
        <v/>
      </c>
      <c r="L4876">
        <f>IF(B4876="","",IFERROR(VALUE(TEXT(B4876,"[$-1170401]yyyy")),""))</f>
        <v/>
      </c>
      <c r="M4876">
        <f>IF(B4876="","",IFERROR(VALUE(TEXT(B4876,"[$-1170401]mm")),""))</f>
        <v/>
      </c>
    </row>
    <row r="4877">
      <c r="B4877" s="30" t="n"/>
      <c r="G4877" s="9">
        <f>IF(AND(E4877&lt;&gt;"",E4877&lt;&gt;0,H4877&lt;&gt;""),H4877/E4877,"")</f>
        <v/>
      </c>
      <c r="L4877">
        <f>IF(B4877="","",IFERROR(VALUE(TEXT(B4877,"[$-1170401]yyyy")),""))</f>
        <v/>
      </c>
      <c r="M4877">
        <f>IF(B4877="","",IFERROR(VALUE(TEXT(B4877,"[$-1170401]mm")),""))</f>
        <v/>
      </c>
    </row>
    <row r="4878">
      <c r="B4878" s="30" t="n"/>
      <c r="G4878" s="9">
        <f>IF(AND(E4878&lt;&gt;"",E4878&lt;&gt;0,H4878&lt;&gt;""),H4878/E4878,"")</f>
        <v/>
      </c>
      <c r="L4878">
        <f>IF(B4878="","",IFERROR(VALUE(TEXT(B4878,"[$-1170401]yyyy")),""))</f>
        <v/>
      </c>
      <c r="M4878">
        <f>IF(B4878="","",IFERROR(VALUE(TEXT(B4878,"[$-1170401]mm")),""))</f>
        <v/>
      </c>
    </row>
    <row r="4879">
      <c r="B4879" s="30" t="n"/>
      <c r="G4879" s="9">
        <f>IF(AND(E4879&lt;&gt;"",E4879&lt;&gt;0,H4879&lt;&gt;""),H4879/E4879,"")</f>
        <v/>
      </c>
      <c r="L4879">
        <f>IF(B4879="","",IFERROR(VALUE(TEXT(B4879,"[$-1170401]yyyy")),""))</f>
        <v/>
      </c>
      <c r="M4879">
        <f>IF(B4879="","",IFERROR(VALUE(TEXT(B4879,"[$-1170401]mm")),""))</f>
        <v/>
      </c>
    </row>
    <row r="4880">
      <c r="B4880" s="30" t="n"/>
      <c r="G4880" s="9">
        <f>IF(AND(E4880&lt;&gt;"",E4880&lt;&gt;0,H4880&lt;&gt;""),H4880/E4880,"")</f>
        <v/>
      </c>
      <c r="L4880">
        <f>IF(B4880="","",IFERROR(VALUE(TEXT(B4880,"[$-1170401]yyyy")),""))</f>
        <v/>
      </c>
      <c r="M4880">
        <f>IF(B4880="","",IFERROR(VALUE(TEXT(B4880,"[$-1170401]mm")),""))</f>
        <v/>
      </c>
    </row>
    <row r="4881">
      <c r="B4881" s="30" t="n"/>
      <c r="G4881" s="9">
        <f>IF(AND(E4881&lt;&gt;"",E4881&lt;&gt;0,H4881&lt;&gt;""),H4881/E4881,"")</f>
        <v/>
      </c>
      <c r="L4881">
        <f>IF(B4881="","",IFERROR(VALUE(TEXT(B4881,"[$-1170401]yyyy")),""))</f>
        <v/>
      </c>
      <c r="M4881">
        <f>IF(B4881="","",IFERROR(VALUE(TEXT(B4881,"[$-1170401]mm")),""))</f>
        <v/>
      </c>
    </row>
    <row r="4882">
      <c r="B4882" s="30" t="n"/>
      <c r="G4882" s="9">
        <f>IF(AND(E4882&lt;&gt;"",E4882&lt;&gt;0,H4882&lt;&gt;""),H4882/E4882,"")</f>
        <v/>
      </c>
      <c r="L4882">
        <f>IF(B4882="","",IFERROR(VALUE(TEXT(B4882,"[$-1170401]yyyy")),""))</f>
        <v/>
      </c>
      <c r="M4882">
        <f>IF(B4882="","",IFERROR(VALUE(TEXT(B4882,"[$-1170401]mm")),""))</f>
        <v/>
      </c>
    </row>
    <row r="4883">
      <c r="B4883" s="30" t="n"/>
      <c r="G4883" s="9">
        <f>IF(AND(E4883&lt;&gt;"",E4883&lt;&gt;0,H4883&lt;&gt;""),H4883/E4883,"")</f>
        <v/>
      </c>
      <c r="L4883">
        <f>IF(B4883="","",IFERROR(VALUE(TEXT(B4883,"[$-1170401]yyyy")),""))</f>
        <v/>
      </c>
      <c r="M4883">
        <f>IF(B4883="","",IFERROR(VALUE(TEXT(B4883,"[$-1170401]mm")),""))</f>
        <v/>
      </c>
    </row>
    <row r="4884">
      <c r="B4884" s="30" t="n"/>
      <c r="G4884" s="9">
        <f>IF(AND(E4884&lt;&gt;"",E4884&lt;&gt;0,H4884&lt;&gt;""),H4884/E4884,"")</f>
        <v/>
      </c>
      <c r="L4884">
        <f>IF(B4884="","",IFERROR(VALUE(TEXT(B4884,"[$-1170401]yyyy")),""))</f>
        <v/>
      </c>
      <c r="M4884">
        <f>IF(B4884="","",IFERROR(VALUE(TEXT(B4884,"[$-1170401]mm")),""))</f>
        <v/>
      </c>
    </row>
    <row r="4885">
      <c r="B4885" s="30" t="n"/>
      <c r="G4885" s="9">
        <f>IF(AND(E4885&lt;&gt;"",E4885&lt;&gt;0,H4885&lt;&gt;""),H4885/E4885,"")</f>
        <v/>
      </c>
      <c r="L4885">
        <f>IF(B4885="","",IFERROR(VALUE(TEXT(B4885,"[$-1170401]yyyy")),""))</f>
        <v/>
      </c>
      <c r="M4885">
        <f>IF(B4885="","",IFERROR(VALUE(TEXT(B4885,"[$-1170401]mm")),""))</f>
        <v/>
      </c>
    </row>
    <row r="4886">
      <c r="B4886" s="30" t="n"/>
      <c r="G4886" s="9">
        <f>IF(AND(E4886&lt;&gt;"",E4886&lt;&gt;0,H4886&lt;&gt;""),H4886/E4886,"")</f>
        <v/>
      </c>
      <c r="L4886">
        <f>IF(B4886="","",IFERROR(VALUE(TEXT(B4886,"[$-1170401]yyyy")),""))</f>
        <v/>
      </c>
      <c r="M4886">
        <f>IF(B4886="","",IFERROR(VALUE(TEXT(B4886,"[$-1170401]mm")),""))</f>
        <v/>
      </c>
    </row>
    <row r="4887">
      <c r="B4887" s="30" t="n"/>
      <c r="G4887" s="9">
        <f>IF(AND(E4887&lt;&gt;"",E4887&lt;&gt;0,H4887&lt;&gt;""),H4887/E4887,"")</f>
        <v/>
      </c>
      <c r="L4887">
        <f>IF(B4887="","",IFERROR(VALUE(TEXT(B4887,"[$-1170401]yyyy")),""))</f>
        <v/>
      </c>
      <c r="M4887">
        <f>IF(B4887="","",IFERROR(VALUE(TEXT(B4887,"[$-1170401]mm")),""))</f>
        <v/>
      </c>
    </row>
    <row r="4888">
      <c r="B4888" s="30" t="n"/>
      <c r="G4888" s="9">
        <f>IF(AND(E4888&lt;&gt;"",E4888&lt;&gt;0,H4888&lt;&gt;""),H4888/E4888,"")</f>
        <v/>
      </c>
      <c r="L4888">
        <f>IF(B4888="","",IFERROR(VALUE(TEXT(B4888,"[$-1170401]yyyy")),""))</f>
        <v/>
      </c>
      <c r="M4888">
        <f>IF(B4888="","",IFERROR(VALUE(TEXT(B4888,"[$-1170401]mm")),""))</f>
        <v/>
      </c>
    </row>
    <row r="4889">
      <c r="B4889" s="30" t="n"/>
      <c r="G4889" s="9">
        <f>IF(AND(E4889&lt;&gt;"",E4889&lt;&gt;0,H4889&lt;&gt;""),H4889/E4889,"")</f>
        <v/>
      </c>
      <c r="L4889">
        <f>IF(B4889="","",IFERROR(VALUE(TEXT(B4889,"[$-1170401]yyyy")),""))</f>
        <v/>
      </c>
      <c r="M4889">
        <f>IF(B4889="","",IFERROR(VALUE(TEXT(B4889,"[$-1170401]mm")),""))</f>
        <v/>
      </c>
    </row>
    <row r="4890">
      <c r="B4890" s="30" t="n"/>
      <c r="G4890" s="9">
        <f>IF(AND(E4890&lt;&gt;"",E4890&lt;&gt;0,H4890&lt;&gt;""),H4890/E4890,"")</f>
        <v/>
      </c>
      <c r="L4890">
        <f>IF(B4890="","",IFERROR(VALUE(TEXT(B4890,"[$-1170401]yyyy")),""))</f>
        <v/>
      </c>
      <c r="M4890">
        <f>IF(B4890="","",IFERROR(VALUE(TEXT(B4890,"[$-1170401]mm")),""))</f>
        <v/>
      </c>
    </row>
    <row r="4891">
      <c r="B4891" s="30" t="n"/>
      <c r="G4891" s="9">
        <f>IF(AND(E4891&lt;&gt;"",E4891&lt;&gt;0,H4891&lt;&gt;""),H4891/E4891,"")</f>
        <v/>
      </c>
      <c r="L4891">
        <f>IF(B4891="","",IFERROR(VALUE(TEXT(B4891,"[$-1170401]yyyy")),""))</f>
        <v/>
      </c>
      <c r="M4891">
        <f>IF(B4891="","",IFERROR(VALUE(TEXT(B4891,"[$-1170401]mm")),""))</f>
        <v/>
      </c>
    </row>
    <row r="4892">
      <c r="B4892" s="30" t="n"/>
      <c r="G4892" s="9">
        <f>IF(AND(E4892&lt;&gt;"",E4892&lt;&gt;0,H4892&lt;&gt;""),H4892/E4892,"")</f>
        <v/>
      </c>
      <c r="L4892">
        <f>IF(B4892="","",IFERROR(VALUE(TEXT(B4892,"[$-1170401]yyyy")),""))</f>
        <v/>
      </c>
      <c r="M4892">
        <f>IF(B4892="","",IFERROR(VALUE(TEXT(B4892,"[$-1170401]mm")),""))</f>
        <v/>
      </c>
    </row>
    <row r="4893">
      <c r="B4893" s="30" t="n"/>
      <c r="G4893" s="9">
        <f>IF(AND(E4893&lt;&gt;"",E4893&lt;&gt;0,H4893&lt;&gt;""),H4893/E4893,"")</f>
        <v/>
      </c>
      <c r="L4893">
        <f>IF(B4893="","",IFERROR(VALUE(TEXT(B4893,"[$-1170401]yyyy")),""))</f>
        <v/>
      </c>
      <c r="M4893">
        <f>IF(B4893="","",IFERROR(VALUE(TEXT(B4893,"[$-1170401]mm")),""))</f>
        <v/>
      </c>
    </row>
    <row r="4894">
      <c r="B4894" s="30" t="n"/>
      <c r="G4894" s="9">
        <f>IF(AND(E4894&lt;&gt;"",E4894&lt;&gt;0,H4894&lt;&gt;""),H4894/E4894,"")</f>
        <v/>
      </c>
      <c r="L4894">
        <f>IF(B4894="","",IFERROR(VALUE(TEXT(B4894,"[$-1170401]yyyy")),""))</f>
        <v/>
      </c>
      <c r="M4894">
        <f>IF(B4894="","",IFERROR(VALUE(TEXT(B4894,"[$-1170401]mm")),""))</f>
        <v/>
      </c>
    </row>
    <row r="4895">
      <c r="B4895" s="30" t="n"/>
      <c r="G4895" s="9">
        <f>IF(AND(E4895&lt;&gt;"",E4895&lt;&gt;0,H4895&lt;&gt;""),H4895/E4895,"")</f>
        <v/>
      </c>
      <c r="L4895">
        <f>IF(B4895="","",IFERROR(VALUE(TEXT(B4895,"[$-1170401]yyyy")),""))</f>
        <v/>
      </c>
      <c r="M4895">
        <f>IF(B4895="","",IFERROR(VALUE(TEXT(B4895,"[$-1170401]mm")),""))</f>
        <v/>
      </c>
    </row>
    <row r="4896">
      <c r="B4896" s="30" t="n"/>
      <c r="G4896" s="9">
        <f>IF(AND(E4896&lt;&gt;"",E4896&lt;&gt;0,H4896&lt;&gt;""),H4896/E4896,"")</f>
        <v/>
      </c>
      <c r="L4896">
        <f>IF(B4896="","",IFERROR(VALUE(TEXT(B4896,"[$-1170401]yyyy")),""))</f>
        <v/>
      </c>
      <c r="M4896">
        <f>IF(B4896="","",IFERROR(VALUE(TEXT(B4896,"[$-1170401]mm")),""))</f>
        <v/>
      </c>
    </row>
    <row r="4897">
      <c r="B4897" s="30" t="n"/>
      <c r="G4897" s="9">
        <f>IF(AND(E4897&lt;&gt;"",E4897&lt;&gt;0,H4897&lt;&gt;""),H4897/E4897,"")</f>
        <v/>
      </c>
      <c r="L4897">
        <f>IF(B4897="","",IFERROR(VALUE(TEXT(B4897,"[$-1170401]yyyy")),""))</f>
        <v/>
      </c>
      <c r="M4897">
        <f>IF(B4897="","",IFERROR(VALUE(TEXT(B4897,"[$-1170401]mm")),""))</f>
        <v/>
      </c>
    </row>
    <row r="4898">
      <c r="B4898" s="30" t="n"/>
      <c r="G4898" s="9">
        <f>IF(AND(E4898&lt;&gt;"",E4898&lt;&gt;0,H4898&lt;&gt;""),H4898/E4898,"")</f>
        <v/>
      </c>
      <c r="L4898">
        <f>IF(B4898="","",IFERROR(VALUE(TEXT(B4898,"[$-1170401]yyyy")),""))</f>
        <v/>
      </c>
      <c r="M4898">
        <f>IF(B4898="","",IFERROR(VALUE(TEXT(B4898,"[$-1170401]mm")),""))</f>
        <v/>
      </c>
    </row>
    <row r="4899">
      <c r="B4899" s="30" t="n"/>
      <c r="G4899" s="9">
        <f>IF(AND(E4899&lt;&gt;"",E4899&lt;&gt;0,H4899&lt;&gt;""),H4899/E4899,"")</f>
        <v/>
      </c>
      <c r="L4899">
        <f>IF(B4899="","",IFERROR(VALUE(TEXT(B4899,"[$-1170401]yyyy")),""))</f>
        <v/>
      </c>
      <c r="M4899">
        <f>IF(B4899="","",IFERROR(VALUE(TEXT(B4899,"[$-1170401]mm")),""))</f>
        <v/>
      </c>
    </row>
    <row r="4900">
      <c r="B4900" s="30" t="n"/>
      <c r="G4900" s="9">
        <f>IF(AND(E4900&lt;&gt;"",E4900&lt;&gt;0,H4900&lt;&gt;""),H4900/E4900,"")</f>
        <v/>
      </c>
      <c r="L4900">
        <f>IF(B4900="","",IFERROR(VALUE(TEXT(B4900,"[$-1170401]yyyy")),""))</f>
        <v/>
      </c>
      <c r="M4900">
        <f>IF(B4900="","",IFERROR(VALUE(TEXT(B4900,"[$-1170401]mm")),""))</f>
        <v/>
      </c>
    </row>
    <row r="4901">
      <c r="B4901" s="30" t="n"/>
      <c r="G4901" s="9">
        <f>IF(AND(E4901&lt;&gt;"",E4901&lt;&gt;0,H4901&lt;&gt;""),H4901/E4901,"")</f>
        <v/>
      </c>
      <c r="L4901">
        <f>IF(B4901="","",IFERROR(VALUE(TEXT(B4901,"[$-1170401]yyyy")),""))</f>
        <v/>
      </c>
      <c r="M4901">
        <f>IF(B4901="","",IFERROR(VALUE(TEXT(B4901,"[$-1170401]mm")),""))</f>
        <v/>
      </c>
    </row>
    <row r="4902">
      <c r="B4902" s="30" t="n"/>
      <c r="G4902" s="9">
        <f>IF(AND(E4902&lt;&gt;"",E4902&lt;&gt;0,H4902&lt;&gt;""),H4902/E4902,"")</f>
        <v/>
      </c>
      <c r="L4902">
        <f>IF(B4902="","",IFERROR(VALUE(TEXT(B4902,"[$-1170401]yyyy")),""))</f>
        <v/>
      </c>
      <c r="M4902">
        <f>IF(B4902="","",IFERROR(VALUE(TEXT(B4902,"[$-1170401]mm")),""))</f>
        <v/>
      </c>
    </row>
    <row r="4903">
      <c r="B4903" s="30" t="n"/>
      <c r="G4903" s="9">
        <f>IF(AND(E4903&lt;&gt;"",E4903&lt;&gt;0,H4903&lt;&gt;""),H4903/E4903,"")</f>
        <v/>
      </c>
      <c r="L4903">
        <f>IF(B4903="","",IFERROR(VALUE(TEXT(B4903,"[$-1170401]yyyy")),""))</f>
        <v/>
      </c>
      <c r="M4903">
        <f>IF(B4903="","",IFERROR(VALUE(TEXT(B4903,"[$-1170401]mm")),""))</f>
        <v/>
      </c>
    </row>
    <row r="4904">
      <c r="B4904" s="30" t="n"/>
      <c r="G4904" s="9">
        <f>IF(AND(E4904&lt;&gt;"",E4904&lt;&gt;0,H4904&lt;&gt;""),H4904/E4904,"")</f>
        <v/>
      </c>
      <c r="L4904">
        <f>IF(B4904="","",IFERROR(VALUE(TEXT(B4904,"[$-1170401]yyyy")),""))</f>
        <v/>
      </c>
      <c r="M4904">
        <f>IF(B4904="","",IFERROR(VALUE(TEXT(B4904,"[$-1170401]mm")),""))</f>
        <v/>
      </c>
    </row>
    <row r="4905">
      <c r="B4905" s="30" t="n"/>
      <c r="G4905" s="9">
        <f>IF(AND(E4905&lt;&gt;"",E4905&lt;&gt;0,H4905&lt;&gt;""),H4905/E4905,"")</f>
        <v/>
      </c>
      <c r="L4905">
        <f>IF(B4905="","",IFERROR(VALUE(TEXT(B4905,"[$-1170401]yyyy")),""))</f>
        <v/>
      </c>
      <c r="M4905">
        <f>IF(B4905="","",IFERROR(VALUE(TEXT(B4905,"[$-1170401]mm")),""))</f>
        <v/>
      </c>
    </row>
    <row r="4906">
      <c r="B4906" s="30" t="n"/>
      <c r="G4906" s="9">
        <f>IF(AND(E4906&lt;&gt;"",E4906&lt;&gt;0,H4906&lt;&gt;""),H4906/E4906,"")</f>
        <v/>
      </c>
      <c r="L4906">
        <f>IF(B4906="","",IFERROR(VALUE(TEXT(B4906,"[$-1170401]yyyy")),""))</f>
        <v/>
      </c>
      <c r="M4906">
        <f>IF(B4906="","",IFERROR(VALUE(TEXT(B4906,"[$-1170401]mm")),""))</f>
        <v/>
      </c>
    </row>
    <row r="4907">
      <c r="B4907" s="30" t="n"/>
      <c r="G4907" s="9">
        <f>IF(AND(E4907&lt;&gt;"",E4907&lt;&gt;0,H4907&lt;&gt;""),H4907/E4907,"")</f>
        <v/>
      </c>
      <c r="L4907">
        <f>IF(B4907="","",IFERROR(VALUE(TEXT(B4907,"[$-1170401]yyyy")),""))</f>
        <v/>
      </c>
      <c r="M4907">
        <f>IF(B4907="","",IFERROR(VALUE(TEXT(B4907,"[$-1170401]mm")),""))</f>
        <v/>
      </c>
    </row>
    <row r="4908">
      <c r="B4908" s="30" t="n"/>
      <c r="G4908" s="9">
        <f>IF(AND(E4908&lt;&gt;"",E4908&lt;&gt;0,H4908&lt;&gt;""),H4908/E4908,"")</f>
        <v/>
      </c>
      <c r="L4908">
        <f>IF(B4908="","",IFERROR(VALUE(TEXT(B4908,"[$-1170401]yyyy")),""))</f>
        <v/>
      </c>
      <c r="M4908">
        <f>IF(B4908="","",IFERROR(VALUE(TEXT(B4908,"[$-1170401]mm")),""))</f>
        <v/>
      </c>
    </row>
    <row r="4909">
      <c r="B4909" s="30" t="n"/>
      <c r="G4909" s="9">
        <f>IF(AND(E4909&lt;&gt;"",E4909&lt;&gt;0,H4909&lt;&gt;""),H4909/E4909,"")</f>
        <v/>
      </c>
      <c r="L4909">
        <f>IF(B4909="","",IFERROR(VALUE(TEXT(B4909,"[$-1170401]yyyy")),""))</f>
        <v/>
      </c>
      <c r="M4909">
        <f>IF(B4909="","",IFERROR(VALUE(TEXT(B4909,"[$-1170401]mm")),""))</f>
        <v/>
      </c>
    </row>
    <row r="4910">
      <c r="B4910" s="30" t="n"/>
      <c r="G4910" s="9">
        <f>IF(AND(E4910&lt;&gt;"",E4910&lt;&gt;0,H4910&lt;&gt;""),H4910/E4910,"")</f>
        <v/>
      </c>
      <c r="L4910">
        <f>IF(B4910="","",IFERROR(VALUE(TEXT(B4910,"[$-1170401]yyyy")),""))</f>
        <v/>
      </c>
      <c r="M4910">
        <f>IF(B4910="","",IFERROR(VALUE(TEXT(B4910,"[$-1170401]mm")),""))</f>
        <v/>
      </c>
    </row>
    <row r="4911">
      <c r="B4911" s="30" t="n"/>
      <c r="G4911" s="9">
        <f>IF(AND(E4911&lt;&gt;"",E4911&lt;&gt;0,H4911&lt;&gt;""),H4911/E4911,"")</f>
        <v/>
      </c>
      <c r="L4911">
        <f>IF(B4911="","",IFERROR(VALUE(TEXT(B4911,"[$-1170401]yyyy")),""))</f>
        <v/>
      </c>
      <c r="M4911">
        <f>IF(B4911="","",IFERROR(VALUE(TEXT(B4911,"[$-1170401]mm")),""))</f>
        <v/>
      </c>
    </row>
    <row r="4912">
      <c r="B4912" s="30" t="n"/>
      <c r="G4912" s="9">
        <f>IF(AND(E4912&lt;&gt;"",E4912&lt;&gt;0,H4912&lt;&gt;""),H4912/E4912,"")</f>
        <v/>
      </c>
      <c r="L4912">
        <f>IF(B4912="","",IFERROR(VALUE(TEXT(B4912,"[$-1170401]yyyy")),""))</f>
        <v/>
      </c>
      <c r="M4912">
        <f>IF(B4912="","",IFERROR(VALUE(TEXT(B4912,"[$-1170401]mm")),""))</f>
        <v/>
      </c>
    </row>
    <row r="4913">
      <c r="B4913" s="30" t="n"/>
      <c r="G4913" s="9">
        <f>IF(AND(E4913&lt;&gt;"",E4913&lt;&gt;0,H4913&lt;&gt;""),H4913/E4913,"")</f>
        <v/>
      </c>
      <c r="L4913">
        <f>IF(B4913="","",IFERROR(VALUE(TEXT(B4913,"[$-1170401]yyyy")),""))</f>
        <v/>
      </c>
      <c r="M4913">
        <f>IF(B4913="","",IFERROR(VALUE(TEXT(B4913,"[$-1170401]mm")),""))</f>
        <v/>
      </c>
    </row>
    <row r="4914">
      <c r="B4914" s="30" t="n"/>
      <c r="G4914" s="9">
        <f>IF(AND(E4914&lt;&gt;"",E4914&lt;&gt;0,H4914&lt;&gt;""),H4914/E4914,"")</f>
        <v/>
      </c>
      <c r="L4914">
        <f>IF(B4914="","",IFERROR(VALUE(TEXT(B4914,"[$-1170401]yyyy")),""))</f>
        <v/>
      </c>
      <c r="M4914">
        <f>IF(B4914="","",IFERROR(VALUE(TEXT(B4914,"[$-1170401]mm")),""))</f>
        <v/>
      </c>
    </row>
    <row r="4915">
      <c r="B4915" s="30" t="n"/>
      <c r="G4915" s="9">
        <f>IF(AND(E4915&lt;&gt;"",E4915&lt;&gt;0,H4915&lt;&gt;""),H4915/E4915,"")</f>
        <v/>
      </c>
      <c r="L4915">
        <f>IF(B4915="","",IFERROR(VALUE(TEXT(B4915,"[$-1170401]yyyy")),""))</f>
        <v/>
      </c>
      <c r="M4915">
        <f>IF(B4915="","",IFERROR(VALUE(TEXT(B4915,"[$-1170401]mm")),""))</f>
        <v/>
      </c>
    </row>
    <row r="4916">
      <c r="B4916" s="30" t="n"/>
      <c r="G4916" s="9">
        <f>IF(AND(E4916&lt;&gt;"",E4916&lt;&gt;0,H4916&lt;&gt;""),H4916/E4916,"")</f>
        <v/>
      </c>
      <c r="L4916">
        <f>IF(B4916="","",IFERROR(VALUE(TEXT(B4916,"[$-1170401]yyyy")),""))</f>
        <v/>
      </c>
      <c r="M4916">
        <f>IF(B4916="","",IFERROR(VALUE(TEXT(B4916,"[$-1170401]mm")),""))</f>
        <v/>
      </c>
    </row>
    <row r="4917">
      <c r="B4917" s="30" t="n"/>
      <c r="G4917" s="9">
        <f>IF(AND(E4917&lt;&gt;"",E4917&lt;&gt;0,H4917&lt;&gt;""),H4917/E4917,"")</f>
        <v/>
      </c>
      <c r="L4917">
        <f>IF(B4917="","",IFERROR(VALUE(TEXT(B4917,"[$-1170401]yyyy")),""))</f>
        <v/>
      </c>
      <c r="M4917">
        <f>IF(B4917="","",IFERROR(VALUE(TEXT(B4917,"[$-1170401]mm")),""))</f>
        <v/>
      </c>
    </row>
    <row r="4918">
      <c r="B4918" s="30" t="n"/>
      <c r="G4918" s="9">
        <f>IF(AND(E4918&lt;&gt;"",E4918&lt;&gt;0,H4918&lt;&gt;""),H4918/E4918,"")</f>
        <v/>
      </c>
      <c r="L4918">
        <f>IF(B4918="","",IFERROR(VALUE(TEXT(B4918,"[$-1170401]yyyy")),""))</f>
        <v/>
      </c>
      <c r="M4918">
        <f>IF(B4918="","",IFERROR(VALUE(TEXT(B4918,"[$-1170401]mm")),""))</f>
        <v/>
      </c>
    </row>
    <row r="4919">
      <c r="B4919" s="30" t="n"/>
      <c r="G4919" s="9">
        <f>IF(AND(E4919&lt;&gt;"",E4919&lt;&gt;0,H4919&lt;&gt;""),H4919/E4919,"")</f>
        <v/>
      </c>
      <c r="L4919">
        <f>IF(B4919="","",IFERROR(VALUE(TEXT(B4919,"[$-1170401]yyyy")),""))</f>
        <v/>
      </c>
      <c r="M4919">
        <f>IF(B4919="","",IFERROR(VALUE(TEXT(B4919,"[$-1170401]mm")),""))</f>
        <v/>
      </c>
    </row>
    <row r="4920">
      <c r="B4920" s="30" t="n"/>
      <c r="G4920" s="9">
        <f>IF(AND(E4920&lt;&gt;"",E4920&lt;&gt;0,H4920&lt;&gt;""),H4920/E4920,"")</f>
        <v/>
      </c>
      <c r="L4920">
        <f>IF(B4920="","",IFERROR(VALUE(TEXT(B4920,"[$-1170401]yyyy")),""))</f>
        <v/>
      </c>
      <c r="M4920">
        <f>IF(B4920="","",IFERROR(VALUE(TEXT(B4920,"[$-1170401]mm")),""))</f>
        <v/>
      </c>
    </row>
    <row r="4921">
      <c r="B4921" s="30" t="n"/>
      <c r="G4921" s="9">
        <f>IF(AND(E4921&lt;&gt;"",E4921&lt;&gt;0,H4921&lt;&gt;""),H4921/E4921,"")</f>
        <v/>
      </c>
      <c r="L4921">
        <f>IF(B4921="","",IFERROR(VALUE(TEXT(B4921,"[$-1170401]yyyy")),""))</f>
        <v/>
      </c>
      <c r="M4921">
        <f>IF(B4921="","",IFERROR(VALUE(TEXT(B4921,"[$-1170401]mm")),""))</f>
        <v/>
      </c>
    </row>
    <row r="4922">
      <c r="B4922" s="30" t="n"/>
      <c r="G4922" s="9">
        <f>IF(AND(E4922&lt;&gt;"",E4922&lt;&gt;0,H4922&lt;&gt;""),H4922/E4922,"")</f>
        <v/>
      </c>
      <c r="L4922">
        <f>IF(B4922="","",IFERROR(VALUE(TEXT(B4922,"[$-1170401]yyyy")),""))</f>
        <v/>
      </c>
      <c r="M4922">
        <f>IF(B4922="","",IFERROR(VALUE(TEXT(B4922,"[$-1170401]mm")),""))</f>
        <v/>
      </c>
    </row>
    <row r="4923">
      <c r="B4923" s="30" t="n"/>
      <c r="G4923" s="9">
        <f>IF(AND(E4923&lt;&gt;"",E4923&lt;&gt;0,H4923&lt;&gt;""),H4923/E4923,"")</f>
        <v/>
      </c>
      <c r="L4923">
        <f>IF(B4923="","",IFERROR(VALUE(TEXT(B4923,"[$-1170401]yyyy")),""))</f>
        <v/>
      </c>
      <c r="M4923">
        <f>IF(B4923="","",IFERROR(VALUE(TEXT(B4923,"[$-1170401]mm")),""))</f>
        <v/>
      </c>
    </row>
    <row r="4924">
      <c r="B4924" s="30" t="n"/>
      <c r="G4924" s="9">
        <f>IF(AND(E4924&lt;&gt;"",E4924&lt;&gt;0,H4924&lt;&gt;""),H4924/E4924,"")</f>
        <v/>
      </c>
      <c r="L4924">
        <f>IF(B4924="","",IFERROR(VALUE(TEXT(B4924,"[$-1170401]yyyy")),""))</f>
        <v/>
      </c>
      <c r="M4924">
        <f>IF(B4924="","",IFERROR(VALUE(TEXT(B4924,"[$-1170401]mm")),""))</f>
        <v/>
      </c>
    </row>
    <row r="4925">
      <c r="B4925" s="30" t="n"/>
      <c r="G4925" s="9">
        <f>IF(AND(E4925&lt;&gt;"",E4925&lt;&gt;0,H4925&lt;&gt;""),H4925/E4925,"")</f>
        <v/>
      </c>
      <c r="L4925">
        <f>IF(B4925="","",IFERROR(VALUE(TEXT(B4925,"[$-1170401]yyyy")),""))</f>
        <v/>
      </c>
      <c r="M4925">
        <f>IF(B4925="","",IFERROR(VALUE(TEXT(B4925,"[$-1170401]mm")),""))</f>
        <v/>
      </c>
    </row>
    <row r="4926">
      <c r="B4926" s="30" t="n"/>
      <c r="G4926" s="9">
        <f>IF(AND(E4926&lt;&gt;"",E4926&lt;&gt;0,H4926&lt;&gt;""),H4926/E4926,"")</f>
        <v/>
      </c>
      <c r="L4926">
        <f>IF(B4926="","",IFERROR(VALUE(TEXT(B4926,"[$-1170401]yyyy")),""))</f>
        <v/>
      </c>
      <c r="M4926">
        <f>IF(B4926="","",IFERROR(VALUE(TEXT(B4926,"[$-1170401]mm")),""))</f>
        <v/>
      </c>
    </row>
    <row r="4927">
      <c r="B4927" s="30" t="n"/>
      <c r="G4927" s="9">
        <f>IF(AND(E4927&lt;&gt;"",E4927&lt;&gt;0,H4927&lt;&gt;""),H4927/E4927,"")</f>
        <v/>
      </c>
      <c r="L4927">
        <f>IF(B4927="","",IFERROR(VALUE(TEXT(B4927,"[$-1170401]yyyy")),""))</f>
        <v/>
      </c>
      <c r="M4927">
        <f>IF(B4927="","",IFERROR(VALUE(TEXT(B4927,"[$-1170401]mm")),""))</f>
        <v/>
      </c>
    </row>
    <row r="4928">
      <c r="B4928" s="30" t="n"/>
      <c r="G4928" s="9">
        <f>IF(AND(E4928&lt;&gt;"",E4928&lt;&gt;0,H4928&lt;&gt;""),H4928/E4928,"")</f>
        <v/>
      </c>
      <c r="L4928">
        <f>IF(B4928="","",IFERROR(VALUE(TEXT(B4928,"[$-1170401]yyyy")),""))</f>
        <v/>
      </c>
      <c r="M4928">
        <f>IF(B4928="","",IFERROR(VALUE(TEXT(B4928,"[$-1170401]mm")),""))</f>
        <v/>
      </c>
    </row>
    <row r="4929">
      <c r="B4929" s="30" t="n"/>
      <c r="G4929" s="9">
        <f>IF(AND(E4929&lt;&gt;"",E4929&lt;&gt;0,H4929&lt;&gt;""),H4929/E4929,"")</f>
        <v/>
      </c>
      <c r="L4929">
        <f>IF(B4929="","",IFERROR(VALUE(TEXT(B4929,"[$-1170401]yyyy")),""))</f>
        <v/>
      </c>
      <c r="M4929">
        <f>IF(B4929="","",IFERROR(VALUE(TEXT(B4929,"[$-1170401]mm")),""))</f>
        <v/>
      </c>
    </row>
    <row r="4930">
      <c r="B4930" s="30" t="n"/>
      <c r="G4930" s="9">
        <f>IF(AND(E4930&lt;&gt;"",E4930&lt;&gt;0,H4930&lt;&gt;""),H4930/E4930,"")</f>
        <v/>
      </c>
      <c r="L4930">
        <f>IF(B4930="","",IFERROR(VALUE(TEXT(B4930,"[$-1170401]yyyy")),""))</f>
        <v/>
      </c>
      <c r="M4930">
        <f>IF(B4930="","",IFERROR(VALUE(TEXT(B4930,"[$-1170401]mm")),""))</f>
        <v/>
      </c>
    </row>
    <row r="4931">
      <c r="B4931" s="30" t="n"/>
      <c r="G4931" s="9">
        <f>IF(AND(E4931&lt;&gt;"",E4931&lt;&gt;0,H4931&lt;&gt;""),H4931/E4931,"")</f>
        <v/>
      </c>
      <c r="L4931">
        <f>IF(B4931="","",IFERROR(VALUE(TEXT(B4931,"[$-1170401]yyyy")),""))</f>
        <v/>
      </c>
      <c r="M4931">
        <f>IF(B4931="","",IFERROR(VALUE(TEXT(B4931,"[$-1170401]mm")),""))</f>
        <v/>
      </c>
    </row>
    <row r="4932">
      <c r="B4932" s="30" t="n"/>
      <c r="G4932" s="9">
        <f>IF(AND(E4932&lt;&gt;"",E4932&lt;&gt;0,H4932&lt;&gt;""),H4932/E4932,"")</f>
        <v/>
      </c>
      <c r="L4932">
        <f>IF(B4932="","",IFERROR(VALUE(TEXT(B4932,"[$-1170401]yyyy")),""))</f>
        <v/>
      </c>
      <c r="M4932">
        <f>IF(B4932="","",IFERROR(VALUE(TEXT(B4932,"[$-1170401]mm")),""))</f>
        <v/>
      </c>
    </row>
    <row r="4933">
      <c r="B4933" s="30" t="n"/>
      <c r="G4933" s="9">
        <f>IF(AND(E4933&lt;&gt;"",E4933&lt;&gt;0,H4933&lt;&gt;""),H4933/E4933,"")</f>
        <v/>
      </c>
      <c r="L4933">
        <f>IF(B4933="","",IFERROR(VALUE(TEXT(B4933,"[$-1170401]yyyy")),""))</f>
        <v/>
      </c>
      <c r="M4933">
        <f>IF(B4933="","",IFERROR(VALUE(TEXT(B4933,"[$-1170401]mm")),""))</f>
        <v/>
      </c>
    </row>
    <row r="4934">
      <c r="B4934" s="30" t="n"/>
      <c r="G4934" s="9">
        <f>IF(AND(E4934&lt;&gt;"",E4934&lt;&gt;0,H4934&lt;&gt;""),H4934/E4934,"")</f>
        <v/>
      </c>
      <c r="L4934">
        <f>IF(B4934="","",IFERROR(VALUE(TEXT(B4934,"[$-1170401]yyyy")),""))</f>
        <v/>
      </c>
      <c r="M4934">
        <f>IF(B4934="","",IFERROR(VALUE(TEXT(B4934,"[$-1170401]mm")),""))</f>
        <v/>
      </c>
    </row>
    <row r="4935">
      <c r="B4935" s="30" t="n"/>
      <c r="G4935" s="9">
        <f>IF(AND(E4935&lt;&gt;"",E4935&lt;&gt;0,H4935&lt;&gt;""),H4935/E4935,"")</f>
        <v/>
      </c>
      <c r="L4935">
        <f>IF(B4935="","",IFERROR(VALUE(TEXT(B4935,"[$-1170401]yyyy")),""))</f>
        <v/>
      </c>
      <c r="M4935">
        <f>IF(B4935="","",IFERROR(VALUE(TEXT(B4935,"[$-1170401]mm")),""))</f>
        <v/>
      </c>
    </row>
    <row r="4936">
      <c r="B4936" s="30" t="n"/>
      <c r="G4936" s="9">
        <f>IF(AND(E4936&lt;&gt;"",E4936&lt;&gt;0,H4936&lt;&gt;""),H4936/E4936,"")</f>
        <v/>
      </c>
      <c r="L4936">
        <f>IF(B4936="","",IFERROR(VALUE(TEXT(B4936,"[$-1170401]yyyy")),""))</f>
        <v/>
      </c>
      <c r="M4936">
        <f>IF(B4936="","",IFERROR(VALUE(TEXT(B4936,"[$-1170401]mm")),""))</f>
        <v/>
      </c>
    </row>
    <row r="4937">
      <c r="B4937" s="30" t="n"/>
      <c r="G4937" s="9">
        <f>IF(AND(E4937&lt;&gt;"",E4937&lt;&gt;0,H4937&lt;&gt;""),H4937/E4937,"")</f>
        <v/>
      </c>
      <c r="L4937">
        <f>IF(B4937="","",IFERROR(VALUE(TEXT(B4937,"[$-1170401]yyyy")),""))</f>
        <v/>
      </c>
      <c r="M4937">
        <f>IF(B4937="","",IFERROR(VALUE(TEXT(B4937,"[$-1170401]mm")),""))</f>
        <v/>
      </c>
    </row>
    <row r="4938">
      <c r="B4938" s="30" t="n"/>
      <c r="G4938" s="9">
        <f>IF(AND(E4938&lt;&gt;"",E4938&lt;&gt;0,H4938&lt;&gt;""),H4938/E4938,"")</f>
        <v/>
      </c>
      <c r="L4938">
        <f>IF(B4938="","",IFERROR(VALUE(TEXT(B4938,"[$-1170401]yyyy")),""))</f>
        <v/>
      </c>
      <c r="M4938">
        <f>IF(B4938="","",IFERROR(VALUE(TEXT(B4938,"[$-1170401]mm")),""))</f>
        <v/>
      </c>
    </row>
    <row r="4939">
      <c r="B4939" s="30" t="n"/>
      <c r="G4939" s="9">
        <f>IF(AND(E4939&lt;&gt;"",E4939&lt;&gt;0,H4939&lt;&gt;""),H4939/E4939,"")</f>
        <v/>
      </c>
      <c r="L4939">
        <f>IF(B4939="","",IFERROR(VALUE(TEXT(B4939,"[$-1170401]yyyy")),""))</f>
        <v/>
      </c>
      <c r="M4939">
        <f>IF(B4939="","",IFERROR(VALUE(TEXT(B4939,"[$-1170401]mm")),""))</f>
        <v/>
      </c>
    </row>
    <row r="4940">
      <c r="B4940" s="30" t="n"/>
      <c r="G4940" s="9">
        <f>IF(AND(E4940&lt;&gt;"",E4940&lt;&gt;0,H4940&lt;&gt;""),H4940/E4940,"")</f>
        <v/>
      </c>
      <c r="L4940">
        <f>IF(B4940="","",IFERROR(VALUE(TEXT(B4940,"[$-1170401]yyyy")),""))</f>
        <v/>
      </c>
      <c r="M4940">
        <f>IF(B4940="","",IFERROR(VALUE(TEXT(B4940,"[$-1170401]mm")),""))</f>
        <v/>
      </c>
    </row>
    <row r="4941">
      <c r="B4941" s="30" t="n"/>
      <c r="G4941" s="9">
        <f>IF(AND(E4941&lt;&gt;"",E4941&lt;&gt;0,H4941&lt;&gt;""),H4941/E4941,"")</f>
        <v/>
      </c>
      <c r="L4941">
        <f>IF(B4941="","",IFERROR(VALUE(TEXT(B4941,"[$-1170401]yyyy")),""))</f>
        <v/>
      </c>
      <c r="M4941">
        <f>IF(B4941="","",IFERROR(VALUE(TEXT(B4941,"[$-1170401]mm")),""))</f>
        <v/>
      </c>
    </row>
    <row r="4942">
      <c r="B4942" s="30" t="n"/>
      <c r="G4942" s="9">
        <f>IF(AND(E4942&lt;&gt;"",E4942&lt;&gt;0,H4942&lt;&gt;""),H4942/E4942,"")</f>
        <v/>
      </c>
      <c r="L4942">
        <f>IF(B4942="","",IFERROR(VALUE(TEXT(B4942,"[$-1170401]yyyy")),""))</f>
        <v/>
      </c>
      <c r="M4942">
        <f>IF(B4942="","",IFERROR(VALUE(TEXT(B4942,"[$-1170401]mm")),""))</f>
        <v/>
      </c>
    </row>
    <row r="4943">
      <c r="B4943" s="30" t="n"/>
      <c r="G4943" s="9">
        <f>IF(AND(E4943&lt;&gt;"",E4943&lt;&gt;0,H4943&lt;&gt;""),H4943/E4943,"")</f>
        <v/>
      </c>
      <c r="L4943">
        <f>IF(B4943="","",IFERROR(VALUE(TEXT(B4943,"[$-1170401]yyyy")),""))</f>
        <v/>
      </c>
      <c r="M4943">
        <f>IF(B4943="","",IFERROR(VALUE(TEXT(B4943,"[$-1170401]mm")),""))</f>
        <v/>
      </c>
    </row>
    <row r="4944">
      <c r="B4944" s="30" t="n"/>
      <c r="G4944" s="9">
        <f>IF(AND(E4944&lt;&gt;"",E4944&lt;&gt;0,H4944&lt;&gt;""),H4944/E4944,"")</f>
        <v/>
      </c>
      <c r="L4944">
        <f>IF(B4944="","",IFERROR(VALUE(TEXT(B4944,"[$-1170401]yyyy")),""))</f>
        <v/>
      </c>
      <c r="M4944">
        <f>IF(B4944="","",IFERROR(VALUE(TEXT(B4944,"[$-1170401]mm")),""))</f>
        <v/>
      </c>
    </row>
    <row r="4945">
      <c r="B4945" s="30" t="n"/>
      <c r="G4945" s="9">
        <f>IF(AND(E4945&lt;&gt;"",E4945&lt;&gt;0,H4945&lt;&gt;""),H4945/E4945,"")</f>
        <v/>
      </c>
      <c r="L4945">
        <f>IF(B4945="","",IFERROR(VALUE(TEXT(B4945,"[$-1170401]yyyy")),""))</f>
        <v/>
      </c>
      <c r="M4945">
        <f>IF(B4945="","",IFERROR(VALUE(TEXT(B4945,"[$-1170401]mm")),""))</f>
        <v/>
      </c>
    </row>
    <row r="4946">
      <c r="B4946" s="30" t="n"/>
      <c r="G4946" s="9">
        <f>IF(AND(E4946&lt;&gt;"",E4946&lt;&gt;0,H4946&lt;&gt;""),H4946/E4946,"")</f>
        <v/>
      </c>
      <c r="L4946">
        <f>IF(B4946="","",IFERROR(VALUE(TEXT(B4946,"[$-1170401]yyyy")),""))</f>
        <v/>
      </c>
      <c r="M4946">
        <f>IF(B4946="","",IFERROR(VALUE(TEXT(B4946,"[$-1170401]mm")),""))</f>
        <v/>
      </c>
    </row>
    <row r="4947">
      <c r="B4947" s="30" t="n"/>
      <c r="G4947" s="9">
        <f>IF(AND(E4947&lt;&gt;"",E4947&lt;&gt;0,H4947&lt;&gt;""),H4947/E4947,"")</f>
        <v/>
      </c>
      <c r="L4947">
        <f>IF(B4947="","",IFERROR(VALUE(TEXT(B4947,"[$-1170401]yyyy")),""))</f>
        <v/>
      </c>
      <c r="M4947">
        <f>IF(B4947="","",IFERROR(VALUE(TEXT(B4947,"[$-1170401]mm")),""))</f>
        <v/>
      </c>
    </row>
    <row r="4948">
      <c r="B4948" s="30" t="n"/>
      <c r="G4948" s="9">
        <f>IF(AND(E4948&lt;&gt;"",E4948&lt;&gt;0,H4948&lt;&gt;""),H4948/E4948,"")</f>
        <v/>
      </c>
      <c r="L4948">
        <f>IF(B4948="","",IFERROR(VALUE(TEXT(B4948,"[$-1170401]yyyy")),""))</f>
        <v/>
      </c>
      <c r="M4948">
        <f>IF(B4948="","",IFERROR(VALUE(TEXT(B4948,"[$-1170401]mm")),""))</f>
        <v/>
      </c>
    </row>
    <row r="4949">
      <c r="B4949" s="30" t="n"/>
      <c r="G4949" s="9">
        <f>IF(AND(E4949&lt;&gt;"",E4949&lt;&gt;0,H4949&lt;&gt;""),H4949/E4949,"")</f>
        <v/>
      </c>
      <c r="L4949">
        <f>IF(B4949="","",IFERROR(VALUE(TEXT(B4949,"[$-1170401]yyyy")),""))</f>
        <v/>
      </c>
      <c r="M4949">
        <f>IF(B4949="","",IFERROR(VALUE(TEXT(B4949,"[$-1170401]mm")),""))</f>
        <v/>
      </c>
    </row>
    <row r="4950">
      <c r="B4950" s="30" t="n"/>
      <c r="G4950" s="9">
        <f>IF(AND(E4950&lt;&gt;"",E4950&lt;&gt;0,H4950&lt;&gt;""),H4950/E4950,"")</f>
        <v/>
      </c>
      <c r="L4950">
        <f>IF(B4950="","",IFERROR(VALUE(TEXT(B4950,"[$-1170401]yyyy")),""))</f>
        <v/>
      </c>
      <c r="M4950">
        <f>IF(B4950="","",IFERROR(VALUE(TEXT(B4950,"[$-1170401]mm")),""))</f>
        <v/>
      </c>
    </row>
    <row r="4951">
      <c r="B4951" s="30" t="n"/>
      <c r="G4951" s="9">
        <f>IF(AND(E4951&lt;&gt;"",E4951&lt;&gt;0,H4951&lt;&gt;""),H4951/E4951,"")</f>
        <v/>
      </c>
      <c r="L4951">
        <f>IF(B4951="","",IFERROR(VALUE(TEXT(B4951,"[$-1170401]yyyy")),""))</f>
        <v/>
      </c>
      <c r="M4951">
        <f>IF(B4951="","",IFERROR(VALUE(TEXT(B4951,"[$-1170401]mm")),""))</f>
        <v/>
      </c>
    </row>
    <row r="4952">
      <c r="B4952" s="30" t="n"/>
      <c r="G4952" s="9">
        <f>IF(AND(E4952&lt;&gt;"",E4952&lt;&gt;0,H4952&lt;&gt;""),H4952/E4952,"")</f>
        <v/>
      </c>
      <c r="L4952">
        <f>IF(B4952="","",IFERROR(VALUE(TEXT(B4952,"[$-1170401]yyyy")),""))</f>
        <v/>
      </c>
      <c r="M4952">
        <f>IF(B4952="","",IFERROR(VALUE(TEXT(B4952,"[$-1170401]mm")),""))</f>
        <v/>
      </c>
    </row>
    <row r="4953">
      <c r="B4953" s="30" t="n"/>
      <c r="G4953" s="9">
        <f>IF(AND(E4953&lt;&gt;"",E4953&lt;&gt;0,H4953&lt;&gt;""),H4953/E4953,"")</f>
        <v/>
      </c>
      <c r="L4953">
        <f>IF(B4953="","",IFERROR(VALUE(TEXT(B4953,"[$-1170401]yyyy")),""))</f>
        <v/>
      </c>
      <c r="M4953">
        <f>IF(B4953="","",IFERROR(VALUE(TEXT(B4953,"[$-1170401]mm")),""))</f>
        <v/>
      </c>
    </row>
    <row r="4954">
      <c r="B4954" s="30" t="n"/>
      <c r="G4954" s="9">
        <f>IF(AND(E4954&lt;&gt;"",E4954&lt;&gt;0,H4954&lt;&gt;""),H4954/E4954,"")</f>
        <v/>
      </c>
      <c r="L4954">
        <f>IF(B4954="","",IFERROR(VALUE(TEXT(B4954,"[$-1170401]yyyy")),""))</f>
        <v/>
      </c>
      <c r="M4954">
        <f>IF(B4954="","",IFERROR(VALUE(TEXT(B4954,"[$-1170401]mm")),""))</f>
        <v/>
      </c>
    </row>
    <row r="4955">
      <c r="B4955" s="30" t="n"/>
      <c r="G4955" s="9">
        <f>IF(AND(E4955&lt;&gt;"",E4955&lt;&gt;0,H4955&lt;&gt;""),H4955/E4955,"")</f>
        <v/>
      </c>
      <c r="L4955">
        <f>IF(B4955="","",IFERROR(VALUE(TEXT(B4955,"[$-1170401]yyyy")),""))</f>
        <v/>
      </c>
      <c r="M4955">
        <f>IF(B4955="","",IFERROR(VALUE(TEXT(B4955,"[$-1170401]mm")),""))</f>
        <v/>
      </c>
    </row>
    <row r="4956">
      <c r="B4956" s="30" t="n"/>
      <c r="G4956" s="9">
        <f>IF(AND(E4956&lt;&gt;"",E4956&lt;&gt;0,H4956&lt;&gt;""),H4956/E4956,"")</f>
        <v/>
      </c>
      <c r="L4956">
        <f>IF(B4956="","",IFERROR(VALUE(TEXT(B4956,"[$-1170401]yyyy")),""))</f>
        <v/>
      </c>
      <c r="M4956">
        <f>IF(B4956="","",IFERROR(VALUE(TEXT(B4956,"[$-1170401]mm")),""))</f>
        <v/>
      </c>
    </row>
    <row r="4957">
      <c r="B4957" s="30" t="n"/>
      <c r="G4957" s="9">
        <f>IF(AND(E4957&lt;&gt;"",E4957&lt;&gt;0,H4957&lt;&gt;""),H4957/E4957,"")</f>
        <v/>
      </c>
      <c r="L4957">
        <f>IF(B4957="","",IFERROR(VALUE(TEXT(B4957,"[$-1170401]yyyy")),""))</f>
        <v/>
      </c>
      <c r="M4957">
        <f>IF(B4957="","",IFERROR(VALUE(TEXT(B4957,"[$-1170401]mm")),""))</f>
        <v/>
      </c>
    </row>
    <row r="4958">
      <c r="B4958" s="30" t="n"/>
      <c r="G4958" s="9">
        <f>IF(AND(E4958&lt;&gt;"",E4958&lt;&gt;0,H4958&lt;&gt;""),H4958/E4958,"")</f>
        <v/>
      </c>
      <c r="L4958">
        <f>IF(B4958="","",IFERROR(VALUE(TEXT(B4958,"[$-1170401]yyyy")),""))</f>
        <v/>
      </c>
      <c r="M4958">
        <f>IF(B4958="","",IFERROR(VALUE(TEXT(B4958,"[$-1170401]mm")),""))</f>
        <v/>
      </c>
    </row>
    <row r="4959">
      <c r="B4959" s="30" t="n"/>
      <c r="G4959" s="9">
        <f>IF(AND(E4959&lt;&gt;"",E4959&lt;&gt;0,H4959&lt;&gt;""),H4959/E4959,"")</f>
        <v/>
      </c>
      <c r="L4959">
        <f>IF(B4959="","",IFERROR(VALUE(TEXT(B4959,"[$-1170401]yyyy")),""))</f>
        <v/>
      </c>
      <c r="M4959">
        <f>IF(B4959="","",IFERROR(VALUE(TEXT(B4959,"[$-1170401]mm")),""))</f>
        <v/>
      </c>
    </row>
    <row r="4960">
      <c r="B4960" s="30" t="n"/>
      <c r="G4960" s="9">
        <f>IF(AND(E4960&lt;&gt;"",E4960&lt;&gt;0,H4960&lt;&gt;""),H4960/E4960,"")</f>
        <v/>
      </c>
      <c r="L4960">
        <f>IF(B4960="","",IFERROR(VALUE(TEXT(B4960,"[$-1170401]yyyy")),""))</f>
        <v/>
      </c>
      <c r="M4960">
        <f>IF(B4960="","",IFERROR(VALUE(TEXT(B4960,"[$-1170401]mm")),""))</f>
        <v/>
      </c>
    </row>
    <row r="4961">
      <c r="B4961" s="30" t="n"/>
      <c r="G4961" s="9">
        <f>IF(AND(E4961&lt;&gt;"",E4961&lt;&gt;0,H4961&lt;&gt;""),H4961/E4961,"")</f>
        <v/>
      </c>
      <c r="L4961">
        <f>IF(B4961="","",IFERROR(VALUE(TEXT(B4961,"[$-1170401]yyyy")),""))</f>
        <v/>
      </c>
      <c r="M4961">
        <f>IF(B4961="","",IFERROR(VALUE(TEXT(B4961,"[$-1170401]mm")),""))</f>
        <v/>
      </c>
    </row>
    <row r="4962">
      <c r="B4962" s="30" t="n"/>
      <c r="G4962" s="9">
        <f>IF(AND(E4962&lt;&gt;"",E4962&lt;&gt;0,H4962&lt;&gt;""),H4962/E4962,"")</f>
        <v/>
      </c>
      <c r="L4962">
        <f>IF(B4962="","",IFERROR(VALUE(TEXT(B4962,"[$-1170401]yyyy")),""))</f>
        <v/>
      </c>
      <c r="M4962">
        <f>IF(B4962="","",IFERROR(VALUE(TEXT(B4962,"[$-1170401]mm")),""))</f>
        <v/>
      </c>
    </row>
    <row r="4963">
      <c r="B4963" s="30" t="n"/>
      <c r="G4963" s="9">
        <f>IF(AND(E4963&lt;&gt;"",E4963&lt;&gt;0,H4963&lt;&gt;""),H4963/E4963,"")</f>
        <v/>
      </c>
      <c r="L4963">
        <f>IF(B4963="","",IFERROR(VALUE(TEXT(B4963,"[$-1170401]yyyy")),""))</f>
        <v/>
      </c>
      <c r="M4963">
        <f>IF(B4963="","",IFERROR(VALUE(TEXT(B4963,"[$-1170401]mm")),""))</f>
        <v/>
      </c>
    </row>
    <row r="4964">
      <c r="B4964" s="30" t="n"/>
      <c r="G4964" s="9">
        <f>IF(AND(E4964&lt;&gt;"",E4964&lt;&gt;0,H4964&lt;&gt;""),H4964/E4964,"")</f>
        <v/>
      </c>
      <c r="L4964">
        <f>IF(B4964="","",IFERROR(VALUE(TEXT(B4964,"[$-1170401]yyyy")),""))</f>
        <v/>
      </c>
      <c r="M4964">
        <f>IF(B4964="","",IFERROR(VALUE(TEXT(B4964,"[$-1170401]mm")),""))</f>
        <v/>
      </c>
    </row>
    <row r="4965">
      <c r="B4965" s="30" t="n"/>
      <c r="G4965" s="9">
        <f>IF(AND(E4965&lt;&gt;"",E4965&lt;&gt;0,H4965&lt;&gt;""),H4965/E4965,"")</f>
        <v/>
      </c>
      <c r="L4965">
        <f>IF(B4965="","",IFERROR(VALUE(TEXT(B4965,"[$-1170401]yyyy")),""))</f>
        <v/>
      </c>
      <c r="M4965">
        <f>IF(B4965="","",IFERROR(VALUE(TEXT(B4965,"[$-1170401]mm")),""))</f>
        <v/>
      </c>
    </row>
    <row r="4966">
      <c r="B4966" s="30" t="n"/>
      <c r="G4966" s="9">
        <f>IF(AND(E4966&lt;&gt;"",E4966&lt;&gt;0,H4966&lt;&gt;""),H4966/E4966,"")</f>
        <v/>
      </c>
      <c r="L4966">
        <f>IF(B4966="","",IFERROR(VALUE(TEXT(B4966,"[$-1170401]yyyy")),""))</f>
        <v/>
      </c>
      <c r="M4966">
        <f>IF(B4966="","",IFERROR(VALUE(TEXT(B4966,"[$-1170401]mm")),""))</f>
        <v/>
      </c>
    </row>
    <row r="4967">
      <c r="B4967" s="30" t="n"/>
      <c r="G4967" s="9">
        <f>IF(AND(E4967&lt;&gt;"",E4967&lt;&gt;0,H4967&lt;&gt;""),H4967/E4967,"")</f>
        <v/>
      </c>
      <c r="L4967">
        <f>IF(B4967="","",IFERROR(VALUE(TEXT(B4967,"[$-1170401]yyyy")),""))</f>
        <v/>
      </c>
      <c r="M4967">
        <f>IF(B4967="","",IFERROR(VALUE(TEXT(B4967,"[$-1170401]mm")),""))</f>
        <v/>
      </c>
    </row>
    <row r="4968">
      <c r="B4968" s="30" t="n"/>
      <c r="G4968" s="9">
        <f>IF(AND(E4968&lt;&gt;"",E4968&lt;&gt;0,H4968&lt;&gt;""),H4968/E4968,"")</f>
        <v/>
      </c>
      <c r="L4968">
        <f>IF(B4968="","",IFERROR(VALUE(TEXT(B4968,"[$-1170401]yyyy")),""))</f>
        <v/>
      </c>
      <c r="M4968">
        <f>IF(B4968="","",IFERROR(VALUE(TEXT(B4968,"[$-1170401]mm")),""))</f>
        <v/>
      </c>
    </row>
    <row r="4969">
      <c r="B4969" s="30" t="n"/>
      <c r="G4969" s="9">
        <f>IF(AND(E4969&lt;&gt;"",E4969&lt;&gt;0,H4969&lt;&gt;""),H4969/E4969,"")</f>
        <v/>
      </c>
      <c r="L4969">
        <f>IF(B4969="","",IFERROR(VALUE(TEXT(B4969,"[$-1170401]yyyy")),""))</f>
        <v/>
      </c>
      <c r="M4969">
        <f>IF(B4969="","",IFERROR(VALUE(TEXT(B4969,"[$-1170401]mm")),""))</f>
        <v/>
      </c>
    </row>
    <row r="4970">
      <c r="B4970" s="30" t="n"/>
      <c r="G4970" s="9">
        <f>IF(AND(E4970&lt;&gt;"",E4970&lt;&gt;0,H4970&lt;&gt;""),H4970/E4970,"")</f>
        <v/>
      </c>
      <c r="L4970">
        <f>IF(B4970="","",IFERROR(VALUE(TEXT(B4970,"[$-1170401]yyyy")),""))</f>
        <v/>
      </c>
      <c r="M4970">
        <f>IF(B4970="","",IFERROR(VALUE(TEXT(B4970,"[$-1170401]mm")),""))</f>
        <v/>
      </c>
    </row>
    <row r="4971">
      <c r="B4971" s="30" t="n"/>
      <c r="G4971" s="9">
        <f>IF(AND(E4971&lt;&gt;"",E4971&lt;&gt;0,H4971&lt;&gt;""),H4971/E4971,"")</f>
        <v/>
      </c>
      <c r="L4971">
        <f>IF(B4971="","",IFERROR(VALUE(TEXT(B4971,"[$-1170401]yyyy")),""))</f>
        <v/>
      </c>
      <c r="M4971">
        <f>IF(B4971="","",IFERROR(VALUE(TEXT(B4971,"[$-1170401]mm")),""))</f>
        <v/>
      </c>
    </row>
    <row r="4972">
      <c r="B4972" s="30" t="n"/>
      <c r="G4972" s="9">
        <f>IF(AND(E4972&lt;&gt;"",E4972&lt;&gt;0,H4972&lt;&gt;""),H4972/E4972,"")</f>
        <v/>
      </c>
      <c r="L4972">
        <f>IF(B4972="","",IFERROR(VALUE(TEXT(B4972,"[$-1170401]yyyy")),""))</f>
        <v/>
      </c>
      <c r="M4972">
        <f>IF(B4972="","",IFERROR(VALUE(TEXT(B4972,"[$-1170401]mm")),""))</f>
        <v/>
      </c>
    </row>
    <row r="4973">
      <c r="B4973" s="30" t="n"/>
      <c r="G4973" s="9">
        <f>IF(AND(E4973&lt;&gt;"",E4973&lt;&gt;0,H4973&lt;&gt;""),H4973/E4973,"")</f>
        <v/>
      </c>
      <c r="L4973">
        <f>IF(B4973="","",IFERROR(VALUE(TEXT(B4973,"[$-1170401]yyyy")),""))</f>
        <v/>
      </c>
      <c r="M4973">
        <f>IF(B4973="","",IFERROR(VALUE(TEXT(B4973,"[$-1170401]mm")),""))</f>
        <v/>
      </c>
    </row>
    <row r="4974">
      <c r="B4974" s="30" t="n"/>
      <c r="G4974" s="9">
        <f>IF(AND(E4974&lt;&gt;"",E4974&lt;&gt;0,H4974&lt;&gt;""),H4974/E4974,"")</f>
        <v/>
      </c>
      <c r="L4974">
        <f>IF(B4974="","",IFERROR(VALUE(TEXT(B4974,"[$-1170401]yyyy")),""))</f>
        <v/>
      </c>
      <c r="M4974">
        <f>IF(B4974="","",IFERROR(VALUE(TEXT(B4974,"[$-1170401]mm")),""))</f>
        <v/>
      </c>
    </row>
    <row r="4975">
      <c r="B4975" s="30" t="n"/>
      <c r="G4975" s="9">
        <f>IF(AND(E4975&lt;&gt;"",E4975&lt;&gt;0,H4975&lt;&gt;""),H4975/E4975,"")</f>
        <v/>
      </c>
      <c r="L4975">
        <f>IF(B4975="","",IFERROR(VALUE(TEXT(B4975,"[$-1170401]yyyy")),""))</f>
        <v/>
      </c>
      <c r="M4975">
        <f>IF(B4975="","",IFERROR(VALUE(TEXT(B4975,"[$-1170401]mm")),""))</f>
        <v/>
      </c>
    </row>
    <row r="4976">
      <c r="B4976" s="30" t="n"/>
      <c r="G4976" s="9">
        <f>IF(AND(E4976&lt;&gt;"",E4976&lt;&gt;0,H4976&lt;&gt;""),H4976/E4976,"")</f>
        <v/>
      </c>
      <c r="L4976">
        <f>IF(B4976="","",IFERROR(VALUE(TEXT(B4976,"[$-1170401]yyyy")),""))</f>
        <v/>
      </c>
      <c r="M4976">
        <f>IF(B4976="","",IFERROR(VALUE(TEXT(B4976,"[$-1170401]mm")),""))</f>
        <v/>
      </c>
    </row>
    <row r="4977">
      <c r="B4977" s="30" t="n"/>
      <c r="G4977" s="9">
        <f>IF(AND(E4977&lt;&gt;"",E4977&lt;&gt;0,H4977&lt;&gt;""),H4977/E4977,"")</f>
        <v/>
      </c>
      <c r="L4977">
        <f>IF(B4977="","",IFERROR(VALUE(TEXT(B4977,"[$-1170401]yyyy")),""))</f>
        <v/>
      </c>
      <c r="M4977">
        <f>IF(B4977="","",IFERROR(VALUE(TEXT(B4977,"[$-1170401]mm")),""))</f>
        <v/>
      </c>
    </row>
    <row r="4978">
      <c r="B4978" s="30" t="n"/>
      <c r="G4978" s="9">
        <f>IF(AND(E4978&lt;&gt;"",E4978&lt;&gt;0,H4978&lt;&gt;""),H4978/E4978,"")</f>
        <v/>
      </c>
      <c r="L4978">
        <f>IF(B4978="","",IFERROR(VALUE(TEXT(B4978,"[$-1170401]yyyy")),""))</f>
        <v/>
      </c>
      <c r="M4978">
        <f>IF(B4978="","",IFERROR(VALUE(TEXT(B4978,"[$-1170401]mm")),""))</f>
        <v/>
      </c>
    </row>
    <row r="4979">
      <c r="B4979" s="30" t="n"/>
      <c r="G4979" s="9">
        <f>IF(AND(E4979&lt;&gt;"",E4979&lt;&gt;0,H4979&lt;&gt;""),H4979/E4979,"")</f>
        <v/>
      </c>
      <c r="L4979">
        <f>IF(B4979="","",IFERROR(VALUE(TEXT(B4979,"[$-1170401]yyyy")),""))</f>
        <v/>
      </c>
      <c r="M4979">
        <f>IF(B4979="","",IFERROR(VALUE(TEXT(B4979,"[$-1170401]mm")),""))</f>
        <v/>
      </c>
    </row>
    <row r="4980">
      <c r="B4980" s="30" t="n"/>
      <c r="G4980" s="9">
        <f>IF(AND(E4980&lt;&gt;"",E4980&lt;&gt;0,H4980&lt;&gt;""),H4980/E4980,"")</f>
        <v/>
      </c>
      <c r="L4980">
        <f>IF(B4980="","",IFERROR(VALUE(TEXT(B4980,"[$-1170401]yyyy")),""))</f>
        <v/>
      </c>
      <c r="M4980">
        <f>IF(B4980="","",IFERROR(VALUE(TEXT(B4980,"[$-1170401]mm")),""))</f>
        <v/>
      </c>
    </row>
    <row r="4981">
      <c r="B4981" s="30" t="n"/>
      <c r="G4981" s="9">
        <f>IF(AND(E4981&lt;&gt;"",E4981&lt;&gt;0,H4981&lt;&gt;""),H4981/E4981,"")</f>
        <v/>
      </c>
      <c r="L4981">
        <f>IF(B4981="","",IFERROR(VALUE(TEXT(B4981,"[$-1170401]yyyy")),""))</f>
        <v/>
      </c>
      <c r="M4981">
        <f>IF(B4981="","",IFERROR(VALUE(TEXT(B4981,"[$-1170401]mm")),""))</f>
        <v/>
      </c>
    </row>
    <row r="4982">
      <c r="B4982" s="30" t="n"/>
      <c r="G4982" s="9">
        <f>IF(AND(E4982&lt;&gt;"",E4982&lt;&gt;0,H4982&lt;&gt;""),H4982/E4982,"")</f>
        <v/>
      </c>
      <c r="L4982">
        <f>IF(B4982="","",IFERROR(VALUE(TEXT(B4982,"[$-1170401]yyyy")),""))</f>
        <v/>
      </c>
      <c r="M4982">
        <f>IF(B4982="","",IFERROR(VALUE(TEXT(B4982,"[$-1170401]mm")),""))</f>
        <v/>
      </c>
    </row>
    <row r="4983">
      <c r="B4983" s="30" t="n"/>
      <c r="G4983" s="9">
        <f>IF(AND(E4983&lt;&gt;"",E4983&lt;&gt;0,H4983&lt;&gt;""),H4983/E4983,"")</f>
        <v/>
      </c>
      <c r="L4983">
        <f>IF(B4983="","",IFERROR(VALUE(TEXT(B4983,"[$-1170401]yyyy")),""))</f>
        <v/>
      </c>
      <c r="M4983">
        <f>IF(B4983="","",IFERROR(VALUE(TEXT(B4983,"[$-1170401]mm")),""))</f>
        <v/>
      </c>
    </row>
    <row r="4984">
      <c r="B4984" s="30" t="n"/>
      <c r="G4984" s="9">
        <f>IF(AND(E4984&lt;&gt;"",E4984&lt;&gt;0,H4984&lt;&gt;""),H4984/E4984,"")</f>
        <v/>
      </c>
      <c r="L4984">
        <f>IF(B4984="","",IFERROR(VALUE(TEXT(B4984,"[$-1170401]yyyy")),""))</f>
        <v/>
      </c>
      <c r="M4984">
        <f>IF(B4984="","",IFERROR(VALUE(TEXT(B4984,"[$-1170401]mm")),""))</f>
        <v/>
      </c>
    </row>
    <row r="4985">
      <c r="B4985" s="30" t="n"/>
      <c r="G4985" s="9">
        <f>IF(AND(E4985&lt;&gt;"",E4985&lt;&gt;0,H4985&lt;&gt;""),H4985/E4985,"")</f>
        <v/>
      </c>
      <c r="L4985">
        <f>IF(B4985="","",IFERROR(VALUE(TEXT(B4985,"[$-1170401]yyyy")),""))</f>
        <v/>
      </c>
      <c r="M4985">
        <f>IF(B4985="","",IFERROR(VALUE(TEXT(B4985,"[$-1170401]mm")),""))</f>
        <v/>
      </c>
    </row>
    <row r="4986">
      <c r="B4986" s="30" t="n"/>
      <c r="G4986" s="9">
        <f>IF(AND(E4986&lt;&gt;"",E4986&lt;&gt;0,H4986&lt;&gt;""),H4986/E4986,"")</f>
        <v/>
      </c>
      <c r="L4986">
        <f>IF(B4986="","",IFERROR(VALUE(TEXT(B4986,"[$-1170401]yyyy")),""))</f>
        <v/>
      </c>
      <c r="M4986">
        <f>IF(B4986="","",IFERROR(VALUE(TEXT(B4986,"[$-1170401]mm")),""))</f>
        <v/>
      </c>
    </row>
    <row r="4987">
      <c r="B4987" s="30" t="n"/>
      <c r="G4987" s="9">
        <f>IF(AND(E4987&lt;&gt;"",E4987&lt;&gt;0,H4987&lt;&gt;""),H4987/E4987,"")</f>
        <v/>
      </c>
      <c r="L4987">
        <f>IF(B4987="","",IFERROR(VALUE(TEXT(B4987,"[$-1170401]yyyy")),""))</f>
        <v/>
      </c>
      <c r="M4987">
        <f>IF(B4987="","",IFERROR(VALUE(TEXT(B4987,"[$-1170401]mm")),""))</f>
        <v/>
      </c>
    </row>
    <row r="4988">
      <c r="B4988" s="30" t="n"/>
      <c r="G4988" s="9">
        <f>IF(AND(E4988&lt;&gt;"",E4988&lt;&gt;0,H4988&lt;&gt;""),H4988/E4988,"")</f>
        <v/>
      </c>
      <c r="L4988">
        <f>IF(B4988="","",IFERROR(VALUE(TEXT(B4988,"[$-1170401]yyyy")),""))</f>
        <v/>
      </c>
      <c r="M4988">
        <f>IF(B4988="","",IFERROR(VALUE(TEXT(B4988,"[$-1170401]mm")),""))</f>
        <v/>
      </c>
    </row>
    <row r="4989">
      <c r="B4989" s="30" t="n"/>
      <c r="G4989" s="9">
        <f>IF(AND(E4989&lt;&gt;"",E4989&lt;&gt;0,H4989&lt;&gt;""),H4989/E4989,"")</f>
        <v/>
      </c>
      <c r="L4989">
        <f>IF(B4989="","",IFERROR(VALUE(TEXT(B4989,"[$-1170401]yyyy")),""))</f>
        <v/>
      </c>
      <c r="M4989">
        <f>IF(B4989="","",IFERROR(VALUE(TEXT(B4989,"[$-1170401]mm")),""))</f>
        <v/>
      </c>
    </row>
    <row r="4990">
      <c r="B4990" s="30" t="n"/>
      <c r="G4990" s="9">
        <f>IF(AND(E4990&lt;&gt;"",E4990&lt;&gt;0,H4990&lt;&gt;""),H4990/E4990,"")</f>
        <v/>
      </c>
      <c r="L4990">
        <f>IF(B4990="","",IFERROR(VALUE(TEXT(B4990,"[$-1170401]yyyy")),""))</f>
        <v/>
      </c>
      <c r="M4990">
        <f>IF(B4990="","",IFERROR(VALUE(TEXT(B4990,"[$-1170401]mm")),""))</f>
        <v/>
      </c>
    </row>
    <row r="4991">
      <c r="B4991" s="30" t="n"/>
      <c r="G4991" s="9">
        <f>IF(AND(E4991&lt;&gt;"",E4991&lt;&gt;0,H4991&lt;&gt;""),H4991/E4991,"")</f>
        <v/>
      </c>
      <c r="L4991">
        <f>IF(B4991="","",IFERROR(VALUE(TEXT(B4991,"[$-1170401]yyyy")),""))</f>
        <v/>
      </c>
      <c r="M4991">
        <f>IF(B4991="","",IFERROR(VALUE(TEXT(B4991,"[$-1170401]mm")),""))</f>
        <v/>
      </c>
    </row>
    <row r="4992">
      <c r="B4992" s="30" t="n"/>
      <c r="G4992" s="9">
        <f>IF(AND(E4992&lt;&gt;"",E4992&lt;&gt;0,H4992&lt;&gt;""),H4992/E4992,"")</f>
        <v/>
      </c>
      <c r="L4992">
        <f>IF(B4992="","",IFERROR(VALUE(TEXT(B4992,"[$-1170401]yyyy")),""))</f>
        <v/>
      </c>
      <c r="M4992">
        <f>IF(B4992="","",IFERROR(VALUE(TEXT(B4992,"[$-1170401]mm")),""))</f>
        <v/>
      </c>
    </row>
    <row r="4993">
      <c r="B4993" s="30" t="n"/>
      <c r="G4993" s="9">
        <f>IF(AND(E4993&lt;&gt;"",E4993&lt;&gt;0,H4993&lt;&gt;""),H4993/E4993,"")</f>
        <v/>
      </c>
      <c r="L4993">
        <f>IF(B4993="","",IFERROR(VALUE(TEXT(B4993,"[$-1170401]yyyy")),""))</f>
        <v/>
      </c>
      <c r="M4993">
        <f>IF(B4993="","",IFERROR(VALUE(TEXT(B4993,"[$-1170401]mm")),""))</f>
        <v/>
      </c>
    </row>
    <row r="4994">
      <c r="B4994" s="30" t="n"/>
      <c r="G4994" s="9">
        <f>IF(AND(E4994&lt;&gt;"",E4994&lt;&gt;0,H4994&lt;&gt;""),H4994/E4994,"")</f>
        <v/>
      </c>
      <c r="L4994">
        <f>IF(B4994="","",IFERROR(VALUE(TEXT(B4994,"[$-1170401]yyyy")),""))</f>
        <v/>
      </c>
      <c r="M4994">
        <f>IF(B4994="","",IFERROR(VALUE(TEXT(B4994,"[$-1170401]mm")),""))</f>
        <v/>
      </c>
    </row>
    <row r="4995">
      <c r="B4995" s="30" t="n"/>
      <c r="G4995" s="9">
        <f>IF(AND(E4995&lt;&gt;"",E4995&lt;&gt;0,H4995&lt;&gt;""),H4995/E4995,"")</f>
        <v/>
      </c>
      <c r="L4995">
        <f>IF(B4995="","",IFERROR(VALUE(TEXT(B4995,"[$-1170401]yyyy")),""))</f>
        <v/>
      </c>
      <c r="M4995">
        <f>IF(B4995="","",IFERROR(VALUE(TEXT(B4995,"[$-1170401]mm")),""))</f>
        <v/>
      </c>
    </row>
    <row r="4996">
      <c r="B4996" s="30" t="n"/>
      <c r="G4996" s="9">
        <f>IF(AND(E4996&lt;&gt;"",E4996&lt;&gt;0,H4996&lt;&gt;""),H4996/E4996,"")</f>
        <v/>
      </c>
      <c r="L4996">
        <f>IF(B4996="","",IFERROR(VALUE(TEXT(B4996,"[$-1170401]yyyy")),""))</f>
        <v/>
      </c>
      <c r="M4996">
        <f>IF(B4996="","",IFERROR(VALUE(TEXT(B4996,"[$-1170401]mm")),""))</f>
        <v/>
      </c>
    </row>
    <row r="4997">
      <c r="B4997" s="30" t="n"/>
      <c r="G4997" s="9">
        <f>IF(AND(E4997&lt;&gt;"",E4997&lt;&gt;0,H4997&lt;&gt;""),H4997/E4997,"")</f>
        <v/>
      </c>
      <c r="L4997">
        <f>IF(B4997="","",IFERROR(VALUE(TEXT(B4997,"[$-1170401]yyyy")),""))</f>
        <v/>
      </c>
      <c r="M4997">
        <f>IF(B4997="","",IFERROR(VALUE(TEXT(B4997,"[$-1170401]mm")),""))</f>
        <v/>
      </c>
    </row>
    <row r="4998">
      <c r="B4998" s="30" t="n"/>
      <c r="G4998" s="9">
        <f>IF(AND(E4998&lt;&gt;"",E4998&lt;&gt;0,H4998&lt;&gt;""),H4998/E4998,"")</f>
        <v/>
      </c>
      <c r="L4998">
        <f>IF(B4998="","",IFERROR(VALUE(TEXT(B4998,"[$-1170401]yyyy")),""))</f>
        <v/>
      </c>
      <c r="M4998">
        <f>IF(B4998="","",IFERROR(VALUE(TEXT(B4998,"[$-1170401]mm")),""))</f>
        <v/>
      </c>
    </row>
    <row r="4999">
      <c r="B4999" s="30" t="n"/>
      <c r="G4999" s="9">
        <f>IF(AND(E4999&lt;&gt;"",E4999&lt;&gt;0,H4999&lt;&gt;""),H4999/E4999,"")</f>
        <v/>
      </c>
      <c r="L4999">
        <f>IF(B4999="","",IFERROR(VALUE(TEXT(B4999,"[$-1170401]yyyy")),""))</f>
        <v/>
      </c>
      <c r="M4999">
        <f>IF(B4999="","",IFERROR(VALUE(TEXT(B4999,"[$-1170401]mm")),""))</f>
        <v/>
      </c>
    </row>
    <row r="5000">
      <c r="B5000" s="30" t="n"/>
      <c r="G5000" s="9">
        <f>IF(AND(E5000&lt;&gt;"",E5000&lt;&gt;0,H5000&lt;&gt;""),H5000/E5000,"")</f>
        <v/>
      </c>
      <c r="L5000">
        <f>IF(B5000="","",IFERROR(VALUE(TEXT(B5000,"[$-1170401]yyyy")),""))</f>
        <v/>
      </c>
      <c r="M5000">
        <f>IF(B5000="","",IFERROR(VALUE(TEXT(B5000,"[$-1170401]mm")),""))</f>
        <v/>
      </c>
    </row>
    <row r="5001">
      <c r="G5001" s="9">
        <f t="shared" ref="G5001:G20000" si="0">IF(AND(E5001&lt;&gt;"",E5001&lt;&gt;0,H5001&lt;&gt;""),H5001/E5001,"")</f>
      </c>
      <c r="L5001">
        <f t="shared" ref="L5001:L20000" si="1">IF(B5001="","",IFERROR(VALUE(TEXT(B5001,"[$-1170401]yyyy")),""))</f>
      </c>
      <c r="M5001">
        <f t="shared" ref="M5001:M20000" si="2">IF(B5001="","",IFERROR(VALUE(TEXT(B5001,"[$-1170401]mm")),""))</f>
      </c>
    </row>
    <row r="5002">
      <c r="G5002" s="9">
        <f t="shared" si="0"/>
      </c>
      <c r="L5002">
        <f t="shared" si="1"/>
      </c>
      <c r="M5002">
        <f t="shared" si="2"/>
      </c>
    </row>
    <row r="5003">
      <c r="G5003" s="9">
        <f t="shared" si="0"/>
      </c>
      <c r="L5003">
        <f t="shared" si="1"/>
      </c>
      <c r="M5003">
        <f t="shared" si="2"/>
      </c>
    </row>
    <row r="5004">
      <c r="G5004" s="9">
        <f t="shared" si="0"/>
      </c>
      <c r="L5004">
        <f t="shared" si="1"/>
      </c>
      <c r="M5004">
        <f t="shared" si="2"/>
      </c>
    </row>
    <row r="5005">
      <c r="G5005" s="9">
        <f t="shared" si="0"/>
      </c>
      <c r="L5005">
        <f t="shared" si="1"/>
      </c>
      <c r="M5005">
        <f t="shared" si="2"/>
      </c>
    </row>
    <row r="5006">
      <c r="G5006" s="9">
        <f t="shared" si="0"/>
      </c>
      <c r="L5006">
        <f t="shared" si="1"/>
      </c>
      <c r="M5006">
        <f t="shared" si="2"/>
      </c>
    </row>
    <row r="5007">
      <c r="G5007" s="9">
        <f t="shared" si="0"/>
      </c>
      <c r="L5007">
        <f t="shared" si="1"/>
      </c>
      <c r="M5007">
        <f t="shared" si="2"/>
      </c>
    </row>
    <row r="5008">
      <c r="G5008" s="9">
        <f t="shared" si="0"/>
      </c>
      <c r="L5008">
        <f t="shared" si="1"/>
      </c>
      <c r="M5008">
        <f t="shared" si="2"/>
      </c>
    </row>
    <row r="5009">
      <c r="G5009" s="9">
        <f t="shared" si="0"/>
      </c>
      <c r="L5009">
        <f t="shared" si="1"/>
      </c>
      <c r="M5009">
        <f t="shared" si="2"/>
      </c>
    </row>
    <row r="5010">
      <c r="G5010" s="9">
        <f t="shared" si="0"/>
      </c>
      <c r="L5010">
        <f t="shared" si="1"/>
      </c>
      <c r="M5010">
        <f t="shared" si="2"/>
      </c>
    </row>
    <row r="5011">
      <c r="G5011" s="9">
        <f t="shared" si="0"/>
      </c>
      <c r="L5011">
        <f t="shared" si="1"/>
      </c>
      <c r="M5011">
        <f t="shared" si="2"/>
      </c>
    </row>
    <row r="5012">
      <c r="G5012" s="9">
        <f t="shared" si="0"/>
      </c>
      <c r="L5012">
        <f t="shared" si="1"/>
      </c>
      <c r="M5012">
        <f t="shared" si="2"/>
      </c>
    </row>
    <row r="5013">
      <c r="G5013" s="9">
        <f t="shared" si="0"/>
      </c>
      <c r="L5013">
        <f t="shared" si="1"/>
      </c>
      <c r="M5013">
        <f t="shared" si="2"/>
      </c>
    </row>
    <row r="5014">
      <c r="G5014" s="9">
        <f t="shared" si="0"/>
      </c>
      <c r="L5014">
        <f t="shared" si="1"/>
      </c>
      <c r="M5014">
        <f t="shared" si="2"/>
      </c>
    </row>
    <row r="5015">
      <c r="G5015" s="9">
        <f t="shared" si="0"/>
      </c>
      <c r="L5015">
        <f t="shared" si="1"/>
      </c>
      <c r="M5015">
        <f t="shared" si="2"/>
      </c>
    </row>
    <row r="5016">
      <c r="G5016" s="9">
        <f t="shared" si="0"/>
      </c>
      <c r="L5016">
        <f t="shared" si="1"/>
      </c>
      <c r="M5016">
        <f t="shared" si="2"/>
      </c>
    </row>
    <row r="5017">
      <c r="G5017" s="9">
        <f t="shared" si="0"/>
      </c>
      <c r="L5017">
        <f t="shared" si="1"/>
      </c>
      <c r="M5017">
        <f t="shared" si="2"/>
      </c>
    </row>
    <row r="5018">
      <c r="G5018" s="9">
        <f t="shared" si="0"/>
      </c>
      <c r="L5018">
        <f t="shared" si="1"/>
      </c>
      <c r="M5018">
        <f t="shared" si="2"/>
      </c>
    </row>
    <row r="5019">
      <c r="G5019" s="9">
        <f t="shared" si="0"/>
      </c>
      <c r="L5019">
        <f t="shared" si="1"/>
      </c>
      <c r="M5019">
        <f t="shared" si="2"/>
      </c>
    </row>
    <row r="5020">
      <c r="G5020" s="9">
        <f t="shared" si="0"/>
      </c>
      <c r="L5020">
        <f t="shared" si="1"/>
      </c>
      <c r="M5020">
        <f t="shared" si="2"/>
      </c>
    </row>
    <row r="5021">
      <c r="G5021" s="9">
        <f t="shared" si="0"/>
      </c>
      <c r="L5021">
        <f t="shared" si="1"/>
      </c>
      <c r="M5021">
        <f t="shared" si="2"/>
      </c>
    </row>
    <row r="5022">
      <c r="G5022" s="9">
        <f t="shared" si="0"/>
      </c>
      <c r="L5022">
        <f t="shared" si="1"/>
      </c>
      <c r="M5022">
        <f t="shared" si="2"/>
      </c>
    </row>
    <row r="5023">
      <c r="G5023" s="9">
        <f t="shared" si="0"/>
      </c>
      <c r="L5023">
        <f t="shared" si="1"/>
      </c>
      <c r="M5023">
        <f t="shared" si="2"/>
      </c>
    </row>
    <row r="5024">
      <c r="G5024" s="9">
        <f t="shared" si="0"/>
      </c>
      <c r="L5024">
        <f t="shared" si="1"/>
      </c>
      <c r="M5024">
        <f t="shared" si="2"/>
      </c>
    </row>
    <row r="5025">
      <c r="G5025" s="9">
        <f t="shared" si="0"/>
      </c>
      <c r="L5025">
        <f t="shared" si="1"/>
      </c>
      <c r="M5025">
        <f t="shared" si="2"/>
      </c>
    </row>
    <row r="5026">
      <c r="G5026" s="9">
        <f t="shared" si="0"/>
      </c>
      <c r="L5026">
        <f t="shared" si="1"/>
      </c>
      <c r="M5026">
        <f t="shared" si="2"/>
      </c>
    </row>
    <row r="5027">
      <c r="G5027" s="9">
        <f t="shared" si="0"/>
      </c>
      <c r="L5027">
        <f t="shared" si="1"/>
      </c>
      <c r="M5027">
        <f t="shared" si="2"/>
      </c>
    </row>
    <row r="5028">
      <c r="G5028" s="9">
        <f t="shared" si="0"/>
      </c>
      <c r="L5028">
        <f t="shared" si="1"/>
      </c>
      <c r="M5028">
        <f t="shared" si="2"/>
      </c>
    </row>
    <row r="5029">
      <c r="G5029" s="9">
        <f t="shared" si="0"/>
      </c>
      <c r="L5029">
        <f t="shared" si="1"/>
      </c>
      <c r="M5029">
        <f t="shared" si="2"/>
      </c>
    </row>
    <row r="5030">
      <c r="G5030" s="9">
        <f t="shared" si="0"/>
      </c>
      <c r="L5030">
        <f t="shared" si="1"/>
      </c>
      <c r="M5030">
        <f t="shared" si="2"/>
      </c>
    </row>
    <row r="5031">
      <c r="G5031" s="9">
        <f t="shared" si="0"/>
      </c>
      <c r="L5031">
        <f t="shared" si="1"/>
      </c>
      <c r="M5031">
        <f t="shared" si="2"/>
      </c>
    </row>
    <row r="5032">
      <c r="G5032" s="9">
        <f t="shared" si="0"/>
      </c>
      <c r="L5032">
        <f t="shared" si="1"/>
      </c>
      <c r="M5032">
        <f t="shared" si="2"/>
      </c>
    </row>
    <row r="5033">
      <c r="G5033" s="9">
        <f t="shared" si="0"/>
      </c>
      <c r="L5033">
        <f t="shared" si="1"/>
      </c>
      <c r="M5033">
        <f t="shared" si="2"/>
      </c>
    </row>
    <row r="5034">
      <c r="G5034" s="9">
        <f t="shared" si="0"/>
      </c>
      <c r="L5034">
        <f t="shared" si="1"/>
      </c>
      <c r="M5034">
        <f t="shared" si="2"/>
      </c>
    </row>
    <row r="5035">
      <c r="G5035" s="9">
        <f t="shared" si="0"/>
      </c>
      <c r="L5035">
        <f t="shared" si="1"/>
      </c>
      <c r="M5035">
        <f t="shared" si="2"/>
      </c>
    </row>
    <row r="5036">
      <c r="G5036" s="9">
        <f t="shared" si="0"/>
      </c>
      <c r="L5036">
        <f t="shared" si="1"/>
      </c>
      <c r="M5036">
        <f t="shared" si="2"/>
      </c>
    </row>
    <row r="5037">
      <c r="G5037" s="9">
        <f t="shared" si="0"/>
      </c>
      <c r="L5037">
        <f t="shared" si="1"/>
      </c>
      <c r="M5037">
        <f t="shared" si="2"/>
      </c>
    </row>
    <row r="5038">
      <c r="G5038" s="9">
        <f t="shared" si="0"/>
      </c>
      <c r="L5038">
        <f t="shared" si="1"/>
      </c>
      <c r="M5038">
        <f t="shared" si="2"/>
      </c>
    </row>
    <row r="5039">
      <c r="G5039" s="9">
        <f t="shared" si="0"/>
      </c>
      <c r="L5039">
        <f t="shared" si="1"/>
      </c>
      <c r="M5039">
        <f t="shared" si="2"/>
      </c>
    </row>
    <row r="5040">
      <c r="G5040" s="9">
        <f t="shared" si="0"/>
      </c>
      <c r="L5040">
        <f t="shared" si="1"/>
      </c>
      <c r="M5040">
        <f t="shared" si="2"/>
      </c>
    </row>
    <row r="5041">
      <c r="G5041" s="9">
        <f t="shared" si="0"/>
      </c>
      <c r="L5041">
        <f t="shared" si="1"/>
      </c>
      <c r="M5041">
        <f t="shared" si="2"/>
      </c>
    </row>
    <row r="5042">
      <c r="G5042" s="9">
        <f t="shared" si="0"/>
      </c>
      <c r="L5042">
        <f t="shared" si="1"/>
      </c>
      <c r="M5042">
        <f t="shared" si="2"/>
      </c>
    </row>
    <row r="5043">
      <c r="G5043" s="9">
        <f t="shared" si="0"/>
      </c>
      <c r="L5043">
        <f t="shared" si="1"/>
      </c>
      <c r="M5043">
        <f t="shared" si="2"/>
      </c>
    </row>
    <row r="5044">
      <c r="G5044" s="9">
        <f t="shared" si="0"/>
      </c>
      <c r="L5044">
        <f t="shared" si="1"/>
      </c>
      <c r="M5044">
        <f t="shared" si="2"/>
      </c>
    </row>
    <row r="5045">
      <c r="G5045" s="9">
        <f t="shared" si="0"/>
      </c>
      <c r="L5045">
        <f t="shared" si="1"/>
      </c>
      <c r="M5045">
        <f t="shared" si="2"/>
      </c>
    </row>
    <row r="5046">
      <c r="G5046" s="9">
        <f t="shared" si="0"/>
      </c>
      <c r="L5046">
        <f t="shared" si="1"/>
      </c>
      <c r="M5046">
        <f t="shared" si="2"/>
      </c>
    </row>
    <row r="5047">
      <c r="G5047" s="9">
        <f t="shared" si="0"/>
      </c>
      <c r="L5047">
        <f t="shared" si="1"/>
      </c>
      <c r="M5047">
        <f t="shared" si="2"/>
      </c>
    </row>
    <row r="5048">
      <c r="G5048" s="9">
        <f t="shared" si="0"/>
      </c>
      <c r="L5048">
        <f t="shared" si="1"/>
      </c>
      <c r="M5048">
        <f t="shared" si="2"/>
      </c>
    </row>
    <row r="5049">
      <c r="G5049" s="9">
        <f t="shared" si="0"/>
      </c>
      <c r="L5049">
        <f t="shared" si="1"/>
      </c>
      <c r="M5049">
        <f t="shared" si="2"/>
      </c>
    </row>
    <row r="5050">
      <c r="G5050" s="9">
        <f t="shared" si="0"/>
      </c>
      <c r="L5050">
        <f t="shared" si="1"/>
      </c>
      <c r="M5050">
        <f t="shared" si="2"/>
      </c>
    </row>
    <row r="5051">
      <c r="G5051" s="9">
        <f t="shared" si="0"/>
      </c>
      <c r="L5051">
        <f t="shared" si="1"/>
      </c>
      <c r="M5051">
        <f t="shared" si="2"/>
      </c>
    </row>
    <row r="5052">
      <c r="G5052" s="9">
        <f t="shared" si="0"/>
      </c>
      <c r="L5052">
        <f t="shared" si="1"/>
      </c>
      <c r="M5052">
        <f t="shared" si="2"/>
      </c>
    </row>
    <row r="5053">
      <c r="G5053" s="9">
        <f t="shared" si="0"/>
      </c>
      <c r="L5053">
        <f t="shared" si="1"/>
      </c>
      <c r="M5053">
        <f t="shared" si="2"/>
      </c>
    </row>
    <row r="5054">
      <c r="G5054" s="9">
        <f t="shared" si="0"/>
      </c>
      <c r="L5054">
        <f t="shared" si="1"/>
      </c>
      <c r="M5054">
        <f t="shared" si="2"/>
      </c>
    </row>
    <row r="5055">
      <c r="G5055" s="9">
        <f t="shared" si="0"/>
      </c>
      <c r="L5055">
        <f t="shared" si="1"/>
      </c>
      <c r="M5055">
        <f t="shared" si="2"/>
      </c>
    </row>
    <row r="5056">
      <c r="G5056" s="9">
        <f t="shared" si="0"/>
      </c>
      <c r="L5056">
        <f t="shared" si="1"/>
      </c>
      <c r="M5056">
        <f t="shared" si="2"/>
      </c>
    </row>
    <row r="5057">
      <c r="G5057" s="9">
        <f t="shared" si="0"/>
      </c>
      <c r="L5057">
        <f t="shared" si="1"/>
      </c>
      <c r="M5057">
        <f t="shared" si="2"/>
      </c>
    </row>
    <row r="5058">
      <c r="G5058" s="9">
        <f t="shared" si="0"/>
      </c>
      <c r="L5058">
        <f t="shared" si="1"/>
      </c>
      <c r="M5058">
        <f t="shared" si="2"/>
      </c>
    </row>
    <row r="5059">
      <c r="G5059" s="9">
        <f t="shared" si="0"/>
      </c>
      <c r="L5059">
        <f t="shared" si="1"/>
      </c>
      <c r="M5059">
        <f t="shared" si="2"/>
      </c>
    </row>
    <row r="5060">
      <c r="G5060" s="9">
        <f t="shared" si="0"/>
      </c>
      <c r="L5060">
        <f t="shared" si="1"/>
      </c>
      <c r="M5060">
        <f t="shared" si="2"/>
      </c>
    </row>
    <row r="5061">
      <c r="G5061" s="9">
        <f t="shared" si="0"/>
      </c>
      <c r="L5061">
        <f t="shared" si="1"/>
      </c>
      <c r="M5061">
        <f t="shared" si="2"/>
      </c>
    </row>
    <row r="5062">
      <c r="G5062" s="9">
        <f t="shared" si="0"/>
      </c>
      <c r="L5062">
        <f t="shared" si="1"/>
      </c>
      <c r="M5062">
        <f t="shared" si="2"/>
      </c>
    </row>
    <row r="5063">
      <c r="G5063" s="9">
        <f t="shared" si="0"/>
      </c>
      <c r="L5063">
        <f t="shared" si="1"/>
      </c>
      <c r="M5063">
        <f t="shared" si="2"/>
      </c>
    </row>
    <row r="5064">
      <c r="G5064" s="9">
        <f t="shared" si="0"/>
      </c>
      <c r="L5064">
        <f t="shared" si="1"/>
      </c>
      <c r="M5064">
        <f t="shared" si="2"/>
      </c>
    </row>
    <row r="5065">
      <c r="G5065" s="9">
        <f t="shared" si="0"/>
      </c>
      <c r="L5065">
        <f t="shared" si="1"/>
      </c>
      <c r="M5065">
        <f t="shared" si="2"/>
      </c>
    </row>
    <row r="5066">
      <c r="G5066" s="9">
        <f t="shared" si="0"/>
      </c>
      <c r="L5066">
        <f t="shared" si="1"/>
      </c>
      <c r="M5066">
        <f t="shared" si="2"/>
      </c>
    </row>
    <row r="5067">
      <c r="G5067" s="9">
        <f t="shared" si="0"/>
      </c>
      <c r="L5067">
        <f t="shared" si="1"/>
      </c>
      <c r="M5067">
        <f t="shared" si="2"/>
      </c>
    </row>
    <row r="5068">
      <c r="G5068" s="9">
        <f t="shared" si="0"/>
      </c>
      <c r="L5068">
        <f t="shared" si="1"/>
      </c>
      <c r="M5068">
        <f t="shared" si="2"/>
      </c>
    </row>
    <row r="5069">
      <c r="G5069" s="9">
        <f t="shared" si="0"/>
      </c>
      <c r="L5069">
        <f t="shared" si="1"/>
      </c>
      <c r="M5069">
        <f t="shared" si="2"/>
      </c>
    </row>
    <row r="5070">
      <c r="G5070" s="9">
        <f t="shared" si="0"/>
      </c>
      <c r="L5070">
        <f t="shared" si="1"/>
      </c>
      <c r="M5070">
        <f t="shared" si="2"/>
      </c>
    </row>
    <row r="5071">
      <c r="G5071" s="9">
        <f t="shared" si="0"/>
      </c>
      <c r="L5071">
        <f t="shared" si="1"/>
      </c>
      <c r="M5071">
        <f t="shared" si="2"/>
      </c>
    </row>
    <row r="5072">
      <c r="G5072" s="9">
        <f t="shared" si="0"/>
      </c>
      <c r="L5072">
        <f t="shared" si="1"/>
      </c>
      <c r="M5072">
        <f t="shared" si="2"/>
      </c>
    </row>
    <row r="5073">
      <c r="G5073" s="9">
        <f t="shared" si="0"/>
      </c>
      <c r="L5073">
        <f t="shared" si="1"/>
      </c>
      <c r="M5073">
        <f t="shared" si="2"/>
      </c>
    </row>
    <row r="5074">
      <c r="G5074" s="9">
        <f t="shared" si="0"/>
      </c>
      <c r="L5074">
        <f t="shared" si="1"/>
      </c>
      <c r="M5074">
        <f t="shared" si="2"/>
      </c>
    </row>
    <row r="5075">
      <c r="G5075" s="9">
        <f t="shared" si="0"/>
      </c>
      <c r="L5075">
        <f t="shared" si="1"/>
      </c>
      <c r="M5075">
        <f t="shared" si="2"/>
      </c>
    </row>
    <row r="5076">
      <c r="G5076" s="9">
        <f t="shared" si="0"/>
      </c>
      <c r="L5076">
        <f t="shared" si="1"/>
      </c>
      <c r="M5076">
        <f t="shared" si="2"/>
      </c>
    </row>
    <row r="5077">
      <c r="G5077" s="9">
        <f t="shared" si="0"/>
      </c>
      <c r="L5077">
        <f t="shared" si="1"/>
      </c>
      <c r="M5077">
        <f t="shared" si="2"/>
      </c>
    </row>
    <row r="5078">
      <c r="G5078" s="9">
        <f t="shared" si="0"/>
      </c>
      <c r="L5078">
        <f t="shared" si="1"/>
      </c>
      <c r="M5078">
        <f t="shared" si="2"/>
      </c>
    </row>
    <row r="5079">
      <c r="G5079" s="9">
        <f t="shared" si="0"/>
      </c>
      <c r="L5079">
        <f t="shared" si="1"/>
      </c>
      <c r="M5079">
        <f t="shared" si="2"/>
      </c>
    </row>
    <row r="5080">
      <c r="G5080" s="9">
        <f t="shared" si="0"/>
      </c>
      <c r="L5080">
        <f t="shared" si="1"/>
      </c>
      <c r="M5080">
        <f t="shared" si="2"/>
      </c>
    </row>
    <row r="5081">
      <c r="G5081" s="9">
        <f t="shared" si="0"/>
      </c>
      <c r="L5081">
        <f t="shared" si="1"/>
      </c>
      <c r="M5081">
        <f t="shared" si="2"/>
      </c>
    </row>
    <row r="5082">
      <c r="G5082" s="9">
        <f t="shared" si="0"/>
      </c>
      <c r="L5082">
        <f t="shared" si="1"/>
      </c>
      <c r="M5082">
        <f t="shared" si="2"/>
      </c>
    </row>
    <row r="5083">
      <c r="G5083" s="9">
        <f t="shared" si="0"/>
      </c>
      <c r="L5083">
        <f t="shared" si="1"/>
      </c>
      <c r="M5083">
        <f t="shared" si="2"/>
      </c>
    </row>
    <row r="5084">
      <c r="G5084" s="9">
        <f t="shared" si="0"/>
      </c>
      <c r="L5084">
        <f t="shared" si="1"/>
      </c>
      <c r="M5084">
        <f t="shared" si="2"/>
      </c>
    </row>
    <row r="5085">
      <c r="G5085" s="9">
        <f t="shared" si="0"/>
      </c>
      <c r="L5085">
        <f t="shared" si="1"/>
      </c>
      <c r="M5085">
        <f t="shared" si="2"/>
      </c>
    </row>
    <row r="5086">
      <c r="G5086" s="9">
        <f t="shared" si="0"/>
      </c>
      <c r="L5086">
        <f t="shared" si="1"/>
      </c>
      <c r="M5086">
        <f t="shared" si="2"/>
      </c>
    </row>
    <row r="5087">
      <c r="G5087" s="9">
        <f t="shared" si="0"/>
      </c>
      <c r="L5087">
        <f t="shared" si="1"/>
      </c>
      <c r="M5087">
        <f t="shared" si="2"/>
      </c>
    </row>
    <row r="5088">
      <c r="G5088" s="9">
        <f t="shared" si="0"/>
      </c>
      <c r="L5088">
        <f t="shared" si="1"/>
      </c>
      <c r="M5088">
        <f t="shared" si="2"/>
      </c>
    </row>
    <row r="5089">
      <c r="G5089" s="9">
        <f t="shared" si="0"/>
      </c>
      <c r="L5089">
        <f t="shared" si="1"/>
      </c>
      <c r="M5089">
        <f t="shared" si="2"/>
      </c>
    </row>
    <row r="5090">
      <c r="G5090" s="9">
        <f t="shared" si="0"/>
      </c>
      <c r="L5090">
        <f t="shared" si="1"/>
      </c>
      <c r="M5090">
        <f t="shared" si="2"/>
      </c>
    </row>
    <row r="5091">
      <c r="G5091" s="9">
        <f t="shared" si="0"/>
      </c>
      <c r="L5091">
        <f t="shared" si="1"/>
      </c>
      <c r="M5091">
        <f t="shared" si="2"/>
      </c>
    </row>
    <row r="5092">
      <c r="G5092" s="9">
        <f t="shared" si="0"/>
      </c>
      <c r="L5092">
        <f t="shared" si="1"/>
      </c>
      <c r="M5092">
        <f t="shared" si="2"/>
      </c>
    </row>
    <row r="5093">
      <c r="G5093" s="9">
        <f t="shared" si="0"/>
      </c>
      <c r="L5093">
        <f t="shared" si="1"/>
      </c>
      <c r="M5093">
        <f t="shared" si="2"/>
      </c>
    </row>
    <row r="5094">
      <c r="G5094" s="9">
        <f t="shared" si="0"/>
      </c>
      <c r="L5094">
        <f t="shared" si="1"/>
      </c>
      <c r="M5094">
        <f t="shared" si="2"/>
      </c>
    </row>
    <row r="5095">
      <c r="G5095" s="9">
        <f t="shared" si="0"/>
      </c>
      <c r="L5095">
        <f t="shared" si="1"/>
      </c>
      <c r="M5095">
        <f t="shared" si="2"/>
      </c>
    </row>
    <row r="5096">
      <c r="G5096" s="9">
        <f t="shared" si="0"/>
      </c>
      <c r="L5096">
        <f t="shared" si="1"/>
      </c>
      <c r="M5096">
        <f t="shared" si="2"/>
      </c>
    </row>
    <row r="5097">
      <c r="G5097" s="9">
        <f t="shared" si="0"/>
      </c>
      <c r="L5097">
        <f t="shared" si="1"/>
      </c>
      <c r="M5097">
        <f t="shared" si="2"/>
      </c>
    </row>
    <row r="5098">
      <c r="G5098" s="9">
        <f t="shared" si="0"/>
      </c>
      <c r="L5098">
        <f t="shared" si="1"/>
      </c>
      <c r="M5098">
        <f t="shared" si="2"/>
      </c>
    </row>
    <row r="5099">
      <c r="G5099" s="9">
        <f t="shared" si="0"/>
      </c>
      <c r="L5099">
        <f t="shared" si="1"/>
      </c>
      <c r="M5099">
        <f t="shared" si="2"/>
      </c>
    </row>
    <row r="5100">
      <c r="G5100" s="9">
        <f t="shared" si="0"/>
      </c>
      <c r="L5100">
        <f t="shared" si="1"/>
      </c>
      <c r="M5100">
        <f t="shared" si="2"/>
      </c>
    </row>
    <row r="5101">
      <c r="G5101" s="9">
        <f t="shared" si="0"/>
      </c>
      <c r="L5101">
        <f t="shared" si="1"/>
      </c>
      <c r="M5101">
        <f t="shared" si="2"/>
      </c>
    </row>
    <row r="5102">
      <c r="G5102" s="9">
        <f t="shared" si="0"/>
      </c>
      <c r="L5102">
        <f t="shared" si="1"/>
      </c>
      <c r="M5102">
        <f t="shared" si="2"/>
      </c>
    </row>
    <row r="5103">
      <c r="G5103" s="9">
        <f t="shared" si="0"/>
      </c>
      <c r="L5103">
        <f t="shared" si="1"/>
      </c>
      <c r="M5103">
        <f t="shared" si="2"/>
      </c>
    </row>
    <row r="5104">
      <c r="G5104" s="9">
        <f t="shared" si="0"/>
      </c>
      <c r="L5104">
        <f t="shared" si="1"/>
      </c>
      <c r="M5104">
        <f t="shared" si="2"/>
      </c>
    </row>
    <row r="5105">
      <c r="G5105" s="9">
        <f t="shared" si="0"/>
      </c>
      <c r="L5105">
        <f t="shared" si="1"/>
      </c>
      <c r="M5105">
        <f t="shared" si="2"/>
      </c>
    </row>
    <row r="5106">
      <c r="G5106" s="9">
        <f t="shared" si="0"/>
      </c>
      <c r="L5106">
        <f t="shared" si="1"/>
      </c>
      <c r="M5106">
        <f t="shared" si="2"/>
      </c>
    </row>
    <row r="5107">
      <c r="G5107" s="9">
        <f t="shared" si="0"/>
      </c>
      <c r="L5107">
        <f t="shared" si="1"/>
      </c>
      <c r="M5107">
        <f t="shared" si="2"/>
      </c>
    </row>
    <row r="5108">
      <c r="G5108" s="9">
        <f t="shared" si="0"/>
      </c>
      <c r="L5108">
        <f t="shared" si="1"/>
      </c>
      <c r="M5108">
        <f t="shared" si="2"/>
      </c>
    </row>
    <row r="5109">
      <c r="G5109" s="9">
        <f t="shared" si="0"/>
      </c>
      <c r="L5109">
        <f t="shared" si="1"/>
      </c>
      <c r="M5109">
        <f t="shared" si="2"/>
      </c>
    </row>
    <row r="5110">
      <c r="G5110" s="9">
        <f t="shared" si="0"/>
      </c>
      <c r="L5110">
        <f t="shared" si="1"/>
      </c>
      <c r="M5110">
        <f t="shared" si="2"/>
      </c>
    </row>
    <row r="5111">
      <c r="G5111" s="9">
        <f t="shared" si="0"/>
      </c>
      <c r="L5111">
        <f t="shared" si="1"/>
      </c>
      <c r="M5111">
        <f t="shared" si="2"/>
      </c>
    </row>
    <row r="5112">
      <c r="G5112" s="9">
        <f t="shared" si="0"/>
      </c>
      <c r="L5112">
        <f t="shared" si="1"/>
      </c>
      <c r="M5112">
        <f t="shared" si="2"/>
      </c>
    </row>
    <row r="5113">
      <c r="G5113" s="9">
        <f t="shared" si="0"/>
      </c>
      <c r="L5113">
        <f t="shared" si="1"/>
      </c>
      <c r="M5113">
        <f t="shared" si="2"/>
      </c>
    </row>
    <row r="5114">
      <c r="G5114" s="9">
        <f t="shared" si="0"/>
      </c>
      <c r="L5114">
        <f t="shared" si="1"/>
      </c>
      <c r="M5114">
        <f t="shared" si="2"/>
      </c>
    </row>
    <row r="5115">
      <c r="G5115" s="9">
        <f t="shared" si="0"/>
      </c>
      <c r="L5115">
        <f t="shared" si="1"/>
      </c>
      <c r="M5115">
        <f t="shared" si="2"/>
      </c>
    </row>
    <row r="5116">
      <c r="G5116" s="9">
        <f t="shared" si="0"/>
      </c>
      <c r="L5116">
        <f t="shared" si="1"/>
      </c>
      <c r="M5116">
        <f t="shared" si="2"/>
      </c>
    </row>
    <row r="5117">
      <c r="G5117" s="9">
        <f t="shared" si="0"/>
      </c>
      <c r="L5117">
        <f t="shared" si="1"/>
      </c>
      <c r="M5117">
        <f t="shared" si="2"/>
      </c>
    </row>
    <row r="5118">
      <c r="G5118" s="9">
        <f t="shared" si="0"/>
      </c>
      <c r="L5118">
        <f t="shared" si="1"/>
      </c>
      <c r="M5118">
        <f t="shared" si="2"/>
      </c>
    </row>
    <row r="5119">
      <c r="G5119" s="9">
        <f t="shared" si="0"/>
      </c>
      <c r="L5119">
        <f t="shared" si="1"/>
      </c>
      <c r="M5119">
        <f t="shared" si="2"/>
      </c>
    </row>
    <row r="5120">
      <c r="G5120" s="9">
        <f t="shared" si="0"/>
      </c>
      <c r="L5120">
        <f t="shared" si="1"/>
      </c>
      <c r="M5120">
        <f t="shared" si="2"/>
      </c>
    </row>
    <row r="5121">
      <c r="G5121" s="9">
        <f t="shared" si="0"/>
      </c>
      <c r="L5121">
        <f t="shared" si="1"/>
      </c>
      <c r="M5121">
        <f t="shared" si="2"/>
      </c>
    </row>
    <row r="5122">
      <c r="G5122" s="9">
        <f t="shared" si="0"/>
      </c>
      <c r="L5122">
        <f t="shared" si="1"/>
      </c>
      <c r="M5122">
        <f t="shared" si="2"/>
      </c>
    </row>
    <row r="5123">
      <c r="G5123" s="9">
        <f t="shared" si="0"/>
      </c>
      <c r="L5123">
        <f t="shared" si="1"/>
      </c>
      <c r="M5123">
        <f t="shared" si="2"/>
      </c>
    </row>
    <row r="5124">
      <c r="G5124" s="9">
        <f t="shared" si="0"/>
      </c>
      <c r="L5124">
        <f t="shared" si="1"/>
      </c>
      <c r="M5124">
        <f t="shared" si="2"/>
      </c>
    </row>
    <row r="5125">
      <c r="G5125" s="9">
        <f t="shared" si="0"/>
      </c>
      <c r="L5125">
        <f t="shared" si="1"/>
      </c>
      <c r="M5125">
        <f t="shared" si="2"/>
      </c>
    </row>
    <row r="5126">
      <c r="G5126" s="9">
        <f t="shared" si="0"/>
      </c>
      <c r="L5126">
        <f t="shared" si="1"/>
      </c>
      <c r="M5126">
        <f t="shared" si="2"/>
      </c>
    </row>
    <row r="5127">
      <c r="G5127" s="9">
        <f t="shared" si="0"/>
      </c>
      <c r="L5127">
        <f t="shared" si="1"/>
      </c>
      <c r="M5127">
        <f t="shared" si="2"/>
      </c>
    </row>
    <row r="5128">
      <c r="G5128" s="9">
        <f t="shared" si="0"/>
      </c>
      <c r="L5128">
        <f t="shared" si="1"/>
      </c>
      <c r="M5128">
        <f t="shared" si="2"/>
      </c>
    </row>
    <row r="5129">
      <c r="G5129" s="9">
        <f t="shared" si="0"/>
      </c>
      <c r="L5129">
        <f t="shared" si="1"/>
      </c>
      <c r="M5129">
        <f t="shared" si="2"/>
      </c>
    </row>
    <row r="5130">
      <c r="G5130" s="9">
        <f t="shared" si="0"/>
      </c>
      <c r="L5130">
        <f t="shared" si="1"/>
      </c>
      <c r="M5130">
        <f t="shared" si="2"/>
      </c>
    </row>
    <row r="5131">
      <c r="G5131" s="9">
        <f t="shared" si="0"/>
      </c>
      <c r="L5131">
        <f t="shared" si="1"/>
      </c>
      <c r="M5131">
        <f t="shared" si="2"/>
      </c>
    </row>
    <row r="5132">
      <c r="G5132" s="9">
        <f t="shared" si="0"/>
      </c>
      <c r="L5132">
        <f t="shared" si="1"/>
      </c>
      <c r="M5132">
        <f t="shared" si="2"/>
      </c>
    </row>
    <row r="5133">
      <c r="G5133" s="9">
        <f t="shared" si="0"/>
      </c>
      <c r="L5133">
        <f t="shared" si="1"/>
      </c>
      <c r="M5133">
        <f t="shared" si="2"/>
      </c>
    </row>
    <row r="5134">
      <c r="G5134" s="9">
        <f t="shared" si="0"/>
      </c>
      <c r="L5134">
        <f t="shared" si="1"/>
      </c>
      <c r="M5134">
        <f t="shared" si="2"/>
      </c>
    </row>
    <row r="5135">
      <c r="G5135" s="9">
        <f t="shared" si="0"/>
      </c>
      <c r="L5135">
        <f t="shared" si="1"/>
      </c>
      <c r="M5135">
        <f t="shared" si="2"/>
      </c>
    </row>
    <row r="5136">
      <c r="G5136" s="9">
        <f t="shared" si="0"/>
      </c>
      <c r="L5136">
        <f t="shared" si="1"/>
      </c>
      <c r="M5136">
        <f t="shared" si="2"/>
      </c>
    </row>
    <row r="5137">
      <c r="G5137" s="9">
        <f t="shared" si="0"/>
      </c>
      <c r="L5137">
        <f t="shared" si="1"/>
      </c>
      <c r="M5137">
        <f t="shared" si="2"/>
      </c>
    </row>
    <row r="5138">
      <c r="G5138" s="9">
        <f t="shared" si="0"/>
      </c>
      <c r="L5138">
        <f t="shared" si="1"/>
      </c>
      <c r="M5138">
        <f t="shared" si="2"/>
      </c>
    </row>
    <row r="5139">
      <c r="G5139" s="9">
        <f t="shared" si="0"/>
      </c>
      <c r="L5139">
        <f t="shared" si="1"/>
      </c>
      <c r="M5139">
        <f t="shared" si="2"/>
      </c>
    </row>
    <row r="5140">
      <c r="G5140" s="9">
        <f t="shared" si="0"/>
      </c>
      <c r="L5140">
        <f t="shared" si="1"/>
      </c>
      <c r="M5140">
        <f t="shared" si="2"/>
      </c>
    </row>
    <row r="5141">
      <c r="G5141" s="9">
        <f t="shared" si="0"/>
      </c>
      <c r="L5141">
        <f t="shared" si="1"/>
      </c>
      <c r="M5141">
        <f t="shared" si="2"/>
      </c>
    </row>
    <row r="5142">
      <c r="G5142" s="9">
        <f t="shared" si="0"/>
      </c>
      <c r="L5142">
        <f t="shared" si="1"/>
      </c>
      <c r="M5142">
        <f t="shared" si="2"/>
      </c>
    </row>
    <row r="5143">
      <c r="G5143" s="9">
        <f t="shared" si="0"/>
      </c>
      <c r="L5143">
        <f t="shared" si="1"/>
      </c>
      <c r="M5143">
        <f t="shared" si="2"/>
      </c>
    </row>
    <row r="5144">
      <c r="G5144" s="9">
        <f t="shared" si="0"/>
      </c>
      <c r="L5144">
        <f t="shared" si="1"/>
      </c>
      <c r="M5144">
        <f t="shared" si="2"/>
      </c>
    </row>
    <row r="5145">
      <c r="G5145" s="9">
        <f t="shared" si="0"/>
      </c>
      <c r="L5145">
        <f t="shared" si="1"/>
      </c>
      <c r="M5145">
        <f t="shared" si="2"/>
      </c>
    </row>
    <row r="5146">
      <c r="G5146" s="9">
        <f t="shared" si="0"/>
      </c>
      <c r="L5146">
        <f t="shared" si="1"/>
      </c>
      <c r="M5146">
        <f t="shared" si="2"/>
      </c>
    </row>
    <row r="5147">
      <c r="G5147" s="9">
        <f t="shared" si="0"/>
      </c>
      <c r="L5147">
        <f t="shared" si="1"/>
      </c>
      <c r="M5147">
        <f t="shared" si="2"/>
      </c>
    </row>
    <row r="5148">
      <c r="G5148" s="9">
        <f t="shared" si="0"/>
      </c>
      <c r="L5148">
        <f t="shared" si="1"/>
      </c>
      <c r="M5148">
        <f t="shared" si="2"/>
      </c>
    </row>
    <row r="5149">
      <c r="G5149" s="9">
        <f t="shared" si="0"/>
      </c>
      <c r="L5149">
        <f t="shared" si="1"/>
      </c>
      <c r="M5149">
        <f t="shared" si="2"/>
      </c>
    </row>
    <row r="5150">
      <c r="G5150" s="9">
        <f t="shared" si="0"/>
      </c>
      <c r="L5150">
        <f t="shared" si="1"/>
      </c>
      <c r="M5150">
        <f t="shared" si="2"/>
      </c>
    </row>
    <row r="5151">
      <c r="G5151" s="9">
        <f t="shared" si="0"/>
      </c>
      <c r="L5151">
        <f t="shared" si="1"/>
      </c>
      <c r="M5151">
        <f t="shared" si="2"/>
      </c>
    </row>
    <row r="5152">
      <c r="G5152" s="9">
        <f t="shared" si="0"/>
      </c>
      <c r="L5152">
        <f t="shared" si="1"/>
      </c>
      <c r="M5152">
        <f t="shared" si="2"/>
      </c>
    </row>
    <row r="5153">
      <c r="G5153" s="9">
        <f t="shared" si="0"/>
      </c>
      <c r="L5153">
        <f t="shared" si="1"/>
      </c>
      <c r="M5153">
        <f t="shared" si="2"/>
      </c>
    </row>
    <row r="5154">
      <c r="G5154" s="9">
        <f t="shared" si="0"/>
      </c>
      <c r="L5154">
        <f t="shared" si="1"/>
      </c>
      <c r="M5154">
        <f t="shared" si="2"/>
      </c>
    </row>
    <row r="5155">
      <c r="G5155" s="9">
        <f t="shared" si="0"/>
      </c>
      <c r="L5155">
        <f t="shared" si="1"/>
      </c>
      <c r="M5155">
        <f t="shared" si="2"/>
      </c>
    </row>
    <row r="5156">
      <c r="G5156" s="9">
        <f t="shared" si="0"/>
      </c>
      <c r="L5156">
        <f t="shared" si="1"/>
      </c>
      <c r="M5156">
        <f t="shared" si="2"/>
      </c>
    </row>
    <row r="5157">
      <c r="G5157" s="9">
        <f t="shared" si="0"/>
      </c>
      <c r="L5157">
        <f t="shared" si="1"/>
      </c>
      <c r="M5157">
        <f t="shared" si="2"/>
      </c>
    </row>
    <row r="5158">
      <c r="G5158" s="9">
        <f t="shared" si="0"/>
      </c>
      <c r="L5158">
        <f t="shared" si="1"/>
      </c>
      <c r="M5158">
        <f t="shared" si="2"/>
      </c>
    </row>
    <row r="5159">
      <c r="G5159" s="9">
        <f t="shared" si="0"/>
      </c>
      <c r="L5159">
        <f t="shared" si="1"/>
      </c>
      <c r="M5159">
        <f t="shared" si="2"/>
      </c>
    </row>
    <row r="5160">
      <c r="G5160" s="9">
        <f t="shared" si="0"/>
      </c>
      <c r="L5160">
        <f t="shared" si="1"/>
      </c>
      <c r="M5160">
        <f t="shared" si="2"/>
      </c>
    </row>
    <row r="5161">
      <c r="G5161" s="9">
        <f t="shared" si="0"/>
      </c>
      <c r="L5161">
        <f t="shared" si="1"/>
      </c>
      <c r="M5161">
        <f t="shared" si="2"/>
      </c>
    </row>
    <row r="5162">
      <c r="G5162" s="9">
        <f t="shared" si="0"/>
      </c>
      <c r="L5162">
        <f t="shared" si="1"/>
      </c>
      <c r="M5162">
        <f t="shared" si="2"/>
      </c>
    </row>
    <row r="5163">
      <c r="G5163" s="9">
        <f t="shared" si="0"/>
      </c>
      <c r="L5163">
        <f t="shared" si="1"/>
      </c>
      <c r="M5163">
        <f t="shared" si="2"/>
      </c>
    </row>
    <row r="5164">
      <c r="G5164" s="9">
        <f t="shared" si="0"/>
      </c>
      <c r="L5164">
        <f t="shared" si="1"/>
      </c>
      <c r="M5164">
        <f t="shared" si="2"/>
      </c>
    </row>
    <row r="5165">
      <c r="G5165" s="9">
        <f t="shared" si="0"/>
      </c>
      <c r="L5165">
        <f t="shared" si="1"/>
      </c>
      <c r="M5165">
        <f t="shared" si="2"/>
      </c>
    </row>
    <row r="5166">
      <c r="G5166" s="9">
        <f t="shared" si="0"/>
      </c>
      <c r="L5166">
        <f t="shared" si="1"/>
      </c>
      <c r="M5166">
        <f t="shared" si="2"/>
      </c>
    </row>
    <row r="5167">
      <c r="G5167" s="9">
        <f t="shared" si="0"/>
      </c>
      <c r="L5167">
        <f t="shared" si="1"/>
      </c>
      <c r="M5167">
        <f t="shared" si="2"/>
      </c>
    </row>
    <row r="5168">
      <c r="G5168" s="9">
        <f t="shared" si="0"/>
      </c>
      <c r="L5168">
        <f t="shared" si="1"/>
      </c>
      <c r="M5168">
        <f t="shared" si="2"/>
      </c>
    </row>
    <row r="5169">
      <c r="G5169" s="9">
        <f t="shared" si="0"/>
      </c>
      <c r="L5169">
        <f t="shared" si="1"/>
      </c>
      <c r="M5169">
        <f t="shared" si="2"/>
      </c>
    </row>
    <row r="5170">
      <c r="G5170" s="9">
        <f t="shared" si="0"/>
      </c>
      <c r="L5170">
        <f t="shared" si="1"/>
      </c>
      <c r="M5170">
        <f t="shared" si="2"/>
      </c>
    </row>
    <row r="5171">
      <c r="G5171" s="9">
        <f t="shared" si="0"/>
      </c>
      <c r="L5171">
        <f t="shared" si="1"/>
      </c>
      <c r="M5171">
        <f t="shared" si="2"/>
      </c>
    </row>
    <row r="5172">
      <c r="G5172" s="9">
        <f t="shared" si="0"/>
      </c>
      <c r="L5172">
        <f t="shared" si="1"/>
      </c>
      <c r="M5172">
        <f t="shared" si="2"/>
      </c>
    </row>
    <row r="5173">
      <c r="G5173" s="9">
        <f t="shared" si="0"/>
      </c>
      <c r="L5173">
        <f t="shared" si="1"/>
      </c>
      <c r="M5173">
        <f t="shared" si="2"/>
      </c>
    </row>
    <row r="5174">
      <c r="G5174" s="9">
        <f t="shared" si="0"/>
      </c>
      <c r="L5174">
        <f t="shared" si="1"/>
      </c>
      <c r="M5174">
        <f t="shared" si="2"/>
      </c>
    </row>
    <row r="5175">
      <c r="G5175" s="9">
        <f t="shared" si="0"/>
      </c>
      <c r="L5175">
        <f t="shared" si="1"/>
      </c>
      <c r="M5175">
        <f t="shared" si="2"/>
      </c>
    </row>
    <row r="5176">
      <c r="G5176" s="9">
        <f t="shared" si="0"/>
      </c>
      <c r="L5176">
        <f t="shared" si="1"/>
      </c>
      <c r="M5176">
        <f t="shared" si="2"/>
      </c>
    </row>
    <row r="5177">
      <c r="G5177" s="9">
        <f t="shared" si="0"/>
      </c>
      <c r="L5177">
        <f t="shared" si="1"/>
      </c>
      <c r="M5177">
        <f t="shared" si="2"/>
      </c>
    </row>
    <row r="5178">
      <c r="G5178" s="9">
        <f t="shared" si="0"/>
      </c>
      <c r="L5178">
        <f t="shared" si="1"/>
      </c>
      <c r="M5178">
        <f t="shared" si="2"/>
      </c>
    </row>
    <row r="5179">
      <c r="G5179" s="9">
        <f t="shared" si="0"/>
      </c>
      <c r="L5179">
        <f t="shared" si="1"/>
      </c>
      <c r="M5179">
        <f t="shared" si="2"/>
      </c>
    </row>
    <row r="5180">
      <c r="G5180" s="9">
        <f t="shared" si="0"/>
      </c>
      <c r="L5180">
        <f t="shared" si="1"/>
      </c>
      <c r="M5180">
        <f t="shared" si="2"/>
      </c>
    </row>
    <row r="5181">
      <c r="G5181" s="9">
        <f t="shared" si="0"/>
      </c>
      <c r="L5181">
        <f t="shared" si="1"/>
      </c>
      <c r="M5181">
        <f t="shared" si="2"/>
      </c>
    </row>
    <row r="5182">
      <c r="G5182" s="9">
        <f t="shared" si="0"/>
      </c>
      <c r="L5182">
        <f t="shared" si="1"/>
      </c>
      <c r="M5182">
        <f t="shared" si="2"/>
      </c>
    </row>
    <row r="5183">
      <c r="G5183" s="9">
        <f t="shared" si="0"/>
      </c>
      <c r="L5183">
        <f t="shared" si="1"/>
      </c>
      <c r="M5183">
        <f t="shared" si="2"/>
      </c>
    </row>
    <row r="5184">
      <c r="G5184" s="9">
        <f t="shared" si="0"/>
      </c>
      <c r="L5184">
        <f t="shared" si="1"/>
      </c>
      <c r="M5184">
        <f t="shared" si="2"/>
      </c>
    </row>
    <row r="5185">
      <c r="G5185" s="9">
        <f t="shared" si="0"/>
      </c>
      <c r="L5185">
        <f t="shared" si="1"/>
      </c>
      <c r="M5185">
        <f t="shared" si="2"/>
      </c>
    </row>
    <row r="5186">
      <c r="G5186" s="9">
        <f t="shared" si="0"/>
      </c>
      <c r="L5186">
        <f t="shared" si="1"/>
      </c>
      <c r="M5186">
        <f t="shared" si="2"/>
      </c>
    </row>
    <row r="5187">
      <c r="G5187" s="9">
        <f t="shared" si="0"/>
      </c>
      <c r="L5187">
        <f t="shared" si="1"/>
      </c>
      <c r="M5187">
        <f t="shared" si="2"/>
      </c>
    </row>
    <row r="5188">
      <c r="G5188" s="9">
        <f t="shared" si="0"/>
      </c>
      <c r="L5188">
        <f t="shared" si="1"/>
      </c>
      <c r="M5188">
        <f t="shared" si="2"/>
      </c>
    </row>
    <row r="5189">
      <c r="G5189" s="9">
        <f t="shared" si="0"/>
      </c>
      <c r="L5189">
        <f t="shared" si="1"/>
      </c>
      <c r="M5189">
        <f t="shared" si="2"/>
      </c>
    </row>
    <row r="5190">
      <c r="G5190" s="9">
        <f t="shared" si="0"/>
      </c>
      <c r="L5190">
        <f t="shared" si="1"/>
      </c>
      <c r="M5190">
        <f t="shared" si="2"/>
      </c>
    </row>
    <row r="5191">
      <c r="G5191" s="9">
        <f t="shared" si="0"/>
      </c>
      <c r="L5191">
        <f t="shared" si="1"/>
      </c>
      <c r="M5191">
        <f t="shared" si="2"/>
      </c>
    </row>
    <row r="5192">
      <c r="G5192" s="9">
        <f t="shared" si="0"/>
      </c>
      <c r="L5192">
        <f t="shared" si="1"/>
      </c>
      <c r="M5192">
        <f t="shared" si="2"/>
      </c>
    </row>
    <row r="5193">
      <c r="G5193" s="9">
        <f t="shared" si="0"/>
      </c>
      <c r="L5193">
        <f t="shared" si="1"/>
      </c>
      <c r="M5193">
        <f t="shared" si="2"/>
      </c>
    </row>
    <row r="5194">
      <c r="G5194" s="9">
        <f t="shared" si="0"/>
      </c>
      <c r="L5194">
        <f t="shared" si="1"/>
      </c>
      <c r="M5194">
        <f t="shared" si="2"/>
      </c>
    </row>
    <row r="5195">
      <c r="G5195" s="9">
        <f t="shared" si="0"/>
      </c>
      <c r="L5195">
        <f t="shared" si="1"/>
      </c>
      <c r="M5195">
        <f t="shared" si="2"/>
      </c>
    </row>
    <row r="5196">
      <c r="G5196" s="9">
        <f t="shared" si="0"/>
      </c>
      <c r="L5196">
        <f t="shared" si="1"/>
      </c>
      <c r="M5196">
        <f t="shared" si="2"/>
      </c>
    </row>
    <row r="5197">
      <c r="G5197" s="9">
        <f t="shared" si="0"/>
      </c>
      <c r="L5197">
        <f t="shared" si="1"/>
      </c>
      <c r="M5197">
        <f t="shared" si="2"/>
      </c>
    </row>
    <row r="5198">
      <c r="G5198" s="9">
        <f t="shared" si="0"/>
      </c>
      <c r="L5198">
        <f t="shared" si="1"/>
      </c>
      <c r="M5198">
        <f t="shared" si="2"/>
      </c>
    </row>
    <row r="5199">
      <c r="G5199" s="9">
        <f t="shared" si="0"/>
      </c>
      <c r="L5199">
        <f t="shared" si="1"/>
      </c>
      <c r="M5199">
        <f t="shared" si="2"/>
      </c>
    </row>
    <row r="5200">
      <c r="G5200" s="9">
        <f t="shared" si="0"/>
      </c>
      <c r="L5200">
        <f t="shared" si="1"/>
      </c>
      <c r="M5200">
        <f t="shared" si="2"/>
      </c>
    </row>
    <row r="5201">
      <c r="G5201" s="9">
        <f t="shared" si="0"/>
      </c>
      <c r="L5201">
        <f t="shared" si="1"/>
      </c>
      <c r="M5201">
        <f t="shared" si="2"/>
      </c>
    </row>
    <row r="5202">
      <c r="G5202" s="9">
        <f t="shared" si="0"/>
      </c>
      <c r="L5202">
        <f t="shared" si="1"/>
      </c>
      <c r="M5202">
        <f t="shared" si="2"/>
      </c>
    </row>
    <row r="5203">
      <c r="G5203" s="9">
        <f t="shared" si="0"/>
      </c>
      <c r="L5203">
        <f t="shared" si="1"/>
      </c>
      <c r="M5203">
        <f t="shared" si="2"/>
      </c>
    </row>
    <row r="5204">
      <c r="G5204" s="9">
        <f t="shared" si="0"/>
      </c>
      <c r="L5204">
        <f t="shared" si="1"/>
      </c>
      <c r="M5204">
        <f t="shared" si="2"/>
      </c>
    </row>
    <row r="5205">
      <c r="G5205" s="9">
        <f t="shared" si="0"/>
      </c>
      <c r="L5205">
        <f t="shared" si="1"/>
      </c>
      <c r="M5205">
        <f t="shared" si="2"/>
      </c>
    </row>
    <row r="5206">
      <c r="G5206" s="9">
        <f t="shared" si="0"/>
      </c>
      <c r="L5206">
        <f t="shared" si="1"/>
      </c>
      <c r="M5206">
        <f t="shared" si="2"/>
      </c>
    </row>
    <row r="5207">
      <c r="G5207" s="9">
        <f t="shared" si="0"/>
      </c>
      <c r="L5207">
        <f t="shared" si="1"/>
      </c>
      <c r="M5207">
        <f t="shared" si="2"/>
      </c>
    </row>
    <row r="5208">
      <c r="G5208" s="9">
        <f t="shared" si="0"/>
      </c>
      <c r="L5208">
        <f t="shared" si="1"/>
      </c>
      <c r="M5208">
        <f t="shared" si="2"/>
      </c>
    </row>
    <row r="5209">
      <c r="G5209" s="9">
        <f t="shared" si="0"/>
      </c>
      <c r="L5209">
        <f t="shared" si="1"/>
      </c>
      <c r="M5209">
        <f t="shared" si="2"/>
      </c>
    </row>
    <row r="5210">
      <c r="G5210" s="9">
        <f t="shared" si="0"/>
      </c>
      <c r="L5210">
        <f t="shared" si="1"/>
      </c>
      <c r="M5210">
        <f t="shared" si="2"/>
      </c>
    </row>
    <row r="5211">
      <c r="G5211" s="9">
        <f t="shared" si="0"/>
      </c>
      <c r="L5211">
        <f t="shared" si="1"/>
      </c>
      <c r="M5211">
        <f t="shared" si="2"/>
      </c>
    </row>
    <row r="5212">
      <c r="G5212" s="9">
        <f t="shared" si="0"/>
      </c>
      <c r="L5212">
        <f t="shared" si="1"/>
      </c>
      <c r="M5212">
        <f t="shared" si="2"/>
      </c>
    </row>
    <row r="5213">
      <c r="G5213" s="9">
        <f t="shared" si="0"/>
      </c>
      <c r="L5213">
        <f t="shared" si="1"/>
      </c>
      <c r="M5213">
        <f t="shared" si="2"/>
      </c>
    </row>
    <row r="5214">
      <c r="G5214" s="9">
        <f t="shared" si="0"/>
      </c>
      <c r="L5214">
        <f t="shared" si="1"/>
      </c>
      <c r="M5214">
        <f t="shared" si="2"/>
      </c>
    </row>
    <row r="5215">
      <c r="G5215" s="9">
        <f t="shared" si="0"/>
      </c>
      <c r="L5215">
        <f t="shared" si="1"/>
      </c>
      <c r="M5215">
        <f t="shared" si="2"/>
      </c>
    </row>
    <row r="5216">
      <c r="G5216" s="9">
        <f t="shared" si="0"/>
      </c>
      <c r="L5216">
        <f t="shared" si="1"/>
      </c>
      <c r="M5216">
        <f t="shared" si="2"/>
      </c>
    </row>
    <row r="5217">
      <c r="G5217" s="9">
        <f t="shared" si="0"/>
      </c>
      <c r="L5217">
        <f t="shared" si="1"/>
      </c>
      <c r="M5217">
        <f t="shared" si="2"/>
      </c>
    </row>
    <row r="5218">
      <c r="G5218" s="9">
        <f t="shared" si="0"/>
      </c>
      <c r="L5218">
        <f t="shared" si="1"/>
      </c>
      <c r="M5218">
        <f t="shared" si="2"/>
      </c>
    </row>
    <row r="5219">
      <c r="G5219" s="9">
        <f t="shared" si="0"/>
      </c>
      <c r="L5219">
        <f t="shared" si="1"/>
      </c>
      <c r="M5219">
        <f t="shared" si="2"/>
      </c>
    </row>
    <row r="5220">
      <c r="G5220" s="9">
        <f t="shared" si="0"/>
      </c>
      <c r="L5220">
        <f t="shared" si="1"/>
      </c>
      <c r="M5220">
        <f t="shared" si="2"/>
      </c>
    </row>
    <row r="5221">
      <c r="G5221" s="9">
        <f t="shared" si="0"/>
      </c>
      <c r="L5221">
        <f t="shared" si="1"/>
      </c>
      <c r="M5221">
        <f t="shared" si="2"/>
      </c>
    </row>
    <row r="5222">
      <c r="G5222" s="9">
        <f t="shared" si="0"/>
      </c>
      <c r="L5222">
        <f t="shared" si="1"/>
      </c>
      <c r="M5222">
        <f t="shared" si="2"/>
      </c>
    </row>
    <row r="5223">
      <c r="G5223" s="9">
        <f t="shared" si="0"/>
      </c>
      <c r="L5223">
        <f t="shared" si="1"/>
      </c>
      <c r="M5223">
        <f t="shared" si="2"/>
      </c>
    </row>
    <row r="5224">
      <c r="G5224" s="9">
        <f t="shared" si="0"/>
      </c>
      <c r="L5224">
        <f t="shared" si="1"/>
      </c>
      <c r="M5224">
        <f t="shared" si="2"/>
      </c>
    </row>
    <row r="5225">
      <c r="G5225" s="9">
        <f t="shared" si="0"/>
      </c>
      <c r="L5225">
        <f t="shared" si="1"/>
      </c>
      <c r="M5225">
        <f t="shared" si="2"/>
      </c>
    </row>
    <row r="5226">
      <c r="G5226" s="9">
        <f t="shared" si="0"/>
      </c>
      <c r="L5226">
        <f t="shared" si="1"/>
      </c>
      <c r="M5226">
        <f t="shared" si="2"/>
      </c>
    </row>
    <row r="5227">
      <c r="G5227" s="9">
        <f t="shared" si="0"/>
      </c>
      <c r="L5227">
        <f t="shared" si="1"/>
      </c>
      <c r="M5227">
        <f t="shared" si="2"/>
      </c>
    </row>
    <row r="5228">
      <c r="G5228" s="9">
        <f t="shared" si="0"/>
      </c>
      <c r="L5228">
        <f t="shared" si="1"/>
      </c>
      <c r="M5228">
        <f t="shared" si="2"/>
      </c>
    </row>
    <row r="5229">
      <c r="G5229" s="9">
        <f t="shared" si="0"/>
      </c>
      <c r="L5229">
        <f t="shared" si="1"/>
      </c>
      <c r="M5229">
        <f t="shared" si="2"/>
      </c>
    </row>
    <row r="5230">
      <c r="G5230" s="9">
        <f t="shared" si="0"/>
      </c>
      <c r="L5230">
        <f t="shared" si="1"/>
      </c>
      <c r="M5230">
        <f t="shared" si="2"/>
      </c>
    </row>
    <row r="5231">
      <c r="G5231" s="9">
        <f t="shared" si="0"/>
      </c>
      <c r="L5231">
        <f t="shared" si="1"/>
      </c>
      <c r="M5231">
        <f t="shared" si="2"/>
      </c>
    </row>
    <row r="5232">
      <c r="G5232" s="9">
        <f t="shared" si="0"/>
      </c>
      <c r="L5232">
        <f t="shared" si="1"/>
      </c>
      <c r="M5232">
        <f t="shared" si="2"/>
      </c>
    </row>
    <row r="5233">
      <c r="G5233" s="9">
        <f t="shared" si="0"/>
      </c>
      <c r="L5233">
        <f t="shared" si="1"/>
      </c>
      <c r="M5233">
        <f t="shared" si="2"/>
      </c>
    </row>
    <row r="5234">
      <c r="G5234" s="9">
        <f t="shared" si="0"/>
      </c>
      <c r="L5234">
        <f t="shared" si="1"/>
      </c>
      <c r="M5234">
        <f t="shared" si="2"/>
      </c>
    </row>
    <row r="5235">
      <c r="G5235" s="9">
        <f t="shared" si="0"/>
      </c>
      <c r="L5235">
        <f t="shared" si="1"/>
      </c>
      <c r="M5235">
        <f t="shared" si="2"/>
      </c>
    </row>
    <row r="5236">
      <c r="G5236" s="9">
        <f t="shared" si="0"/>
      </c>
      <c r="L5236">
        <f t="shared" si="1"/>
      </c>
      <c r="M5236">
        <f t="shared" si="2"/>
      </c>
    </row>
    <row r="5237">
      <c r="G5237" s="9">
        <f t="shared" si="0"/>
      </c>
      <c r="L5237">
        <f t="shared" si="1"/>
      </c>
      <c r="M5237">
        <f t="shared" si="2"/>
      </c>
    </row>
    <row r="5238">
      <c r="G5238" s="9">
        <f t="shared" si="0"/>
      </c>
      <c r="L5238">
        <f t="shared" si="1"/>
      </c>
      <c r="M5238">
        <f t="shared" si="2"/>
      </c>
    </row>
    <row r="5239">
      <c r="G5239" s="9">
        <f t="shared" si="0"/>
      </c>
      <c r="L5239">
        <f t="shared" si="1"/>
      </c>
      <c r="M5239">
        <f t="shared" si="2"/>
      </c>
    </row>
    <row r="5240">
      <c r="G5240" s="9">
        <f t="shared" si="0"/>
      </c>
      <c r="L5240">
        <f t="shared" si="1"/>
      </c>
      <c r="M5240">
        <f t="shared" si="2"/>
      </c>
    </row>
    <row r="5241">
      <c r="G5241" s="9">
        <f t="shared" si="0"/>
      </c>
      <c r="L5241">
        <f t="shared" si="1"/>
      </c>
      <c r="M5241">
        <f t="shared" si="2"/>
      </c>
    </row>
    <row r="5242">
      <c r="G5242" s="9">
        <f t="shared" si="0"/>
      </c>
      <c r="L5242">
        <f t="shared" si="1"/>
      </c>
      <c r="M5242">
        <f t="shared" si="2"/>
      </c>
    </row>
    <row r="5243">
      <c r="G5243" s="9">
        <f t="shared" si="0"/>
      </c>
      <c r="L5243">
        <f t="shared" si="1"/>
      </c>
      <c r="M5243">
        <f t="shared" si="2"/>
      </c>
    </row>
    <row r="5244">
      <c r="G5244" s="9">
        <f t="shared" si="0"/>
      </c>
      <c r="L5244">
        <f t="shared" si="1"/>
      </c>
      <c r="M5244">
        <f t="shared" si="2"/>
      </c>
    </row>
    <row r="5245">
      <c r="G5245" s="9">
        <f t="shared" si="0"/>
      </c>
      <c r="L5245">
        <f t="shared" si="1"/>
      </c>
      <c r="M5245">
        <f t="shared" si="2"/>
      </c>
    </row>
    <row r="5246">
      <c r="G5246" s="9">
        <f t="shared" si="0"/>
      </c>
      <c r="L5246">
        <f t="shared" si="1"/>
      </c>
      <c r="M5246">
        <f t="shared" si="2"/>
      </c>
    </row>
    <row r="5247">
      <c r="G5247" s="9">
        <f t="shared" si="0"/>
      </c>
      <c r="L5247">
        <f t="shared" si="1"/>
      </c>
      <c r="M5247">
        <f t="shared" si="2"/>
      </c>
    </row>
    <row r="5248">
      <c r="G5248" s="9">
        <f t="shared" si="0"/>
      </c>
      <c r="L5248">
        <f t="shared" si="1"/>
      </c>
      <c r="M5248">
        <f t="shared" si="2"/>
      </c>
    </row>
    <row r="5249">
      <c r="G5249" s="9">
        <f t="shared" si="0"/>
      </c>
      <c r="L5249">
        <f t="shared" si="1"/>
      </c>
      <c r="M5249">
        <f t="shared" si="2"/>
      </c>
    </row>
    <row r="5250">
      <c r="G5250" s="9">
        <f t="shared" si="0"/>
      </c>
      <c r="L5250">
        <f t="shared" si="1"/>
      </c>
      <c r="M5250">
        <f t="shared" si="2"/>
      </c>
    </row>
    <row r="5251">
      <c r="G5251" s="9">
        <f t="shared" si="0"/>
      </c>
      <c r="L5251">
        <f t="shared" si="1"/>
      </c>
      <c r="M5251">
        <f t="shared" si="2"/>
      </c>
    </row>
    <row r="5252">
      <c r="G5252" s="9">
        <f t="shared" si="0"/>
      </c>
      <c r="L5252">
        <f t="shared" si="1"/>
      </c>
      <c r="M5252">
        <f t="shared" si="2"/>
      </c>
    </row>
    <row r="5253">
      <c r="G5253" s="9">
        <f t="shared" si="0"/>
      </c>
      <c r="L5253">
        <f t="shared" si="1"/>
      </c>
      <c r="M5253">
        <f t="shared" si="2"/>
      </c>
    </row>
    <row r="5254">
      <c r="G5254" s="9">
        <f t="shared" si="0"/>
      </c>
      <c r="L5254">
        <f t="shared" si="1"/>
      </c>
      <c r="M5254">
        <f t="shared" si="2"/>
      </c>
    </row>
    <row r="5255">
      <c r="G5255" s="9">
        <f t="shared" si="0"/>
      </c>
      <c r="L5255">
        <f t="shared" si="1"/>
      </c>
      <c r="M5255">
        <f t="shared" si="2"/>
      </c>
    </row>
    <row r="5256">
      <c r="G5256" s="9">
        <f t="shared" si="0"/>
      </c>
      <c r="L5256">
        <f t="shared" si="1"/>
      </c>
      <c r="M5256">
        <f t="shared" si="2"/>
      </c>
    </row>
    <row r="5257">
      <c r="G5257" s="9">
        <f t="shared" si="0"/>
      </c>
      <c r="L5257">
        <f t="shared" si="1"/>
      </c>
      <c r="M5257">
        <f t="shared" si="2"/>
      </c>
    </row>
    <row r="5258">
      <c r="G5258" s="9">
        <f t="shared" si="0"/>
      </c>
      <c r="L5258">
        <f t="shared" si="1"/>
      </c>
      <c r="M5258">
        <f t="shared" si="2"/>
      </c>
    </row>
    <row r="5259">
      <c r="G5259" s="9">
        <f t="shared" si="0"/>
      </c>
      <c r="L5259">
        <f t="shared" si="1"/>
      </c>
      <c r="M5259">
        <f t="shared" si="2"/>
      </c>
    </row>
    <row r="5260">
      <c r="G5260" s="9">
        <f t="shared" si="0"/>
      </c>
      <c r="L5260">
        <f t="shared" si="1"/>
      </c>
      <c r="M5260">
        <f t="shared" si="2"/>
      </c>
    </row>
    <row r="5261">
      <c r="G5261" s="9">
        <f t="shared" si="0"/>
      </c>
      <c r="L5261">
        <f t="shared" si="1"/>
      </c>
      <c r="M5261">
        <f t="shared" si="2"/>
      </c>
    </row>
    <row r="5262">
      <c r="G5262" s="9">
        <f t="shared" si="0"/>
      </c>
      <c r="L5262">
        <f t="shared" si="1"/>
      </c>
      <c r="M5262">
        <f t="shared" si="2"/>
      </c>
    </row>
    <row r="5263">
      <c r="G5263" s="9">
        <f t="shared" si="0"/>
      </c>
      <c r="L5263">
        <f t="shared" si="1"/>
      </c>
      <c r="M5263">
        <f t="shared" si="2"/>
      </c>
    </row>
    <row r="5264">
      <c r="G5264" s="9">
        <f t="shared" si="0"/>
      </c>
      <c r="L5264">
        <f t="shared" si="1"/>
      </c>
      <c r="M5264">
        <f t="shared" si="2"/>
      </c>
    </row>
    <row r="5265">
      <c r="G5265" s="9">
        <f t="shared" si="0"/>
      </c>
      <c r="L5265">
        <f t="shared" si="1"/>
      </c>
      <c r="M5265">
        <f t="shared" si="2"/>
      </c>
    </row>
    <row r="5266">
      <c r="G5266" s="9">
        <f t="shared" si="0"/>
      </c>
      <c r="L5266">
        <f t="shared" si="1"/>
      </c>
      <c r="M5266">
        <f t="shared" si="2"/>
      </c>
    </row>
    <row r="5267">
      <c r="G5267" s="9">
        <f t="shared" si="0"/>
      </c>
      <c r="L5267">
        <f t="shared" si="1"/>
      </c>
      <c r="M5267">
        <f t="shared" si="2"/>
      </c>
    </row>
    <row r="5268">
      <c r="G5268" s="9">
        <f t="shared" si="0"/>
      </c>
      <c r="L5268">
        <f t="shared" si="1"/>
      </c>
      <c r="M5268">
        <f t="shared" si="2"/>
      </c>
    </row>
    <row r="5269">
      <c r="G5269" s="9">
        <f t="shared" si="0"/>
      </c>
      <c r="L5269">
        <f t="shared" si="1"/>
      </c>
      <c r="M5269">
        <f t="shared" si="2"/>
      </c>
    </row>
    <row r="5270">
      <c r="G5270" s="9">
        <f t="shared" si="0"/>
      </c>
      <c r="L5270">
        <f t="shared" si="1"/>
      </c>
      <c r="M5270">
        <f t="shared" si="2"/>
      </c>
    </row>
    <row r="5271">
      <c r="G5271" s="9">
        <f t="shared" si="0"/>
      </c>
      <c r="L5271">
        <f t="shared" si="1"/>
      </c>
      <c r="M5271">
        <f t="shared" si="2"/>
      </c>
    </row>
    <row r="5272">
      <c r="G5272" s="9">
        <f t="shared" si="0"/>
      </c>
      <c r="L5272">
        <f t="shared" si="1"/>
      </c>
      <c r="M5272">
        <f t="shared" si="2"/>
      </c>
    </row>
    <row r="5273">
      <c r="G5273" s="9">
        <f t="shared" si="0"/>
      </c>
      <c r="L5273">
        <f t="shared" si="1"/>
      </c>
      <c r="M5273">
        <f t="shared" si="2"/>
      </c>
    </row>
    <row r="5274">
      <c r="G5274" s="9">
        <f t="shared" si="0"/>
      </c>
      <c r="L5274">
        <f t="shared" si="1"/>
      </c>
      <c r="M5274">
        <f t="shared" si="2"/>
      </c>
    </row>
    <row r="5275">
      <c r="G5275" s="9">
        <f t="shared" si="0"/>
      </c>
      <c r="L5275">
        <f t="shared" si="1"/>
      </c>
      <c r="M5275">
        <f t="shared" si="2"/>
      </c>
    </row>
    <row r="5276">
      <c r="G5276" s="9">
        <f t="shared" si="0"/>
      </c>
      <c r="L5276">
        <f t="shared" si="1"/>
      </c>
      <c r="M5276">
        <f t="shared" si="2"/>
      </c>
    </row>
    <row r="5277">
      <c r="G5277" s="9">
        <f t="shared" si="0"/>
      </c>
      <c r="L5277">
        <f t="shared" si="1"/>
      </c>
      <c r="M5277">
        <f t="shared" si="2"/>
      </c>
    </row>
    <row r="5278">
      <c r="G5278" s="9">
        <f t="shared" si="0"/>
      </c>
      <c r="L5278">
        <f t="shared" si="1"/>
      </c>
      <c r="M5278">
        <f t="shared" si="2"/>
      </c>
    </row>
    <row r="5279">
      <c r="G5279" s="9">
        <f t="shared" si="0"/>
      </c>
      <c r="L5279">
        <f t="shared" si="1"/>
      </c>
      <c r="M5279">
        <f t="shared" si="2"/>
      </c>
    </row>
    <row r="5280">
      <c r="G5280" s="9">
        <f t="shared" si="0"/>
      </c>
      <c r="L5280">
        <f t="shared" si="1"/>
      </c>
      <c r="M5280">
        <f t="shared" si="2"/>
      </c>
    </row>
    <row r="5281">
      <c r="G5281" s="9">
        <f t="shared" si="0"/>
      </c>
      <c r="L5281">
        <f t="shared" si="1"/>
      </c>
      <c r="M5281">
        <f t="shared" si="2"/>
      </c>
    </row>
    <row r="5282">
      <c r="G5282" s="9">
        <f t="shared" si="0"/>
      </c>
      <c r="L5282">
        <f t="shared" si="1"/>
      </c>
      <c r="M5282">
        <f t="shared" si="2"/>
      </c>
    </row>
    <row r="5283">
      <c r="G5283" s="9">
        <f t="shared" si="0"/>
      </c>
      <c r="L5283">
        <f t="shared" si="1"/>
      </c>
      <c r="M5283">
        <f t="shared" si="2"/>
      </c>
    </row>
    <row r="5284">
      <c r="G5284" s="9">
        <f t="shared" si="0"/>
      </c>
      <c r="L5284">
        <f t="shared" si="1"/>
      </c>
      <c r="M5284">
        <f t="shared" si="2"/>
      </c>
    </row>
    <row r="5285">
      <c r="G5285" s="9">
        <f t="shared" si="0"/>
      </c>
      <c r="L5285">
        <f t="shared" si="1"/>
      </c>
      <c r="M5285">
        <f t="shared" si="2"/>
      </c>
    </row>
    <row r="5286">
      <c r="G5286" s="9">
        <f t="shared" si="0"/>
      </c>
      <c r="L5286">
        <f t="shared" si="1"/>
      </c>
      <c r="M5286">
        <f t="shared" si="2"/>
      </c>
    </row>
    <row r="5287">
      <c r="G5287" s="9">
        <f t="shared" si="0"/>
      </c>
      <c r="L5287">
        <f t="shared" si="1"/>
      </c>
      <c r="M5287">
        <f t="shared" si="2"/>
      </c>
    </row>
    <row r="5288">
      <c r="G5288" s="9">
        <f t="shared" si="0"/>
      </c>
      <c r="L5288">
        <f t="shared" si="1"/>
      </c>
      <c r="M5288">
        <f t="shared" si="2"/>
      </c>
    </row>
    <row r="5289">
      <c r="G5289" s="9">
        <f t="shared" si="0"/>
      </c>
      <c r="L5289">
        <f t="shared" si="1"/>
      </c>
      <c r="M5289">
        <f t="shared" si="2"/>
      </c>
    </row>
    <row r="5290">
      <c r="G5290" s="9">
        <f t="shared" si="0"/>
      </c>
      <c r="L5290">
        <f t="shared" si="1"/>
      </c>
      <c r="M5290">
        <f t="shared" si="2"/>
      </c>
    </row>
    <row r="5291">
      <c r="G5291" s="9">
        <f t="shared" si="0"/>
      </c>
      <c r="L5291">
        <f t="shared" si="1"/>
      </c>
      <c r="M5291">
        <f t="shared" si="2"/>
      </c>
    </row>
    <row r="5292">
      <c r="G5292" s="9">
        <f t="shared" si="0"/>
      </c>
      <c r="L5292">
        <f t="shared" si="1"/>
      </c>
      <c r="M5292">
        <f t="shared" si="2"/>
      </c>
    </row>
    <row r="5293">
      <c r="G5293" s="9">
        <f t="shared" si="0"/>
      </c>
      <c r="L5293">
        <f t="shared" si="1"/>
      </c>
      <c r="M5293">
        <f t="shared" si="2"/>
      </c>
    </row>
    <row r="5294">
      <c r="G5294" s="9">
        <f t="shared" si="0"/>
      </c>
      <c r="L5294">
        <f t="shared" si="1"/>
      </c>
      <c r="M5294">
        <f t="shared" si="2"/>
      </c>
    </row>
    <row r="5295">
      <c r="G5295" s="9">
        <f t="shared" si="0"/>
      </c>
      <c r="L5295">
        <f t="shared" si="1"/>
      </c>
      <c r="M5295">
        <f t="shared" si="2"/>
      </c>
    </row>
    <row r="5296">
      <c r="G5296" s="9">
        <f t="shared" si="0"/>
      </c>
      <c r="L5296">
        <f t="shared" si="1"/>
      </c>
      <c r="M5296">
        <f t="shared" si="2"/>
      </c>
    </row>
    <row r="5297">
      <c r="G5297" s="9">
        <f t="shared" si="0"/>
      </c>
      <c r="L5297">
        <f t="shared" si="1"/>
      </c>
      <c r="M5297">
        <f t="shared" si="2"/>
      </c>
    </row>
    <row r="5298">
      <c r="G5298" s="9">
        <f t="shared" si="0"/>
      </c>
      <c r="L5298">
        <f t="shared" si="1"/>
      </c>
      <c r="M5298">
        <f t="shared" si="2"/>
      </c>
    </row>
    <row r="5299">
      <c r="G5299" s="9">
        <f t="shared" si="0"/>
      </c>
      <c r="L5299">
        <f t="shared" si="1"/>
      </c>
      <c r="M5299">
        <f t="shared" si="2"/>
      </c>
    </row>
    <row r="5300">
      <c r="G5300" s="9">
        <f t="shared" si="0"/>
      </c>
      <c r="L5300">
        <f t="shared" si="1"/>
      </c>
      <c r="M5300">
        <f t="shared" si="2"/>
      </c>
    </row>
    <row r="5301">
      <c r="G5301" s="9">
        <f t="shared" si="0"/>
      </c>
      <c r="L5301">
        <f t="shared" si="1"/>
      </c>
      <c r="M5301">
        <f t="shared" si="2"/>
      </c>
    </row>
    <row r="5302">
      <c r="G5302" s="9">
        <f t="shared" si="0"/>
      </c>
      <c r="L5302">
        <f t="shared" si="1"/>
      </c>
      <c r="M5302">
        <f t="shared" si="2"/>
      </c>
    </row>
    <row r="5303">
      <c r="G5303" s="9">
        <f t="shared" si="0"/>
      </c>
      <c r="L5303">
        <f t="shared" si="1"/>
      </c>
      <c r="M5303">
        <f t="shared" si="2"/>
      </c>
    </row>
    <row r="5304">
      <c r="G5304" s="9">
        <f t="shared" si="0"/>
      </c>
      <c r="L5304">
        <f t="shared" si="1"/>
      </c>
      <c r="M5304">
        <f t="shared" si="2"/>
      </c>
    </row>
    <row r="5305">
      <c r="G5305" s="9">
        <f t="shared" si="0"/>
      </c>
      <c r="L5305">
        <f t="shared" si="1"/>
      </c>
      <c r="M5305">
        <f t="shared" si="2"/>
      </c>
    </row>
    <row r="5306">
      <c r="G5306" s="9">
        <f t="shared" si="0"/>
      </c>
      <c r="L5306">
        <f t="shared" si="1"/>
      </c>
      <c r="M5306">
        <f t="shared" si="2"/>
      </c>
    </row>
    <row r="5307">
      <c r="G5307" s="9">
        <f t="shared" si="0"/>
      </c>
      <c r="L5307">
        <f t="shared" si="1"/>
      </c>
      <c r="M5307">
        <f t="shared" si="2"/>
      </c>
    </row>
    <row r="5308">
      <c r="G5308" s="9">
        <f t="shared" si="0"/>
      </c>
      <c r="L5308">
        <f t="shared" si="1"/>
      </c>
      <c r="M5308">
        <f t="shared" si="2"/>
      </c>
    </row>
    <row r="5309">
      <c r="G5309" s="9">
        <f t="shared" si="0"/>
      </c>
      <c r="L5309">
        <f t="shared" si="1"/>
      </c>
      <c r="M5309">
        <f t="shared" si="2"/>
      </c>
    </row>
    <row r="5310">
      <c r="G5310" s="9">
        <f t="shared" si="0"/>
      </c>
      <c r="L5310">
        <f t="shared" si="1"/>
      </c>
      <c r="M5310">
        <f t="shared" si="2"/>
      </c>
    </row>
    <row r="5311">
      <c r="G5311" s="9">
        <f t="shared" si="0"/>
      </c>
      <c r="L5311">
        <f t="shared" si="1"/>
      </c>
      <c r="M5311">
        <f t="shared" si="2"/>
      </c>
    </row>
    <row r="5312">
      <c r="G5312" s="9">
        <f t="shared" si="0"/>
      </c>
      <c r="L5312">
        <f t="shared" si="1"/>
      </c>
      <c r="M5312">
        <f t="shared" si="2"/>
      </c>
    </row>
    <row r="5313">
      <c r="G5313" s="9">
        <f t="shared" si="0"/>
      </c>
      <c r="L5313">
        <f t="shared" si="1"/>
      </c>
      <c r="M5313">
        <f t="shared" si="2"/>
      </c>
    </row>
    <row r="5314">
      <c r="G5314" s="9">
        <f t="shared" si="0"/>
      </c>
      <c r="L5314">
        <f t="shared" si="1"/>
      </c>
      <c r="M5314">
        <f t="shared" si="2"/>
      </c>
    </row>
    <row r="5315">
      <c r="G5315" s="9">
        <f t="shared" si="0"/>
      </c>
      <c r="L5315">
        <f t="shared" si="1"/>
      </c>
      <c r="M5315">
        <f t="shared" si="2"/>
      </c>
    </row>
    <row r="5316">
      <c r="G5316" s="9">
        <f t="shared" si="0"/>
      </c>
      <c r="L5316">
        <f t="shared" si="1"/>
      </c>
      <c r="M5316">
        <f t="shared" si="2"/>
      </c>
    </row>
    <row r="5317">
      <c r="G5317" s="9">
        <f t="shared" si="0"/>
      </c>
      <c r="L5317">
        <f t="shared" si="1"/>
      </c>
      <c r="M5317">
        <f t="shared" si="2"/>
      </c>
    </row>
    <row r="5318">
      <c r="G5318" s="9">
        <f t="shared" si="0"/>
      </c>
      <c r="L5318">
        <f t="shared" si="1"/>
      </c>
      <c r="M5318">
        <f t="shared" si="2"/>
      </c>
    </row>
    <row r="5319">
      <c r="G5319" s="9">
        <f t="shared" si="0"/>
      </c>
      <c r="L5319">
        <f t="shared" si="1"/>
      </c>
      <c r="M5319">
        <f t="shared" si="2"/>
      </c>
    </row>
    <row r="5320">
      <c r="G5320" s="9">
        <f t="shared" si="0"/>
      </c>
      <c r="L5320">
        <f t="shared" si="1"/>
      </c>
      <c r="M5320">
        <f t="shared" si="2"/>
      </c>
    </row>
    <row r="5321">
      <c r="G5321" s="9">
        <f t="shared" si="0"/>
      </c>
      <c r="L5321">
        <f t="shared" si="1"/>
      </c>
      <c r="M5321">
        <f t="shared" si="2"/>
      </c>
    </row>
    <row r="5322">
      <c r="G5322" s="9">
        <f t="shared" si="0"/>
      </c>
      <c r="L5322">
        <f t="shared" si="1"/>
      </c>
      <c r="M5322">
        <f t="shared" si="2"/>
      </c>
    </row>
    <row r="5323">
      <c r="G5323" s="9">
        <f t="shared" si="0"/>
      </c>
      <c r="L5323">
        <f t="shared" si="1"/>
      </c>
      <c r="M5323">
        <f t="shared" si="2"/>
      </c>
    </row>
    <row r="5324">
      <c r="G5324" s="9">
        <f t="shared" si="0"/>
      </c>
      <c r="L5324">
        <f t="shared" si="1"/>
      </c>
      <c r="M5324">
        <f t="shared" si="2"/>
      </c>
    </row>
    <row r="5325">
      <c r="G5325" s="9">
        <f t="shared" si="0"/>
      </c>
      <c r="L5325">
        <f t="shared" si="1"/>
      </c>
      <c r="M5325">
        <f t="shared" si="2"/>
      </c>
    </row>
    <row r="5326">
      <c r="G5326" s="9">
        <f t="shared" si="0"/>
      </c>
      <c r="L5326">
        <f t="shared" si="1"/>
      </c>
      <c r="M5326">
        <f t="shared" si="2"/>
      </c>
    </row>
    <row r="5327">
      <c r="G5327" s="9">
        <f t="shared" si="0"/>
      </c>
      <c r="L5327">
        <f t="shared" si="1"/>
      </c>
      <c r="M5327">
        <f t="shared" si="2"/>
      </c>
    </row>
    <row r="5328">
      <c r="G5328" s="9">
        <f t="shared" si="0"/>
      </c>
      <c r="L5328">
        <f t="shared" si="1"/>
      </c>
      <c r="M5328">
        <f t="shared" si="2"/>
      </c>
    </row>
    <row r="5329">
      <c r="G5329" s="9">
        <f t="shared" si="0"/>
      </c>
      <c r="L5329">
        <f t="shared" si="1"/>
      </c>
      <c r="M5329">
        <f t="shared" si="2"/>
      </c>
    </row>
    <row r="5330">
      <c r="G5330" s="9">
        <f t="shared" si="0"/>
      </c>
      <c r="L5330">
        <f t="shared" si="1"/>
      </c>
      <c r="M5330">
        <f t="shared" si="2"/>
      </c>
    </row>
    <row r="5331">
      <c r="G5331" s="9">
        <f t="shared" si="0"/>
      </c>
      <c r="L5331">
        <f t="shared" si="1"/>
      </c>
      <c r="M5331">
        <f t="shared" si="2"/>
      </c>
    </row>
    <row r="5332">
      <c r="G5332" s="9">
        <f t="shared" si="0"/>
      </c>
      <c r="L5332">
        <f t="shared" si="1"/>
      </c>
      <c r="M5332">
        <f t="shared" si="2"/>
      </c>
    </row>
    <row r="5333">
      <c r="G5333" s="9">
        <f t="shared" si="0"/>
      </c>
      <c r="L5333">
        <f t="shared" si="1"/>
      </c>
      <c r="M5333">
        <f t="shared" si="2"/>
      </c>
    </row>
    <row r="5334">
      <c r="G5334" s="9">
        <f t="shared" si="0"/>
      </c>
      <c r="L5334">
        <f t="shared" si="1"/>
      </c>
      <c r="M5334">
        <f t="shared" si="2"/>
      </c>
    </row>
    <row r="5335">
      <c r="G5335" s="9">
        <f t="shared" si="0"/>
      </c>
      <c r="L5335">
        <f t="shared" si="1"/>
      </c>
      <c r="M5335">
        <f t="shared" si="2"/>
      </c>
    </row>
    <row r="5336">
      <c r="G5336" s="9">
        <f t="shared" si="0"/>
      </c>
      <c r="L5336">
        <f t="shared" si="1"/>
      </c>
      <c r="M5336">
        <f t="shared" si="2"/>
      </c>
    </row>
    <row r="5337">
      <c r="G5337" s="9">
        <f t="shared" si="0"/>
      </c>
      <c r="L5337">
        <f t="shared" si="1"/>
      </c>
      <c r="M5337">
        <f t="shared" si="2"/>
      </c>
    </row>
    <row r="5338">
      <c r="G5338" s="9">
        <f t="shared" si="0"/>
      </c>
      <c r="L5338">
        <f t="shared" si="1"/>
      </c>
      <c r="M5338">
        <f t="shared" si="2"/>
      </c>
    </row>
    <row r="5339">
      <c r="G5339" s="9">
        <f t="shared" si="0"/>
      </c>
      <c r="L5339">
        <f t="shared" si="1"/>
      </c>
      <c r="M5339">
        <f t="shared" si="2"/>
      </c>
    </row>
    <row r="5340">
      <c r="G5340" s="9">
        <f t="shared" si="0"/>
      </c>
      <c r="L5340">
        <f t="shared" si="1"/>
      </c>
      <c r="M5340">
        <f t="shared" si="2"/>
      </c>
    </row>
    <row r="5341">
      <c r="G5341" s="9">
        <f t="shared" si="0"/>
      </c>
      <c r="L5341">
        <f t="shared" si="1"/>
      </c>
      <c r="M5341">
        <f t="shared" si="2"/>
      </c>
    </row>
    <row r="5342">
      <c r="G5342" s="9">
        <f t="shared" si="0"/>
      </c>
      <c r="L5342">
        <f t="shared" si="1"/>
      </c>
      <c r="M5342">
        <f t="shared" si="2"/>
      </c>
    </row>
    <row r="5343">
      <c r="G5343" s="9">
        <f t="shared" si="0"/>
      </c>
      <c r="L5343">
        <f t="shared" si="1"/>
      </c>
      <c r="M5343">
        <f t="shared" si="2"/>
      </c>
    </row>
    <row r="5344">
      <c r="G5344" s="9">
        <f t="shared" si="0"/>
      </c>
      <c r="L5344">
        <f t="shared" si="1"/>
      </c>
      <c r="M5344">
        <f t="shared" si="2"/>
      </c>
    </row>
    <row r="5345">
      <c r="G5345" s="9">
        <f t="shared" si="0"/>
      </c>
      <c r="L5345">
        <f t="shared" si="1"/>
      </c>
      <c r="M5345">
        <f t="shared" si="2"/>
      </c>
    </row>
    <row r="5346">
      <c r="G5346" s="9">
        <f t="shared" si="0"/>
      </c>
      <c r="L5346">
        <f t="shared" si="1"/>
      </c>
      <c r="M5346">
        <f t="shared" si="2"/>
      </c>
    </row>
    <row r="5347">
      <c r="G5347" s="9">
        <f t="shared" si="0"/>
      </c>
      <c r="L5347">
        <f t="shared" si="1"/>
      </c>
      <c r="M5347">
        <f t="shared" si="2"/>
      </c>
    </row>
    <row r="5348">
      <c r="G5348" s="9">
        <f t="shared" si="0"/>
      </c>
      <c r="L5348">
        <f t="shared" si="1"/>
      </c>
      <c r="M5348">
        <f t="shared" si="2"/>
      </c>
    </row>
    <row r="5349">
      <c r="G5349" s="9">
        <f t="shared" si="0"/>
      </c>
      <c r="L5349">
        <f t="shared" si="1"/>
      </c>
      <c r="M5349">
        <f t="shared" si="2"/>
      </c>
    </row>
    <row r="5350">
      <c r="G5350" s="9">
        <f t="shared" si="0"/>
      </c>
      <c r="L5350">
        <f t="shared" si="1"/>
      </c>
      <c r="M5350">
        <f t="shared" si="2"/>
      </c>
    </row>
    <row r="5351">
      <c r="G5351" s="9">
        <f t="shared" si="0"/>
      </c>
      <c r="L5351">
        <f t="shared" si="1"/>
      </c>
      <c r="M5351">
        <f t="shared" si="2"/>
      </c>
    </row>
    <row r="5352">
      <c r="G5352" s="9">
        <f t="shared" si="0"/>
      </c>
      <c r="L5352">
        <f t="shared" si="1"/>
      </c>
      <c r="M5352">
        <f t="shared" si="2"/>
      </c>
    </row>
    <row r="5353">
      <c r="G5353" s="9">
        <f t="shared" si="0"/>
      </c>
      <c r="L5353">
        <f t="shared" si="1"/>
      </c>
      <c r="M5353">
        <f t="shared" si="2"/>
      </c>
    </row>
    <row r="5354">
      <c r="G5354" s="9">
        <f t="shared" si="0"/>
      </c>
      <c r="L5354">
        <f t="shared" si="1"/>
      </c>
      <c r="M5354">
        <f t="shared" si="2"/>
      </c>
    </row>
    <row r="5355">
      <c r="G5355" s="9">
        <f t="shared" si="0"/>
      </c>
      <c r="L5355">
        <f t="shared" si="1"/>
      </c>
      <c r="M5355">
        <f t="shared" si="2"/>
      </c>
    </row>
    <row r="5356">
      <c r="G5356" s="9">
        <f t="shared" si="0"/>
      </c>
      <c r="L5356">
        <f t="shared" si="1"/>
      </c>
      <c r="M5356">
        <f t="shared" si="2"/>
      </c>
    </row>
    <row r="5357">
      <c r="G5357" s="9">
        <f t="shared" si="0"/>
      </c>
      <c r="L5357">
        <f t="shared" si="1"/>
      </c>
      <c r="M5357">
        <f t="shared" si="2"/>
      </c>
    </row>
    <row r="5358">
      <c r="G5358" s="9">
        <f t="shared" si="0"/>
      </c>
      <c r="L5358">
        <f t="shared" si="1"/>
      </c>
      <c r="M5358">
        <f t="shared" si="2"/>
      </c>
    </row>
    <row r="5359">
      <c r="G5359" s="9">
        <f t="shared" si="0"/>
      </c>
      <c r="L5359">
        <f t="shared" si="1"/>
      </c>
      <c r="M5359">
        <f t="shared" si="2"/>
      </c>
    </row>
    <row r="5360">
      <c r="G5360" s="9">
        <f t="shared" si="0"/>
      </c>
      <c r="L5360">
        <f t="shared" si="1"/>
      </c>
      <c r="M5360">
        <f t="shared" si="2"/>
      </c>
    </row>
    <row r="5361">
      <c r="G5361" s="9">
        <f t="shared" si="0"/>
      </c>
      <c r="L5361">
        <f t="shared" si="1"/>
      </c>
      <c r="M5361">
        <f t="shared" si="2"/>
      </c>
    </row>
    <row r="5362">
      <c r="G5362" s="9">
        <f t="shared" si="0"/>
      </c>
      <c r="L5362">
        <f t="shared" si="1"/>
      </c>
      <c r="M5362">
        <f t="shared" si="2"/>
      </c>
    </row>
    <row r="5363">
      <c r="G5363" s="9">
        <f t="shared" si="0"/>
      </c>
      <c r="L5363">
        <f t="shared" si="1"/>
      </c>
      <c r="M5363">
        <f t="shared" si="2"/>
      </c>
    </row>
    <row r="5364">
      <c r="G5364" s="9">
        <f t="shared" si="0"/>
      </c>
      <c r="L5364">
        <f t="shared" si="1"/>
      </c>
      <c r="M5364">
        <f t="shared" si="2"/>
      </c>
    </row>
    <row r="5365">
      <c r="G5365" s="9">
        <f t="shared" si="0"/>
      </c>
      <c r="L5365">
        <f t="shared" si="1"/>
      </c>
      <c r="M5365">
        <f t="shared" si="2"/>
      </c>
    </row>
    <row r="5366">
      <c r="G5366" s="9">
        <f t="shared" si="0"/>
      </c>
      <c r="L5366">
        <f t="shared" si="1"/>
      </c>
      <c r="M5366">
        <f t="shared" si="2"/>
      </c>
    </row>
    <row r="5367">
      <c r="G5367" s="9">
        <f t="shared" si="0"/>
      </c>
      <c r="L5367">
        <f t="shared" si="1"/>
      </c>
      <c r="M5367">
        <f t="shared" si="2"/>
      </c>
    </row>
    <row r="5368">
      <c r="G5368" s="9">
        <f t="shared" si="0"/>
      </c>
      <c r="L5368">
        <f t="shared" si="1"/>
      </c>
      <c r="M5368">
        <f t="shared" si="2"/>
      </c>
    </row>
    <row r="5369">
      <c r="G5369" s="9">
        <f t="shared" si="0"/>
      </c>
      <c r="L5369">
        <f t="shared" si="1"/>
      </c>
      <c r="M5369">
        <f t="shared" si="2"/>
      </c>
    </row>
    <row r="5370">
      <c r="G5370" s="9">
        <f t="shared" si="0"/>
      </c>
      <c r="L5370">
        <f t="shared" si="1"/>
      </c>
      <c r="M5370">
        <f t="shared" si="2"/>
      </c>
    </row>
    <row r="5371">
      <c r="G5371" s="9">
        <f t="shared" si="0"/>
      </c>
      <c r="L5371">
        <f t="shared" si="1"/>
      </c>
      <c r="M5371">
        <f t="shared" si="2"/>
      </c>
    </row>
    <row r="5372">
      <c r="G5372" s="9">
        <f t="shared" si="0"/>
      </c>
      <c r="L5372">
        <f t="shared" si="1"/>
      </c>
      <c r="M5372">
        <f t="shared" si="2"/>
      </c>
    </row>
    <row r="5373">
      <c r="G5373" s="9">
        <f t="shared" si="0"/>
      </c>
      <c r="L5373">
        <f t="shared" si="1"/>
      </c>
      <c r="M5373">
        <f t="shared" si="2"/>
      </c>
    </row>
    <row r="5374">
      <c r="G5374" s="9">
        <f t="shared" si="0"/>
      </c>
      <c r="L5374">
        <f t="shared" si="1"/>
      </c>
      <c r="M5374">
        <f t="shared" si="2"/>
      </c>
    </row>
    <row r="5375">
      <c r="G5375" s="9">
        <f t="shared" si="0"/>
      </c>
      <c r="L5375">
        <f t="shared" si="1"/>
      </c>
      <c r="M5375">
        <f t="shared" si="2"/>
      </c>
    </row>
    <row r="5376">
      <c r="G5376" s="9">
        <f t="shared" si="0"/>
      </c>
      <c r="L5376">
        <f t="shared" si="1"/>
      </c>
      <c r="M5376">
        <f t="shared" si="2"/>
      </c>
    </row>
    <row r="5377">
      <c r="G5377" s="9">
        <f t="shared" si="0"/>
      </c>
      <c r="L5377">
        <f t="shared" si="1"/>
      </c>
      <c r="M5377">
        <f t="shared" si="2"/>
      </c>
    </row>
    <row r="5378">
      <c r="G5378" s="9">
        <f t="shared" si="0"/>
      </c>
      <c r="L5378">
        <f t="shared" si="1"/>
      </c>
      <c r="M5378">
        <f t="shared" si="2"/>
      </c>
    </row>
    <row r="5379">
      <c r="G5379" s="9">
        <f t="shared" si="0"/>
      </c>
      <c r="L5379">
        <f t="shared" si="1"/>
      </c>
      <c r="M5379">
        <f t="shared" si="2"/>
      </c>
    </row>
    <row r="5380">
      <c r="G5380" s="9">
        <f t="shared" si="0"/>
      </c>
      <c r="L5380">
        <f t="shared" si="1"/>
      </c>
      <c r="M5380">
        <f t="shared" si="2"/>
      </c>
    </row>
    <row r="5381">
      <c r="G5381" s="9">
        <f t="shared" si="0"/>
      </c>
      <c r="L5381">
        <f t="shared" si="1"/>
      </c>
      <c r="M5381">
        <f t="shared" si="2"/>
      </c>
    </row>
    <row r="5382">
      <c r="G5382" s="9">
        <f t="shared" si="0"/>
      </c>
      <c r="L5382">
        <f t="shared" si="1"/>
      </c>
      <c r="M5382">
        <f t="shared" si="2"/>
      </c>
    </row>
    <row r="5383">
      <c r="G5383" s="9">
        <f t="shared" si="0"/>
      </c>
      <c r="L5383">
        <f t="shared" si="1"/>
      </c>
      <c r="M5383">
        <f t="shared" si="2"/>
      </c>
    </row>
    <row r="5384">
      <c r="G5384" s="9">
        <f t="shared" si="0"/>
      </c>
      <c r="L5384">
        <f t="shared" si="1"/>
      </c>
      <c r="M5384">
        <f t="shared" si="2"/>
      </c>
    </row>
    <row r="5385">
      <c r="G5385" s="9">
        <f t="shared" si="0"/>
      </c>
      <c r="L5385">
        <f t="shared" si="1"/>
      </c>
      <c r="M5385">
        <f t="shared" si="2"/>
      </c>
    </row>
    <row r="5386">
      <c r="G5386" s="9">
        <f t="shared" si="0"/>
      </c>
      <c r="L5386">
        <f t="shared" si="1"/>
      </c>
      <c r="M5386">
        <f t="shared" si="2"/>
      </c>
    </row>
    <row r="5387">
      <c r="G5387" s="9">
        <f t="shared" si="0"/>
      </c>
      <c r="L5387">
        <f t="shared" si="1"/>
      </c>
      <c r="M5387">
        <f t="shared" si="2"/>
      </c>
    </row>
    <row r="5388">
      <c r="G5388" s="9">
        <f t="shared" si="0"/>
      </c>
      <c r="L5388">
        <f t="shared" si="1"/>
      </c>
      <c r="M5388">
        <f t="shared" si="2"/>
      </c>
    </row>
    <row r="5389">
      <c r="G5389" s="9">
        <f t="shared" si="0"/>
      </c>
      <c r="L5389">
        <f t="shared" si="1"/>
      </c>
      <c r="M5389">
        <f t="shared" si="2"/>
      </c>
    </row>
    <row r="5390">
      <c r="G5390" s="9">
        <f t="shared" si="0"/>
      </c>
      <c r="L5390">
        <f t="shared" si="1"/>
      </c>
      <c r="M5390">
        <f t="shared" si="2"/>
      </c>
    </row>
    <row r="5391">
      <c r="G5391" s="9">
        <f t="shared" si="0"/>
      </c>
      <c r="L5391">
        <f t="shared" si="1"/>
      </c>
      <c r="M5391">
        <f t="shared" si="2"/>
      </c>
    </row>
    <row r="5392">
      <c r="G5392" s="9">
        <f t="shared" si="0"/>
      </c>
      <c r="L5392">
        <f t="shared" si="1"/>
      </c>
      <c r="M5392">
        <f t="shared" si="2"/>
      </c>
    </row>
    <row r="5393">
      <c r="G5393" s="9">
        <f t="shared" si="0"/>
      </c>
      <c r="L5393">
        <f t="shared" si="1"/>
      </c>
      <c r="M5393">
        <f t="shared" si="2"/>
      </c>
    </row>
    <row r="5394">
      <c r="G5394" s="9">
        <f t="shared" si="0"/>
      </c>
      <c r="L5394">
        <f t="shared" si="1"/>
      </c>
      <c r="M5394">
        <f t="shared" si="2"/>
      </c>
    </row>
    <row r="5395">
      <c r="G5395" s="9">
        <f t="shared" si="0"/>
      </c>
      <c r="L5395">
        <f t="shared" si="1"/>
      </c>
      <c r="M5395">
        <f t="shared" si="2"/>
      </c>
    </row>
    <row r="5396">
      <c r="G5396" s="9">
        <f t="shared" si="0"/>
      </c>
      <c r="L5396">
        <f t="shared" si="1"/>
      </c>
      <c r="M5396">
        <f t="shared" si="2"/>
      </c>
    </row>
    <row r="5397">
      <c r="G5397" s="9">
        <f t="shared" si="0"/>
      </c>
      <c r="L5397">
        <f t="shared" si="1"/>
      </c>
      <c r="M5397">
        <f t="shared" si="2"/>
      </c>
    </row>
    <row r="5398">
      <c r="G5398" s="9">
        <f t="shared" si="0"/>
      </c>
      <c r="L5398">
        <f t="shared" si="1"/>
      </c>
      <c r="M5398">
        <f t="shared" si="2"/>
      </c>
    </row>
    <row r="5399">
      <c r="G5399" s="9">
        <f t="shared" si="0"/>
      </c>
      <c r="L5399">
        <f t="shared" si="1"/>
      </c>
      <c r="M5399">
        <f t="shared" si="2"/>
      </c>
    </row>
    <row r="5400">
      <c r="G5400" s="9">
        <f t="shared" si="0"/>
      </c>
      <c r="L5400">
        <f t="shared" si="1"/>
      </c>
      <c r="M5400">
        <f t="shared" si="2"/>
      </c>
    </row>
    <row r="5401">
      <c r="G5401" s="9">
        <f t="shared" si="0"/>
      </c>
      <c r="L5401">
        <f t="shared" si="1"/>
      </c>
      <c r="M5401">
        <f t="shared" si="2"/>
      </c>
    </row>
    <row r="5402">
      <c r="G5402" s="9">
        <f t="shared" si="0"/>
      </c>
      <c r="L5402">
        <f t="shared" si="1"/>
      </c>
      <c r="M5402">
        <f t="shared" si="2"/>
      </c>
    </row>
    <row r="5403">
      <c r="G5403" s="9">
        <f t="shared" si="0"/>
      </c>
      <c r="L5403">
        <f t="shared" si="1"/>
      </c>
      <c r="M5403">
        <f t="shared" si="2"/>
      </c>
    </row>
    <row r="5404">
      <c r="G5404" s="9">
        <f t="shared" si="0"/>
      </c>
      <c r="L5404">
        <f t="shared" si="1"/>
      </c>
      <c r="M5404">
        <f t="shared" si="2"/>
      </c>
    </row>
    <row r="5405">
      <c r="G5405" s="9">
        <f t="shared" si="0"/>
      </c>
      <c r="L5405">
        <f t="shared" si="1"/>
      </c>
      <c r="M5405">
        <f t="shared" si="2"/>
      </c>
    </row>
    <row r="5406">
      <c r="G5406" s="9">
        <f t="shared" si="0"/>
      </c>
      <c r="L5406">
        <f t="shared" si="1"/>
      </c>
      <c r="M5406">
        <f t="shared" si="2"/>
      </c>
    </row>
    <row r="5407">
      <c r="G5407" s="9">
        <f t="shared" si="0"/>
      </c>
      <c r="L5407">
        <f t="shared" si="1"/>
      </c>
      <c r="M5407">
        <f t="shared" si="2"/>
      </c>
    </row>
    <row r="5408">
      <c r="G5408" s="9">
        <f t="shared" si="0"/>
      </c>
      <c r="L5408">
        <f t="shared" si="1"/>
      </c>
      <c r="M5408">
        <f t="shared" si="2"/>
      </c>
    </row>
    <row r="5409">
      <c r="G5409" s="9">
        <f t="shared" si="0"/>
      </c>
      <c r="L5409">
        <f t="shared" si="1"/>
      </c>
      <c r="M5409">
        <f t="shared" si="2"/>
      </c>
    </row>
    <row r="5410">
      <c r="G5410" s="9">
        <f t="shared" si="0"/>
      </c>
      <c r="L5410">
        <f t="shared" si="1"/>
      </c>
      <c r="M5410">
        <f t="shared" si="2"/>
      </c>
    </row>
    <row r="5411">
      <c r="G5411" s="9">
        <f t="shared" si="0"/>
      </c>
      <c r="L5411">
        <f t="shared" si="1"/>
      </c>
      <c r="M5411">
        <f t="shared" si="2"/>
      </c>
    </row>
    <row r="5412">
      <c r="G5412" s="9">
        <f t="shared" si="0"/>
      </c>
      <c r="L5412">
        <f t="shared" si="1"/>
      </c>
      <c r="M5412">
        <f t="shared" si="2"/>
      </c>
    </row>
    <row r="5413">
      <c r="G5413" s="9">
        <f t="shared" si="0"/>
      </c>
      <c r="L5413">
        <f t="shared" si="1"/>
      </c>
      <c r="M5413">
        <f t="shared" si="2"/>
      </c>
    </row>
    <row r="5414">
      <c r="G5414" s="9">
        <f t="shared" si="0"/>
      </c>
      <c r="L5414">
        <f t="shared" si="1"/>
      </c>
      <c r="M5414">
        <f t="shared" si="2"/>
      </c>
    </row>
    <row r="5415">
      <c r="G5415" s="9">
        <f t="shared" si="0"/>
      </c>
      <c r="L5415">
        <f t="shared" si="1"/>
      </c>
      <c r="M5415">
        <f t="shared" si="2"/>
      </c>
    </row>
    <row r="5416">
      <c r="G5416" s="9">
        <f t="shared" si="0"/>
      </c>
      <c r="L5416">
        <f t="shared" si="1"/>
      </c>
      <c r="M5416">
        <f t="shared" si="2"/>
      </c>
    </row>
    <row r="5417">
      <c r="G5417" s="9">
        <f t="shared" si="0"/>
      </c>
      <c r="L5417">
        <f t="shared" si="1"/>
      </c>
      <c r="M5417">
        <f t="shared" si="2"/>
      </c>
    </row>
    <row r="5418">
      <c r="G5418" s="9">
        <f t="shared" si="0"/>
      </c>
      <c r="L5418">
        <f t="shared" si="1"/>
      </c>
      <c r="M5418">
        <f t="shared" si="2"/>
      </c>
    </row>
    <row r="5419">
      <c r="G5419" s="9">
        <f t="shared" si="0"/>
      </c>
      <c r="L5419">
        <f t="shared" si="1"/>
      </c>
      <c r="M5419">
        <f t="shared" si="2"/>
      </c>
    </row>
    <row r="5420">
      <c r="G5420" s="9">
        <f t="shared" si="0"/>
      </c>
      <c r="L5420">
        <f t="shared" si="1"/>
      </c>
      <c r="M5420">
        <f t="shared" si="2"/>
      </c>
    </row>
    <row r="5421">
      <c r="G5421" s="9">
        <f t="shared" si="0"/>
      </c>
      <c r="L5421">
        <f t="shared" si="1"/>
      </c>
      <c r="M5421">
        <f t="shared" si="2"/>
      </c>
    </row>
    <row r="5422">
      <c r="G5422" s="9">
        <f t="shared" si="0"/>
      </c>
      <c r="L5422">
        <f t="shared" si="1"/>
      </c>
      <c r="M5422">
        <f t="shared" si="2"/>
      </c>
    </row>
    <row r="5423">
      <c r="G5423" s="9">
        <f t="shared" si="0"/>
      </c>
      <c r="L5423">
        <f t="shared" si="1"/>
      </c>
      <c r="M5423">
        <f t="shared" si="2"/>
      </c>
    </row>
    <row r="5424">
      <c r="G5424" s="9">
        <f t="shared" si="0"/>
      </c>
      <c r="L5424">
        <f t="shared" si="1"/>
      </c>
      <c r="M5424">
        <f t="shared" si="2"/>
      </c>
    </row>
    <row r="5425">
      <c r="G5425" s="9">
        <f t="shared" si="0"/>
      </c>
      <c r="L5425">
        <f t="shared" si="1"/>
      </c>
      <c r="M5425">
        <f t="shared" si="2"/>
      </c>
    </row>
    <row r="5426">
      <c r="G5426" s="9">
        <f t="shared" si="0"/>
      </c>
      <c r="L5426">
        <f t="shared" si="1"/>
      </c>
      <c r="M5426">
        <f t="shared" si="2"/>
      </c>
    </row>
    <row r="5427">
      <c r="G5427" s="9">
        <f t="shared" si="0"/>
      </c>
      <c r="L5427">
        <f t="shared" si="1"/>
      </c>
      <c r="M5427">
        <f t="shared" si="2"/>
      </c>
    </row>
    <row r="5428">
      <c r="G5428" s="9">
        <f t="shared" si="0"/>
      </c>
      <c r="L5428">
        <f t="shared" si="1"/>
      </c>
      <c r="M5428">
        <f t="shared" si="2"/>
      </c>
    </row>
    <row r="5429">
      <c r="G5429" s="9">
        <f t="shared" si="0"/>
      </c>
      <c r="L5429">
        <f t="shared" si="1"/>
      </c>
      <c r="M5429">
        <f t="shared" si="2"/>
      </c>
    </row>
    <row r="5430">
      <c r="G5430" s="9">
        <f t="shared" si="0"/>
      </c>
      <c r="L5430">
        <f t="shared" si="1"/>
      </c>
      <c r="M5430">
        <f t="shared" si="2"/>
      </c>
    </row>
    <row r="5431">
      <c r="G5431" s="9">
        <f t="shared" si="0"/>
      </c>
      <c r="L5431">
        <f t="shared" si="1"/>
      </c>
      <c r="M5431">
        <f t="shared" si="2"/>
      </c>
    </row>
    <row r="5432">
      <c r="G5432" s="9">
        <f t="shared" si="0"/>
      </c>
      <c r="L5432">
        <f t="shared" si="1"/>
      </c>
      <c r="M5432">
        <f t="shared" si="2"/>
      </c>
    </row>
    <row r="5433">
      <c r="G5433" s="9">
        <f t="shared" si="0"/>
      </c>
      <c r="L5433">
        <f t="shared" si="1"/>
      </c>
      <c r="M5433">
        <f t="shared" si="2"/>
      </c>
    </row>
    <row r="5434">
      <c r="G5434" s="9">
        <f t="shared" si="0"/>
      </c>
      <c r="L5434">
        <f t="shared" si="1"/>
      </c>
      <c r="M5434">
        <f t="shared" si="2"/>
      </c>
    </row>
    <row r="5435">
      <c r="G5435" s="9">
        <f t="shared" si="0"/>
      </c>
      <c r="L5435">
        <f t="shared" si="1"/>
      </c>
      <c r="M5435">
        <f t="shared" si="2"/>
      </c>
    </row>
    <row r="5436">
      <c r="G5436" s="9">
        <f t="shared" si="0"/>
      </c>
      <c r="L5436">
        <f t="shared" si="1"/>
      </c>
      <c r="M5436">
        <f t="shared" si="2"/>
      </c>
    </row>
    <row r="5437">
      <c r="G5437" s="9">
        <f t="shared" si="0"/>
      </c>
      <c r="L5437">
        <f t="shared" si="1"/>
      </c>
      <c r="M5437">
        <f t="shared" si="2"/>
      </c>
    </row>
    <row r="5438">
      <c r="G5438" s="9">
        <f t="shared" si="0"/>
      </c>
      <c r="L5438">
        <f t="shared" si="1"/>
      </c>
      <c r="M5438">
        <f t="shared" si="2"/>
      </c>
    </row>
    <row r="5439">
      <c r="G5439" s="9">
        <f t="shared" si="0"/>
      </c>
      <c r="L5439">
        <f t="shared" si="1"/>
      </c>
      <c r="M5439">
        <f t="shared" si="2"/>
      </c>
    </row>
    <row r="5440">
      <c r="G5440" s="9">
        <f t="shared" si="0"/>
      </c>
      <c r="L5440">
        <f t="shared" si="1"/>
      </c>
      <c r="M5440">
        <f t="shared" si="2"/>
      </c>
    </row>
    <row r="5441">
      <c r="G5441" s="9">
        <f t="shared" si="0"/>
      </c>
      <c r="L5441">
        <f t="shared" si="1"/>
      </c>
      <c r="M5441">
        <f t="shared" si="2"/>
      </c>
    </row>
    <row r="5442">
      <c r="G5442" s="9">
        <f t="shared" si="0"/>
      </c>
      <c r="L5442">
        <f t="shared" si="1"/>
      </c>
      <c r="M5442">
        <f t="shared" si="2"/>
      </c>
    </row>
    <row r="5443">
      <c r="G5443" s="9">
        <f t="shared" si="0"/>
      </c>
      <c r="L5443">
        <f t="shared" si="1"/>
      </c>
      <c r="M5443">
        <f t="shared" si="2"/>
      </c>
    </row>
    <row r="5444">
      <c r="G5444" s="9">
        <f t="shared" si="0"/>
      </c>
      <c r="L5444">
        <f t="shared" si="1"/>
      </c>
      <c r="M5444">
        <f t="shared" si="2"/>
      </c>
    </row>
    <row r="5445">
      <c r="G5445" s="9">
        <f t="shared" si="0"/>
      </c>
      <c r="L5445">
        <f t="shared" si="1"/>
      </c>
      <c r="M5445">
        <f t="shared" si="2"/>
      </c>
    </row>
    <row r="5446">
      <c r="G5446" s="9">
        <f t="shared" si="0"/>
      </c>
      <c r="L5446">
        <f t="shared" si="1"/>
      </c>
      <c r="M5446">
        <f t="shared" si="2"/>
      </c>
    </row>
    <row r="5447">
      <c r="G5447" s="9">
        <f t="shared" si="0"/>
      </c>
      <c r="L5447">
        <f t="shared" si="1"/>
      </c>
      <c r="M5447">
        <f t="shared" si="2"/>
      </c>
    </row>
    <row r="5448">
      <c r="G5448" s="9">
        <f t="shared" si="0"/>
      </c>
      <c r="L5448">
        <f t="shared" si="1"/>
      </c>
      <c r="M5448">
        <f t="shared" si="2"/>
      </c>
    </row>
    <row r="5449">
      <c r="G5449" s="9">
        <f t="shared" si="0"/>
      </c>
      <c r="L5449">
        <f t="shared" si="1"/>
      </c>
      <c r="M5449">
        <f t="shared" si="2"/>
      </c>
    </row>
    <row r="5450">
      <c r="G5450" s="9">
        <f t="shared" si="0"/>
      </c>
      <c r="L5450">
        <f t="shared" si="1"/>
      </c>
      <c r="M5450">
        <f t="shared" si="2"/>
      </c>
    </row>
    <row r="5451">
      <c r="G5451" s="9">
        <f t="shared" si="0"/>
      </c>
      <c r="L5451">
        <f t="shared" si="1"/>
      </c>
      <c r="M5451">
        <f t="shared" si="2"/>
      </c>
    </row>
    <row r="5452">
      <c r="G5452" s="9">
        <f t="shared" si="0"/>
      </c>
      <c r="L5452">
        <f t="shared" si="1"/>
      </c>
      <c r="M5452">
        <f t="shared" si="2"/>
      </c>
    </row>
    <row r="5453">
      <c r="G5453" s="9">
        <f t="shared" si="0"/>
      </c>
      <c r="L5453">
        <f t="shared" si="1"/>
      </c>
      <c r="M5453">
        <f t="shared" si="2"/>
      </c>
    </row>
    <row r="5454">
      <c r="G5454" s="9">
        <f t="shared" si="0"/>
      </c>
      <c r="L5454">
        <f t="shared" si="1"/>
      </c>
      <c r="M5454">
        <f t="shared" si="2"/>
      </c>
    </row>
    <row r="5455">
      <c r="G5455" s="9">
        <f t="shared" si="0"/>
      </c>
      <c r="L5455">
        <f t="shared" si="1"/>
      </c>
      <c r="M5455">
        <f t="shared" si="2"/>
      </c>
    </row>
    <row r="5456">
      <c r="G5456" s="9">
        <f t="shared" si="0"/>
      </c>
      <c r="L5456">
        <f t="shared" si="1"/>
      </c>
      <c r="M5456">
        <f t="shared" si="2"/>
      </c>
    </row>
    <row r="5457">
      <c r="G5457" s="9">
        <f t="shared" si="0"/>
      </c>
      <c r="L5457">
        <f t="shared" si="1"/>
      </c>
      <c r="M5457">
        <f t="shared" si="2"/>
      </c>
    </row>
    <row r="5458">
      <c r="G5458" s="9">
        <f t="shared" si="0"/>
      </c>
      <c r="L5458">
        <f t="shared" si="1"/>
      </c>
      <c r="M5458">
        <f t="shared" si="2"/>
      </c>
    </row>
    <row r="5459">
      <c r="G5459" s="9">
        <f t="shared" si="0"/>
      </c>
      <c r="L5459">
        <f t="shared" si="1"/>
      </c>
      <c r="M5459">
        <f t="shared" si="2"/>
      </c>
    </row>
    <row r="5460">
      <c r="G5460" s="9">
        <f t="shared" si="0"/>
      </c>
      <c r="L5460">
        <f t="shared" si="1"/>
      </c>
      <c r="M5460">
        <f t="shared" si="2"/>
      </c>
    </row>
    <row r="5461">
      <c r="G5461" s="9">
        <f t="shared" si="0"/>
      </c>
      <c r="L5461">
        <f t="shared" si="1"/>
      </c>
      <c r="M5461">
        <f t="shared" si="2"/>
      </c>
    </row>
    <row r="5462">
      <c r="G5462" s="9">
        <f t="shared" si="0"/>
      </c>
      <c r="L5462">
        <f t="shared" si="1"/>
      </c>
      <c r="M5462">
        <f t="shared" si="2"/>
      </c>
    </row>
    <row r="5463">
      <c r="G5463" s="9">
        <f t="shared" si="0"/>
      </c>
      <c r="L5463">
        <f t="shared" si="1"/>
      </c>
      <c r="M5463">
        <f t="shared" si="2"/>
      </c>
    </row>
    <row r="5464">
      <c r="G5464" s="9">
        <f t="shared" si="0"/>
      </c>
      <c r="L5464">
        <f t="shared" si="1"/>
      </c>
      <c r="M5464">
        <f t="shared" si="2"/>
      </c>
    </row>
    <row r="5465">
      <c r="G5465" s="9">
        <f t="shared" si="0"/>
      </c>
      <c r="L5465">
        <f t="shared" si="1"/>
      </c>
      <c r="M5465">
        <f t="shared" si="2"/>
      </c>
    </row>
    <row r="5466">
      <c r="G5466" s="9">
        <f t="shared" si="0"/>
      </c>
      <c r="L5466">
        <f t="shared" si="1"/>
      </c>
      <c r="M5466">
        <f t="shared" si="2"/>
      </c>
    </row>
    <row r="5467">
      <c r="G5467" s="9">
        <f t="shared" si="0"/>
      </c>
      <c r="L5467">
        <f t="shared" si="1"/>
      </c>
      <c r="M5467">
        <f t="shared" si="2"/>
      </c>
    </row>
    <row r="5468">
      <c r="G5468" s="9">
        <f t="shared" si="0"/>
      </c>
      <c r="L5468">
        <f t="shared" si="1"/>
      </c>
      <c r="M5468">
        <f t="shared" si="2"/>
      </c>
    </row>
    <row r="5469">
      <c r="G5469" s="9">
        <f t="shared" si="0"/>
      </c>
      <c r="L5469">
        <f t="shared" si="1"/>
      </c>
      <c r="M5469">
        <f t="shared" si="2"/>
      </c>
    </row>
    <row r="5470">
      <c r="G5470" s="9">
        <f t="shared" si="0"/>
      </c>
      <c r="L5470">
        <f t="shared" si="1"/>
      </c>
      <c r="M5470">
        <f t="shared" si="2"/>
      </c>
    </row>
    <row r="5471">
      <c r="G5471" s="9">
        <f t="shared" si="0"/>
      </c>
      <c r="L5471">
        <f t="shared" si="1"/>
      </c>
      <c r="M5471">
        <f t="shared" si="2"/>
      </c>
    </row>
    <row r="5472">
      <c r="G5472" s="9">
        <f t="shared" si="0"/>
      </c>
      <c r="L5472">
        <f t="shared" si="1"/>
      </c>
      <c r="M5472">
        <f t="shared" si="2"/>
      </c>
    </row>
    <row r="5473">
      <c r="G5473" s="9">
        <f t="shared" si="0"/>
      </c>
      <c r="L5473">
        <f t="shared" si="1"/>
      </c>
      <c r="M5473">
        <f t="shared" si="2"/>
      </c>
    </row>
    <row r="5474">
      <c r="G5474" s="9">
        <f t="shared" si="0"/>
      </c>
      <c r="L5474">
        <f t="shared" si="1"/>
      </c>
      <c r="M5474">
        <f t="shared" si="2"/>
      </c>
    </row>
    <row r="5475">
      <c r="G5475" s="9">
        <f t="shared" si="0"/>
      </c>
      <c r="L5475">
        <f t="shared" si="1"/>
      </c>
      <c r="M5475">
        <f t="shared" si="2"/>
      </c>
    </row>
    <row r="5476">
      <c r="G5476" s="9">
        <f t="shared" si="0"/>
      </c>
      <c r="L5476">
        <f t="shared" si="1"/>
      </c>
      <c r="M5476">
        <f t="shared" si="2"/>
      </c>
    </row>
    <row r="5477">
      <c r="G5477" s="9">
        <f t="shared" si="0"/>
      </c>
      <c r="L5477">
        <f t="shared" si="1"/>
      </c>
      <c r="M5477">
        <f t="shared" si="2"/>
      </c>
    </row>
    <row r="5478">
      <c r="G5478" s="9">
        <f t="shared" si="0"/>
      </c>
      <c r="L5478">
        <f t="shared" si="1"/>
      </c>
      <c r="M5478">
        <f t="shared" si="2"/>
      </c>
    </row>
    <row r="5479">
      <c r="G5479" s="9">
        <f t="shared" si="0"/>
      </c>
      <c r="L5479">
        <f t="shared" si="1"/>
      </c>
      <c r="M5479">
        <f t="shared" si="2"/>
      </c>
    </row>
    <row r="5480">
      <c r="G5480" s="9">
        <f t="shared" si="0"/>
      </c>
      <c r="L5480">
        <f t="shared" si="1"/>
      </c>
      <c r="M5480">
        <f t="shared" si="2"/>
      </c>
    </row>
    <row r="5481">
      <c r="G5481" s="9">
        <f t="shared" si="0"/>
      </c>
      <c r="L5481">
        <f t="shared" si="1"/>
      </c>
      <c r="M5481">
        <f t="shared" si="2"/>
      </c>
    </row>
    <row r="5482">
      <c r="G5482" s="9">
        <f t="shared" si="0"/>
      </c>
      <c r="L5482">
        <f t="shared" si="1"/>
      </c>
      <c r="M5482">
        <f t="shared" si="2"/>
      </c>
    </row>
    <row r="5483">
      <c r="G5483" s="9">
        <f t="shared" si="0"/>
      </c>
      <c r="L5483">
        <f t="shared" si="1"/>
      </c>
      <c r="M5483">
        <f t="shared" si="2"/>
      </c>
    </row>
    <row r="5484">
      <c r="G5484" s="9">
        <f t="shared" si="0"/>
      </c>
      <c r="L5484">
        <f t="shared" si="1"/>
      </c>
      <c r="M5484">
        <f t="shared" si="2"/>
      </c>
    </row>
    <row r="5485">
      <c r="G5485" s="9">
        <f t="shared" si="0"/>
      </c>
      <c r="L5485">
        <f t="shared" si="1"/>
      </c>
      <c r="M5485">
        <f t="shared" si="2"/>
      </c>
    </row>
    <row r="5486">
      <c r="G5486" s="9">
        <f t="shared" si="0"/>
      </c>
      <c r="L5486">
        <f t="shared" si="1"/>
      </c>
      <c r="M5486">
        <f t="shared" si="2"/>
      </c>
    </row>
    <row r="5487">
      <c r="G5487" s="9">
        <f t="shared" si="0"/>
      </c>
      <c r="L5487">
        <f t="shared" si="1"/>
      </c>
      <c r="M5487">
        <f t="shared" si="2"/>
      </c>
    </row>
    <row r="5488">
      <c r="G5488" s="9">
        <f t="shared" si="0"/>
      </c>
      <c r="L5488">
        <f t="shared" si="1"/>
      </c>
      <c r="M5488">
        <f t="shared" si="2"/>
      </c>
    </row>
    <row r="5489">
      <c r="G5489" s="9">
        <f t="shared" si="0"/>
      </c>
      <c r="L5489">
        <f t="shared" si="1"/>
      </c>
      <c r="M5489">
        <f t="shared" si="2"/>
      </c>
    </row>
    <row r="5490">
      <c r="G5490" s="9">
        <f t="shared" si="0"/>
      </c>
      <c r="L5490">
        <f t="shared" si="1"/>
      </c>
      <c r="M5490">
        <f t="shared" si="2"/>
      </c>
    </row>
    <row r="5491">
      <c r="G5491" s="9">
        <f t="shared" si="0"/>
      </c>
      <c r="L5491">
        <f t="shared" si="1"/>
      </c>
      <c r="M5491">
        <f t="shared" si="2"/>
      </c>
    </row>
    <row r="5492">
      <c r="G5492" s="9">
        <f t="shared" si="0"/>
      </c>
      <c r="L5492">
        <f t="shared" si="1"/>
      </c>
      <c r="M5492">
        <f t="shared" si="2"/>
      </c>
    </row>
    <row r="5493">
      <c r="G5493" s="9">
        <f t="shared" si="0"/>
      </c>
      <c r="L5493">
        <f t="shared" si="1"/>
      </c>
      <c r="M5493">
        <f t="shared" si="2"/>
      </c>
    </row>
    <row r="5494">
      <c r="G5494" s="9">
        <f t="shared" si="0"/>
      </c>
      <c r="L5494">
        <f t="shared" si="1"/>
      </c>
      <c r="M5494">
        <f t="shared" si="2"/>
      </c>
    </row>
    <row r="5495">
      <c r="G5495" s="9">
        <f t="shared" si="0"/>
      </c>
      <c r="L5495">
        <f t="shared" si="1"/>
      </c>
      <c r="M5495">
        <f t="shared" si="2"/>
      </c>
    </row>
    <row r="5496">
      <c r="G5496" s="9">
        <f t="shared" si="0"/>
      </c>
      <c r="L5496">
        <f t="shared" si="1"/>
      </c>
      <c r="M5496">
        <f t="shared" si="2"/>
      </c>
    </row>
    <row r="5497">
      <c r="G5497" s="9">
        <f t="shared" si="0"/>
      </c>
      <c r="L5497">
        <f t="shared" si="1"/>
      </c>
      <c r="M5497">
        <f t="shared" si="2"/>
      </c>
    </row>
    <row r="5498">
      <c r="G5498" s="9">
        <f t="shared" si="0"/>
      </c>
      <c r="L5498">
        <f t="shared" si="1"/>
      </c>
      <c r="M5498">
        <f t="shared" si="2"/>
      </c>
    </row>
    <row r="5499">
      <c r="G5499" s="9">
        <f t="shared" si="0"/>
      </c>
      <c r="L5499">
        <f t="shared" si="1"/>
      </c>
      <c r="M5499">
        <f t="shared" si="2"/>
      </c>
    </row>
    <row r="5500">
      <c r="G5500" s="9">
        <f t="shared" si="0"/>
      </c>
      <c r="L5500">
        <f t="shared" si="1"/>
      </c>
      <c r="M5500">
        <f t="shared" si="2"/>
      </c>
    </row>
    <row r="5501">
      <c r="G5501" s="9">
        <f t="shared" si="0"/>
      </c>
      <c r="L5501">
        <f t="shared" si="1"/>
      </c>
      <c r="M5501">
        <f t="shared" si="2"/>
      </c>
    </row>
    <row r="5502">
      <c r="G5502" s="9">
        <f t="shared" si="0"/>
      </c>
      <c r="L5502">
        <f t="shared" si="1"/>
      </c>
      <c r="M5502">
        <f t="shared" si="2"/>
      </c>
    </row>
    <row r="5503">
      <c r="G5503" s="9">
        <f t="shared" si="0"/>
      </c>
      <c r="L5503">
        <f t="shared" si="1"/>
      </c>
      <c r="M5503">
        <f t="shared" si="2"/>
      </c>
    </row>
    <row r="5504">
      <c r="G5504" s="9">
        <f t="shared" si="0"/>
      </c>
      <c r="L5504">
        <f t="shared" si="1"/>
      </c>
      <c r="M5504">
        <f t="shared" si="2"/>
      </c>
    </row>
    <row r="5505">
      <c r="G5505" s="9">
        <f t="shared" si="0"/>
      </c>
      <c r="L5505">
        <f t="shared" si="1"/>
      </c>
      <c r="M5505">
        <f t="shared" si="2"/>
      </c>
    </row>
    <row r="5506">
      <c r="G5506" s="9">
        <f t="shared" si="0"/>
      </c>
      <c r="L5506">
        <f t="shared" si="1"/>
      </c>
      <c r="M5506">
        <f t="shared" si="2"/>
      </c>
    </row>
    <row r="5507">
      <c r="G5507" s="9">
        <f t="shared" si="0"/>
      </c>
      <c r="L5507">
        <f t="shared" si="1"/>
      </c>
      <c r="M5507">
        <f t="shared" si="2"/>
      </c>
    </row>
    <row r="5508">
      <c r="G5508" s="9">
        <f t="shared" si="0"/>
      </c>
      <c r="L5508">
        <f t="shared" si="1"/>
      </c>
      <c r="M5508">
        <f t="shared" si="2"/>
      </c>
    </row>
    <row r="5509">
      <c r="G5509" s="9">
        <f t="shared" si="0"/>
      </c>
      <c r="L5509">
        <f t="shared" si="1"/>
      </c>
      <c r="M5509">
        <f t="shared" si="2"/>
      </c>
    </row>
    <row r="5510">
      <c r="G5510" s="9">
        <f t="shared" si="0"/>
      </c>
      <c r="L5510">
        <f t="shared" si="1"/>
      </c>
      <c r="M5510">
        <f t="shared" si="2"/>
      </c>
    </row>
    <row r="5511">
      <c r="G5511" s="9">
        <f t="shared" si="0"/>
      </c>
      <c r="L5511">
        <f t="shared" si="1"/>
      </c>
      <c r="M5511">
        <f t="shared" si="2"/>
      </c>
    </row>
    <row r="5512">
      <c r="G5512" s="9">
        <f t="shared" si="0"/>
      </c>
      <c r="L5512">
        <f t="shared" si="1"/>
      </c>
      <c r="M5512">
        <f t="shared" si="2"/>
      </c>
    </row>
    <row r="5513">
      <c r="G5513" s="9">
        <f t="shared" si="0"/>
      </c>
      <c r="L5513">
        <f t="shared" si="1"/>
      </c>
      <c r="M5513">
        <f t="shared" si="2"/>
      </c>
    </row>
    <row r="5514">
      <c r="G5514" s="9">
        <f t="shared" si="0"/>
      </c>
      <c r="L5514">
        <f t="shared" si="1"/>
      </c>
      <c r="M5514">
        <f t="shared" si="2"/>
      </c>
    </row>
    <row r="5515">
      <c r="G5515" s="9">
        <f t="shared" si="0"/>
      </c>
      <c r="L5515">
        <f t="shared" si="1"/>
      </c>
      <c r="M5515">
        <f t="shared" si="2"/>
      </c>
    </row>
    <row r="5516">
      <c r="G5516" s="9">
        <f t="shared" si="0"/>
      </c>
      <c r="L5516">
        <f t="shared" si="1"/>
      </c>
      <c r="M5516">
        <f t="shared" si="2"/>
      </c>
    </row>
    <row r="5517">
      <c r="G5517" s="9">
        <f t="shared" si="0"/>
      </c>
      <c r="L5517">
        <f t="shared" si="1"/>
      </c>
      <c r="M5517">
        <f t="shared" si="2"/>
      </c>
    </row>
    <row r="5518">
      <c r="G5518" s="9">
        <f t="shared" si="0"/>
      </c>
      <c r="L5518">
        <f t="shared" si="1"/>
      </c>
      <c r="M5518">
        <f t="shared" si="2"/>
      </c>
    </row>
    <row r="5519">
      <c r="G5519" s="9">
        <f t="shared" si="0"/>
      </c>
      <c r="L5519">
        <f t="shared" si="1"/>
      </c>
      <c r="M5519">
        <f t="shared" si="2"/>
      </c>
    </row>
    <row r="5520">
      <c r="G5520" s="9">
        <f t="shared" si="0"/>
      </c>
      <c r="L5520">
        <f t="shared" si="1"/>
      </c>
      <c r="M5520">
        <f t="shared" si="2"/>
      </c>
    </row>
    <row r="5521">
      <c r="G5521" s="9">
        <f t="shared" si="0"/>
      </c>
      <c r="L5521">
        <f t="shared" si="1"/>
      </c>
      <c r="M5521">
        <f t="shared" si="2"/>
      </c>
    </row>
    <row r="5522">
      <c r="G5522" s="9">
        <f t="shared" si="0"/>
      </c>
      <c r="L5522">
        <f t="shared" si="1"/>
      </c>
      <c r="M5522">
        <f t="shared" si="2"/>
      </c>
    </row>
    <row r="5523">
      <c r="G5523" s="9">
        <f t="shared" si="0"/>
      </c>
      <c r="L5523">
        <f t="shared" si="1"/>
      </c>
      <c r="M5523">
        <f t="shared" si="2"/>
      </c>
    </row>
    <row r="5524">
      <c r="G5524" s="9">
        <f t="shared" si="0"/>
      </c>
      <c r="L5524">
        <f t="shared" si="1"/>
      </c>
      <c r="M5524">
        <f t="shared" si="2"/>
      </c>
    </row>
    <row r="5525">
      <c r="G5525" s="9">
        <f t="shared" si="0"/>
      </c>
      <c r="L5525">
        <f t="shared" si="1"/>
      </c>
      <c r="M5525">
        <f t="shared" si="2"/>
      </c>
    </row>
    <row r="5526">
      <c r="G5526" s="9">
        <f t="shared" si="0"/>
      </c>
      <c r="L5526">
        <f t="shared" si="1"/>
      </c>
      <c r="M5526">
        <f t="shared" si="2"/>
      </c>
    </row>
    <row r="5527">
      <c r="G5527" s="9">
        <f t="shared" si="0"/>
      </c>
      <c r="L5527">
        <f t="shared" si="1"/>
      </c>
      <c r="M5527">
        <f t="shared" si="2"/>
      </c>
    </row>
    <row r="5528">
      <c r="G5528" s="9">
        <f t="shared" si="0"/>
      </c>
      <c r="L5528">
        <f t="shared" si="1"/>
      </c>
      <c r="M5528">
        <f t="shared" si="2"/>
      </c>
    </row>
    <row r="5529">
      <c r="G5529" s="9">
        <f t="shared" si="0"/>
      </c>
      <c r="L5529">
        <f t="shared" si="1"/>
      </c>
      <c r="M5529">
        <f t="shared" si="2"/>
      </c>
    </row>
    <row r="5530">
      <c r="G5530" s="9">
        <f t="shared" si="0"/>
      </c>
      <c r="L5530">
        <f t="shared" si="1"/>
      </c>
      <c r="M5530">
        <f t="shared" si="2"/>
      </c>
    </row>
    <row r="5531">
      <c r="G5531" s="9">
        <f t="shared" si="0"/>
      </c>
      <c r="L5531">
        <f t="shared" si="1"/>
      </c>
      <c r="M5531">
        <f t="shared" si="2"/>
      </c>
    </row>
    <row r="5532">
      <c r="G5532" s="9">
        <f t="shared" si="0"/>
      </c>
      <c r="L5532">
        <f t="shared" si="1"/>
      </c>
      <c r="M5532">
        <f t="shared" si="2"/>
      </c>
    </row>
    <row r="5533">
      <c r="G5533" s="9">
        <f t="shared" si="0"/>
      </c>
      <c r="L5533">
        <f t="shared" si="1"/>
      </c>
      <c r="M5533">
        <f t="shared" si="2"/>
      </c>
    </row>
    <row r="5534">
      <c r="G5534" s="9">
        <f t="shared" si="0"/>
      </c>
      <c r="L5534">
        <f t="shared" si="1"/>
      </c>
      <c r="M5534">
        <f t="shared" si="2"/>
      </c>
    </row>
    <row r="5535">
      <c r="G5535" s="9">
        <f t="shared" si="0"/>
      </c>
      <c r="L5535">
        <f t="shared" si="1"/>
      </c>
      <c r="M5535">
        <f t="shared" si="2"/>
      </c>
    </row>
    <row r="5536">
      <c r="G5536" s="9">
        <f t="shared" si="0"/>
      </c>
      <c r="L5536">
        <f t="shared" si="1"/>
      </c>
      <c r="M5536">
        <f t="shared" si="2"/>
      </c>
    </row>
    <row r="5537">
      <c r="G5537" s="9">
        <f t="shared" si="0"/>
      </c>
      <c r="L5537">
        <f t="shared" si="1"/>
      </c>
      <c r="M5537">
        <f t="shared" si="2"/>
      </c>
    </row>
    <row r="5538">
      <c r="G5538" s="9">
        <f t="shared" si="0"/>
      </c>
      <c r="L5538">
        <f t="shared" si="1"/>
      </c>
      <c r="M5538">
        <f t="shared" si="2"/>
      </c>
    </row>
    <row r="5539">
      <c r="G5539" s="9">
        <f t="shared" si="0"/>
      </c>
      <c r="L5539">
        <f t="shared" si="1"/>
      </c>
      <c r="M5539">
        <f t="shared" si="2"/>
      </c>
    </row>
    <row r="5540">
      <c r="G5540" s="9">
        <f t="shared" si="0"/>
      </c>
      <c r="L5540">
        <f t="shared" si="1"/>
      </c>
      <c r="M5540">
        <f t="shared" si="2"/>
      </c>
    </row>
    <row r="5541">
      <c r="G5541" s="9">
        <f t="shared" si="0"/>
      </c>
      <c r="L5541">
        <f t="shared" si="1"/>
      </c>
      <c r="M5541">
        <f t="shared" si="2"/>
      </c>
    </row>
    <row r="5542">
      <c r="G5542" s="9">
        <f t="shared" si="0"/>
      </c>
      <c r="L5542">
        <f t="shared" si="1"/>
      </c>
      <c r="M5542">
        <f t="shared" si="2"/>
      </c>
    </row>
    <row r="5543">
      <c r="G5543" s="9">
        <f t="shared" si="0"/>
      </c>
      <c r="L5543">
        <f t="shared" si="1"/>
      </c>
      <c r="M5543">
        <f t="shared" si="2"/>
      </c>
    </row>
    <row r="5544">
      <c r="G5544" s="9">
        <f t="shared" si="0"/>
      </c>
      <c r="L5544">
        <f t="shared" si="1"/>
      </c>
      <c r="M5544">
        <f t="shared" si="2"/>
      </c>
    </row>
    <row r="5545">
      <c r="G5545" s="9">
        <f t="shared" si="0"/>
      </c>
      <c r="L5545">
        <f t="shared" si="1"/>
      </c>
      <c r="M5545">
        <f t="shared" si="2"/>
      </c>
    </row>
    <row r="5546">
      <c r="G5546" s="9">
        <f t="shared" si="0"/>
      </c>
      <c r="L5546">
        <f t="shared" si="1"/>
      </c>
      <c r="M5546">
        <f t="shared" si="2"/>
      </c>
    </row>
    <row r="5547">
      <c r="G5547" s="9">
        <f t="shared" si="0"/>
      </c>
      <c r="L5547">
        <f t="shared" si="1"/>
      </c>
      <c r="M5547">
        <f t="shared" si="2"/>
      </c>
    </row>
    <row r="5548">
      <c r="G5548" s="9">
        <f t="shared" si="0"/>
      </c>
      <c r="L5548">
        <f t="shared" si="1"/>
      </c>
      <c r="M5548">
        <f t="shared" si="2"/>
      </c>
    </row>
    <row r="5549">
      <c r="G5549" s="9">
        <f t="shared" si="0"/>
      </c>
      <c r="L5549">
        <f t="shared" si="1"/>
      </c>
      <c r="M5549">
        <f t="shared" si="2"/>
      </c>
    </row>
    <row r="5550">
      <c r="G5550" s="9">
        <f t="shared" si="0"/>
      </c>
      <c r="L5550">
        <f t="shared" si="1"/>
      </c>
      <c r="M5550">
        <f t="shared" si="2"/>
      </c>
    </row>
    <row r="5551">
      <c r="G5551" s="9">
        <f t="shared" si="0"/>
      </c>
      <c r="L5551">
        <f t="shared" si="1"/>
      </c>
      <c r="M5551">
        <f t="shared" si="2"/>
      </c>
    </row>
    <row r="5552">
      <c r="G5552" s="9">
        <f t="shared" si="0"/>
      </c>
      <c r="L5552">
        <f t="shared" si="1"/>
      </c>
      <c r="M5552">
        <f t="shared" si="2"/>
      </c>
    </row>
    <row r="5553">
      <c r="G5553" s="9">
        <f t="shared" si="0"/>
      </c>
      <c r="L5553">
        <f t="shared" si="1"/>
      </c>
      <c r="M5553">
        <f t="shared" si="2"/>
      </c>
    </row>
    <row r="5554">
      <c r="G5554" s="9">
        <f t="shared" si="0"/>
      </c>
      <c r="L5554">
        <f t="shared" si="1"/>
      </c>
      <c r="M5554">
        <f t="shared" si="2"/>
      </c>
    </row>
    <row r="5555">
      <c r="G5555" s="9">
        <f t="shared" si="0"/>
      </c>
      <c r="L5555">
        <f t="shared" si="1"/>
      </c>
      <c r="M5555">
        <f t="shared" si="2"/>
      </c>
    </row>
    <row r="5556">
      <c r="G5556" s="9">
        <f t="shared" si="0"/>
      </c>
      <c r="L5556">
        <f t="shared" si="1"/>
      </c>
      <c r="M5556">
        <f t="shared" si="2"/>
      </c>
    </row>
    <row r="5557">
      <c r="G5557" s="9">
        <f t="shared" si="0"/>
      </c>
      <c r="L5557">
        <f t="shared" si="1"/>
      </c>
      <c r="M5557">
        <f t="shared" si="2"/>
      </c>
    </row>
    <row r="5558">
      <c r="G5558" s="9">
        <f t="shared" si="0"/>
      </c>
      <c r="L5558">
        <f t="shared" si="1"/>
      </c>
      <c r="M5558">
        <f t="shared" si="2"/>
      </c>
    </row>
    <row r="5559">
      <c r="G5559" s="9">
        <f t="shared" si="0"/>
      </c>
      <c r="L5559">
        <f t="shared" si="1"/>
      </c>
      <c r="M5559">
        <f t="shared" si="2"/>
      </c>
    </row>
    <row r="5560">
      <c r="G5560" s="9">
        <f t="shared" si="0"/>
      </c>
      <c r="L5560">
        <f t="shared" si="1"/>
      </c>
      <c r="M5560">
        <f t="shared" si="2"/>
      </c>
    </row>
    <row r="5561">
      <c r="G5561" s="9">
        <f t="shared" si="0"/>
      </c>
      <c r="L5561">
        <f t="shared" si="1"/>
      </c>
      <c r="M5561">
        <f t="shared" si="2"/>
      </c>
    </row>
    <row r="5562">
      <c r="G5562" s="9">
        <f t="shared" si="0"/>
      </c>
      <c r="L5562">
        <f t="shared" si="1"/>
      </c>
      <c r="M5562">
        <f t="shared" si="2"/>
      </c>
    </row>
    <row r="5563">
      <c r="G5563" s="9">
        <f t="shared" si="0"/>
      </c>
      <c r="L5563">
        <f t="shared" si="1"/>
      </c>
      <c r="M5563">
        <f t="shared" si="2"/>
      </c>
    </row>
    <row r="5564">
      <c r="G5564" s="9">
        <f t="shared" si="0"/>
      </c>
      <c r="L5564">
        <f t="shared" si="1"/>
      </c>
      <c r="M5564">
        <f t="shared" si="2"/>
      </c>
    </row>
    <row r="5565">
      <c r="G5565" s="9">
        <f t="shared" si="0"/>
      </c>
      <c r="L5565">
        <f t="shared" si="1"/>
      </c>
      <c r="M5565">
        <f t="shared" si="2"/>
      </c>
    </row>
    <row r="5566">
      <c r="G5566" s="9">
        <f t="shared" si="0"/>
      </c>
      <c r="L5566">
        <f t="shared" si="1"/>
      </c>
      <c r="M5566">
        <f t="shared" si="2"/>
      </c>
    </row>
    <row r="5567">
      <c r="G5567" s="9">
        <f t="shared" si="0"/>
      </c>
      <c r="L5567">
        <f t="shared" si="1"/>
      </c>
      <c r="M5567">
        <f t="shared" si="2"/>
      </c>
    </row>
    <row r="5568">
      <c r="G5568" s="9">
        <f t="shared" si="0"/>
      </c>
      <c r="L5568">
        <f t="shared" si="1"/>
      </c>
      <c r="M5568">
        <f t="shared" si="2"/>
      </c>
    </row>
    <row r="5569">
      <c r="G5569" s="9">
        <f t="shared" si="0"/>
      </c>
      <c r="L5569">
        <f t="shared" si="1"/>
      </c>
      <c r="M5569">
        <f t="shared" si="2"/>
      </c>
    </row>
    <row r="5570">
      <c r="G5570" s="9">
        <f t="shared" si="0"/>
      </c>
      <c r="L5570">
        <f t="shared" si="1"/>
      </c>
      <c r="M5570">
        <f t="shared" si="2"/>
      </c>
    </row>
    <row r="5571">
      <c r="G5571" s="9">
        <f t="shared" si="0"/>
      </c>
      <c r="L5571">
        <f t="shared" si="1"/>
      </c>
      <c r="M5571">
        <f t="shared" si="2"/>
      </c>
    </row>
    <row r="5572">
      <c r="G5572" s="9">
        <f t="shared" si="0"/>
      </c>
      <c r="L5572">
        <f t="shared" si="1"/>
      </c>
      <c r="M5572">
        <f t="shared" si="2"/>
      </c>
    </row>
    <row r="5573">
      <c r="G5573" s="9">
        <f t="shared" si="0"/>
      </c>
      <c r="L5573">
        <f t="shared" si="1"/>
      </c>
      <c r="M5573">
        <f t="shared" si="2"/>
      </c>
    </row>
    <row r="5574">
      <c r="G5574" s="9">
        <f t="shared" si="0"/>
      </c>
      <c r="L5574">
        <f t="shared" si="1"/>
      </c>
      <c r="M5574">
        <f t="shared" si="2"/>
      </c>
    </row>
    <row r="5575">
      <c r="G5575" s="9">
        <f t="shared" si="0"/>
      </c>
      <c r="L5575">
        <f t="shared" si="1"/>
      </c>
      <c r="M5575">
        <f t="shared" si="2"/>
      </c>
    </row>
    <row r="5576">
      <c r="G5576" s="9">
        <f t="shared" si="0"/>
      </c>
      <c r="L5576">
        <f t="shared" si="1"/>
      </c>
      <c r="M5576">
        <f t="shared" si="2"/>
      </c>
    </row>
    <row r="5577">
      <c r="G5577" s="9">
        <f t="shared" si="0"/>
      </c>
      <c r="L5577">
        <f t="shared" si="1"/>
      </c>
      <c r="M5577">
        <f t="shared" si="2"/>
      </c>
    </row>
    <row r="5578">
      <c r="G5578" s="9">
        <f t="shared" si="0"/>
      </c>
      <c r="L5578">
        <f t="shared" si="1"/>
      </c>
      <c r="M5578">
        <f t="shared" si="2"/>
      </c>
    </row>
    <row r="5579">
      <c r="G5579" s="9">
        <f t="shared" si="0"/>
      </c>
      <c r="L5579">
        <f t="shared" si="1"/>
      </c>
      <c r="M5579">
        <f t="shared" si="2"/>
      </c>
    </row>
    <row r="5580">
      <c r="G5580" s="9">
        <f t="shared" si="0"/>
      </c>
      <c r="L5580">
        <f t="shared" si="1"/>
      </c>
      <c r="M5580">
        <f t="shared" si="2"/>
      </c>
    </row>
    <row r="5581">
      <c r="G5581" s="9">
        <f t="shared" si="0"/>
      </c>
      <c r="L5581">
        <f t="shared" si="1"/>
      </c>
      <c r="M5581">
        <f t="shared" si="2"/>
      </c>
    </row>
    <row r="5582">
      <c r="G5582" s="9">
        <f t="shared" si="0"/>
      </c>
      <c r="L5582">
        <f t="shared" si="1"/>
      </c>
      <c r="M5582">
        <f t="shared" si="2"/>
      </c>
    </row>
    <row r="5583">
      <c r="G5583" s="9">
        <f t="shared" si="0"/>
      </c>
      <c r="L5583">
        <f t="shared" si="1"/>
      </c>
      <c r="M5583">
        <f t="shared" si="2"/>
      </c>
    </row>
    <row r="5584">
      <c r="G5584" s="9">
        <f t="shared" si="0"/>
      </c>
      <c r="L5584">
        <f t="shared" si="1"/>
      </c>
      <c r="M5584">
        <f t="shared" si="2"/>
      </c>
    </row>
    <row r="5585">
      <c r="G5585" s="9">
        <f t="shared" si="0"/>
      </c>
      <c r="L5585">
        <f t="shared" si="1"/>
      </c>
      <c r="M5585">
        <f t="shared" si="2"/>
      </c>
    </row>
    <row r="5586">
      <c r="G5586" s="9">
        <f t="shared" si="0"/>
      </c>
      <c r="L5586">
        <f t="shared" si="1"/>
      </c>
      <c r="M5586">
        <f t="shared" si="2"/>
      </c>
    </row>
    <row r="5587">
      <c r="G5587" s="9">
        <f t="shared" si="0"/>
      </c>
      <c r="L5587">
        <f t="shared" si="1"/>
      </c>
      <c r="M5587">
        <f t="shared" si="2"/>
      </c>
    </row>
    <row r="5588">
      <c r="G5588" s="9">
        <f t="shared" si="0"/>
      </c>
      <c r="L5588">
        <f t="shared" si="1"/>
      </c>
      <c r="M5588">
        <f t="shared" si="2"/>
      </c>
    </row>
    <row r="5589">
      <c r="G5589" s="9">
        <f t="shared" si="0"/>
      </c>
      <c r="L5589">
        <f t="shared" si="1"/>
      </c>
      <c r="M5589">
        <f t="shared" si="2"/>
      </c>
    </row>
    <row r="5590">
      <c r="G5590" s="9">
        <f t="shared" si="0"/>
      </c>
      <c r="L5590">
        <f t="shared" si="1"/>
      </c>
      <c r="M5590">
        <f t="shared" si="2"/>
      </c>
    </row>
    <row r="5591">
      <c r="G5591" s="9">
        <f t="shared" si="0"/>
      </c>
      <c r="L5591">
        <f t="shared" si="1"/>
      </c>
      <c r="M5591">
        <f t="shared" si="2"/>
      </c>
    </row>
    <row r="5592">
      <c r="G5592" s="9">
        <f t="shared" si="0"/>
      </c>
      <c r="L5592">
        <f t="shared" si="1"/>
      </c>
      <c r="M5592">
        <f t="shared" si="2"/>
      </c>
    </row>
    <row r="5593">
      <c r="G5593" s="9">
        <f t="shared" si="0"/>
      </c>
      <c r="L5593">
        <f t="shared" si="1"/>
      </c>
      <c r="M5593">
        <f t="shared" si="2"/>
      </c>
    </row>
    <row r="5594">
      <c r="G5594" s="9">
        <f t="shared" si="0"/>
      </c>
      <c r="L5594">
        <f t="shared" si="1"/>
      </c>
      <c r="M5594">
        <f t="shared" si="2"/>
      </c>
    </row>
    <row r="5595">
      <c r="G5595" s="9">
        <f t="shared" si="0"/>
      </c>
      <c r="L5595">
        <f t="shared" si="1"/>
      </c>
      <c r="M5595">
        <f t="shared" si="2"/>
      </c>
    </row>
    <row r="5596">
      <c r="G5596" s="9">
        <f t="shared" si="0"/>
      </c>
      <c r="L5596">
        <f t="shared" si="1"/>
      </c>
      <c r="M5596">
        <f t="shared" si="2"/>
      </c>
    </row>
    <row r="5597">
      <c r="G5597" s="9">
        <f t="shared" si="0"/>
      </c>
      <c r="L5597">
        <f t="shared" si="1"/>
      </c>
      <c r="M5597">
        <f t="shared" si="2"/>
      </c>
    </row>
    <row r="5598">
      <c r="G5598" s="9">
        <f t="shared" si="0"/>
      </c>
      <c r="L5598">
        <f t="shared" si="1"/>
      </c>
      <c r="M5598">
        <f t="shared" si="2"/>
      </c>
    </row>
    <row r="5599">
      <c r="G5599" s="9">
        <f t="shared" si="0"/>
      </c>
      <c r="L5599">
        <f t="shared" si="1"/>
      </c>
      <c r="M5599">
        <f t="shared" si="2"/>
      </c>
    </row>
    <row r="5600">
      <c r="G5600" s="9">
        <f t="shared" si="0"/>
      </c>
      <c r="L5600">
        <f t="shared" si="1"/>
      </c>
      <c r="M5600">
        <f t="shared" si="2"/>
      </c>
    </row>
    <row r="5601">
      <c r="G5601" s="9">
        <f t="shared" si="0"/>
      </c>
      <c r="L5601">
        <f t="shared" si="1"/>
      </c>
      <c r="M5601">
        <f t="shared" si="2"/>
      </c>
    </row>
    <row r="5602">
      <c r="G5602" s="9">
        <f t="shared" si="0"/>
      </c>
      <c r="L5602">
        <f t="shared" si="1"/>
      </c>
      <c r="M5602">
        <f t="shared" si="2"/>
      </c>
    </row>
    <row r="5603">
      <c r="G5603" s="9">
        <f t="shared" si="0"/>
      </c>
      <c r="L5603">
        <f t="shared" si="1"/>
      </c>
      <c r="M5603">
        <f t="shared" si="2"/>
      </c>
    </row>
    <row r="5604">
      <c r="G5604" s="9">
        <f t="shared" si="0"/>
      </c>
      <c r="L5604">
        <f t="shared" si="1"/>
      </c>
      <c r="M5604">
        <f t="shared" si="2"/>
      </c>
    </row>
    <row r="5605">
      <c r="G5605" s="9">
        <f t="shared" si="0"/>
      </c>
      <c r="L5605">
        <f t="shared" si="1"/>
      </c>
      <c r="M5605">
        <f t="shared" si="2"/>
      </c>
    </row>
    <row r="5606">
      <c r="G5606" s="9">
        <f t="shared" si="0"/>
      </c>
      <c r="L5606">
        <f t="shared" si="1"/>
      </c>
      <c r="M5606">
        <f t="shared" si="2"/>
      </c>
    </row>
    <row r="5607">
      <c r="G5607" s="9">
        <f t="shared" si="0"/>
      </c>
      <c r="L5607">
        <f t="shared" si="1"/>
      </c>
      <c r="M5607">
        <f t="shared" si="2"/>
      </c>
    </row>
    <row r="5608">
      <c r="G5608" s="9">
        <f t="shared" si="0"/>
      </c>
      <c r="L5608">
        <f t="shared" si="1"/>
      </c>
      <c r="M5608">
        <f t="shared" si="2"/>
      </c>
    </row>
    <row r="5609">
      <c r="G5609" s="9">
        <f t="shared" si="0"/>
      </c>
      <c r="L5609">
        <f t="shared" si="1"/>
      </c>
      <c r="M5609">
        <f t="shared" si="2"/>
      </c>
    </row>
    <row r="5610">
      <c r="G5610" s="9">
        <f t="shared" si="0"/>
      </c>
      <c r="L5610">
        <f t="shared" si="1"/>
      </c>
      <c r="M5610">
        <f t="shared" si="2"/>
      </c>
    </row>
    <row r="5611">
      <c r="G5611" s="9">
        <f t="shared" si="0"/>
      </c>
      <c r="L5611">
        <f t="shared" si="1"/>
      </c>
      <c r="M5611">
        <f t="shared" si="2"/>
      </c>
    </row>
    <row r="5612">
      <c r="G5612" s="9">
        <f t="shared" si="0"/>
      </c>
      <c r="L5612">
        <f t="shared" si="1"/>
      </c>
      <c r="M5612">
        <f t="shared" si="2"/>
      </c>
    </row>
    <row r="5613">
      <c r="G5613" s="9">
        <f t="shared" si="0"/>
      </c>
      <c r="L5613">
        <f t="shared" si="1"/>
      </c>
      <c r="M5613">
        <f t="shared" si="2"/>
      </c>
    </row>
    <row r="5614">
      <c r="G5614" s="9">
        <f t="shared" si="0"/>
      </c>
      <c r="L5614">
        <f t="shared" si="1"/>
      </c>
      <c r="M5614">
        <f t="shared" si="2"/>
      </c>
    </row>
    <row r="5615">
      <c r="G5615" s="9">
        <f t="shared" si="0"/>
      </c>
      <c r="L5615">
        <f t="shared" si="1"/>
      </c>
      <c r="M5615">
        <f t="shared" si="2"/>
      </c>
    </row>
    <row r="5616">
      <c r="G5616" s="9">
        <f t="shared" si="0"/>
      </c>
      <c r="L5616">
        <f t="shared" si="1"/>
      </c>
      <c r="M5616">
        <f t="shared" si="2"/>
      </c>
    </row>
    <row r="5617">
      <c r="G5617" s="9">
        <f t="shared" si="0"/>
      </c>
      <c r="L5617">
        <f t="shared" si="1"/>
      </c>
      <c r="M5617">
        <f t="shared" si="2"/>
      </c>
    </row>
    <row r="5618">
      <c r="G5618" s="9">
        <f t="shared" si="0"/>
      </c>
      <c r="L5618">
        <f t="shared" si="1"/>
      </c>
      <c r="M5618">
        <f t="shared" si="2"/>
      </c>
    </row>
    <row r="5619">
      <c r="G5619" s="9">
        <f t="shared" si="0"/>
      </c>
      <c r="L5619">
        <f t="shared" si="1"/>
      </c>
      <c r="M5619">
        <f t="shared" si="2"/>
      </c>
    </row>
    <row r="5620">
      <c r="G5620" s="9">
        <f t="shared" si="0"/>
      </c>
      <c r="L5620">
        <f t="shared" si="1"/>
      </c>
      <c r="M5620">
        <f t="shared" si="2"/>
      </c>
    </row>
    <row r="5621">
      <c r="G5621" s="9">
        <f t="shared" si="0"/>
      </c>
      <c r="L5621">
        <f t="shared" si="1"/>
      </c>
      <c r="M5621">
        <f t="shared" si="2"/>
      </c>
    </row>
    <row r="5622">
      <c r="G5622" s="9">
        <f t="shared" si="0"/>
      </c>
      <c r="L5622">
        <f t="shared" si="1"/>
      </c>
      <c r="M5622">
        <f t="shared" si="2"/>
      </c>
    </row>
    <row r="5623">
      <c r="G5623" s="9">
        <f t="shared" si="0"/>
      </c>
      <c r="L5623">
        <f t="shared" si="1"/>
      </c>
      <c r="M5623">
        <f t="shared" si="2"/>
      </c>
    </row>
    <row r="5624">
      <c r="G5624" s="9">
        <f t="shared" si="0"/>
      </c>
      <c r="L5624">
        <f t="shared" si="1"/>
      </c>
      <c r="M5624">
        <f t="shared" si="2"/>
      </c>
    </row>
    <row r="5625">
      <c r="G5625" s="9">
        <f t="shared" si="0"/>
      </c>
      <c r="L5625">
        <f t="shared" si="1"/>
      </c>
      <c r="M5625">
        <f t="shared" si="2"/>
      </c>
    </row>
    <row r="5626">
      <c r="G5626" s="9">
        <f t="shared" si="0"/>
      </c>
      <c r="L5626">
        <f t="shared" si="1"/>
      </c>
      <c r="M5626">
        <f t="shared" si="2"/>
      </c>
    </row>
    <row r="5627">
      <c r="G5627" s="9">
        <f t="shared" si="0"/>
      </c>
      <c r="L5627">
        <f t="shared" si="1"/>
      </c>
      <c r="M5627">
        <f t="shared" si="2"/>
      </c>
    </row>
    <row r="5628">
      <c r="G5628" s="9">
        <f t="shared" si="0"/>
      </c>
      <c r="L5628">
        <f t="shared" si="1"/>
      </c>
      <c r="M5628">
        <f t="shared" si="2"/>
      </c>
    </row>
    <row r="5629">
      <c r="G5629" s="9">
        <f t="shared" si="0"/>
      </c>
      <c r="L5629">
        <f t="shared" si="1"/>
      </c>
      <c r="M5629">
        <f t="shared" si="2"/>
      </c>
    </row>
    <row r="5630">
      <c r="G5630" s="9">
        <f t="shared" si="0"/>
      </c>
      <c r="L5630">
        <f t="shared" si="1"/>
      </c>
      <c r="M5630">
        <f t="shared" si="2"/>
      </c>
    </row>
    <row r="5631">
      <c r="G5631" s="9">
        <f t="shared" si="0"/>
      </c>
      <c r="L5631">
        <f t="shared" si="1"/>
      </c>
      <c r="M5631">
        <f t="shared" si="2"/>
      </c>
    </row>
    <row r="5632">
      <c r="G5632" s="9">
        <f t="shared" si="0"/>
      </c>
      <c r="L5632">
        <f t="shared" si="1"/>
      </c>
      <c r="M5632">
        <f t="shared" si="2"/>
      </c>
    </row>
    <row r="5633">
      <c r="G5633" s="9">
        <f t="shared" si="0"/>
      </c>
      <c r="L5633">
        <f t="shared" si="1"/>
      </c>
      <c r="M5633">
        <f t="shared" si="2"/>
      </c>
    </row>
    <row r="5634">
      <c r="G5634" s="9">
        <f t="shared" si="0"/>
      </c>
      <c r="L5634">
        <f t="shared" si="1"/>
      </c>
      <c r="M5634">
        <f t="shared" si="2"/>
      </c>
    </row>
    <row r="5635">
      <c r="G5635" s="9">
        <f t="shared" si="0"/>
      </c>
      <c r="L5635">
        <f t="shared" si="1"/>
      </c>
      <c r="M5635">
        <f t="shared" si="2"/>
      </c>
    </row>
    <row r="5636">
      <c r="G5636" s="9">
        <f t="shared" si="0"/>
      </c>
      <c r="L5636">
        <f t="shared" si="1"/>
      </c>
      <c r="M5636">
        <f t="shared" si="2"/>
      </c>
    </row>
    <row r="5637">
      <c r="G5637" s="9">
        <f t="shared" si="0"/>
      </c>
      <c r="L5637">
        <f t="shared" si="1"/>
      </c>
      <c r="M5637">
        <f t="shared" si="2"/>
      </c>
    </row>
    <row r="5638">
      <c r="G5638" s="9">
        <f t="shared" si="0"/>
      </c>
      <c r="L5638">
        <f t="shared" si="1"/>
      </c>
      <c r="M5638">
        <f t="shared" si="2"/>
      </c>
    </row>
    <row r="5639">
      <c r="G5639" s="9">
        <f t="shared" si="0"/>
      </c>
      <c r="L5639">
        <f t="shared" si="1"/>
      </c>
      <c r="M5639">
        <f t="shared" si="2"/>
      </c>
    </row>
    <row r="5640">
      <c r="G5640" s="9">
        <f t="shared" si="0"/>
      </c>
      <c r="L5640">
        <f t="shared" si="1"/>
      </c>
      <c r="M5640">
        <f t="shared" si="2"/>
      </c>
    </row>
    <row r="5641">
      <c r="G5641" s="9">
        <f t="shared" si="0"/>
      </c>
      <c r="L5641">
        <f t="shared" si="1"/>
      </c>
      <c r="M5641">
        <f t="shared" si="2"/>
      </c>
    </row>
    <row r="5642">
      <c r="G5642" s="9">
        <f t="shared" si="0"/>
      </c>
      <c r="L5642">
        <f t="shared" si="1"/>
      </c>
      <c r="M5642">
        <f t="shared" si="2"/>
      </c>
    </row>
    <row r="5643">
      <c r="G5643" s="9">
        <f t="shared" si="0"/>
      </c>
      <c r="L5643">
        <f t="shared" si="1"/>
      </c>
      <c r="M5643">
        <f t="shared" si="2"/>
      </c>
    </row>
    <row r="5644">
      <c r="G5644" s="9">
        <f t="shared" si="0"/>
      </c>
      <c r="L5644">
        <f t="shared" si="1"/>
      </c>
      <c r="M5644">
        <f t="shared" si="2"/>
      </c>
    </row>
    <row r="5645">
      <c r="G5645" s="9">
        <f t="shared" si="0"/>
      </c>
      <c r="L5645">
        <f t="shared" si="1"/>
      </c>
      <c r="M5645">
        <f t="shared" si="2"/>
      </c>
    </row>
    <row r="5646">
      <c r="G5646" s="9">
        <f t="shared" si="0"/>
      </c>
      <c r="L5646">
        <f t="shared" si="1"/>
      </c>
      <c r="M5646">
        <f t="shared" si="2"/>
      </c>
    </row>
    <row r="5647">
      <c r="G5647" s="9">
        <f t="shared" si="0"/>
      </c>
      <c r="L5647">
        <f t="shared" si="1"/>
      </c>
      <c r="M5647">
        <f t="shared" si="2"/>
      </c>
    </row>
    <row r="5648">
      <c r="G5648" s="9">
        <f t="shared" si="0"/>
      </c>
      <c r="L5648">
        <f t="shared" si="1"/>
      </c>
      <c r="M5648">
        <f t="shared" si="2"/>
      </c>
    </row>
    <row r="5649">
      <c r="G5649" s="9">
        <f t="shared" si="0"/>
      </c>
      <c r="L5649">
        <f t="shared" si="1"/>
      </c>
      <c r="M5649">
        <f t="shared" si="2"/>
      </c>
    </row>
    <row r="5650">
      <c r="G5650" s="9">
        <f t="shared" si="0"/>
      </c>
      <c r="L5650">
        <f t="shared" si="1"/>
      </c>
      <c r="M5650">
        <f t="shared" si="2"/>
      </c>
    </row>
    <row r="5651">
      <c r="G5651" s="9">
        <f t="shared" si="0"/>
      </c>
      <c r="L5651">
        <f t="shared" si="1"/>
      </c>
      <c r="M5651">
        <f t="shared" si="2"/>
      </c>
    </row>
    <row r="5652">
      <c r="G5652" s="9">
        <f t="shared" si="0"/>
      </c>
      <c r="L5652">
        <f t="shared" si="1"/>
      </c>
      <c r="M5652">
        <f t="shared" si="2"/>
      </c>
    </row>
    <row r="5653">
      <c r="G5653" s="9">
        <f t="shared" si="0"/>
      </c>
      <c r="L5653">
        <f t="shared" si="1"/>
      </c>
      <c r="M5653">
        <f t="shared" si="2"/>
      </c>
    </row>
    <row r="5654">
      <c r="G5654" s="9">
        <f t="shared" si="0"/>
      </c>
      <c r="L5654">
        <f t="shared" si="1"/>
      </c>
      <c r="M5654">
        <f t="shared" si="2"/>
      </c>
    </row>
    <row r="5655">
      <c r="G5655" s="9">
        <f t="shared" si="0"/>
      </c>
      <c r="L5655">
        <f t="shared" si="1"/>
      </c>
      <c r="M5655">
        <f t="shared" si="2"/>
      </c>
    </row>
    <row r="5656">
      <c r="G5656" s="9">
        <f t="shared" si="0"/>
      </c>
      <c r="L5656">
        <f t="shared" si="1"/>
      </c>
      <c r="M5656">
        <f t="shared" si="2"/>
      </c>
    </row>
    <row r="5657">
      <c r="G5657" s="9">
        <f t="shared" si="0"/>
      </c>
      <c r="L5657">
        <f t="shared" si="1"/>
      </c>
      <c r="M5657">
        <f t="shared" si="2"/>
      </c>
    </row>
    <row r="5658">
      <c r="G5658" s="9">
        <f t="shared" si="0"/>
      </c>
      <c r="L5658">
        <f t="shared" si="1"/>
      </c>
      <c r="M5658">
        <f t="shared" si="2"/>
      </c>
    </row>
    <row r="5659">
      <c r="G5659" s="9">
        <f t="shared" si="0"/>
      </c>
      <c r="L5659">
        <f t="shared" si="1"/>
      </c>
      <c r="M5659">
        <f t="shared" si="2"/>
      </c>
    </row>
    <row r="5660">
      <c r="G5660" s="9">
        <f t="shared" si="0"/>
      </c>
      <c r="L5660">
        <f t="shared" si="1"/>
      </c>
      <c r="M5660">
        <f t="shared" si="2"/>
      </c>
    </row>
    <row r="5661">
      <c r="G5661" s="9">
        <f t="shared" si="0"/>
      </c>
      <c r="L5661">
        <f t="shared" si="1"/>
      </c>
      <c r="M5661">
        <f t="shared" si="2"/>
      </c>
    </row>
    <row r="5662">
      <c r="G5662" s="9">
        <f t="shared" si="0"/>
      </c>
      <c r="L5662">
        <f t="shared" si="1"/>
      </c>
      <c r="M5662">
        <f t="shared" si="2"/>
      </c>
    </row>
    <row r="5663">
      <c r="G5663" s="9">
        <f t="shared" si="0"/>
      </c>
      <c r="L5663">
        <f t="shared" si="1"/>
      </c>
      <c r="M5663">
        <f t="shared" si="2"/>
      </c>
    </row>
    <row r="5664">
      <c r="G5664" s="9">
        <f t="shared" si="0"/>
      </c>
      <c r="L5664">
        <f t="shared" si="1"/>
      </c>
      <c r="M5664">
        <f t="shared" si="2"/>
      </c>
    </row>
    <row r="5665">
      <c r="G5665" s="9">
        <f t="shared" si="0"/>
      </c>
      <c r="L5665">
        <f t="shared" si="1"/>
      </c>
      <c r="M5665">
        <f t="shared" si="2"/>
      </c>
    </row>
    <row r="5666">
      <c r="G5666" s="9">
        <f t="shared" si="0"/>
      </c>
      <c r="L5666">
        <f t="shared" si="1"/>
      </c>
      <c r="M5666">
        <f t="shared" si="2"/>
      </c>
    </row>
    <row r="5667">
      <c r="G5667" s="9">
        <f t="shared" si="0"/>
      </c>
      <c r="L5667">
        <f t="shared" si="1"/>
      </c>
      <c r="M5667">
        <f t="shared" si="2"/>
      </c>
    </row>
    <row r="5668">
      <c r="G5668" s="9">
        <f t="shared" si="0"/>
      </c>
      <c r="L5668">
        <f t="shared" si="1"/>
      </c>
      <c r="M5668">
        <f t="shared" si="2"/>
      </c>
    </row>
    <row r="5669">
      <c r="G5669" s="9">
        <f t="shared" si="0"/>
      </c>
      <c r="L5669">
        <f t="shared" si="1"/>
      </c>
      <c r="M5669">
        <f t="shared" si="2"/>
      </c>
    </row>
    <row r="5670">
      <c r="G5670" s="9">
        <f t="shared" si="0"/>
      </c>
      <c r="L5670">
        <f t="shared" si="1"/>
      </c>
      <c r="M5670">
        <f t="shared" si="2"/>
      </c>
    </row>
    <row r="5671">
      <c r="G5671" s="9">
        <f t="shared" si="0"/>
      </c>
      <c r="L5671">
        <f t="shared" si="1"/>
      </c>
      <c r="M5671">
        <f t="shared" si="2"/>
      </c>
    </row>
    <row r="5672">
      <c r="G5672" s="9">
        <f t="shared" si="0"/>
      </c>
      <c r="L5672">
        <f t="shared" si="1"/>
      </c>
      <c r="M5672">
        <f t="shared" si="2"/>
      </c>
    </row>
    <row r="5673">
      <c r="G5673" s="9">
        <f t="shared" si="0"/>
      </c>
      <c r="L5673">
        <f t="shared" si="1"/>
      </c>
      <c r="M5673">
        <f t="shared" si="2"/>
      </c>
    </row>
    <row r="5674">
      <c r="G5674" s="9">
        <f t="shared" si="0"/>
      </c>
      <c r="L5674">
        <f t="shared" si="1"/>
      </c>
      <c r="M5674">
        <f t="shared" si="2"/>
      </c>
    </row>
    <row r="5675">
      <c r="G5675" s="9">
        <f t="shared" si="0"/>
      </c>
      <c r="L5675">
        <f t="shared" si="1"/>
      </c>
      <c r="M5675">
        <f t="shared" si="2"/>
      </c>
    </row>
    <row r="5676">
      <c r="G5676" s="9">
        <f t="shared" si="0"/>
      </c>
      <c r="L5676">
        <f t="shared" si="1"/>
      </c>
      <c r="M5676">
        <f t="shared" si="2"/>
      </c>
    </row>
    <row r="5677">
      <c r="G5677" s="9">
        <f t="shared" si="0"/>
      </c>
      <c r="L5677">
        <f t="shared" si="1"/>
      </c>
      <c r="M5677">
        <f t="shared" si="2"/>
      </c>
    </row>
    <row r="5678">
      <c r="G5678" s="9">
        <f t="shared" si="0"/>
      </c>
      <c r="L5678">
        <f t="shared" si="1"/>
      </c>
      <c r="M5678">
        <f t="shared" si="2"/>
      </c>
    </row>
    <row r="5679">
      <c r="G5679" s="9">
        <f t="shared" si="0"/>
      </c>
      <c r="L5679">
        <f t="shared" si="1"/>
      </c>
      <c r="M5679">
        <f t="shared" si="2"/>
      </c>
    </row>
    <row r="5680">
      <c r="G5680" s="9">
        <f t="shared" si="0"/>
      </c>
      <c r="L5680">
        <f t="shared" si="1"/>
      </c>
      <c r="M5680">
        <f t="shared" si="2"/>
      </c>
    </row>
    <row r="5681">
      <c r="G5681" s="9">
        <f t="shared" si="0"/>
      </c>
      <c r="L5681">
        <f t="shared" si="1"/>
      </c>
      <c r="M5681">
        <f t="shared" si="2"/>
      </c>
    </row>
    <row r="5682">
      <c r="G5682" s="9">
        <f t="shared" si="0"/>
      </c>
      <c r="L5682">
        <f t="shared" si="1"/>
      </c>
      <c r="M5682">
        <f t="shared" si="2"/>
      </c>
    </row>
    <row r="5683">
      <c r="G5683" s="9">
        <f t="shared" si="0"/>
      </c>
      <c r="L5683">
        <f t="shared" si="1"/>
      </c>
      <c r="M5683">
        <f t="shared" si="2"/>
      </c>
    </row>
    <row r="5684">
      <c r="G5684" s="9">
        <f t="shared" si="0"/>
      </c>
      <c r="L5684">
        <f t="shared" si="1"/>
      </c>
      <c r="M5684">
        <f t="shared" si="2"/>
      </c>
    </row>
    <row r="5685">
      <c r="G5685" s="9">
        <f t="shared" si="0"/>
      </c>
      <c r="L5685">
        <f t="shared" si="1"/>
      </c>
      <c r="M5685">
        <f t="shared" si="2"/>
      </c>
    </row>
    <row r="5686">
      <c r="G5686" s="9">
        <f t="shared" si="0"/>
      </c>
      <c r="L5686">
        <f t="shared" si="1"/>
      </c>
      <c r="M5686">
        <f t="shared" si="2"/>
      </c>
    </row>
    <row r="5687">
      <c r="G5687" s="9">
        <f t="shared" si="0"/>
      </c>
      <c r="L5687">
        <f t="shared" si="1"/>
      </c>
      <c r="M5687">
        <f t="shared" si="2"/>
      </c>
    </row>
    <row r="5688">
      <c r="G5688" s="9">
        <f t="shared" si="0"/>
      </c>
      <c r="L5688">
        <f t="shared" si="1"/>
      </c>
      <c r="M5688">
        <f t="shared" si="2"/>
      </c>
    </row>
    <row r="5689">
      <c r="G5689" s="9">
        <f t="shared" si="0"/>
      </c>
      <c r="L5689">
        <f t="shared" si="1"/>
      </c>
      <c r="M5689">
        <f t="shared" si="2"/>
      </c>
    </row>
    <row r="5690">
      <c r="G5690" s="9">
        <f t="shared" si="0"/>
      </c>
      <c r="L5690">
        <f t="shared" si="1"/>
      </c>
      <c r="M5690">
        <f t="shared" si="2"/>
      </c>
    </row>
    <row r="5691">
      <c r="G5691" s="9">
        <f t="shared" si="0"/>
      </c>
      <c r="L5691">
        <f t="shared" si="1"/>
      </c>
      <c r="M5691">
        <f t="shared" si="2"/>
      </c>
    </row>
    <row r="5692">
      <c r="G5692" s="9">
        <f t="shared" si="0"/>
      </c>
      <c r="L5692">
        <f t="shared" si="1"/>
      </c>
      <c r="M5692">
        <f t="shared" si="2"/>
      </c>
    </row>
    <row r="5693">
      <c r="G5693" s="9">
        <f t="shared" si="0"/>
      </c>
      <c r="L5693">
        <f t="shared" si="1"/>
      </c>
      <c r="M5693">
        <f t="shared" si="2"/>
      </c>
    </row>
    <row r="5694">
      <c r="G5694" s="9">
        <f t="shared" si="0"/>
      </c>
      <c r="L5694">
        <f t="shared" si="1"/>
      </c>
      <c r="M5694">
        <f t="shared" si="2"/>
      </c>
    </row>
    <row r="5695">
      <c r="G5695" s="9">
        <f t="shared" si="0"/>
      </c>
      <c r="L5695">
        <f t="shared" si="1"/>
      </c>
      <c r="M5695">
        <f t="shared" si="2"/>
      </c>
    </row>
    <row r="5696">
      <c r="G5696" s="9">
        <f t="shared" si="0"/>
      </c>
      <c r="L5696">
        <f t="shared" si="1"/>
      </c>
      <c r="M5696">
        <f t="shared" si="2"/>
      </c>
    </row>
    <row r="5697">
      <c r="G5697" s="9">
        <f t="shared" si="0"/>
      </c>
      <c r="L5697">
        <f t="shared" si="1"/>
      </c>
      <c r="M5697">
        <f t="shared" si="2"/>
      </c>
    </row>
    <row r="5698">
      <c r="G5698" s="9">
        <f t="shared" si="0"/>
      </c>
      <c r="L5698">
        <f t="shared" si="1"/>
      </c>
      <c r="M5698">
        <f t="shared" si="2"/>
      </c>
    </row>
    <row r="5699">
      <c r="G5699" s="9">
        <f t="shared" si="0"/>
      </c>
      <c r="L5699">
        <f t="shared" si="1"/>
      </c>
      <c r="M5699">
        <f t="shared" si="2"/>
      </c>
    </row>
    <row r="5700">
      <c r="G5700" s="9">
        <f t="shared" si="0"/>
      </c>
      <c r="L5700">
        <f t="shared" si="1"/>
      </c>
      <c r="M5700">
        <f t="shared" si="2"/>
      </c>
    </row>
    <row r="5701">
      <c r="G5701" s="9">
        <f t="shared" si="0"/>
      </c>
      <c r="L5701">
        <f t="shared" si="1"/>
      </c>
      <c r="M5701">
        <f t="shared" si="2"/>
      </c>
    </row>
    <row r="5702">
      <c r="G5702" s="9">
        <f t="shared" si="0"/>
      </c>
      <c r="L5702">
        <f t="shared" si="1"/>
      </c>
      <c r="M5702">
        <f t="shared" si="2"/>
      </c>
    </row>
    <row r="5703">
      <c r="G5703" s="9">
        <f t="shared" si="0"/>
      </c>
      <c r="L5703">
        <f t="shared" si="1"/>
      </c>
      <c r="M5703">
        <f t="shared" si="2"/>
      </c>
    </row>
    <row r="5704">
      <c r="G5704" s="9">
        <f t="shared" si="0"/>
      </c>
      <c r="L5704">
        <f t="shared" si="1"/>
      </c>
      <c r="M5704">
        <f t="shared" si="2"/>
      </c>
    </row>
    <row r="5705">
      <c r="G5705" s="9">
        <f t="shared" si="0"/>
      </c>
      <c r="L5705">
        <f t="shared" si="1"/>
      </c>
      <c r="M5705">
        <f t="shared" si="2"/>
      </c>
    </row>
    <row r="5706">
      <c r="G5706" s="9">
        <f t="shared" si="0"/>
      </c>
      <c r="L5706">
        <f t="shared" si="1"/>
      </c>
      <c r="M5706">
        <f t="shared" si="2"/>
      </c>
    </row>
    <row r="5707">
      <c r="G5707" s="9">
        <f t="shared" si="0"/>
      </c>
      <c r="L5707">
        <f t="shared" si="1"/>
      </c>
      <c r="M5707">
        <f t="shared" si="2"/>
      </c>
    </row>
    <row r="5708">
      <c r="G5708" s="9">
        <f t="shared" si="0"/>
      </c>
      <c r="L5708">
        <f t="shared" si="1"/>
      </c>
      <c r="M5708">
        <f t="shared" si="2"/>
      </c>
    </row>
    <row r="5709">
      <c r="G5709" s="9">
        <f t="shared" si="0"/>
      </c>
      <c r="L5709">
        <f t="shared" si="1"/>
      </c>
      <c r="M5709">
        <f t="shared" si="2"/>
      </c>
    </row>
    <row r="5710">
      <c r="G5710" s="9">
        <f t="shared" si="0"/>
      </c>
      <c r="L5710">
        <f t="shared" si="1"/>
      </c>
      <c r="M5710">
        <f t="shared" si="2"/>
      </c>
    </row>
    <row r="5711">
      <c r="G5711" s="9">
        <f t="shared" si="0"/>
      </c>
      <c r="L5711">
        <f t="shared" si="1"/>
      </c>
      <c r="M5711">
        <f t="shared" si="2"/>
      </c>
    </row>
    <row r="5712">
      <c r="G5712" s="9">
        <f t="shared" si="0"/>
      </c>
      <c r="L5712">
        <f t="shared" si="1"/>
      </c>
      <c r="M5712">
        <f t="shared" si="2"/>
      </c>
    </row>
    <row r="5713">
      <c r="G5713" s="9">
        <f t="shared" si="0"/>
      </c>
      <c r="L5713">
        <f t="shared" si="1"/>
      </c>
      <c r="M5713">
        <f t="shared" si="2"/>
      </c>
    </row>
    <row r="5714">
      <c r="G5714" s="9">
        <f t="shared" si="0"/>
      </c>
      <c r="L5714">
        <f t="shared" si="1"/>
      </c>
      <c r="M5714">
        <f t="shared" si="2"/>
      </c>
    </row>
    <row r="5715">
      <c r="G5715" s="9">
        <f t="shared" si="0"/>
      </c>
      <c r="L5715">
        <f t="shared" si="1"/>
      </c>
      <c r="M5715">
        <f t="shared" si="2"/>
      </c>
    </row>
    <row r="5716">
      <c r="G5716" s="9">
        <f t="shared" si="0"/>
      </c>
      <c r="L5716">
        <f t="shared" si="1"/>
      </c>
      <c r="M5716">
        <f t="shared" si="2"/>
      </c>
    </row>
    <row r="5717">
      <c r="G5717" s="9">
        <f t="shared" si="0"/>
      </c>
      <c r="L5717">
        <f t="shared" si="1"/>
      </c>
      <c r="M5717">
        <f t="shared" si="2"/>
      </c>
    </row>
    <row r="5718">
      <c r="G5718" s="9">
        <f t="shared" si="0"/>
      </c>
      <c r="L5718">
        <f t="shared" si="1"/>
      </c>
      <c r="M5718">
        <f t="shared" si="2"/>
      </c>
    </row>
    <row r="5719">
      <c r="G5719" s="9">
        <f t="shared" si="0"/>
      </c>
      <c r="L5719">
        <f t="shared" si="1"/>
      </c>
      <c r="M5719">
        <f t="shared" si="2"/>
      </c>
    </row>
    <row r="5720">
      <c r="G5720" s="9">
        <f t="shared" si="0"/>
      </c>
      <c r="L5720">
        <f t="shared" si="1"/>
      </c>
      <c r="M5720">
        <f t="shared" si="2"/>
      </c>
    </row>
    <row r="5721">
      <c r="G5721" s="9">
        <f t="shared" si="0"/>
      </c>
      <c r="L5721">
        <f t="shared" si="1"/>
      </c>
      <c r="M5721">
        <f t="shared" si="2"/>
      </c>
    </row>
    <row r="5722">
      <c r="G5722" s="9">
        <f t="shared" si="0"/>
      </c>
      <c r="L5722">
        <f t="shared" si="1"/>
      </c>
      <c r="M5722">
        <f t="shared" si="2"/>
      </c>
    </row>
    <row r="5723">
      <c r="G5723" s="9">
        <f t="shared" si="0"/>
      </c>
      <c r="L5723">
        <f t="shared" si="1"/>
      </c>
      <c r="M5723">
        <f t="shared" si="2"/>
      </c>
    </row>
    <row r="5724">
      <c r="G5724" s="9">
        <f t="shared" si="0"/>
      </c>
      <c r="L5724">
        <f t="shared" si="1"/>
      </c>
      <c r="M5724">
        <f t="shared" si="2"/>
      </c>
    </row>
    <row r="5725">
      <c r="G5725" s="9">
        <f t="shared" si="0"/>
      </c>
      <c r="L5725">
        <f t="shared" si="1"/>
      </c>
      <c r="M5725">
        <f t="shared" si="2"/>
      </c>
    </row>
    <row r="5726">
      <c r="G5726" s="9">
        <f t="shared" si="0"/>
      </c>
      <c r="L5726">
        <f t="shared" si="1"/>
      </c>
      <c r="M5726">
        <f t="shared" si="2"/>
      </c>
    </row>
    <row r="5727">
      <c r="G5727" s="9">
        <f t="shared" si="0"/>
      </c>
      <c r="L5727">
        <f t="shared" si="1"/>
      </c>
      <c r="M5727">
        <f t="shared" si="2"/>
      </c>
    </row>
    <row r="5728">
      <c r="G5728" s="9">
        <f t="shared" si="0"/>
      </c>
      <c r="L5728">
        <f t="shared" si="1"/>
      </c>
      <c r="M5728">
        <f t="shared" si="2"/>
      </c>
    </row>
    <row r="5729">
      <c r="G5729" s="9">
        <f t="shared" si="0"/>
      </c>
      <c r="L5729">
        <f t="shared" si="1"/>
      </c>
      <c r="M5729">
        <f t="shared" si="2"/>
      </c>
    </row>
    <row r="5730">
      <c r="G5730" s="9">
        <f t="shared" si="0"/>
      </c>
      <c r="L5730">
        <f t="shared" si="1"/>
      </c>
      <c r="M5730">
        <f t="shared" si="2"/>
      </c>
    </row>
    <row r="5731">
      <c r="G5731" s="9">
        <f t="shared" si="0"/>
      </c>
      <c r="L5731">
        <f t="shared" si="1"/>
      </c>
      <c r="M5731">
        <f t="shared" si="2"/>
      </c>
    </row>
    <row r="5732">
      <c r="G5732" s="9">
        <f t="shared" si="0"/>
      </c>
      <c r="L5732">
        <f t="shared" si="1"/>
      </c>
      <c r="M5732">
        <f t="shared" si="2"/>
      </c>
    </row>
    <row r="5733">
      <c r="G5733" s="9">
        <f t="shared" si="0"/>
      </c>
      <c r="L5733">
        <f t="shared" si="1"/>
      </c>
      <c r="M5733">
        <f t="shared" si="2"/>
      </c>
    </row>
    <row r="5734">
      <c r="G5734" s="9">
        <f t="shared" si="0"/>
      </c>
      <c r="L5734">
        <f t="shared" si="1"/>
      </c>
      <c r="M5734">
        <f t="shared" si="2"/>
      </c>
    </row>
    <row r="5735">
      <c r="G5735" s="9">
        <f t="shared" si="0"/>
      </c>
      <c r="L5735">
        <f t="shared" si="1"/>
      </c>
      <c r="M5735">
        <f t="shared" si="2"/>
      </c>
    </row>
    <row r="5736">
      <c r="G5736" s="9">
        <f t="shared" si="0"/>
      </c>
      <c r="L5736">
        <f t="shared" si="1"/>
      </c>
      <c r="M5736">
        <f t="shared" si="2"/>
      </c>
    </row>
    <row r="5737">
      <c r="G5737" s="9">
        <f t="shared" si="0"/>
      </c>
      <c r="L5737">
        <f t="shared" si="1"/>
      </c>
      <c r="M5737">
        <f t="shared" si="2"/>
      </c>
    </row>
    <row r="5738">
      <c r="G5738" s="9">
        <f t="shared" si="0"/>
      </c>
      <c r="L5738">
        <f t="shared" si="1"/>
      </c>
      <c r="M5738">
        <f t="shared" si="2"/>
      </c>
    </row>
    <row r="5739">
      <c r="G5739" s="9">
        <f t="shared" si="0"/>
      </c>
      <c r="L5739">
        <f t="shared" si="1"/>
      </c>
      <c r="M5739">
        <f t="shared" si="2"/>
      </c>
    </row>
    <row r="5740">
      <c r="G5740" s="9">
        <f t="shared" si="0"/>
      </c>
      <c r="L5740">
        <f t="shared" si="1"/>
      </c>
      <c r="M5740">
        <f t="shared" si="2"/>
      </c>
    </row>
    <row r="5741">
      <c r="G5741" s="9">
        <f t="shared" si="0"/>
      </c>
      <c r="L5741">
        <f t="shared" si="1"/>
      </c>
      <c r="M5741">
        <f t="shared" si="2"/>
      </c>
    </row>
    <row r="5742">
      <c r="G5742" s="9">
        <f t="shared" si="0"/>
      </c>
      <c r="L5742">
        <f t="shared" si="1"/>
      </c>
      <c r="M5742">
        <f t="shared" si="2"/>
      </c>
    </row>
    <row r="5743">
      <c r="G5743" s="9">
        <f t="shared" si="0"/>
      </c>
      <c r="L5743">
        <f t="shared" si="1"/>
      </c>
      <c r="M5743">
        <f t="shared" si="2"/>
      </c>
    </row>
    <row r="5744">
      <c r="G5744" s="9">
        <f t="shared" si="0"/>
      </c>
      <c r="L5744">
        <f t="shared" si="1"/>
      </c>
      <c r="M5744">
        <f t="shared" si="2"/>
      </c>
    </row>
    <row r="5745">
      <c r="G5745" s="9">
        <f t="shared" si="0"/>
      </c>
      <c r="L5745">
        <f t="shared" si="1"/>
      </c>
      <c r="M5745">
        <f t="shared" si="2"/>
      </c>
    </row>
    <row r="5746">
      <c r="G5746" s="9">
        <f t="shared" si="0"/>
      </c>
      <c r="L5746">
        <f t="shared" si="1"/>
      </c>
      <c r="M5746">
        <f t="shared" si="2"/>
      </c>
    </row>
    <row r="5747">
      <c r="G5747" s="9">
        <f t="shared" si="0"/>
      </c>
      <c r="L5747">
        <f t="shared" si="1"/>
      </c>
      <c r="M5747">
        <f t="shared" si="2"/>
      </c>
    </row>
    <row r="5748">
      <c r="G5748" s="9">
        <f t="shared" si="0"/>
      </c>
      <c r="L5748">
        <f t="shared" si="1"/>
      </c>
      <c r="M5748">
        <f t="shared" si="2"/>
      </c>
    </row>
    <row r="5749">
      <c r="G5749" s="9">
        <f t="shared" si="0"/>
      </c>
      <c r="L5749">
        <f t="shared" si="1"/>
      </c>
      <c r="M5749">
        <f t="shared" si="2"/>
      </c>
    </row>
    <row r="5750">
      <c r="G5750" s="9">
        <f t="shared" si="0"/>
      </c>
      <c r="L5750">
        <f t="shared" si="1"/>
      </c>
      <c r="M5750">
        <f t="shared" si="2"/>
      </c>
    </row>
    <row r="5751">
      <c r="G5751" s="9">
        <f t="shared" si="0"/>
      </c>
      <c r="L5751">
        <f t="shared" si="1"/>
      </c>
      <c r="M5751">
        <f t="shared" si="2"/>
      </c>
    </row>
    <row r="5752">
      <c r="G5752" s="9">
        <f t="shared" si="0"/>
      </c>
      <c r="L5752">
        <f t="shared" si="1"/>
      </c>
      <c r="M5752">
        <f t="shared" si="2"/>
      </c>
    </row>
    <row r="5753">
      <c r="G5753" s="9">
        <f t="shared" si="0"/>
      </c>
      <c r="L5753">
        <f t="shared" si="1"/>
      </c>
      <c r="M5753">
        <f t="shared" si="2"/>
      </c>
    </row>
    <row r="5754">
      <c r="G5754" s="9">
        <f t="shared" si="0"/>
      </c>
      <c r="L5754">
        <f t="shared" si="1"/>
      </c>
      <c r="M5754">
        <f t="shared" si="2"/>
      </c>
    </row>
    <row r="5755">
      <c r="G5755" s="9">
        <f t="shared" si="0"/>
      </c>
      <c r="L5755">
        <f t="shared" si="1"/>
      </c>
      <c r="M5755">
        <f t="shared" si="2"/>
      </c>
    </row>
    <row r="5756">
      <c r="G5756" s="9">
        <f t="shared" si="0"/>
      </c>
      <c r="L5756">
        <f t="shared" si="1"/>
      </c>
      <c r="M5756">
        <f t="shared" si="2"/>
      </c>
    </row>
    <row r="5757">
      <c r="G5757" s="9">
        <f t="shared" si="0"/>
      </c>
      <c r="L5757">
        <f t="shared" si="1"/>
      </c>
      <c r="M5757">
        <f t="shared" si="2"/>
      </c>
    </row>
    <row r="5758">
      <c r="G5758" s="9">
        <f t="shared" si="0"/>
      </c>
      <c r="L5758">
        <f t="shared" si="1"/>
      </c>
      <c r="M5758">
        <f t="shared" si="2"/>
      </c>
    </row>
    <row r="5759">
      <c r="G5759" s="9">
        <f t="shared" si="0"/>
      </c>
      <c r="L5759">
        <f t="shared" si="1"/>
      </c>
      <c r="M5759">
        <f t="shared" si="2"/>
      </c>
    </row>
    <row r="5760">
      <c r="G5760" s="9">
        <f t="shared" si="0"/>
      </c>
      <c r="L5760">
        <f t="shared" si="1"/>
      </c>
      <c r="M5760">
        <f t="shared" si="2"/>
      </c>
    </row>
    <row r="5761">
      <c r="G5761" s="9">
        <f t="shared" si="0"/>
      </c>
      <c r="L5761">
        <f t="shared" si="1"/>
      </c>
      <c r="M5761">
        <f t="shared" si="2"/>
      </c>
    </row>
    <row r="5762">
      <c r="G5762" s="9">
        <f t="shared" si="0"/>
      </c>
      <c r="L5762">
        <f t="shared" si="1"/>
      </c>
      <c r="M5762">
        <f t="shared" si="2"/>
      </c>
    </row>
    <row r="5763">
      <c r="G5763" s="9">
        <f t="shared" si="0"/>
      </c>
      <c r="L5763">
        <f t="shared" si="1"/>
      </c>
      <c r="M5763">
        <f t="shared" si="2"/>
      </c>
    </row>
    <row r="5764">
      <c r="G5764" s="9">
        <f t="shared" si="0"/>
      </c>
      <c r="L5764">
        <f t="shared" si="1"/>
      </c>
      <c r="M5764">
        <f t="shared" si="2"/>
      </c>
    </row>
    <row r="5765">
      <c r="G5765" s="9">
        <f t="shared" si="0"/>
      </c>
      <c r="L5765">
        <f t="shared" si="1"/>
      </c>
      <c r="M5765">
        <f t="shared" si="2"/>
      </c>
    </row>
    <row r="5766">
      <c r="G5766" s="9">
        <f t="shared" si="0"/>
      </c>
      <c r="L5766">
        <f t="shared" si="1"/>
      </c>
      <c r="M5766">
        <f t="shared" si="2"/>
      </c>
    </row>
    <row r="5767">
      <c r="G5767" s="9">
        <f t="shared" si="0"/>
      </c>
      <c r="L5767">
        <f t="shared" si="1"/>
      </c>
      <c r="M5767">
        <f t="shared" si="2"/>
      </c>
    </row>
    <row r="5768">
      <c r="G5768" s="9">
        <f t="shared" si="0"/>
      </c>
      <c r="L5768">
        <f t="shared" si="1"/>
      </c>
      <c r="M5768">
        <f t="shared" si="2"/>
      </c>
    </row>
    <row r="5769">
      <c r="G5769" s="9">
        <f t="shared" si="0"/>
      </c>
      <c r="L5769">
        <f t="shared" si="1"/>
      </c>
      <c r="M5769">
        <f t="shared" si="2"/>
      </c>
    </row>
    <row r="5770">
      <c r="G5770" s="9">
        <f t="shared" si="0"/>
      </c>
      <c r="L5770">
        <f t="shared" si="1"/>
      </c>
      <c r="M5770">
        <f t="shared" si="2"/>
      </c>
    </row>
    <row r="5771">
      <c r="G5771" s="9">
        <f t="shared" si="0"/>
      </c>
      <c r="L5771">
        <f t="shared" si="1"/>
      </c>
      <c r="M5771">
        <f t="shared" si="2"/>
      </c>
    </row>
    <row r="5772">
      <c r="G5772" s="9">
        <f t="shared" si="0"/>
      </c>
      <c r="L5772">
        <f t="shared" si="1"/>
      </c>
      <c r="M5772">
        <f t="shared" si="2"/>
      </c>
    </row>
    <row r="5773">
      <c r="G5773" s="9">
        <f t="shared" si="0"/>
      </c>
      <c r="L5773">
        <f t="shared" si="1"/>
      </c>
      <c r="M5773">
        <f t="shared" si="2"/>
      </c>
    </row>
    <row r="5774">
      <c r="G5774" s="9">
        <f t="shared" si="0"/>
      </c>
      <c r="L5774">
        <f t="shared" si="1"/>
      </c>
      <c r="M5774">
        <f t="shared" si="2"/>
      </c>
    </row>
    <row r="5775">
      <c r="G5775" s="9">
        <f t="shared" si="0"/>
      </c>
      <c r="L5775">
        <f t="shared" si="1"/>
      </c>
      <c r="M5775">
        <f t="shared" si="2"/>
      </c>
    </row>
    <row r="5776">
      <c r="G5776" s="9">
        <f t="shared" si="0"/>
      </c>
      <c r="L5776">
        <f t="shared" si="1"/>
      </c>
      <c r="M5776">
        <f t="shared" si="2"/>
      </c>
    </row>
    <row r="5777">
      <c r="G5777" s="9">
        <f t="shared" si="0"/>
      </c>
      <c r="L5777">
        <f t="shared" si="1"/>
      </c>
      <c r="M5777">
        <f t="shared" si="2"/>
      </c>
    </row>
    <row r="5778">
      <c r="G5778" s="9">
        <f t="shared" si="0"/>
      </c>
      <c r="L5778">
        <f t="shared" si="1"/>
      </c>
      <c r="M5778">
        <f t="shared" si="2"/>
      </c>
    </row>
    <row r="5779">
      <c r="G5779" s="9">
        <f t="shared" si="0"/>
      </c>
      <c r="L5779">
        <f t="shared" si="1"/>
      </c>
      <c r="M5779">
        <f t="shared" si="2"/>
      </c>
    </row>
    <row r="5780">
      <c r="G5780" s="9">
        <f t="shared" si="0"/>
      </c>
      <c r="L5780">
        <f t="shared" si="1"/>
      </c>
      <c r="M5780">
        <f t="shared" si="2"/>
      </c>
    </row>
    <row r="5781">
      <c r="G5781" s="9">
        <f t="shared" si="0"/>
      </c>
      <c r="L5781">
        <f t="shared" si="1"/>
      </c>
      <c r="M5781">
        <f t="shared" si="2"/>
      </c>
    </row>
    <row r="5782">
      <c r="G5782" s="9">
        <f t="shared" si="0"/>
      </c>
      <c r="L5782">
        <f t="shared" si="1"/>
      </c>
      <c r="M5782">
        <f t="shared" si="2"/>
      </c>
    </row>
    <row r="5783">
      <c r="G5783" s="9">
        <f t="shared" si="0"/>
      </c>
      <c r="L5783">
        <f t="shared" si="1"/>
      </c>
      <c r="M5783">
        <f t="shared" si="2"/>
      </c>
    </row>
    <row r="5784">
      <c r="G5784" s="9">
        <f t="shared" si="0"/>
      </c>
      <c r="L5784">
        <f t="shared" si="1"/>
      </c>
      <c r="M5784">
        <f t="shared" si="2"/>
      </c>
    </row>
    <row r="5785">
      <c r="G5785" s="9">
        <f t="shared" si="0"/>
      </c>
      <c r="L5785">
        <f t="shared" si="1"/>
      </c>
      <c r="M5785">
        <f t="shared" si="2"/>
      </c>
    </row>
    <row r="5786">
      <c r="G5786" s="9">
        <f t="shared" si="0"/>
      </c>
      <c r="L5786">
        <f t="shared" si="1"/>
      </c>
      <c r="M5786">
        <f t="shared" si="2"/>
      </c>
    </row>
    <row r="5787">
      <c r="G5787" s="9">
        <f t="shared" si="0"/>
      </c>
      <c r="L5787">
        <f t="shared" si="1"/>
      </c>
      <c r="M5787">
        <f t="shared" si="2"/>
      </c>
    </row>
    <row r="5788">
      <c r="G5788" s="9">
        <f t="shared" si="0"/>
      </c>
      <c r="L5788">
        <f t="shared" si="1"/>
      </c>
      <c r="M5788">
        <f t="shared" si="2"/>
      </c>
    </row>
    <row r="5789">
      <c r="G5789" s="9">
        <f t="shared" si="0"/>
      </c>
      <c r="L5789">
        <f t="shared" si="1"/>
      </c>
      <c r="M5789">
        <f t="shared" si="2"/>
      </c>
    </row>
    <row r="5790">
      <c r="G5790" s="9">
        <f t="shared" si="0"/>
      </c>
      <c r="L5790">
        <f t="shared" si="1"/>
      </c>
      <c r="M5790">
        <f t="shared" si="2"/>
      </c>
    </row>
    <row r="5791">
      <c r="G5791" s="9">
        <f t="shared" si="0"/>
      </c>
      <c r="L5791">
        <f t="shared" si="1"/>
      </c>
      <c r="M5791">
        <f t="shared" si="2"/>
      </c>
    </row>
    <row r="5792">
      <c r="G5792" s="9">
        <f t="shared" si="0"/>
      </c>
      <c r="L5792">
        <f t="shared" si="1"/>
      </c>
      <c r="M5792">
        <f t="shared" si="2"/>
      </c>
    </row>
    <row r="5793">
      <c r="G5793" s="9">
        <f t="shared" si="0"/>
      </c>
      <c r="L5793">
        <f t="shared" si="1"/>
      </c>
      <c r="M5793">
        <f t="shared" si="2"/>
      </c>
    </row>
    <row r="5794">
      <c r="G5794" s="9">
        <f t="shared" si="0"/>
      </c>
      <c r="L5794">
        <f t="shared" si="1"/>
      </c>
      <c r="M5794">
        <f t="shared" si="2"/>
      </c>
    </row>
    <row r="5795">
      <c r="G5795" s="9">
        <f t="shared" si="0"/>
      </c>
      <c r="L5795">
        <f t="shared" si="1"/>
      </c>
      <c r="M5795">
        <f t="shared" si="2"/>
      </c>
    </row>
    <row r="5796">
      <c r="G5796" s="9">
        <f t="shared" si="0"/>
      </c>
      <c r="L5796">
        <f t="shared" si="1"/>
      </c>
      <c r="M5796">
        <f t="shared" si="2"/>
      </c>
    </row>
    <row r="5797">
      <c r="G5797" s="9">
        <f t="shared" si="0"/>
      </c>
      <c r="L5797">
        <f t="shared" si="1"/>
      </c>
      <c r="M5797">
        <f t="shared" si="2"/>
      </c>
    </row>
    <row r="5798">
      <c r="G5798" s="9">
        <f t="shared" si="0"/>
      </c>
      <c r="L5798">
        <f t="shared" si="1"/>
      </c>
      <c r="M5798">
        <f t="shared" si="2"/>
      </c>
    </row>
    <row r="5799">
      <c r="G5799" s="9">
        <f t="shared" si="0"/>
      </c>
      <c r="L5799">
        <f t="shared" si="1"/>
      </c>
      <c r="M5799">
        <f t="shared" si="2"/>
      </c>
    </row>
    <row r="5800">
      <c r="G5800" s="9">
        <f t="shared" si="0"/>
      </c>
      <c r="L5800">
        <f t="shared" si="1"/>
      </c>
      <c r="M5800">
        <f t="shared" si="2"/>
      </c>
    </row>
    <row r="5801">
      <c r="G5801" s="9">
        <f t="shared" si="0"/>
      </c>
      <c r="L5801">
        <f t="shared" si="1"/>
      </c>
      <c r="M5801">
        <f t="shared" si="2"/>
      </c>
    </row>
    <row r="5802">
      <c r="G5802" s="9">
        <f t="shared" si="0"/>
      </c>
      <c r="L5802">
        <f t="shared" si="1"/>
      </c>
      <c r="M5802">
        <f t="shared" si="2"/>
      </c>
    </row>
    <row r="5803">
      <c r="G5803" s="9">
        <f t="shared" si="0"/>
      </c>
      <c r="L5803">
        <f t="shared" si="1"/>
      </c>
      <c r="M5803">
        <f t="shared" si="2"/>
      </c>
    </row>
    <row r="5804">
      <c r="G5804" s="9">
        <f t="shared" si="0"/>
      </c>
      <c r="L5804">
        <f t="shared" si="1"/>
      </c>
      <c r="M5804">
        <f t="shared" si="2"/>
      </c>
    </row>
    <row r="5805">
      <c r="G5805" s="9">
        <f t="shared" si="0"/>
      </c>
      <c r="L5805">
        <f t="shared" si="1"/>
      </c>
      <c r="M5805">
        <f t="shared" si="2"/>
      </c>
    </row>
    <row r="5806">
      <c r="G5806" s="9">
        <f t="shared" si="0"/>
      </c>
      <c r="L5806">
        <f t="shared" si="1"/>
      </c>
      <c r="M5806">
        <f t="shared" si="2"/>
      </c>
    </row>
    <row r="5807">
      <c r="G5807" s="9">
        <f t="shared" si="0"/>
      </c>
      <c r="L5807">
        <f t="shared" si="1"/>
      </c>
      <c r="M5807">
        <f t="shared" si="2"/>
      </c>
    </row>
    <row r="5808">
      <c r="G5808" s="9">
        <f t="shared" si="0"/>
      </c>
      <c r="L5808">
        <f t="shared" si="1"/>
      </c>
      <c r="M5808">
        <f t="shared" si="2"/>
      </c>
    </row>
    <row r="5809">
      <c r="G5809" s="9">
        <f t="shared" si="0"/>
      </c>
      <c r="L5809">
        <f t="shared" si="1"/>
      </c>
      <c r="M5809">
        <f t="shared" si="2"/>
      </c>
    </row>
    <row r="5810">
      <c r="G5810" s="9">
        <f t="shared" si="0"/>
      </c>
      <c r="L5810">
        <f t="shared" si="1"/>
      </c>
      <c r="M5810">
        <f t="shared" si="2"/>
      </c>
    </row>
    <row r="5811">
      <c r="G5811" s="9">
        <f t="shared" si="0"/>
      </c>
      <c r="L5811">
        <f t="shared" si="1"/>
      </c>
      <c r="M5811">
        <f t="shared" si="2"/>
      </c>
    </row>
    <row r="5812">
      <c r="G5812" s="9">
        <f t="shared" si="0"/>
      </c>
      <c r="L5812">
        <f t="shared" si="1"/>
      </c>
      <c r="M5812">
        <f t="shared" si="2"/>
      </c>
    </row>
    <row r="5813">
      <c r="G5813" s="9">
        <f t="shared" si="0"/>
      </c>
      <c r="L5813">
        <f t="shared" si="1"/>
      </c>
      <c r="M5813">
        <f t="shared" si="2"/>
      </c>
    </row>
    <row r="5814">
      <c r="G5814" s="9">
        <f t="shared" si="0"/>
      </c>
      <c r="L5814">
        <f t="shared" si="1"/>
      </c>
      <c r="M5814">
        <f t="shared" si="2"/>
      </c>
    </row>
    <row r="5815">
      <c r="G5815" s="9">
        <f t="shared" si="0"/>
      </c>
      <c r="L5815">
        <f t="shared" si="1"/>
      </c>
      <c r="M5815">
        <f t="shared" si="2"/>
      </c>
    </row>
    <row r="5816">
      <c r="G5816" s="9">
        <f t="shared" si="0"/>
      </c>
      <c r="L5816">
        <f t="shared" si="1"/>
      </c>
      <c r="M5816">
        <f t="shared" si="2"/>
      </c>
    </row>
    <row r="5817">
      <c r="G5817" s="9">
        <f t="shared" si="0"/>
      </c>
      <c r="L5817">
        <f t="shared" si="1"/>
      </c>
      <c r="M5817">
        <f t="shared" si="2"/>
      </c>
    </row>
    <row r="5818">
      <c r="G5818" s="9">
        <f t="shared" si="0"/>
      </c>
      <c r="L5818">
        <f t="shared" si="1"/>
      </c>
      <c r="M5818">
        <f t="shared" si="2"/>
      </c>
    </row>
    <row r="5819">
      <c r="G5819" s="9">
        <f t="shared" si="0"/>
      </c>
      <c r="L5819">
        <f t="shared" si="1"/>
      </c>
      <c r="M5819">
        <f t="shared" si="2"/>
      </c>
    </row>
    <row r="5820">
      <c r="G5820" s="9">
        <f t="shared" si="0"/>
      </c>
      <c r="L5820">
        <f t="shared" si="1"/>
      </c>
      <c r="M5820">
        <f t="shared" si="2"/>
      </c>
    </row>
    <row r="5821">
      <c r="G5821" s="9">
        <f t="shared" si="0"/>
      </c>
      <c r="L5821">
        <f t="shared" si="1"/>
      </c>
      <c r="M5821">
        <f t="shared" si="2"/>
      </c>
    </row>
    <row r="5822">
      <c r="G5822" s="9">
        <f t="shared" si="0"/>
      </c>
      <c r="L5822">
        <f t="shared" si="1"/>
      </c>
      <c r="M5822">
        <f t="shared" si="2"/>
      </c>
    </row>
    <row r="5823">
      <c r="G5823" s="9">
        <f t="shared" si="0"/>
      </c>
      <c r="L5823">
        <f t="shared" si="1"/>
      </c>
      <c r="M5823">
        <f t="shared" si="2"/>
      </c>
    </row>
    <row r="5824">
      <c r="G5824" s="9">
        <f t="shared" si="0"/>
      </c>
      <c r="L5824">
        <f t="shared" si="1"/>
      </c>
      <c r="M5824">
        <f t="shared" si="2"/>
      </c>
    </row>
    <row r="5825">
      <c r="G5825" s="9">
        <f t="shared" si="0"/>
      </c>
      <c r="L5825">
        <f t="shared" si="1"/>
      </c>
      <c r="M5825">
        <f t="shared" si="2"/>
      </c>
    </row>
    <row r="5826">
      <c r="G5826" s="9">
        <f t="shared" si="0"/>
      </c>
      <c r="L5826">
        <f t="shared" si="1"/>
      </c>
      <c r="M5826">
        <f t="shared" si="2"/>
      </c>
    </row>
    <row r="5827">
      <c r="G5827" s="9">
        <f t="shared" si="0"/>
      </c>
      <c r="L5827">
        <f t="shared" si="1"/>
      </c>
      <c r="M5827">
        <f t="shared" si="2"/>
      </c>
    </row>
    <row r="5828">
      <c r="G5828" s="9">
        <f t="shared" si="0"/>
      </c>
      <c r="L5828">
        <f t="shared" si="1"/>
      </c>
      <c r="M5828">
        <f t="shared" si="2"/>
      </c>
    </row>
    <row r="5829">
      <c r="G5829" s="9">
        <f t="shared" si="0"/>
      </c>
      <c r="L5829">
        <f t="shared" si="1"/>
      </c>
      <c r="M5829">
        <f t="shared" si="2"/>
      </c>
    </row>
    <row r="5830">
      <c r="G5830" s="9">
        <f t="shared" si="0"/>
      </c>
      <c r="L5830">
        <f t="shared" si="1"/>
      </c>
      <c r="M5830">
        <f t="shared" si="2"/>
      </c>
    </row>
    <row r="5831">
      <c r="G5831" s="9">
        <f t="shared" si="0"/>
      </c>
      <c r="L5831">
        <f t="shared" si="1"/>
      </c>
      <c r="M5831">
        <f t="shared" si="2"/>
      </c>
    </row>
    <row r="5832">
      <c r="G5832" s="9">
        <f t="shared" si="0"/>
      </c>
      <c r="L5832">
        <f t="shared" si="1"/>
      </c>
      <c r="M5832">
        <f t="shared" si="2"/>
      </c>
    </row>
    <row r="5833">
      <c r="G5833" s="9">
        <f t="shared" si="0"/>
      </c>
      <c r="L5833">
        <f t="shared" si="1"/>
      </c>
      <c r="M5833">
        <f t="shared" si="2"/>
      </c>
    </row>
    <row r="5834">
      <c r="G5834" s="9">
        <f t="shared" si="0"/>
      </c>
      <c r="L5834">
        <f t="shared" si="1"/>
      </c>
      <c r="M5834">
        <f t="shared" si="2"/>
      </c>
    </row>
    <row r="5835">
      <c r="G5835" s="9">
        <f t="shared" si="0"/>
      </c>
      <c r="L5835">
        <f t="shared" si="1"/>
      </c>
      <c r="M5835">
        <f t="shared" si="2"/>
      </c>
    </row>
    <row r="5836">
      <c r="G5836" s="9">
        <f t="shared" si="0"/>
      </c>
      <c r="L5836">
        <f t="shared" si="1"/>
      </c>
      <c r="M5836">
        <f t="shared" si="2"/>
      </c>
    </row>
    <row r="5837">
      <c r="G5837" s="9">
        <f t="shared" si="0"/>
      </c>
      <c r="L5837">
        <f t="shared" si="1"/>
      </c>
      <c r="M5837">
        <f t="shared" si="2"/>
      </c>
    </row>
    <row r="5838">
      <c r="G5838" s="9">
        <f t="shared" si="0"/>
      </c>
      <c r="L5838">
        <f t="shared" si="1"/>
      </c>
      <c r="M5838">
        <f t="shared" si="2"/>
      </c>
    </row>
    <row r="5839">
      <c r="G5839" s="9">
        <f t="shared" si="0"/>
      </c>
      <c r="L5839">
        <f t="shared" si="1"/>
      </c>
      <c r="M5839">
        <f t="shared" si="2"/>
      </c>
    </row>
    <row r="5840">
      <c r="G5840" s="9">
        <f t="shared" si="0"/>
      </c>
      <c r="L5840">
        <f t="shared" si="1"/>
      </c>
      <c r="M5840">
        <f t="shared" si="2"/>
      </c>
    </row>
    <row r="5841">
      <c r="G5841" s="9">
        <f t="shared" si="0"/>
      </c>
      <c r="L5841">
        <f t="shared" si="1"/>
      </c>
      <c r="M5841">
        <f t="shared" si="2"/>
      </c>
    </row>
    <row r="5842">
      <c r="G5842" s="9">
        <f t="shared" si="0"/>
      </c>
      <c r="L5842">
        <f t="shared" si="1"/>
      </c>
      <c r="M5842">
        <f t="shared" si="2"/>
      </c>
    </row>
    <row r="5843">
      <c r="G5843" s="9">
        <f t="shared" si="0"/>
      </c>
      <c r="L5843">
        <f t="shared" si="1"/>
      </c>
      <c r="M5843">
        <f t="shared" si="2"/>
      </c>
    </row>
    <row r="5844">
      <c r="G5844" s="9">
        <f t="shared" si="0"/>
      </c>
      <c r="L5844">
        <f t="shared" si="1"/>
      </c>
      <c r="M5844">
        <f t="shared" si="2"/>
      </c>
    </row>
    <row r="5845">
      <c r="G5845" s="9">
        <f t="shared" si="0"/>
      </c>
      <c r="L5845">
        <f t="shared" si="1"/>
      </c>
      <c r="M5845">
        <f t="shared" si="2"/>
      </c>
    </row>
    <row r="5846">
      <c r="G5846" s="9">
        <f t="shared" si="0"/>
      </c>
      <c r="L5846">
        <f t="shared" si="1"/>
      </c>
      <c r="M5846">
        <f t="shared" si="2"/>
      </c>
    </row>
    <row r="5847">
      <c r="G5847" s="9">
        <f t="shared" si="0"/>
      </c>
      <c r="L5847">
        <f t="shared" si="1"/>
      </c>
      <c r="M5847">
        <f t="shared" si="2"/>
      </c>
    </row>
    <row r="5848">
      <c r="G5848" s="9">
        <f t="shared" si="0"/>
      </c>
      <c r="L5848">
        <f t="shared" si="1"/>
      </c>
      <c r="M5848">
        <f t="shared" si="2"/>
      </c>
    </row>
    <row r="5849">
      <c r="G5849" s="9">
        <f t="shared" si="0"/>
      </c>
      <c r="L5849">
        <f t="shared" si="1"/>
      </c>
      <c r="M5849">
        <f t="shared" si="2"/>
      </c>
    </row>
    <row r="5850">
      <c r="G5850" s="9">
        <f t="shared" si="0"/>
      </c>
      <c r="L5850">
        <f t="shared" si="1"/>
      </c>
      <c r="M5850">
        <f t="shared" si="2"/>
      </c>
    </row>
    <row r="5851">
      <c r="G5851" s="9">
        <f t="shared" si="0"/>
      </c>
      <c r="L5851">
        <f t="shared" si="1"/>
      </c>
      <c r="M5851">
        <f t="shared" si="2"/>
      </c>
    </row>
    <row r="5852">
      <c r="G5852" s="9">
        <f t="shared" si="0"/>
      </c>
      <c r="L5852">
        <f t="shared" si="1"/>
      </c>
      <c r="M5852">
        <f t="shared" si="2"/>
      </c>
    </row>
    <row r="5853">
      <c r="G5853" s="9">
        <f t="shared" si="0"/>
      </c>
      <c r="L5853">
        <f t="shared" si="1"/>
      </c>
      <c r="M5853">
        <f t="shared" si="2"/>
      </c>
    </row>
    <row r="5854">
      <c r="G5854" s="9">
        <f t="shared" si="0"/>
      </c>
      <c r="L5854">
        <f t="shared" si="1"/>
      </c>
      <c r="M5854">
        <f t="shared" si="2"/>
      </c>
    </row>
    <row r="5855">
      <c r="G5855" s="9">
        <f t="shared" si="0"/>
      </c>
      <c r="L5855">
        <f t="shared" si="1"/>
      </c>
      <c r="M5855">
        <f t="shared" si="2"/>
      </c>
    </row>
    <row r="5856">
      <c r="G5856" s="9">
        <f t="shared" si="0"/>
      </c>
      <c r="L5856">
        <f t="shared" si="1"/>
      </c>
      <c r="M5856">
        <f t="shared" si="2"/>
      </c>
    </row>
    <row r="5857">
      <c r="G5857" s="9">
        <f t="shared" si="0"/>
      </c>
      <c r="L5857">
        <f t="shared" si="1"/>
      </c>
      <c r="M5857">
        <f t="shared" si="2"/>
      </c>
    </row>
    <row r="5858">
      <c r="G5858" s="9">
        <f t="shared" si="0"/>
      </c>
      <c r="L5858">
        <f t="shared" si="1"/>
      </c>
      <c r="M5858">
        <f t="shared" si="2"/>
      </c>
    </row>
    <row r="5859">
      <c r="G5859" s="9">
        <f t="shared" si="0"/>
      </c>
      <c r="L5859">
        <f t="shared" si="1"/>
      </c>
      <c r="M5859">
        <f t="shared" si="2"/>
      </c>
    </row>
    <row r="5860">
      <c r="G5860" s="9">
        <f t="shared" si="0"/>
      </c>
      <c r="L5860">
        <f t="shared" si="1"/>
      </c>
      <c r="M5860">
        <f t="shared" si="2"/>
      </c>
    </row>
    <row r="5861">
      <c r="G5861" s="9">
        <f t="shared" si="0"/>
      </c>
      <c r="L5861">
        <f t="shared" si="1"/>
      </c>
      <c r="M5861">
        <f t="shared" si="2"/>
      </c>
    </row>
    <row r="5862">
      <c r="G5862" s="9">
        <f t="shared" si="0"/>
      </c>
      <c r="L5862">
        <f t="shared" si="1"/>
      </c>
      <c r="M5862">
        <f t="shared" si="2"/>
      </c>
    </row>
    <row r="5863">
      <c r="G5863" s="9">
        <f t="shared" si="0"/>
      </c>
      <c r="L5863">
        <f t="shared" si="1"/>
      </c>
      <c r="M5863">
        <f t="shared" si="2"/>
      </c>
    </row>
    <row r="5864">
      <c r="G5864" s="9">
        <f t="shared" si="0"/>
      </c>
      <c r="L5864">
        <f t="shared" si="1"/>
      </c>
      <c r="M5864">
        <f t="shared" si="2"/>
      </c>
    </row>
    <row r="5865">
      <c r="G5865" s="9">
        <f t="shared" si="0"/>
      </c>
      <c r="L5865">
        <f t="shared" si="1"/>
      </c>
      <c r="M5865">
        <f t="shared" si="2"/>
      </c>
    </row>
    <row r="5866">
      <c r="G5866" s="9">
        <f t="shared" si="0"/>
      </c>
      <c r="L5866">
        <f t="shared" si="1"/>
      </c>
      <c r="M5866">
        <f t="shared" si="2"/>
      </c>
    </row>
    <row r="5867">
      <c r="G5867" s="9">
        <f t="shared" si="0"/>
      </c>
      <c r="L5867">
        <f t="shared" si="1"/>
      </c>
      <c r="M5867">
        <f t="shared" si="2"/>
      </c>
    </row>
    <row r="5868">
      <c r="G5868" s="9">
        <f t="shared" si="0"/>
      </c>
      <c r="L5868">
        <f t="shared" si="1"/>
      </c>
      <c r="M5868">
        <f t="shared" si="2"/>
      </c>
    </row>
    <row r="5869">
      <c r="G5869" s="9">
        <f t="shared" si="0"/>
      </c>
      <c r="L5869">
        <f t="shared" si="1"/>
      </c>
      <c r="M5869">
        <f t="shared" si="2"/>
      </c>
    </row>
    <row r="5870">
      <c r="G5870" s="9">
        <f t="shared" si="0"/>
      </c>
      <c r="L5870">
        <f t="shared" si="1"/>
      </c>
      <c r="M5870">
        <f t="shared" si="2"/>
      </c>
    </row>
    <row r="5871">
      <c r="G5871" s="9">
        <f t="shared" si="0"/>
      </c>
      <c r="L5871">
        <f t="shared" si="1"/>
      </c>
      <c r="M5871">
        <f t="shared" si="2"/>
      </c>
    </row>
    <row r="5872">
      <c r="G5872" s="9">
        <f t="shared" si="0"/>
      </c>
      <c r="L5872">
        <f t="shared" si="1"/>
      </c>
      <c r="M5872">
        <f t="shared" si="2"/>
      </c>
    </row>
    <row r="5873">
      <c r="G5873" s="9">
        <f t="shared" si="0"/>
      </c>
      <c r="L5873">
        <f t="shared" si="1"/>
      </c>
      <c r="M5873">
        <f t="shared" si="2"/>
      </c>
    </row>
    <row r="5874">
      <c r="G5874" s="9">
        <f t="shared" si="0"/>
      </c>
      <c r="L5874">
        <f t="shared" si="1"/>
      </c>
      <c r="M5874">
        <f t="shared" si="2"/>
      </c>
    </row>
    <row r="5875">
      <c r="G5875" s="9">
        <f t="shared" si="0"/>
      </c>
      <c r="L5875">
        <f t="shared" si="1"/>
      </c>
      <c r="M5875">
        <f t="shared" si="2"/>
      </c>
    </row>
    <row r="5876">
      <c r="G5876" s="9">
        <f t="shared" si="0"/>
      </c>
      <c r="L5876">
        <f t="shared" si="1"/>
      </c>
      <c r="M5876">
        <f t="shared" si="2"/>
      </c>
    </row>
    <row r="5877">
      <c r="G5877" s="9">
        <f t="shared" si="0"/>
      </c>
      <c r="L5877">
        <f t="shared" si="1"/>
      </c>
      <c r="M5877">
        <f t="shared" si="2"/>
      </c>
    </row>
    <row r="5878">
      <c r="G5878" s="9">
        <f t="shared" si="0"/>
      </c>
      <c r="L5878">
        <f t="shared" si="1"/>
      </c>
      <c r="M5878">
        <f t="shared" si="2"/>
      </c>
    </row>
    <row r="5879">
      <c r="G5879" s="9">
        <f t="shared" si="0"/>
      </c>
      <c r="L5879">
        <f t="shared" si="1"/>
      </c>
      <c r="M5879">
        <f t="shared" si="2"/>
      </c>
    </row>
    <row r="5880">
      <c r="G5880" s="9">
        <f t="shared" si="0"/>
      </c>
      <c r="L5880">
        <f t="shared" si="1"/>
      </c>
      <c r="M5880">
        <f t="shared" si="2"/>
      </c>
    </row>
    <row r="5881">
      <c r="G5881" s="9">
        <f t="shared" si="0"/>
      </c>
      <c r="L5881">
        <f t="shared" si="1"/>
      </c>
      <c r="M5881">
        <f t="shared" si="2"/>
      </c>
    </row>
    <row r="5882">
      <c r="G5882" s="9">
        <f t="shared" si="0"/>
      </c>
      <c r="L5882">
        <f t="shared" si="1"/>
      </c>
      <c r="M5882">
        <f t="shared" si="2"/>
      </c>
    </row>
    <row r="5883">
      <c r="G5883" s="9">
        <f t="shared" si="0"/>
      </c>
      <c r="L5883">
        <f t="shared" si="1"/>
      </c>
      <c r="M5883">
        <f t="shared" si="2"/>
      </c>
    </row>
    <row r="5884">
      <c r="G5884" s="9">
        <f t="shared" si="0"/>
      </c>
      <c r="L5884">
        <f t="shared" si="1"/>
      </c>
      <c r="M5884">
        <f t="shared" si="2"/>
      </c>
    </row>
    <row r="5885">
      <c r="G5885" s="9">
        <f t="shared" si="0"/>
      </c>
      <c r="L5885">
        <f t="shared" si="1"/>
      </c>
      <c r="M5885">
        <f t="shared" si="2"/>
      </c>
    </row>
    <row r="5886">
      <c r="G5886" s="9">
        <f t="shared" si="0"/>
      </c>
      <c r="L5886">
        <f t="shared" si="1"/>
      </c>
      <c r="M5886">
        <f t="shared" si="2"/>
      </c>
    </row>
    <row r="5887">
      <c r="G5887" s="9">
        <f t="shared" si="0"/>
      </c>
      <c r="L5887">
        <f t="shared" si="1"/>
      </c>
      <c r="M5887">
        <f t="shared" si="2"/>
      </c>
    </row>
    <row r="5888">
      <c r="G5888" s="9">
        <f t="shared" si="0"/>
      </c>
      <c r="L5888">
        <f t="shared" si="1"/>
      </c>
      <c r="M5888">
        <f t="shared" si="2"/>
      </c>
    </row>
    <row r="5889">
      <c r="G5889" s="9">
        <f t="shared" si="0"/>
      </c>
      <c r="L5889">
        <f t="shared" si="1"/>
      </c>
      <c r="M5889">
        <f t="shared" si="2"/>
      </c>
    </row>
    <row r="5890">
      <c r="G5890" s="9">
        <f t="shared" si="0"/>
      </c>
      <c r="L5890">
        <f t="shared" si="1"/>
      </c>
      <c r="M5890">
        <f t="shared" si="2"/>
      </c>
    </row>
    <row r="5891">
      <c r="G5891" s="9">
        <f t="shared" si="0"/>
      </c>
      <c r="L5891">
        <f t="shared" si="1"/>
      </c>
      <c r="M5891">
        <f t="shared" si="2"/>
      </c>
    </row>
    <row r="5892">
      <c r="G5892" s="9">
        <f t="shared" si="0"/>
      </c>
      <c r="L5892">
        <f t="shared" si="1"/>
      </c>
      <c r="M5892">
        <f t="shared" si="2"/>
      </c>
    </row>
    <row r="5893">
      <c r="G5893" s="9">
        <f t="shared" si="0"/>
      </c>
      <c r="L5893">
        <f t="shared" si="1"/>
      </c>
      <c r="M5893">
        <f t="shared" si="2"/>
      </c>
    </row>
    <row r="5894">
      <c r="G5894" s="9">
        <f t="shared" si="0"/>
      </c>
      <c r="L5894">
        <f t="shared" si="1"/>
      </c>
      <c r="M5894">
        <f t="shared" si="2"/>
      </c>
    </row>
    <row r="5895">
      <c r="G5895" s="9">
        <f t="shared" si="0"/>
      </c>
      <c r="L5895">
        <f t="shared" si="1"/>
      </c>
      <c r="M5895">
        <f t="shared" si="2"/>
      </c>
    </row>
    <row r="5896">
      <c r="G5896" s="9">
        <f t="shared" si="0"/>
      </c>
      <c r="L5896">
        <f t="shared" si="1"/>
      </c>
      <c r="M5896">
        <f t="shared" si="2"/>
      </c>
    </row>
    <row r="5897">
      <c r="G5897" s="9">
        <f t="shared" si="0"/>
      </c>
      <c r="L5897">
        <f t="shared" si="1"/>
      </c>
      <c r="M5897">
        <f t="shared" si="2"/>
      </c>
    </row>
    <row r="5898">
      <c r="G5898" s="9">
        <f t="shared" si="0"/>
      </c>
      <c r="L5898">
        <f t="shared" si="1"/>
      </c>
      <c r="M5898">
        <f t="shared" si="2"/>
      </c>
    </row>
    <row r="5899">
      <c r="G5899" s="9">
        <f t="shared" si="0"/>
      </c>
      <c r="L5899">
        <f t="shared" si="1"/>
      </c>
      <c r="M5899">
        <f t="shared" si="2"/>
      </c>
    </row>
    <row r="5900">
      <c r="G5900" s="9">
        <f t="shared" si="0"/>
      </c>
      <c r="L5900">
        <f t="shared" si="1"/>
      </c>
      <c r="M5900">
        <f t="shared" si="2"/>
      </c>
    </row>
    <row r="5901">
      <c r="G5901" s="9">
        <f t="shared" si="0"/>
      </c>
      <c r="L5901">
        <f t="shared" si="1"/>
      </c>
      <c r="M5901">
        <f t="shared" si="2"/>
      </c>
    </row>
    <row r="5902">
      <c r="G5902" s="9">
        <f t="shared" si="0"/>
      </c>
      <c r="L5902">
        <f t="shared" si="1"/>
      </c>
      <c r="M5902">
        <f t="shared" si="2"/>
      </c>
    </row>
    <row r="5903">
      <c r="G5903" s="9">
        <f t="shared" si="0"/>
      </c>
      <c r="L5903">
        <f t="shared" si="1"/>
      </c>
      <c r="M5903">
        <f t="shared" si="2"/>
      </c>
    </row>
    <row r="5904">
      <c r="G5904" s="9">
        <f t="shared" si="0"/>
      </c>
      <c r="L5904">
        <f t="shared" si="1"/>
      </c>
      <c r="M5904">
        <f t="shared" si="2"/>
      </c>
    </row>
    <row r="5905">
      <c r="G5905" s="9">
        <f t="shared" si="0"/>
      </c>
      <c r="L5905">
        <f t="shared" si="1"/>
      </c>
      <c r="M5905">
        <f t="shared" si="2"/>
      </c>
    </row>
    <row r="5906">
      <c r="G5906" s="9">
        <f t="shared" si="0"/>
      </c>
      <c r="L5906">
        <f t="shared" si="1"/>
      </c>
      <c r="M5906">
        <f t="shared" si="2"/>
      </c>
    </row>
    <row r="5907">
      <c r="G5907" s="9">
        <f t="shared" si="0"/>
      </c>
      <c r="L5907">
        <f t="shared" si="1"/>
      </c>
      <c r="M5907">
        <f t="shared" si="2"/>
      </c>
    </row>
    <row r="5908">
      <c r="G5908" s="9">
        <f t="shared" si="0"/>
      </c>
      <c r="L5908">
        <f t="shared" si="1"/>
      </c>
      <c r="M5908">
        <f t="shared" si="2"/>
      </c>
    </row>
    <row r="5909">
      <c r="G5909" s="9">
        <f t="shared" si="0"/>
      </c>
      <c r="L5909">
        <f t="shared" si="1"/>
      </c>
      <c r="M5909">
        <f t="shared" si="2"/>
      </c>
    </row>
    <row r="5910">
      <c r="G5910" s="9">
        <f t="shared" si="0"/>
      </c>
      <c r="L5910">
        <f t="shared" si="1"/>
      </c>
      <c r="M5910">
        <f t="shared" si="2"/>
      </c>
    </row>
    <row r="5911">
      <c r="G5911" s="9">
        <f t="shared" si="0"/>
      </c>
      <c r="L5911">
        <f t="shared" si="1"/>
      </c>
      <c r="M5911">
        <f t="shared" si="2"/>
      </c>
    </row>
    <row r="5912">
      <c r="G5912" s="9">
        <f t="shared" si="0"/>
      </c>
      <c r="L5912">
        <f t="shared" si="1"/>
      </c>
      <c r="M5912">
        <f t="shared" si="2"/>
      </c>
    </row>
    <row r="5913">
      <c r="G5913" s="9">
        <f t="shared" si="0"/>
      </c>
      <c r="L5913">
        <f t="shared" si="1"/>
      </c>
      <c r="M5913">
        <f t="shared" si="2"/>
      </c>
    </row>
    <row r="5914">
      <c r="G5914" s="9">
        <f t="shared" si="0"/>
      </c>
      <c r="L5914">
        <f t="shared" si="1"/>
      </c>
      <c r="M5914">
        <f t="shared" si="2"/>
      </c>
    </row>
    <row r="5915">
      <c r="G5915" s="9">
        <f t="shared" si="0"/>
      </c>
      <c r="L5915">
        <f t="shared" si="1"/>
      </c>
      <c r="M5915">
        <f t="shared" si="2"/>
      </c>
    </row>
    <row r="5916">
      <c r="G5916" s="9">
        <f t="shared" si="0"/>
      </c>
      <c r="L5916">
        <f t="shared" si="1"/>
      </c>
      <c r="M5916">
        <f t="shared" si="2"/>
      </c>
    </row>
    <row r="5917">
      <c r="G5917" s="9">
        <f t="shared" si="0"/>
      </c>
      <c r="L5917">
        <f t="shared" si="1"/>
      </c>
      <c r="M5917">
        <f t="shared" si="2"/>
      </c>
    </row>
    <row r="5918">
      <c r="G5918" s="9">
        <f t="shared" si="0"/>
      </c>
      <c r="L5918">
        <f t="shared" si="1"/>
      </c>
      <c r="M5918">
        <f t="shared" si="2"/>
      </c>
    </row>
    <row r="5919">
      <c r="G5919" s="9">
        <f t="shared" si="0"/>
      </c>
      <c r="L5919">
        <f t="shared" si="1"/>
      </c>
      <c r="M5919">
        <f t="shared" si="2"/>
      </c>
    </row>
    <row r="5920">
      <c r="G5920" s="9">
        <f t="shared" si="0"/>
      </c>
      <c r="L5920">
        <f t="shared" si="1"/>
      </c>
      <c r="M5920">
        <f t="shared" si="2"/>
      </c>
    </row>
    <row r="5921">
      <c r="G5921" s="9">
        <f t="shared" si="0"/>
      </c>
      <c r="L5921">
        <f t="shared" si="1"/>
      </c>
      <c r="M5921">
        <f t="shared" si="2"/>
      </c>
    </row>
    <row r="5922">
      <c r="G5922" s="9">
        <f t="shared" si="0"/>
      </c>
      <c r="L5922">
        <f t="shared" si="1"/>
      </c>
      <c r="M5922">
        <f t="shared" si="2"/>
      </c>
    </row>
    <row r="5923">
      <c r="G5923" s="9">
        <f t="shared" si="0"/>
      </c>
      <c r="L5923">
        <f t="shared" si="1"/>
      </c>
      <c r="M5923">
        <f t="shared" si="2"/>
      </c>
    </row>
    <row r="5924">
      <c r="G5924" s="9">
        <f t="shared" si="0"/>
      </c>
      <c r="L5924">
        <f t="shared" si="1"/>
      </c>
      <c r="M5924">
        <f t="shared" si="2"/>
      </c>
    </row>
    <row r="5925">
      <c r="G5925" s="9">
        <f t="shared" si="0"/>
      </c>
      <c r="L5925">
        <f t="shared" si="1"/>
      </c>
      <c r="M5925">
        <f t="shared" si="2"/>
      </c>
    </row>
    <row r="5926">
      <c r="G5926" s="9">
        <f t="shared" si="0"/>
      </c>
      <c r="L5926">
        <f t="shared" si="1"/>
      </c>
      <c r="M5926">
        <f t="shared" si="2"/>
      </c>
    </row>
    <row r="5927">
      <c r="G5927" s="9">
        <f t="shared" si="0"/>
      </c>
      <c r="L5927">
        <f t="shared" si="1"/>
      </c>
      <c r="M5927">
        <f t="shared" si="2"/>
      </c>
    </row>
    <row r="5928">
      <c r="G5928" s="9">
        <f t="shared" si="0"/>
      </c>
      <c r="L5928">
        <f t="shared" si="1"/>
      </c>
      <c r="M5928">
        <f t="shared" si="2"/>
      </c>
    </row>
    <row r="5929">
      <c r="G5929" s="9">
        <f t="shared" si="0"/>
      </c>
      <c r="L5929">
        <f t="shared" si="1"/>
      </c>
      <c r="M5929">
        <f t="shared" si="2"/>
      </c>
    </row>
    <row r="5930">
      <c r="G5930" s="9">
        <f t="shared" si="0"/>
      </c>
      <c r="L5930">
        <f t="shared" si="1"/>
      </c>
      <c r="M5930">
        <f t="shared" si="2"/>
      </c>
    </row>
    <row r="5931">
      <c r="G5931" s="9">
        <f t="shared" si="0"/>
      </c>
      <c r="L5931">
        <f t="shared" si="1"/>
      </c>
      <c r="M5931">
        <f t="shared" si="2"/>
      </c>
    </row>
    <row r="5932">
      <c r="G5932" s="9">
        <f t="shared" si="0"/>
      </c>
      <c r="L5932">
        <f t="shared" si="1"/>
      </c>
      <c r="M5932">
        <f t="shared" si="2"/>
      </c>
    </row>
    <row r="5933">
      <c r="G5933" s="9">
        <f t="shared" si="0"/>
      </c>
      <c r="L5933">
        <f t="shared" si="1"/>
      </c>
      <c r="M5933">
        <f t="shared" si="2"/>
      </c>
    </row>
    <row r="5934">
      <c r="G5934" s="9">
        <f t="shared" si="0"/>
      </c>
      <c r="L5934">
        <f t="shared" si="1"/>
      </c>
      <c r="M5934">
        <f t="shared" si="2"/>
      </c>
    </row>
    <row r="5935">
      <c r="G5935" s="9">
        <f t="shared" si="0"/>
      </c>
      <c r="L5935">
        <f t="shared" si="1"/>
      </c>
      <c r="M5935">
        <f t="shared" si="2"/>
      </c>
    </row>
    <row r="5936">
      <c r="G5936" s="9">
        <f t="shared" si="0"/>
      </c>
      <c r="L5936">
        <f t="shared" si="1"/>
      </c>
      <c r="M5936">
        <f t="shared" si="2"/>
      </c>
    </row>
    <row r="5937">
      <c r="G5937" s="9">
        <f t="shared" si="0"/>
      </c>
      <c r="L5937">
        <f t="shared" si="1"/>
      </c>
      <c r="M5937">
        <f t="shared" si="2"/>
      </c>
    </row>
    <row r="5938">
      <c r="G5938" s="9">
        <f t="shared" si="0"/>
      </c>
      <c r="L5938">
        <f t="shared" si="1"/>
      </c>
      <c r="M5938">
        <f t="shared" si="2"/>
      </c>
    </row>
    <row r="5939">
      <c r="G5939" s="9">
        <f t="shared" si="0"/>
      </c>
      <c r="L5939">
        <f t="shared" si="1"/>
      </c>
      <c r="M5939">
        <f t="shared" si="2"/>
      </c>
    </row>
    <row r="5940">
      <c r="G5940" s="9">
        <f t="shared" si="0"/>
      </c>
      <c r="L5940">
        <f t="shared" si="1"/>
      </c>
      <c r="M5940">
        <f t="shared" si="2"/>
      </c>
    </row>
    <row r="5941">
      <c r="G5941" s="9">
        <f t="shared" si="0"/>
      </c>
      <c r="L5941">
        <f t="shared" si="1"/>
      </c>
      <c r="M5941">
        <f t="shared" si="2"/>
      </c>
    </row>
    <row r="5942">
      <c r="G5942" s="9">
        <f t="shared" si="0"/>
      </c>
      <c r="L5942">
        <f t="shared" si="1"/>
      </c>
      <c r="M5942">
        <f t="shared" si="2"/>
      </c>
    </row>
    <row r="5943">
      <c r="G5943" s="9">
        <f t="shared" si="0"/>
      </c>
      <c r="L5943">
        <f t="shared" si="1"/>
      </c>
      <c r="M5943">
        <f t="shared" si="2"/>
      </c>
    </row>
    <row r="5944">
      <c r="G5944" s="9">
        <f t="shared" si="0"/>
      </c>
      <c r="L5944">
        <f t="shared" si="1"/>
      </c>
      <c r="M5944">
        <f t="shared" si="2"/>
      </c>
    </row>
    <row r="5945">
      <c r="G5945" s="9">
        <f t="shared" si="0"/>
      </c>
      <c r="L5945">
        <f t="shared" si="1"/>
      </c>
      <c r="M5945">
        <f t="shared" si="2"/>
      </c>
    </row>
    <row r="5946">
      <c r="G5946" s="9">
        <f t="shared" si="0"/>
      </c>
      <c r="L5946">
        <f t="shared" si="1"/>
      </c>
      <c r="M5946">
        <f t="shared" si="2"/>
      </c>
    </row>
    <row r="5947">
      <c r="G5947" s="9">
        <f t="shared" si="0"/>
      </c>
      <c r="L5947">
        <f t="shared" si="1"/>
      </c>
      <c r="M5947">
        <f t="shared" si="2"/>
      </c>
    </row>
    <row r="5948">
      <c r="G5948" s="9">
        <f t="shared" si="0"/>
      </c>
      <c r="L5948">
        <f t="shared" si="1"/>
      </c>
      <c r="M5948">
        <f t="shared" si="2"/>
      </c>
    </row>
    <row r="5949">
      <c r="G5949" s="9">
        <f t="shared" si="0"/>
      </c>
      <c r="L5949">
        <f t="shared" si="1"/>
      </c>
      <c r="M5949">
        <f t="shared" si="2"/>
      </c>
    </row>
    <row r="5950">
      <c r="G5950" s="9">
        <f t="shared" si="0"/>
      </c>
      <c r="L5950">
        <f t="shared" si="1"/>
      </c>
      <c r="M5950">
        <f t="shared" si="2"/>
      </c>
    </row>
    <row r="5951">
      <c r="G5951" s="9">
        <f t="shared" si="0"/>
      </c>
      <c r="L5951">
        <f t="shared" si="1"/>
      </c>
      <c r="M5951">
        <f t="shared" si="2"/>
      </c>
    </row>
    <row r="5952">
      <c r="G5952" s="9">
        <f t="shared" si="0"/>
      </c>
      <c r="L5952">
        <f t="shared" si="1"/>
      </c>
      <c r="M5952">
        <f t="shared" si="2"/>
      </c>
    </row>
    <row r="5953">
      <c r="G5953" s="9">
        <f t="shared" si="0"/>
      </c>
      <c r="L5953">
        <f t="shared" si="1"/>
      </c>
      <c r="M5953">
        <f t="shared" si="2"/>
      </c>
    </row>
    <row r="5954">
      <c r="G5954" s="9">
        <f t="shared" si="0"/>
      </c>
      <c r="L5954">
        <f t="shared" si="1"/>
      </c>
      <c r="M5954">
        <f t="shared" si="2"/>
      </c>
    </row>
    <row r="5955">
      <c r="G5955" s="9">
        <f t="shared" si="0"/>
      </c>
      <c r="L5955">
        <f t="shared" si="1"/>
      </c>
      <c r="M5955">
        <f t="shared" si="2"/>
      </c>
    </row>
    <row r="5956">
      <c r="G5956" s="9">
        <f t="shared" si="0"/>
      </c>
      <c r="L5956">
        <f t="shared" si="1"/>
      </c>
      <c r="M5956">
        <f t="shared" si="2"/>
      </c>
    </row>
    <row r="5957">
      <c r="G5957" s="9">
        <f t="shared" si="0"/>
      </c>
      <c r="L5957">
        <f t="shared" si="1"/>
      </c>
      <c r="M5957">
        <f t="shared" si="2"/>
      </c>
    </row>
    <row r="5958">
      <c r="G5958" s="9">
        <f t="shared" si="0"/>
      </c>
      <c r="L5958">
        <f t="shared" si="1"/>
      </c>
      <c r="M5958">
        <f t="shared" si="2"/>
      </c>
    </row>
    <row r="5959">
      <c r="G5959" s="9">
        <f t="shared" si="0"/>
      </c>
      <c r="L5959">
        <f t="shared" si="1"/>
      </c>
      <c r="M5959">
        <f t="shared" si="2"/>
      </c>
    </row>
    <row r="5960">
      <c r="G5960" s="9">
        <f t="shared" si="0"/>
      </c>
      <c r="L5960">
        <f t="shared" si="1"/>
      </c>
      <c r="M5960">
        <f t="shared" si="2"/>
      </c>
    </row>
    <row r="5961">
      <c r="G5961" s="9">
        <f t="shared" si="0"/>
      </c>
      <c r="L5961">
        <f t="shared" si="1"/>
      </c>
      <c r="M5961">
        <f t="shared" si="2"/>
      </c>
    </row>
    <row r="5962">
      <c r="G5962" s="9">
        <f t="shared" si="0"/>
      </c>
      <c r="L5962">
        <f t="shared" si="1"/>
      </c>
      <c r="M5962">
        <f t="shared" si="2"/>
      </c>
    </row>
    <row r="5963">
      <c r="G5963" s="9">
        <f t="shared" si="0"/>
      </c>
      <c r="L5963">
        <f t="shared" si="1"/>
      </c>
      <c r="M5963">
        <f t="shared" si="2"/>
      </c>
    </row>
    <row r="5964">
      <c r="G5964" s="9">
        <f t="shared" si="0"/>
      </c>
      <c r="L5964">
        <f t="shared" si="1"/>
      </c>
      <c r="M5964">
        <f t="shared" si="2"/>
      </c>
    </row>
    <row r="5965">
      <c r="G5965" s="9">
        <f t="shared" si="0"/>
      </c>
      <c r="L5965">
        <f t="shared" si="1"/>
      </c>
      <c r="M5965">
        <f t="shared" si="2"/>
      </c>
    </row>
    <row r="5966">
      <c r="G5966" s="9">
        <f t="shared" si="0"/>
      </c>
      <c r="L5966">
        <f t="shared" si="1"/>
      </c>
      <c r="M5966">
        <f t="shared" si="2"/>
      </c>
    </row>
    <row r="5967">
      <c r="G5967" s="9">
        <f t="shared" si="0"/>
      </c>
      <c r="L5967">
        <f t="shared" si="1"/>
      </c>
      <c r="M5967">
        <f t="shared" si="2"/>
      </c>
    </row>
    <row r="5968">
      <c r="G5968" s="9">
        <f t="shared" si="0"/>
      </c>
      <c r="L5968">
        <f t="shared" si="1"/>
      </c>
      <c r="M5968">
        <f t="shared" si="2"/>
      </c>
    </row>
    <row r="5969">
      <c r="G5969" s="9">
        <f t="shared" si="0"/>
      </c>
      <c r="L5969">
        <f t="shared" si="1"/>
      </c>
      <c r="M5969">
        <f t="shared" si="2"/>
      </c>
    </row>
    <row r="5970">
      <c r="G5970" s="9">
        <f t="shared" si="0"/>
      </c>
      <c r="L5970">
        <f t="shared" si="1"/>
      </c>
      <c r="M5970">
        <f t="shared" si="2"/>
      </c>
    </row>
    <row r="5971">
      <c r="G5971" s="9">
        <f t="shared" si="0"/>
      </c>
      <c r="L5971">
        <f t="shared" si="1"/>
      </c>
      <c r="M5971">
        <f t="shared" si="2"/>
      </c>
    </row>
    <row r="5972">
      <c r="G5972" s="9">
        <f t="shared" si="0"/>
      </c>
      <c r="L5972">
        <f t="shared" si="1"/>
      </c>
      <c r="M5972">
        <f t="shared" si="2"/>
      </c>
    </row>
    <row r="5973">
      <c r="G5973" s="9">
        <f t="shared" si="0"/>
      </c>
      <c r="L5973">
        <f t="shared" si="1"/>
      </c>
      <c r="M5973">
        <f t="shared" si="2"/>
      </c>
    </row>
    <row r="5974">
      <c r="G5974" s="9">
        <f t="shared" si="0"/>
      </c>
      <c r="L5974">
        <f t="shared" si="1"/>
      </c>
      <c r="M5974">
        <f t="shared" si="2"/>
      </c>
    </row>
    <row r="5975">
      <c r="G5975" s="9">
        <f t="shared" si="0"/>
      </c>
      <c r="L5975">
        <f t="shared" si="1"/>
      </c>
      <c r="M5975">
        <f t="shared" si="2"/>
      </c>
    </row>
    <row r="5976">
      <c r="G5976" s="9">
        <f t="shared" si="0"/>
      </c>
      <c r="L5976">
        <f t="shared" si="1"/>
      </c>
      <c r="M5976">
        <f t="shared" si="2"/>
      </c>
    </row>
    <row r="5977">
      <c r="G5977" s="9">
        <f t="shared" si="0"/>
      </c>
      <c r="L5977">
        <f t="shared" si="1"/>
      </c>
      <c r="M5977">
        <f t="shared" si="2"/>
      </c>
    </row>
    <row r="5978">
      <c r="G5978" s="9">
        <f t="shared" si="0"/>
      </c>
      <c r="L5978">
        <f t="shared" si="1"/>
      </c>
      <c r="M5978">
        <f t="shared" si="2"/>
      </c>
    </row>
    <row r="5979">
      <c r="G5979" s="9">
        <f t="shared" si="0"/>
      </c>
      <c r="L5979">
        <f t="shared" si="1"/>
      </c>
      <c r="M5979">
        <f t="shared" si="2"/>
      </c>
    </row>
    <row r="5980">
      <c r="G5980" s="9">
        <f t="shared" si="0"/>
      </c>
      <c r="L5980">
        <f t="shared" si="1"/>
      </c>
      <c r="M5980">
        <f t="shared" si="2"/>
      </c>
    </row>
    <row r="5981">
      <c r="G5981" s="9">
        <f t="shared" si="0"/>
      </c>
      <c r="L5981">
        <f t="shared" si="1"/>
      </c>
      <c r="M5981">
        <f t="shared" si="2"/>
      </c>
    </row>
    <row r="5982">
      <c r="G5982" s="9">
        <f t="shared" si="0"/>
      </c>
      <c r="L5982">
        <f t="shared" si="1"/>
      </c>
      <c r="M5982">
        <f t="shared" si="2"/>
      </c>
    </row>
    <row r="5983">
      <c r="G5983" s="9">
        <f t="shared" si="0"/>
      </c>
      <c r="L5983">
        <f t="shared" si="1"/>
      </c>
      <c r="M5983">
        <f t="shared" si="2"/>
      </c>
    </row>
    <row r="5984">
      <c r="G5984" s="9">
        <f t="shared" si="0"/>
      </c>
      <c r="L5984">
        <f t="shared" si="1"/>
      </c>
      <c r="M5984">
        <f t="shared" si="2"/>
      </c>
    </row>
    <row r="5985">
      <c r="G5985" s="9">
        <f t="shared" si="0"/>
      </c>
      <c r="L5985">
        <f t="shared" si="1"/>
      </c>
      <c r="M5985">
        <f t="shared" si="2"/>
      </c>
    </row>
    <row r="5986">
      <c r="G5986" s="9">
        <f t="shared" si="0"/>
      </c>
      <c r="L5986">
        <f t="shared" si="1"/>
      </c>
      <c r="M5986">
        <f t="shared" si="2"/>
      </c>
    </row>
    <row r="5987">
      <c r="G5987" s="9">
        <f t="shared" si="0"/>
      </c>
      <c r="L5987">
        <f t="shared" si="1"/>
      </c>
      <c r="M5987">
        <f t="shared" si="2"/>
      </c>
    </row>
    <row r="5988">
      <c r="G5988" s="9">
        <f t="shared" si="0"/>
      </c>
      <c r="L5988">
        <f t="shared" si="1"/>
      </c>
      <c r="M5988">
        <f t="shared" si="2"/>
      </c>
    </row>
    <row r="5989">
      <c r="G5989" s="9">
        <f t="shared" si="0"/>
      </c>
      <c r="L5989">
        <f t="shared" si="1"/>
      </c>
      <c r="M5989">
        <f t="shared" si="2"/>
      </c>
    </row>
    <row r="5990">
      <c r="G5990" s="9">
        <f t="shared" si="0"/>
      </c>
      <c r="L5990">
        <f t="shared" si="1"/>
      </c>
      <c r="M5990">
        <f t="shared" si="2"/>
      </c>
    </row>
    <row r="5991">
      <c r="G5991" s="9">
        <f t="shared" si="0"/>
      </c>
      <c r="L5991">
        <f t="shared" si="1"/>
      </c>
      <c r="M5991">
        <f t="shared" si="2"/>
      </c>
    </row>
    <row r="5992">
      <c r="G5992" s="9">
        <f t="shared" si="0"/>
      </c>
      <c r="L5992">
        <f t="shared" si="1"/>
      </c>
      <c r="M5992">
        <f t="shared" si="2"/>
      </c>
    </row>
    <row r="5993">
      <c r="G5993" s="9">
        <f t="shared" si="0"/>
      </c>
      <c r="L5993">
        <f t="shared" si="1"/>
      </c>
      <c r="M5993">
        <f t="shared" si="2"/>
      </c>
    </row>
    <row r="5994">
      <c r="G5994" s="9">
        <f t="shared" si="0"/>
      </c>
      <c r="L5994">
        <f t="shared" si="1"/>
      </c>
      <c r="M5994">
        <f t="shared" si="2"/>
      </c>
    </row>
    <row r="5995">
      <c r="G5995" s="9">
        <f t="shared" si="0"/>
      </c>
      <c r="L5995">
        <f t="shared" si="1"/>
      </c>
      <c r="M5995">
        <f t="shared" si="2"/>
      </c>
    </row>
    <row r="5996">
      <c r="G5996" s="9">
        <f t="shared" si="0"/>
      </c>
      <c r="L5996">
        <f t="shared" si="1"/>
      </c>
      <c r="M5996">
        <f t="shared" si="2"/>
      </c>
    </row>
    <row r="5997">
      <c r="G5997" s="9">
        <f t="shared" si="0"/>
      </c>
      <c r="L5997">
        <f t="shared" si="1"/>
      </c>
      <c r="M5997">
        <f t="shared" si="2"/>
      </c>
    </row>
    <row r="5998">
      <c r="G5998" s="9">
        <f t="shared" si="0"/>
      </c>
      <c r="L5998">
        <f t="shared" si="1"/>
      </c>
      <c r="M5998">
        <f t="shared" si="2"/>
      </c>
    </row>
    <row r="5999">
      <c r="G5999" s="9">
        <f t="shared" si="0"/>
      </c>
      <c r="L5999">
        <f t="shared" si="1"/>
      </c>
      <c r="M5999">
        <f t="shared" si="2"/>
      </c>
    </row>
    <row r="6000">
      <c r="G6000" s="9">
        <f t="shared" si="0"/>
      </c>
      <c r="L6000">
        <f t="shared" si="1"/>
      </c>
      <c r="M6000">
        <f t="shared" si="2"/>
      </c>
    </row>
    <row r="6001">
      <c r="G6001" s="9">
        <f t="shared" si="0"/>
      </c>
      <c r="L6001">
        <f t="shared" si="1"/>
      </c>
      <c r="M6001">
        <f t="shared" si="2"/>
      </c>
    </row>
    <row r="6002">
      <c r="G6002" s="9">
        <f t="shared" si="0"/>
      </c>
      <c r="L6002">
        <f t="shared" si="1"/>
      </c>
      <c r="M6002">
        <f t="shared" si="2"/>
      </c>
    </row>
    <row r="6003">
      <c r="G6003" s="9">
        <f t="shared" si="0"/>
      </c>
      <c r="L6003">
        <f t="shared" si="1"/>
      </c>
      <c r="M6003">
        <f t="shared" si="2"/>
      </c>
    </row>
    <row r="6004">
      <c r="G6004" s="9">
        <f t="shared" si="0"/>
      </c>
      <c r="L6004">
        <f t="shared" si="1"/>
      </c>
      <c r="M6004">
        <f t="shared" si="2"/>
      </c>
    </row>
    <row r="6005">
      <c r="G6005" s="9">
        <f t="shared" si="0"/>
      </c>
      <c r="L6005">
        <f t="shared" si="1"/>
      </c>
      <c r="M6005">
        <f t="shared" si="2"/>
      </c>
    </row>
    <row r="6006">
      <c r="G6006" s="9">
        <f t="shared" si="0"/>
      </c>
      <c r="L6006">
        <f t="shared" si="1"/>
      </c>
      <c r="M6006">
        <f t="shared" si="2"/>
      </c>
    </row>
    <row r="6007">
      <c r="G6007" s="9">
        <f t="shared" si="0"/>
      </c>
      <c r="L6007">
        <f t="shared" si="1"/>
      </c>
      <c r="M6007">
        <f t="shared" si="2"/>
      </c>
    </row>
    <row r="6008">
      <c r="G6008" s="9">
        <f t="shared" si="0"/>
      </c>
      <c r="L6008">
        <f t="shared" si="1"/>
      </c>
      <c r="M6008">
        <f t="shared" si="2"/>
      </c>
    </row>
    <row r="6009">
      <c r="G6009" s="9">
        <f t="shared" si="0"/>
      </c>
      <c r="L6009">
        <f t="shared" si="1"/>
      </c>
      <c r="M6009">
        <f t="shared" si="2"/>
      </c>
    </row>
    <row r="6010">
      <c r="G6010" s="9">
        <f t="shared" si="0"/>
      </c>
      <c r="L6010">
        <f t="shared" si="1"/>
      </c>
      <c r="M6010">
        <f t="shared" si="2"/>
      </c>
    </row>
    <row r="6011">
      <c r="G6011" s="9">
        <f t="shared" si="0"/>
      </c>
      <c r="L6011">
        <f t="shared" si="1"/>
      </c>
      <c r="M6011">
        <f t="shared" si="2"/>
      </c>
    </row>
    <row r="6012">
      <c r="G6012" s="9">
        <f t="shared" si="0"/>
      </c>
      <c r="L6012">
        <f t="shared" si="1"/>
      </c>
      <c r="M6012">
        <f t="shared" si="2"/>
      </c>
    </row>
    <row r="6013">
      <c r="G6013" s="9">
        <f t="shared" si="0"/>
      </c>
      <c r="L6013">
        <f t="shared" si="1"/>
      </c>
      <c r="M6013">
        <f t="shared" si="2"/>
      </c>
    </row>
    <row r="6014">
      <c r="G6014" s="9">
        <f t="shared" si="0"/>
      </c>
      <c r="L6014">
        <f t="shared" si="1"/>
      </c>
      <c r="M6014">
        <f t="shared" si="2"/>
      </c>
    </row>
    <row r="6015">
      <c r="G6015" s="9">
        <f t="shared" si="0"/>
      </c>
      <c r="L6015">
        <f t="shared" si="1"/>
      </c>
      <c r="M6015">
        <f t="shared" si="2"/>
      </c>
    </row>
    <row r="6016">
      <c r="G6016" s="9">
        <f t="shared" si="0"/>
      </c>
      <c r="L6016">
        <f t="shared" si="1"/>
      </c>
      <c r="M6016">
        <f t="shared" si="2"/>
      </c>
    </row>
    <row r="6017">
      <c r="G6017" s="9">
        <f t="shared" si="0"/>
      </c>
      <c r="L6017">
        <f t="shared" si="1"/>
      </c>
      <c r="M6017">
        <f t="shared" si="2"/>
      </c>
    </row>
    <row r="6018">
      <c r="G6018" s="9">
        <f t="shared" si="0"/>
      </c>
      <c r="L6018">
        <f t="shared" si="1"/>
      </c>
      <c r="M6018">
        <f t="shared" si="2"/>
      </c>
    </row>
    <row r="6019">
      <c r="G6019" s="9">
        <f t="shared" si="0"/>
      </c>
      <c r="L6019">
        <f t="shared" si="1"/>
      </c>
      <c r="M6019">
        <f t="shared" si="2"/>
      </c>
    </row>
    <row r="6020">
      <c r="G6020" s="9">
        <f t="shared" si="0"/>
      </c>
      <c r="L6020">
        <f t="shared" si="1"/>
      </c>
      <c r="M6020">
        <f t="shared" si="2"/>
      </c>
    </row>
    <row r="6021">
      <c r="G6021" s="9">
        <f t="shared" si="0"/>
      </c>
      <c r="L6021">
        <f t="shared" si="1"/>
      </c>
      <c r="M6021">
        <f t="shared" si="2"/>
      </c>
    </row>
    <row r="6022">
      <c r="G6022" s="9">
        <f t="shared" si="0"/>
      </c>
      <c r="L6022">
        <f t="shared" si="1"/>
      </c>
      <c r="M6022">
        <f t="shared" si="2"/>
      </c>
    </row>
    <row r="6023">
      <c r="G6023" s="9">
        <f t="shared" si="0"/>
      </c>
      <c r="L6023">
        <f t="shared" si="1"/>
      </c>
      <c r="M6023">
        <f t="shared" si="2"/>
      </c>
    </row>
    <row r="6024">
      <c r="G6024" s="9">
        <f t="shared" si="0"/>
      </c>
      <c r="L6024">
        <f t="shared" si="1"/>
      </c>
      <c r="M6024">
        <f t="shared" si="2"/>
      </c>
    </row>
    <row r="6025">
      <c r="G6025" s="9">
        <f t="shared" si="0"/>
      </c>
      <c r="L6025">
        <f t="shared" si="1"/>
      </c>
      <c r="M6025">
        <f t="shared" si="2"/>
      </c>
    </row>
    <row r="6026">
      <c r="G6026" s="9">
        <f t="shared" si="0"/>
      </c>
      <c r="L6026">
        <f t="shared" si="1"/>
      </c>
      <c r="M6026">
        <f t="shared" si="2"/>
      </c>
    </row>
    <row r="6027">
      <c r="G6027" s="9">
        <f t="shared" si="0"/>
      </c>
      <c r="L6027">
        <f t="shared" si="1"/>
      </c>
      <c r="M6027">
        <f t="shared" si="2"/>
      </c>
    </row>
    <row r="6028">
      <c r="G6028" s="9">
        <f t="shared" si="0"/>
      </c>
      <c r="L6028">
        <f t="shared" si="1"/>
      </c>
      <c r="M6028">
        <f t="shared" si="2"/>
      </c>
    </row>
    <row r="6029">
      <c r="G6029" s="9">
        <f t="shared" si="0"/>
      </c>
      <c r="L6029">
        <f t="shared" si="1"/>
      </c>
      <c r="M6029">
        <f t="shared" si="2"/>
      </c>
    </row>
    <row r="6030">
      <c r="G6030" s="9">
        <f t="shared" si="0"/>
      </c>
      <c r="L6030">
        <f t="shared" si="1"/>
      </c>
      <c r="M6030">
        <f t="shared" si="2"/>
      </c>
    </row>
    <row r="6031">
      <c r="G6031" s="9">
        <f t="shared" si="0"/>
      </c>
      <c r="L6031">
        <f t="shared" si="1"/>
      </c>
      <c r="M6031">
        <f t="shared" si="2"/>
      </c>
    </row>
    <row r="6032">
      <c r="G6032" s="9">
        <f t="shared" si="0"/>
      </c>
      <c r="L6032">
        <f t="shared" si="1"/>
      </c>
      <c r="M6032">
        <f t="shared" si="2"/>
      </c>
    </row>
    <row r="6033">
      <c r="G6033" s="9">
        <f t="shared" si="0"/>
      </c>
      <c r="L6033">
        <f t="shared" si="1"/>
      </c>
      <c r="M6033">
        <f t="shared" si="2"/>
      </c>
    </row>
    <row r="6034">
      <c r="G6034" s="9">
        <f t="shared" si="0"/>
      </c>
      <c r="L6034">
        <f t="shared" si="1"/>
      </c>
      <c r="M6034">
        <f t="shared" si="2"/>
      </c>
    </row>
    <row r="6035">
      <c r="G6035" s="9">
        <f t="shared" si="0"/>
      </c>
      <c r="L6035">
        <f t="shared" si="1"/>
      </c>
      <c r="M6035">
        <f t="shared" si="2"/>
      </c>
    </row>
    <row r="6036">
      <c r="G6036" s="9">
        <f t="shared" si="0"/>
      </c>
      <c r="L6036">
        <f t="shared" si="1"/>
      </c>
      <c r="M6036">
        <f t="shared" si="2"/>
      </c>
    </row>
    <row r="6037">
      <c r="G6037" s="9">
        <f t="shared" si="0"/>
      </c>
      <c r="L6037">
        <f t="shared" si="1"/>
      </c>
      <c r="M6037">
        <f t="shared" si="2"/>
      </c>
    </row>
    <row r="6038">
      <c r="G6038" s="9">
        <f t="shared" si="0"/>
      </c>
      <c r="L6038">
        <f t="shared" si="1"/>
      </c>
      <c r="M6038">
        <f t="shared" si="2"/>
      </c>
    </row>
    <row r="6039">
      <c r="G6039" s="9">
        <f t="shared" si="0"/>
      </c>
      <c r="L6039">
        <f t="shared" si="1"/>
      </c>
      <c r="M6039">
        <f t="shared" si="2"/>
      </c>
    </row>
    <row r="6040">
      <c r="G6040" s="9">
        <f t="shared" si="0"/>
      </c>
      <c r="L6040">
        <f t="shared" si="1"/>
      </c>
      <c r="M6040">
        <f t="shared" si="2"/>
      </c>
    </row>
    <row r="6041">
      <c r="G6041" s="9">
        <f t="shared" si="0"/>
      </c>
      <c r="L6041">
        <f t="shared" si="1"/>
      </c>
      <c r="M6041">
        <f t="shared" si="2"/>
      </c>
    </row>
    <row r="6042">
      <c r="G6042" s="9">
        <f t="shared" si="0"/>
      </c>
      <c r="L6042">
        <f t="shared" si="1"/>
      </c>
      <c r="M6042">
        <f t="shared" si="2"/>
      </c>
    </row>
    <row r="6043">
      <c r="G6043" s="9">
        <f t="shared" si="0"/>
      </c>
      <c r="L6043">
        <f t="shared" si="1"/>
      </c>
      <c r="M6043">
        <f t="shared" si="2"/>
      </c>
    </row>
    <row r="6044">
      <c r="G6044" s="9">
        <f t="shared" si="0"/>
      </c>
      <c r="L6044">
        <f t="shared" si="1"/>
      </c>
      <c r="M6044">
        <f t="shared" si="2"/>
      </c>
    </row>
    <row r="6045">
      <c r="G6045" s="9">
        <f t="shared" si="0"/>
      </c>
      <c r="L6045">
        <f t="shared" si="1"/>
      </c>
      <c r="M6045">
        <f t="shared" si="2"/>
      </c>
    </row>
    <row r="6046">
      <c r="G6046" s="9">
        <f t="shared" si="0"/>
      </c>
      <c r="L6046">
        <f t="shared" si="1"/>
      </c>
      <c r="M6046">
        <f t="shared" si="2"/>
      </c>
    </row>
    <row r="6047">
      <c r="G6047" s="9">
        <f t="shared" si="0"/>
      </c>
      <c r="L6047">
        <f t="shared" si="1"/>
      </c>
      <c r="M6047">
        <f t="shared" si="2"/>
      </c>
    </row>
    <row r="6048">
      <c r="G6048" s="9">
        <f t="shared" si="0"/>
      </c>
      <c r="L6048">
        <f t="shared" si="1"/>
      </c>
      <c r="M6048">
        <f t="shared" si="2"/>
      </c>
    </row>
    <row r="6049">
      <c r="G6049" s="9">
        <f t="shared" si="0"/>
      </c>
      <c r="L6049">
        <f t="shared" si="1"/>
      </c>
      <c r="M6049">
        <f t="shared" si="2"/>
      </c>
    </row>
    <row r="6050">
      <c r="G6050" s="9">
        <f t="shared" si="0"/>
      </c>
      <c r="L6050">
        <f t="shared" si="1"/>
      </c>
      <c r="M6050">
        <f t="shared" si="2"/>
      </c>
    </row>
    <row r="6051">
      <c r="G6051" s="9">
        <f t="shared" si="0"/>
      </c>
      <c r="L6051">
        <f t="shared" si="1"/>
      </c>
      <c r="M6051">
        <f t="shared" si="2"/>
      </c>
    </row>
    <row r="6052">
      <c r="G6052" s="9">
        <f t="shared" si="0"/>
      </c>
      <c r="L6052">
        <f t="shared" si="1"/>
      </c>
      <c r="M6052">
        <f t="shared" si="2"/>
      </c>
    </row>
    <row r="6053">
      <c r="G6053" s="9">
        <f t="shared" si="0"/>
      </c>
      <c r="L6053">
        <f t="shared" si="1"/>
      </c>
      <c r="M6053">
        <f t="shared" si="2"/>
      </c>
    </row>
    <row r="6054">
      <c r="G6054" s="9">
        <f t="shared" si="0"/>
      </c>
      <c r="L6054">
        <f t="shared" si="1"/>
      </c>
      <c r="M6054">
        <f t="shared" si="2"/>
      </c>
    </row>
    <row r="6055">
      <c r="G6055" s="9">
        <f t="shared" si="0"/>
      </c>
      <c r="L6055">
        <f t="shared" si="1"/>
      </c>
      <c r="M6055">
        <f t="shared" si="2"/>
      </c>
    </row>
    <row r="6056">
      <c r="G6056" s="9">
        <f t="shared" si="0"/>
      </c>
      <c r="L6056">
        <f t="shared" si="1"/>
      </c>
      <c r="M6056">
        <f t="shared" si="2"/>
      </c>
    </row>
    <row r="6057">
      <c r="G6057" s="9">
        <f t="shared" si="0"/>
      </c>
      <c r="L6057">
        <f t="shared" si="1"/>
      </c>
      <c r="M6057">
        <f t="shared" si="2"/>
      </c>
    </row>
    <row r="6058">
      <c r="G6058" s="9">
        <f t="shared" si="0"/>
      </c>
      <c r="L6058">
        <f t="shared" si="1"/>
      </c>
      <c r="M6058">
        <f t="shared" si="2"/>
      </c>
    </row>
    <row r="6059">
      <c r="G6059" s="9">
        <f t="shared" si="0"/>
      </c>
      <c r="L6059">
        <f t="shared" si="1"/>
      </c>
      <c r="M6059">
        <f t="shared" si="2"/>
      </c>
    </row>
    <row r="6060">
      <c r="G6060" s="9">
        <f t="shared" si="0"/>
      </c>
      <c r="L6060">
        <f t="shared" si="1"/>
      </c>
      <c r="M6060">
        <f t="shared" si="2"/>
      </c>
    </row>
    <row r="6061">
      <c r="G6061" s="9">
        <f t="shared" si="0"/>
      </c>
      <c r="L6061">
        <f t="shared" si="1"/>
      </c>
      <c r="M6061">
        <f t="shared" si="2"/>
      </c>
    </row>
    <row r="6062">
      <c r="G6062" s="9">
        <f t="shared" si="0"/>
      </c>
      <c r="L6062">
        <f t="shared" si="1"/>
      </c>
      <c r="M6062">
        <f t="shared" si="2"/>
      </c>
    </row>
    <row r="6063">
      <c r="G6063" s="9">
        <f t="shared" si="0"/>
      </c>
      <c r="L6063">
        <f t="shared" si="1"/>
      </c>
      <c r="M6063">
        <f t="shared" si="2"/>
      </c>
    </row>
    <row r="6064">
      <c r="G6064" s="9">
        <f t="shared" si="0"/>
      </c>
      <c r="L6064">
        <f t="shared" si="1"/>
      </c>
      <c r="M6064">
        <f t="shared" si="2"/>
      </c>
    </row>
    <row r="6065">
      <c r="G6065" s="9">
        <f t="shared" si="0"/>
      </c>
      <c r="L6065">
        <f t="shared" si="1"/>
      </c>
      <c r="M6065">
        <f t="shared" si="2"/>
      </c>
    </row>
    <row r="6066">
      <c r="G6066" s="9">
        <f t="shared" si="0"/>
      </c>
      <c r="L6066">
        <f t="shared" si="1"/>
      </c>
      <c r="M6066">
        <f t="shared" si="2"/>
      </c>
    </row>
    <row r="6067">
      <c r="G6067" s="9">
        <f t="shared" si="0"/>
      </c>
      <c r="L6067">
        <f t="shared" si="1"/>
      </c>
      <c r="M6067">
        <f t="shared" si="2"/>
      </c>
    </row>
    <row r="6068">
      <c r="G6068" s="9">
        <f t="shared" si="0"/>
      </c>
      <c r="L6068">
        <f t="shared" si="1"/>
      </c>
      <c r="M6068">
        <f t="shared" si="2"/>
      </c>
    </row>
    <row r="6069">
      <c r="G6069" s="9">
        <f t="shared" si="0"/>
      </c>
      <c r="L6069">
        <f t="shared" si="1"/>
      </c>
      <c r="M6069">
        <f t="shared" si="2"/>
      </c>
    </row>
    <row r="6070">
      <c r="G6070" s="9">
        <f t="shared" si="0"/>
      </c>
      <c r="L6070">
        <f t="shared" si="1"/>
      </c>
      <c r="M6070">
        <f t="shared" si="2"/>
      </c>
    </row>
    <row r="6071">
      <c r="G6071" s="9">
        <f t="shared" si="0"/>
      </c>
      <c r="L6071">
        <f t="shared" si="1"/>
      </c>
      <c r="M6071">
        <f t="shared" si="2"/>
      </c>
    </row>
    <row r="6072">
      <c r="G6072" s="9">
        <f t="shared" si="0"/>
      </c>
      <c r="L6072">
        <f t="shared" si="1"/>
      </c>
      <c r="M6072">
        <f t="shared" si="2"/>
      </c>
    </row>
    <row r="6073">
      <c r="G6073" s="9">
        <f t="shared" si="0"/>
      </c>
      <c r="L6073">
        <f t="shared" si="1"/>
      </c>
      <c r="M6073">
        <f t="shared" si="2"/>
      </c>
    </row>
    <row r="6074">
      <c r="G6074" s="9">
        <f t="shared" si="0"/>
      </c>
      <c r="L6074">
        <f t="shared" si="1"/>
      </c>
      <c r="M6074">
        <f t="shared" si="2"/>
      </c>
    </row>
    <row r="6075">
      <c r="G6075" s="9">
        <f t="shared" si="0"/>
      </c>
      <c r="L6075">
        <f t="shared" si="1"/>
      </c>
      <c r="M6075">
        <f t="shared" si="2"/>
      </c>
    </row>
    <row r="6076">
      <c r="G6076" s="9">
        <f t="shared" si="0"/>
      </c>
      <c r="L6076">
        <f t="shared" si="1"/>
      </c>
      <c r="M6076">
        <f t="shared" si="2"/>
      </c>
    </row>
    <row r="6077">
      <c r="G6077" s="9">
        <f t="shared" si="0"/>
      </c>
      <c r="L6077">
        <f t="shared" si="1"/>
      </c>
      <c r="M6077">
        <f t="shared" si="2"/>
      </c>
    </row>
    <row r="6078">
      <c r="G6078" s="9">
        <f t="shared" si="0"/>
      </c>
      <c r="L6078">
        <f t="shared" si="1"/>
      </c>
      <c r="M6078">
        <f t="shared" si="2"/>
      </c>
    </row>
    <row r="6079">
      <c r="G6079" s="9">
        <f t="shared" si="0"/>
      </c>
      <c r="L6079">
        <f t="shared" si="1"/>
      </c>
      <c r="M6079">
        <f t="shared" si="2"/>
      </c>
    </row>
    <row r="6080">
      <c r="G6080" s="9">
        <f t="shared" si="0"/>
      </c>
      <c r="L6080">
        <f t="shared" si="1"/>
      </c>
      <c r="M6080">
        <f t="shared" si="2"/>
      </c>
    </row>
    <row r="6081">
      <c r="G6081" s="9">
        <f t="shared" si="0"/>
      </c>
      <c r="L6081">
        <f t="shared" si="1"/>
      </c>
      <c r="M6081">
        <f t="shared" si="2"/>
      </c>
    </row>
    <row r="6082">
      <c r="G6082" s="9">
        <f t="shared" si="0"/>
      </c>
      <c r="L6082">
        <f t="shared" si="1"/>
      </c>
      <c r="M6082">
        <f t="shared" si="2"/>
      </c>
    </row>
    <row r="6083">
      <c r="G6083" s="9">
        <f t="shared" si="0"/>
      </c>
      <c r="L6083">
        <f t="shared" si="1"/>
      </c>
      <c r="M6083">
        <f t="shared" si="2"/>
      </c>
    </row>
    <row r="6084">
      <c r="G6084" s="9">
        <f t="shared" si="0"/>
      </c>
      <c r="L6084">
        <f t="shared" si="1"/>
      </c>
      <c r="M6084">
        <f t="shared" si="2"/>
      </c>
    </row>
    <row r="6085">
      <c r="G6085" s="9">
        <f t="shared" si="0"/>
      </c>
      <c r="L6085">
        <f t="shared" si="1"/>
      </c>
      <c r="M6085">
        <f t="shared" si="2"/>
      </c>
    </row>
    <row r="6086">
      <c r="G6086" s="9">
        <f t="shared" si="0"/>
      </c>
      <c r="L6086">
        <f t="shared" si="1"/>
      </c>
      <c r="M6086">
        <f t="shared" si="2"/>
      </c>
    </row>
    <row r="6087">
      <c r="G6087" s="9">
        <f t="shared" si="0"/>
      </c>
      <c r="L6087">
        <f t="shared" si="1"/>
      </c>
      <c r="M6087">
        <f t="shared" si="2"/>
      </c>
    </row>
    <row r="6088">
      <c r="G6088" s="9">
        <f t="shared" si="0"/>
      </c>
      <c r="L6088">
        <f t="shared" si="1"/>
      </c>
      <c r="M6088">
        <f t="shared" si="2"/>
      </c>
    </row>
    <row r="6089">
      <c r="G6089" s="9">
        <f t="shared" si="0"/>
      </c>
      <c r="L6089">
        <f t="shared" si="1"/>
      </c>
      <c r="M6089">
        <f t="shared" si="2"/>
      </c>
    </row>
    <row r="6090">
      <c r="G6090" s="9">
        <f t="shared" si="0"/>
      </c>
      <c r="L6090">
        <f t="shared" si="1"/>
      </c>
      <c r="M6090">
        <f t="shared" si="2"/>
      </c>
    </row>
    <row r="6091">
      <c r="G6091" s="9">
        <f t="shared" si="0"/>
      </c>
      <c r="L6091">
        <f t="shared" si="1"/>
      </c>
      <c r="M6091">
        <f t="shared" si="2"/>
      </c>
    </row>
    <row r="6092">
      <c r="G6092" s="9">
        <f t="shared" si="0"/>
      </c>
      <c r="L6092">
        <f t="shared" si="1"/>
      </c>
      <c r="M6092">
        <f t="shared" si="2"/>
      </c>
    </row>
    <row r="6093">
      <c r="G6093" s="9">
        <f t="shared" si="0"/>
      </c>
      <c r="L6093">
        <f t="shared" si="1"/>
      </c>
      <c r="M6093">
        <f t="shared" si="2"/>
      </c>
    </row>
    <row r="6094">
      <c r="G6094" s="9">
        <f t="shared" si="0"/>
      </c>
      <c r="L6094">
        <f t="shared" si="1"/>
      </c>
      <c r="M6094">
        <f t="shared" si="2"/>
      </c>
    </row>
    <row r="6095">
      <c r="G6095" s="9">
        <f t="shared" si="0"/>
      </c>
      <c r="L6095">
        <f t="shared" si="1"/>
      </c>
      <c r="M6095">
        <f t="shared" si="2"/>
      </c>
    </row>
    <row r="6096">
      <c r="G6096" s="9">
        <f t="shared" si="0"/>
      </c>
      <c r="L6096">
        <f t="shared" si="1"/>
      </c>
      <c r="M6096">
        <f t="shared" si="2"/>
      </c>
    </row>
    <row r="6097">
      <c r="G6097" s="9">
        <f t="shared" si="0"/>
      </c>
      <c r="L6097">
        <f t="shared" si="1"/>
      </c>
      <c r="M6097">
        <f t="shared" si="2"/>
      </c>
    </row>
    <row r="6098">
      <c r="G6098" s="9">
        <f t="shared" si="0"/>
      </c>
      <c r="L6098">
        <f t="shared" si="1"/>
      </c>
      <c r="M6098">
        <f t="shared" si="2"/>
      </c>
    </row>
    <row r="6099">
      <c r="G6099" s="9">
        <f t="shared" si="0"/>
      </c>
      <c r="L6099">
        <f t="shared" si="1"/>
      </c>
      <c r="M6099">
        <f t="shared" si="2"/>
      </c>
    </row>
    <row r="6100">
      <c r="G6100" s="9">
        <f t="shared" si="0"/>
      </c>
      <c r="L6100">
        <f t="shared" si="1"/>
      </c>
      <c r="M6100">
        <f t="shared" si="2"/>
      </c>
    </row>
    <row r="6101">
      <c r="G6101" s="9">
        <f t="shared" si="0"/>
      </c>
      <c r="L6101">
        <f t="shared" si="1"/>
      </c>
      <c r="M6101">
        <f t="shared" si="2"/>
      </c>
    </row>
    <row r="6102">
      <c r="G6102" s="9">
        <f t="shared" si="0"/>
      </c>
      <c r="L6102">
        <f t="shared" si="1"/>
      </c>
      <c r="M6102">
        <f t="shared" si="2"/>
      </c>
    </row>
    <row r="6103">
      <c r="G6103" s="9">
        <f t="shared" si="0"/>
      </c>
      <c r="L6103">
        <f t="shared" si="1"/>
      </c>
      <c r="M6103">
        <f t="shared" si="2"/>
      </c>
    </row>
    <row r="6104">
      <c r="G6104" s="9">
        <f t="shared" si="0"/>
      </c>
      <c r="L6104">
        <f t="shared" si="1"/>
      </c>
      <c r="M6104">
        <f t="shared" si="2"/>
      </c>
    </row>
    <row r="6105">
      <c r="G6105" s="9">
        <f t="shared" si="0"/>
      </c>
      <c r="L6105">
        <f t="shared" si="1"/>
      </c>
      <c r="M6105">
        <f t="shared" si="2"/>
      </c>
    </row>
    <row r="6106">
      <c r="G6106" s="9">
        <f t="shared" si="0"/>
      </c>
      <c r="L6106">
        <f t="shared" si="1"/>
      </c>
      <c r="M6106">
        <f t="shared" si="2"/>
      </c>
    </row>
    <row r="6107">
      <c r="G6107" s="9">
        <f t="shared" si="0"/>
      </c>
      <c r="L6107">
        <f t="shared" si="1"/>
      </c>
      <c r="M6107">
        <f t="shared" si="2"/>
      </c>
    </row>
    <row r="6108">
      <c r="G6108" s="9">
        <f t="shared" si="0"/>
      </c>
      <c r="L6108">
        <f t="shared" si="1"/>
      </c>
      <c r="M6108">
        <f t="shared" si="2"/>
      </c>
    </row>
    <row r="6109">
      <c r="G6109" s="9">
        <f t="shared" si="0"/>
      </c>
      <c r="L6109">
        <f t="shared" si="1"/>
      </c>
      <c r="M6109">
        <f t="shared" si="2"/>
      </c>
    </row>
    <row r="6110">
      <c r="G6110" s="9">
        <f t="shared" si="0"/>
      </c>
      <c r="L6110">
        <f t="shared" si="1"/>
      </c>
      <c r="M6110">
        <f t="shared" si="2"/>
      </c>
    </row>
    <row r="6111">
      <c r="G6111" s="9">
        <f t="shared" si="0"/>
      </c>
      <c r="L6111">
        <f t="shared" si="1"/>
      </c>
      <c r="M6111">
        <f t="shared" si="2"/>
      </c>
    </row>
    <row r="6112">
      <c r="G6112" s="9">
        <f t="shared" si="0"/>
      </c>
      <c r="L6112">
        <f t="shared" si="1"/>
      </c>
      <c r="M6112">
        <f t="shared" si="2"/>
      </c>
    </row>
    <row r="6113">
      <c r="G6113" s="9">
        <f t="shared" si="0"/>
      </c>
      <c r="L6113">
        <f t="shared" si="1"/>
      </c>
      <c r="M6113">
        <f t="shared" si="2"/>
      </c>
    </row>
    <row r="6114">
      <c r="G6114" s="9">
        <f t="shared" si="0"/>
      </c>
      <c r="L6114">
        <f t="shared" si="1"/>
      </c>
      <c r="M6114">
        <f t="shared" si="2"/>
      </c>
    </row>
    <row r="6115">
      <c r="G6115" s="9">
        <f t="shared" si="0"/>
      </c>
      <c r="L6115">
        <f t="shared" si="1"/>
      </c>
      <c r="M6115">
        <f t="shared" si="2"/>
      </c>
    </row>
    <row r="6116">
      <c r="G6116" s="9">
        <f t="shared" si="0"/>
      </c>
      <c r="L6116">
        <f t="shared" si="1"/>
      </c>
      <c r="M6116">
        <f t="shared" si="2"/>
      </c>
    </row>
    <row r="6117">
      <c r="G6117" s="9">
        <f t="shared" si="0"/>
      </c>
      <c r="L6117">
        <f t="shared" si="1"/>
      </c>
      <c r="M6117">
        <f t="shared" si="2"/>
      </c>
    </row>
    <row r="6118">
      <c r="G6118" s="9">
        <f t="shared" si="0"/>
      </c>
      <c r="L6118">
        <f t="shared" si="1"/>
      </c>
      <c r="M6118">
        <f t="shared" si="2"/>
      </c>
    </row>
    <row r="6119">
      <c r="G6119" s="9">
        <f t="shared" si="0"/>
      </c>
      <c r="L6119">
        <f t="shared" si="1"/>
      </c>
      <c r="M6119">
        <f t="shared" si="2"/>
      </c>
    </row>
    <row r="6120">
      <c r="G6120" s="9">
        <f t="shared" si="0"/>
      </c>
      <c r="L6120">
        <f t="shared" si="1"/>
      </c>
      <c r="M6120">
        <f t="shared" si="2"/>
      </c>
    </row>
    <row r="6121">
      <c r="G6121" s="9">
        <f t="shared" si="0"/>
      </c>
      <c r="L6121">
        <f t="shared" si="1"/>
      </c>
      <c r="M6121">
        <f t="shared" si="2"/>
      </c>
    </row>
    <row r="6122">
      <c r="G6122" s="9">
        <f t="shared" si="0"/>
      </c>
      <c r="L6122">
        <f t="shared" si="1"/>
      </c>
      <c r="M6122">
        <f t="shared" si="2"/>
      </c>
    </row>
    <row r="6123">
      <c r="G6123" s="9">
        <f t="shared" si="0"/>
      </c>
      <c r="L6123">
        <f t="shared" si="1"/>
      </c>
      <c r="M6123">
        <f t="shared" si="2"/>
      </c>
    </row>
    <row r="6124">
      <c r="G6124" s="9">
        <f t="shared" si="0"/>
      </c>
      <c r="L6124">
        <f t="shared" si="1"/>
      </c>
      <c r="M6124">
        <f t="shared" si="2"/>
      </c>
    </row>
    <row r="6125">
      <c r="G6125" s="9">
        <f t="shared" si="0"/>
      </c>
      <c r="L6125">
        <f t="shared" si="1"/>
      </c>
      <c r="M6125">
        <f t="shared" si="2"/>
      </c>
    </row>
    <row r="6126">
      <c r="G6126" s="9">
        <f t="shared" si="0"/>
      </c>
      <c r="L6126">
        <f t="shared" si="1"/>
      </c>
      <c r="M6126">
        <f t="shared" si="2"/>
      </c>
    </row>
    <row r="6127">
      <c r="G6127" s="9">
        <f t="shared" si="0"/>
      </c>
      <c r="L6127">
        <f t="shared" si="1"/>
      </c>
      <c r="M6127">
        <f t="shared" si="2"/>
      </c>
    </row>
    <row r="6128">
      <c r="G6128" s="9">
        <f t="shared" si="0"/>
      </c>
      <c r="L6128">
        <f t="shared" si="1"/>
      </c>
      <c r="M6128">
        <f t="shared" si="2"/>
      </c>
    </row>
    <row r="6129">
      <c r="G6129" s="9">
        <f t="shared" si="0"/>
      </c>
      <c r="L6129">
        <f t="shared" si="1"/>
      </c>
      <c r="M6129">
        <f t="shared" si="2"/>
      </c>
    </row>
    <row r="6130">
      <c r="G6130" s="9">
        <f t="shared" si="0"/>
      </c>
      <c r="L6130">
        <f t="shared" si="1"/>
      </c>
      <c r="M6130">
        <f t="shared" si="2"/>
      </c>
    </row>
    <row r="6131">
      <c r="G6131" s="9">
        <f t="shared" si="0"/>
      </c>
      <c r="L6131">
        <f t="shared" si="1"/>
      </c>
      <c r="M6131">
        <f t="shared" si="2"/>
      </c>
    </row>
    <row r="6132">
      <c r="G6132" s="9">
        <f t="shared" si="0"/>
      </c>
      <c r="L6132">
        <f t="shared" si="1"/>
      </c>
      <c r="M6132">
        <f t="shared" si="2"/>
      </c>
    </row>
    <row r="6133">
      <c r="G6133" s="9">
        <f t="shared" si="0"/>
      </c>
      <c r="L6133">
        <f t="shared" si="1"/>
      </c>
      <c r="M6133">
        <f t="shared" si="2"/>
      </c>
    </row>
    <row r="6134">
      <c r="G6134" s="9">
        <f t="shared" si="0"/>
      </c>
      <c r="L6134">
        <f t="shared" si="1"/>
      </c>
      <c r="M6134">
        <f t="shared" si="2"/>
      </c>
    </row>
    <row r="6135">
      <c r="G6135" s="9">
        <f t="shared" si="0"/>
      </c>
      <c r="L6135">
        <f t="shared" si="1"/>
      </c>
      <c r="M6135">
        <f t="shared" si="2"/>
      </c>
    </row>
    <row r="6136">
      <c r="G6136" s="9">
        <f t="shared" si="0"/>
      </c>
      <c r="L6136">
        <f t="shared" si="1"/>
      </c>
      <c r="M6136">
        <f t="shared" si="2"/>
      </c>
    </row>
    <row r="6137">
      <c r="G6137" s="9">
        <f t="shared" si="0"/>
      </c>
      <c r="L6137">
        <f t="shared" si="1"/>
      </c>
      <c r="M6137">
        <f t="shared" si="2"/>
      </c>
    </row>
    <row r="6138">
      <c r="G6138" s="9">
        <f t="shared" si="0"/>
      </c>
      <c r="L6138">
        <f t="shared" si="1"/>
      </c>
      <c r="M6138">
        <f t="shared" si="2"/>
      </c>
    </row>
    <row r="6139">
      <c r="G6139" s="9">
        <f t="shared" si="0"/>
      </c>
      <c r="L6139">
        <f t="shared" si="1"/>
      </c>
      <c r="M6139">
        <f t="shared" si="2"/>
      </c>
    </row>
    <row r="6140">
      <c r="G6140" s="9">
        <f t="shared" si="0"/>
      </c>
      <c r="L6140">
        <f t="shared" si="1"/>
      </c>
      <c r="M6140">
        <f t="shared" si="2"/>
      </c>
    </row>
    <row r="6141">
      <c r="G6141" s="9">
        <f t="shared" si="0"/>
      </c>
      <c r="L6141">
        <f t="shared" si="1"/>
      </c>
      <c r="M6141">
        <f t="shared" si="2"/>
      </c>
    </row>
    <row r="6142">
      <c r="G6142" s="9">
        <f t="shared" si="0"/>
      </c>
      <c r="L6142">
        <f t="shared" si="1"/>
      </c>
      <c r="M6142">
        <f t="shared" si="2"/>
      </c>
    </row>
    <row r="6143">
      <c r="G6143" s="9">
        <f t="shared" si="0"/>
      </c>
      <c r="L6143">
        <f t="shared" si="1"/>
      </c>
      <c r="M6143">
        <f t="shared" si="2"/>
      </c>
    </row>
    <row r="6144">
      <c r="G6144" s="9">
        <f t="shared" si="0"/>
      </c>
      <c r="L6144">
        <f t="shared" si="1"/>
      </c>
      <c r="M6144">
        <f t="shared" si="2"/>
      </c>
    </row>
    <row r="6145">
      <c r="G6145" s="9">
        <f t="shared" si="0"/>
      </c>
      <c r="L6145">
        <f t="shared" si="1"/>
      </c>
      <c r="M6145">
        <f t="shared" si="2"/>
      </c>
    </row>
    <row r="6146">
      <c r="G6146" s="9">
        <f t="shared" si="0"/>
      </c>
      <c r="L6146">
        <f t="shared" si="1"/>
      </c>
      <c r="M6146">
        <f t="shared" si="2"/>
      </c>
    </row>
    <row r="6147">
      <c r="G6147" s="9">
        <f t="shared" si="0"/>
      </c>
      <c r="L6147">
        <f t="shared" si="1"/>
      </c>
      <c r="M6147">
        <f t="shared" si="2"/>
      </c>
    </row>
    <row r="6148">
      <c r="G6148" s="9">
        <f t="shared" si="0"/>
      </c>
      <c r="L6148">
        <f t="shared" si="1"/>
      </c>
      <c r="M6148">
        <f t="shared" si="2"/>
      </c>
    </row>
    <row r="6149">
      <c r="G6149" s="9">
        <f t="shared" si="0"/>
      </c>
      <c r="L6149">
        <f t="shared" si="1"/>
      </c>
      <c r="M6149">
        <f t="shared" si="2"/>
      </c>
    </row>
    <row r="6150">
      <c r="G6150" s="9">
        <f t="shared" si="0"/>
      </c>
      <c r="L6150">
        <f t="shared" si="1"/>
      </c>
      <c r="M6150">
        <f t="shared" si="2"/>
      </c>
    </row>
    <row r="6151">
      <c r="G6151" s="9">
        <f t="shared" si="0"/>
      </c>
      <c r="L6151">
        <f t="shared" si="1"/>
      </c>
      <c r="M6151">
        <f t="shared" si="2"/>
      </c>
    </row>
    <row r="6152">
      <c r="G6152" s="9">
        <f t="shared" si="0"/>
      </c>
      <c r="L6152">
        <f t="shared" si="1"/>
      </c>
      <c r="M6152">
        <f t="shared" si="2"/>
      </c>
    </row>
    <row r="6153">
      <c r="G6153" s="9">
        <f t="shared" si="0"/>
      </c>
      <c r="L6153">
        <f t="shared" si="1"/>
      </c>
      <c r="M6153">
        <f t="shared" si="2"/>
      </c>
    </row>
    <row r="6154">
      <c r="G6154" s="9">
        <f t="shared" si="0"/>
      </c>
      <c r="L6154">
        <f t="shared" si="1"/>
      </c>
      <c r="M6154">
        <f t="shared" si="2"/>
      </c>
    </row>
    <row r="6155">
      <c r="G6155" s="9">
        <f t="shared" si="0"/>
      </c>
      <c r="L6155">
        <f t="shared" si="1"/>
      </c>
      <c r="M6155">
        <f t="shared" si="2"/>
      </c>
    </row>
    <row r="6156">
      <c r="G6156" s="9">
        <f t="shared" si="0"/>
      </c>
      <c r="L6156">
        <f t="shared" si="1"/>
      </c>
      <c r="M6156">
        <f t="shared" si="2"/>
      </c>
    </row>
    <row r="6157">
      <c r="G6157" s="9">
        <f t="shared" si="0"/>
      </c>
      <c r="L6157">
        <f t="shared" si="1"/>
      </c>
      <c r="M6157">
        <f t="shared" si="2"/>
      </c>
    </row>
    <row r="6158">
      <c r="G6158" s="9">
        <f t="shared" si="0"/>
      </c>
      <c r="L6158">
        <f t="shared" si="1"/>
      </c>
      <c r="M6158">
        <f t="shared" si="2"/>
      </c>
    </row>
    <row r="6159">
      <c r="G6159" s="9">
        <f t="shared" si="0"/>
      </c>
      <c r="L6159">
        <f t="shared" si="1"/>
      </c>
      <c r="M6159">
        <f t="shared" si="2"/>
      </c>
    </row>
    <row r="6160">
      <c r="G6160" s="9">
        <f t="shared" si="0"/>
      </c>
      <c r="L6160">
        <f t="shared" si="1"/>
      </c>
      <c r="M6160">
        <f t="shared" si="2"/>
      </c>
    </row>
    <row r="6161">
      <c r="G6161" s="9">
        <f t="shared" si="0"/>
      </c>
      <c r="L6161">
        <f t="shared" si="1"/>
      </c>
      <c r="M6161">
        <f t="shared" si="2"/>
      </c>
    </row>
    <row r="6162">
      <c r="G6162" s="9">
        <f t="shared" si="0"/>
      </c>
      <c r="L6162">
        <f t="shared" si="1"/>
      </c>
      <c r="M6162">
        <f t="shared" si="2"/>
      </c>
    </row>
    <row r="6163">
      <c r="G6163" s="9">
        <f t="shared" si="0"/>
      </c>
      <c r="L6163">
        <f t="shared" si="1"/>
      </c>
      <c r="M6163">
        <f t="shared" si="2"/>
      </c>
    </row>
    <row r="6164">
      <c r="G6164" s="9">
        <f t="shared" si="0"/>
      </c>
      <c r="L6164">
        <f t="shared" si="1"/>
      </c>
      <c r="M6164">
        <f t="shared" si="2"/>
      </c>
    </row>
    <row r="6165">
      <c r="G6165" s="9">
        <f t="shared" si="0"/>
      </c>
      <c r="L6165">
        <f t="shared" si="1"/>
      </c>
      <c r="M6165">
        <f t="shared" si="2"/>
      </c>
    </row>
    <row r="6166">
      <c r="G6166" s="9">
        <f t="shared" si="0"/>
      </c>
      <c r="L6166">
        <f t="shared" si="1"/>
      </c>
      <c r="M6166">
        <f t="shared" si="2"/>
      </c>
    </row>
    <row r="6167">
      <c r="G6167" s="9">
        <f t="shared" si="0"/>
      </c>
      <c r="L6167">
        <f t="shared" si="1"/>
      </c>
      <c r="M6167">
        <f t="shared" si="2"/>
      </c>
    </row>
    <row r="6168">
      <c r="G6168" s="9">
        <f t="shared" si="0"/>
      </c>
      <c r="L6168">
        <f t="shared" si="1"/>
      </c>
      <c r="M6168">
        <f t="shared" si="2"/>
      </c>
    </row>
    <row r="6169">
      <c r="G6169" s="9">
        <f t="shared" si="0"/>
      </c>
      <c r="L6169">
        <f t="shared" si="1"/>
      </c>
      <c r="M6169">
        <f t="shared" si="2"/>
      </c>
    </row>
    <row r="6170">
      <c r="G6170" s="9">
        <f t="shared" si="0"/>
      </c>
      <c r="L6170">
        <f t="shared" si="1"/>
      </c>
      <c r="M6170">
        <f t="shared" si="2"/>
      </c>
    </row>
    <row r="6171">
      <c r="G6171" s="9">
        <f t="shared" si="0"/>
      </c>
      <c r="L6171">
        <f t="shared" si="1"/>
      </c>
      <c r="M6171">
        <f t="shared" si="2"/>
      </c>
    </row>
    <row r="6172">
      <c r="G6172" s="9">
        <f t="shared" si="0"/>
      </c>
      <c r="L6172">
        <f t="shared" si="1"/>
      </c>
      <c r="M6172">
        <f t="shared" si="2"/>
      </c>
    </row>
    <row r="6173">
      <c r="G6173" s="9">
        <f t="shared" si="0"/>
      </c>
      <c r="L6173">
        <f t="shared" si="1"/>
      </c>
      <c r="M6173">
        <f t="shared" si="2"/>
      </c>
    </row>
    <row r="6174">
      <c r="G6174" s="9">
        <f t="shared" si="0"/>
      </c>
      <c r="L6174">
        <f t="shared" si="1"/>
      </c>
      <c r="M6174">
        <f t="shared" si="2"/>
      </c>
    </row>
    <row r="6175">
      <c r="G6175" s="9">
        <f t="shared" si="0"/>
      </c>
      <c r="L6175">
        <f t="shared" si="1"/>
      </c>
      <c r="M6175">
        <f t="shared" si="2"/>
      </c>
    </row>
    <row r="6176">
      <c r="G6176" s="9">
        <f t="shared" si="0"/>
      </c>
      <c r="L6176">
        <f t="shared" si="1"/>
      </c>
      <c r="M6176">
        <f t="shared" si="2"/>
      </c>
    </row>
    <row r="6177">
      <c r="G6177" s="9">
        <f t="shared" si="0"/>
      </c>
      <c r="L6177">
        <f t="shared" si="1"/>
      </c>
      <c r="M6177">
        <f t="shared" si="2"/>
      </c>
    </row>
    <row r="6178">
      <c r="G6178" s="9">
        <f t="shared" si="0"/>
      </c>
      <c r="L6178">
        <f t="shared" si="1"/>
      </c>
      <c r="M6178">
        <f t="shared" si="2"/>
      </c>
    </row>
    <row r="6179">
      <c r="G6179" s="9">
        <f t="shared" si="0"/>
      </c>
      <c r="L6179">
        <f t="shared" si="1"/>
      </c>
      <c r="M6179">
        <f t="shared" si="2"/>
      </c>
    </row>
    <row r="6180">
      <c r="G6180" s="9">
        <f t="shared" si="0"/>
      </c>
      <c r="L6180">
        <f t="shared" si="1"/>
      </c>
      <c r="M6180">
        <f t="shared" si="2"/>
      </c>
    </row>
    <row r="6181">
      <c r="G6181" s="9">
        <f t="shared" si="0"/>
      </c>
      <c r="L6181">
        <f t="shared" si="1"/>
      </c>
      <c r="M6181">
        <f t="shared" si="2"/>
      </c>
    </row>
    <row r="6182">
      <c r="G6182" s="9">
        <f t="shared" si="0"/>
      </c>
      <c r="L6182">
        <f t="shared" si="1"/>
      </c>
      <c r="M6182">
        <f t="shared" si="2"/>
      </c>
    </row>
    <row r="6183">
      <c r="G6183" s="9">
        <f t="shared" si="0"/>
      </c>
      <c r="L6183">
        <f t="shared" si="1"/>
      </c>
      <c r="M6183">
        <f t="shared" si="2"/>
      </c>
    </row>
    <row r="6184">
      <c r="G6184" s="9">
        <f t="shared" si="0"/>
      </c>
      <c r="L6184">
        <f t="shared" si="1"/>
      </c>
      <c r="M6184">
        <f t="shared" si="2"/>
      </c>
    </row>
    <row r="6185">
      <c r="G6185" s="9">
        <f t="shared" si="0"/>
      </c>
      <c r="L6185">
        <f t="shared" si="1"/>
      </c>
      <c r="M6185">
        <f t="shared" si="2"/>
      </c>
    </row>
    <row r="6186">
      <c r="G6186" s="9">
        <f t="shared" si="0"/>
      </c>
      <c r="L6186">
        <f t="shared" si="1"/>
      </c>
      <c r="M6186">
        <f t="shared" si="2"/>
      </c>
    </row>
    <row r="6187">
      <c r="G6187" s="9">
        <f t="shared" si="0"/>
      </c>
      <c r="L6187">
        <f t="shared" si="1"/>
      </c>
      <c r="M6187">
        <f t="shared" si="2"/>
      </c>
    </row>
    <row r="6188">
      <c r="G6188" s="9">
        <f t="shared" si="0"/>
      </c>
      <c r="L6188">
        <f t="shared" si="1"/>
      </c>
      <c r="M6188">
        <f t="shared" si="2"/>
      </c>
    </row>
    <row r="6189">
      <c r="G6189" s="9">
        <f t="shared" si="0"/>
      </c>
      <c r="L6189">
        <f t="shared" si="1"/>
      </c>
      <c r="M6189">
        <f t="shared" si="2"/>
      </c>
    </row>
    <row r="6190">
      <c r="G6190" s="9">
        <f t="shared" si="0"/>
      </c>
      <c r="L6190">
        <f t="shared" si="1"/>
      </c>
      <c r="M6190">
        <f t="shared" si="2"/>
      </c>
    </row>
    <row r="6191">
      <c r="G6191" s="9">
        <f t="shared" si="0"/>
      </c>
      <c r="L6191">
        <f t="shared" si="1"/>
      </c>
      <c r="M6191">
        <f t="shared" si="2"/>
      </c>
    </row>
    <row r="6192">
      <c r="G6192" s="9">
        <f t="shared" si="0"/>
      </c>
      <c r="L6192">
        <f t="shared" si="1"/>
      </c>
      <c r="M6192">
        <f t="shared" si="2"/>
      </c>
    </row>
    <row r="6193">
      <c r="G6193" s="9">
        <f t="shared" si="0"/>
      </c>
      <c r="L6193">
        <f t="shared" si="1"/>
      </c>
      <c r="M6193">
        <f t="shared" si="2"/>
      </c>
    </row>
    <row r="6194">
      <c r="G6194" s="9">
        <f t="shared" si="0"/>
      </c>
      <c r="L6194">
        <f t="shared" si="1"/>
      </c>
      <c r="M6194">
        <f t="shared" si="2"/>
      </c>
    </row>
    <row r="6195">
      <c r="G6195" s="9">
        <f t="shared" si="0"/>
      </c>
      <c r="L6195">
        <f t="shared" si="1"/>
      </c>
      <c r="M6195">
        <f t="shared" si="2"/>
      </c>
    </row>
    <row r="6196">
      <c r="G6196" s="9">
        <f t="shared" si="0"/>
      </c>
      <c r="L6196">
        <f t="shared" si="1"/>
      </c>
      <c r="M6196">
        <f t="shared" si="2"/>
      </c>
    </row>
    <row r="6197">
      <c r="G6197" s="9">
        <f t="shared" si="0"/>
      </c>
      <c r="L6197">
        <f t="shared" si="1"/>
      </c>
      <c r="M6197">
        <f t="shared" si="2"/>
      </c>
    </row>
    <row r="6198">
      <c r="G6198" s="9">
        <f t="shared" si="0"/>
      </c>
      <c r="L6198">
        <f t="shared" si="1"/>
      </c>
      <c r="M6198">
        <f t="shared" si="2"/>
      </c>
    </row>
    <row r="6199">
      <c r="G6199" s="9">
        <f t="shared" si="0"/>
      </c>
      <c r="L6199">
        <f t="shared" si="1"/>
      </c>
      <c r="M6199">
        <f t="shared" si="2"/>
      </c>
    </row>
    <row r="6200">
      <c r="G6200" s="9">
        <f t="shared" si="0"/>
      </c>
      <c r="L6200">
        <f t="shared" si="1"/>
      </c>
      <c r="M6200">
        <f t="shared" si="2"/>
      </c>
    </row>
    <row r="6201">
      <c r="G6201" s="9">
        <f t="shared" si="0"/>
      </c>
      <c r="L6201">
        <f t="shared" si="1"/>
      </c>
      <c r="M6201">
        <f t="shared" si="2"/>
      </c>
    </row>
    <row r="6202">
      <c r="G6202" s="9">
        <f t="shared" si="0"/>
      </c>
      <c r="L6202">
        <f t="shared" si="1"/>
      </c>
      <c r="M6202">
        <f t="shared" si="2"/>
      </c>
    </row>
    <row r="6203">
      <c r="G6203" s="9">
        <f t="shared" si="0"/>
      </c>
      <c r="L6203">
        <f t="shared" si="1"/>
      </c>
      <c r="M6203">
        <f t="shared" si="2"/>
      </c>
    </row>
    <row r="6204">
      <c r="G6204" s="9">
        <f t="shared" si="0"/>
      </c>
      <c r="L6204">
        <f t="shared" si="1"/>
      </c>
      <c r="M6204">
        <f t="shared" si="2"/>
      </c>
    </row>
    <row r="6205">
      <c r="G6205" s="9">
        <f t="shared" si="0"/>
      </c>
      <c r="L6205">
        <f t="shared" si="1"/>
      </c>
      <c r="M6205">
        <f t="shared" si="2"/>
      </c>
    </row>
    <row r="6206">
      <c r="G6206" s="9">
        <f t="shared" si="0"/>
      </c>
      <c r="L6206">
        <f t="shared" si="1"/>
      </c>
      <c r="M6206">
        <f t="shared" si="2"/>
      </c>
    </row>
    <row r="6207">
      <c r="G6207" s="9">
        <f t="shared" si="0"/>
      </c>
      <c r="L6207">
        <f t="shared" si="1"/>
      </c>
      <c r="M6207">
        <f t="shared" si="2"/>
      </c>
    </row>
    <row r="6208">
      <c r="G6208" s="9">
        <f t="shared" si="0"/>
      </c>
      <c r="L6208">
        <f t="shared" si="1"/>
      </c>
      <c r="M6208">
        <f t="shared" si="2"/>
      </c>
    </row>
    <row r="6209">
      <c r="G6209" s="9">
        <f t="shared" si="0"/>
      </c>
      <c r="L6209">
        <f t="shared" si="1"/>
      </c>
      <c r="M6209">
        <f t="shared" si="2"/>
      </c>
    </row>
    <row r="6210">
      <c r="G6210" s="9">
        <f t="shared" si="0"/>
      </c>
      <c r="L6210">
        <f t="shared" si="1"/>
      </c>
      <c r="M6210">
        <f t="shared" si="2"/>
      </c>
    </row>
    <row r="6211">
      <c r="G6211" s="9">
        <f t="shared" si="0"/>
      </c>
      <c r="L6211">
        <f t="shared" si="1"/>
      </c>
      <c r="M6211">
        <f t="shared" si="2"/>
      </c>
    </row>
    <row r="6212">
      <c r="G6212" s="9">
        <f t="shared" si="0"/>
      </c>
      <c r="L6212">
        <f t="shared" si="1"/>
      </c>
      <c r="M6212">
        <f t="shared" si="2"/>
      </c>
    </row>
    <row r="6213">
      <c r="G6213" s="9">
        <f t="shared" si="0"/>
      </c>
      <c r="L6213">
        <f t="shared" si="1"/>
      </c>
      <c r="M6213">
        <f t="shared" si="2"/>
      </c>
    </row>
    <row r="6214">
      <c r="G6214" s="9">
        <f t="shared" si="0"/>
      </c>
      <c r="L6214">
        <f t="shared" si="1"/>
      </c>
      <c r="M6214">
        <f t="shared" si="2"/>
      </c>
    </row>
    <row r="6215">
      <c r="G6215" s="9">
        <f t="shared" si="0"/>
      </c>
      <c r="L6215">
        <f t="shared" si="1"/>
      </c>
      <c r="M6215">
        <f t="shared" si="2"/>
      </c>
    </row>
    <row r="6216">
      <c r="G6216" s="9">
        <f t="shared" si="0"/>
      </c>
      <c r="L6216">
        <f t="shared" si="1"/>
      </c>
      <c r="M6216">
        <f t="shared" si="2"/>
      </c>
    </row>
    <row r="6217">
      <c r="G6217" s="9">
        <f t="shared" si="0"/>
      </c>
      <c r="L6217">
        <f t="shared" si="1"/>
      </c>
      <c r="M6217">
        <f t="shared" si="2"/>
      </c>
    </row>
    <row r="6218">
      <c r="G6218" s="9">
        <f t="shared" si="0"/>
      </c>
      <c r="L6218">
        <f t="shared" si="1"/>
      </c>
      <c r="M6218">
        <f t="shared" si="2"/>
      </c>
    </row>
    <row r="6219">
      <c r="G6219" s="9">
        <f t="shared" si="0"/>
      </c>
      <c r="L6219">
        <f t="shared" si="1"/>
      </c>
      <c r="M6219">
        <f t="shared" si="2"/>
      </c>
    </row>
    <row r="6220">
      <c r="G6220" s="9">
        <f t="shared" si="0"/>
      </c>
      <c r="L6220">
        <f t="shared" si="1"/>
      </c>
      <c r="M6220">
        <f t="shared" si="2"/>
      </c>
    </row>
    <row r="6221">
      <c r="G6221" s="9">
        <f t="shared" si="0"/>
      </c>
      <c r="L6221">
        <f t="shared" si="1"/>
      </c>
      <c r="M6221">
        <f t="shared" si="2"/>
      </c>
    </row>
    <row r="6222">
      <c r="G6222" s="9">
        <f t="shared" si="0"/>
      </c>
      <c r="L6222">
        <f t="shared" si="1"/>
      </c>
      <c r="M6222">
        <f t="shared" si="2"/>
      </c>
    </row>
    <row r="6223">
      <c r="G6223" s="9">
        <f t="shared" si="0"/>
      </c>
      <c r="L6223">
        <f t="shared" si="1"/>
      </c>
      <c r="M6223">
        <f t="shared" si="2"/>
      </c>
    </row>
    <row r="6224">
      <c r="G6224" s="9">
        <f t="shared" si="0"/>
      </c>
      <c r="L6224">
        <f t="shared" si="1"/>
      </c>
      <c r="M6224">
        <f t="shared" si="2"/>
      </c>
    </row>
    <row r="6225">
      <c r="G6225" s="9">
        <f t="shared" si="0"/>
      </c>
      <c r="L6225">
        <f t="shared" si="1"/>
      </c>
      <c r="M6225">
        <f t="shared" si="2"/>
      </c>
    </row>
    <row r="6226">
      <c r="G6226" s="9">
        <f t="shared" si="0"/>
      </c>
      <c r="L6226">
        <f t="shared" si="1"/>
      </c>
      <c r="M6226">
        <f t="shared" si="2"/>
      </c>
    </row>
    <row r="6227">
      <c r="G6227" s="9">
        <f t="shared" si="0"/>
      </c>
      <c r="L6227">
        <f t="shared" si="1"/>
      </c>
      <c r="M6227">
        <f t="shared" si="2"/>
      </c>
    </row>
    <row r="6228">
      <c r="G6228" s="9">
        <f t="shared" si="0"/>
      </c>
      <c r="L6228">
        <f t="shared" si="1"/>
      </c>
      <c r="M6228">
        <f t="shared" si="2"/>
      </c>
    </row>
    <row r="6229">
      <c r="G6229" s="9">
        <f t="shared" si="0"/>
      </c>
      <c r="L6229">
        <f t="shared" si="1"/>
      </c>
      <c r="M6229">
        <f t="shared" si="2"/>
      </c>
    </row>
    <row r="6230">
      <c r="G6230" s="9">
        <f t="shared" si="0"/>
      </c>
      <c r="L6230">
        <f t="shared" si="1"/>
      </c>
      <c r="M6230">
        <f t="shared" si="2"/>
      </c>
    </row>
    <row r="6231">
      <c r="G6231" s="9">
        <f t="shared" si="0"/>
      </c>
      <c r="L6231">
        <f t="shared" si="1"/>
      </c>
      <c r="M6231">
        <f t="shared" si="2"/>
      </c>
    </row>
    <row r="6232">
      <c r="G6232" s="9">
        <f t="shared" si="0"/>
      </c>
      <c r="L6232">
        <f t="shared" si="1"/>
      </c>
      <c r="M6232">
        <f t="shared" si="2"/>
      </c>
    </row>
    <row r="6233">
      <c r="G6233" s="9">
        <f t="shared" si="0"/>
      </c>
      <c r="L6233">
        <f t="shared" si="1"/>
      </c>
      <c r="M6233">
        <f t="shared" si="2"/>
      </c>
    </row>
    <row r="6234">
      <c r="G6234" s="9">
        <f t="shared" si="0"/>
      </c>
      <c r="L6234">
        <f t="shared" si="1"/>
      </c>
      <c r="M6234">
        <f t="shared" si="2"/>
      </c>
    </row>
    <row r="6235">
      <c r="G6235" s="9">
        <f t="shared" si="0"/>
      </c>
      <c r="L6235">
        <f t="shared" si="1"/>
      </c>
      <c r="M6235">
        <f t="shared" si="2"/>
      </c>
    </row>
    <row r="6236">
      <c r="G6236" s="9">
        <f t="shared" si="0"/>
      </c>
      <c r="L6236">
        <f t="shared" si="1"/>
      </c>
      <c r="M6236">
        <f t="shared" si="2"/>
      </c>
    </row>
    <row r="6237">
      <c r="G6237" s="9">
        <f t="shared" si="0"/>
      </c>
      <c r="L6237">
        <f t="shared" si="1"/>
      </c>
      <c r="M6237">
        <f t="shared" si="2"/>
      </c>
    </row>
    <row r="6238">
      <c r="G6238" s="9">
        <f t="shared" si="0"/>
      </c>
      <c r="L6238">
        <f t="shared" si="1"/>
      </c>
      <c r="M6238">
        <f t="shared" si="2"/>
      </c>
    </row>
    <row r="6239">
      <c r="G6239" s="9">
        <f t="shared" si="0"/>
      </c>
      <c r="L6239">
        <f t="shared" si="1"/>
      </c>
      <c r="M6239">
        <f t="shared" si="2"/>
      </c>
    </row>
    <row r="6240">
      <c r="G6240" s="9">
        <f t="shared" si="0"/>
      </c>
      <c r="L6240">
        <f t="shared" si="1"/>
      </c>
      <c r="M6240">
        <f t="shared" si="2"/>
      </c>
    </row>
    <row r="6241">
      <c r="G6241" s="9">
        <f t="shared" si="0"/>
      </c>
      <c r="L6241">
        <f t="shared" si="1"/>
      </c>
      <c r="M6241">
        <f t="shared" si="2"/>
      </c>
    </row>
    <row r="6242">
      <c r="G6242" s="9">
        <f t="shared" si="0"/>
      </c>
      <c r="L6242">
        <f t="shared" si="1"/>
      </c>
      <c r="M6242">
        <f t="shared" si="2"/>
      </c>
    </row>
    <row r="6243">
      <c r="G6243" s="9">
        <f t="shared" si="0"/>
      </c>
      <c r="L6243">
        <f t="shared" si="1"/>
      </c>
      <c r="M6243">
        <f t="shared" si="2"/>
      </c>
    </row>
    <row r="6244">
      <c r="G6244" s="9">
        <f t="shared" si="0"/>
      </c>
      <c r="L6244">
        <f t="shared" si="1"/>
      </c>
      <c r="M6244">
        <f t="shared" si="2"/>
      </c>
    </row>
    <row r="6245">
      <c r="G6245" s="9">
        <f t="shared" si="0"/>
      </c>
      <c r="L6245">
        <f t="shared" si="1"/>
      </c>
      <c r="M6245">
        <f t="shared" si="2"/>
      </c>
    </row>
    <row r="6246">
      <c r="G6246" s="9">
        <f t="shared" si="0"/>
      </c>
      <c r="L6246">
        <f t="shared" si="1"/>
      </c>
      <c r="M6246">
        <f t="shared" si="2"/>
      </c>
    </row>
    <row r="6247">
      <c r="G6247" s="9">
        <f t="shared" si="0"/>
      </c>
      <c r="L6247">
        <f t="shared" si="1"/>
      </c>
      <c r="M6247">
        <f t="shared" si="2"/>
      </c>
    </row>
    <row r="6248">
      <c r="G6248" s="9">
        <f t="shared" si="0"/>
      </c>
      <c r="L6248">
        <f t="shared" si="1"/>
      </c>
      <c r="M6248">
        <f t="shared" si="2"/>
      </c>
    </row>
    <row r="6249">
      <c r="G6249" s="9">
        <f t="shared" si="0"/>
      </c>
      <c r="L6249">
        <f t="shared" si="1"/>
      </c>
      <c r="M6249">
        <f t="shared" si="2"/>
      </c>
    </row>
    <row r="6250">
      <c r="G6250" s="9">
        <f t="shared" si="0"/>
      </c>
      <c r="L6250">
        <f t="shared" si="1"/>
      </c>
      <c r="M6250">
        <f t="shared" si="2"/>
      </c>
    </row>
    <row r="6251">
      <c r="G6251" s="9">
        <f t="shared" si="0"/>
      </c>
      <c r="L6251">
        <f t="shared" si="1"/>
      </c>
      <c r="M6251">
        <f t="shared" si="2"/>
      </c>
    </row>
    <row r="6252">
      <c r="G6252" s="9">
        <f t="shared" si="0"/>
      </c>
      <c r="L6252">
        <f t="shared" si="1"/>
      </c>
      <c r="M6252">
        <f t="shared" si="2"/>
      </c>
    </row>
    <row r="6253">
      <c r="G6253" s="9">
        <f t="shared" si="0"/>
      </c>
      <c r="L6253">
        <f t="shared" si="1"/>
      </c>
      <c r="M6253">
        <f t="shared" si="2"/>
      </c>
    </row>
    <row r="6254">
      <c r="G6254" s="9">
        <f t="shared" si="0"/>
      </c>
      <c r="L6254">
        <f t="shared" si="1"/>
      </c>
      <c r="M6254">
        <f t="shared" si="2"/>
      </c>
    </row>
    <row r="6255">
      <c r="G6255" s="9">
        <f t="shared" si="0"/>
      </c>
      <c r="L6255">
        <f t="shared" si="1"/>
      </c>
      <c r="M6255">
        <f t="shared" si="2"/>
      </c>
    </row>
    <row r="6256">
      <c r="G6256" s="9">
        <f t="shared" si="0"/>
      </c>
      <c r="L6256">
        <f t="shared" si="1"/>
      </c>
      <c r="M6256">
        <f t="shared" si="2"/>
      </c>
    </row>
    <row r="6257">
      <c r="G6257" s="9">
        <f t="shared" si="0"/>
      </c>
      <c r="L6257">
        <f t="shared" si="1"/>
      </c>
      <c r="M6257">
        <f t="shared" si="2"/>
      </c>
    </row>
    <row r="6258">
      <c r="G6258" s="9">
        <f t="shared" si="0"/>
      </c>
      <c r="L6258">
        <f t="shared" si="1"/>
      </c>
      <c r="M6258">
        <f t="shared" si="2"/>
      </c>
    </row>
    <row r="6259">
      <c r="G6259" s="9">
        <f t="shared" si="0"/>
      </c>
      <c r="L6259">
        <f t="shared" si="1"/>
      </c>
      <c r="M6259">
        <f t="shared" si="2"/>
      </c>
    </row>
    <row r="6260">
      <c r="G6260" s="9">
        <f t="shared" si="0"/>
      </c>
      <c r="L6260">
        <f t="shared" si="1"/>
      </c>
      <c r="M6260">
        <f t="shared" si="2"/>
      </c>
    </row>
    <row r="6261">
      <c r="G6261" s="9">
        <f t="shared" si="0"/>
      </c>
      <c r="L6261">
        <f t="shared" si="1"/>
      </c>
      <c r="M6261">
        <f t="shared" si="2"/>
      </c>
    </row>
    <row r="6262">
      <c r="G6262" s="9">
        <f t="shared" si="0"/>
      </c>
      <c r="L6262">
        <f t="shared" si="1"/>
      </c>
      <c r="M6262">
        <f t="shared" si="2"/>
      </c>
    </row>
    <row r="6263">
      <c r="G6263" s="9">
        <f t="shared" si="0"/>
      </c>
      <c r="L6263">
        <f t="shared" si="1"/>
      </c>
      <c r="M6263">
        <f t="shared" si="2"/>
      </c>
    </row>
    <row r="6264">
      <c r="G6264" s="9">
        <f t="shared" si="0"/>
      </c>
      <c r="L6264">
        <f t="shared" si="1"/>
      </c>
      <c r="M6264">
        <f t="shared" si="2"/>
      </c>
    </row>
    <row r="6265">
      <c r="G6265" s="9">
        <f t="shared" si="0"/>
      </c>
      <c r="L6265">
        <f t="shared" si="1"/>
      </c>
      <c r="M6265">
        <f t="shared" si="2"/>
      </c>
    </row>
    <row r="6266">
      <c r="G6266" s="9">
        <f t="shared" si="0"/>
      </c>
      <c r="L6266">
        <f t="shared" si="1"/>
      </c>
      <c r="M6266">
        <f t="shared" si="2"/>
      </c>
    </row>
    <row r="6267">
      <c r="G6267" s="9">
        <f t="shared" si="0"/>
      </c>
      <c r="L6267">
        <f t="shared" si="1"/>
      </c>
      <c r="M6267">
        <f t="shared" si="2"/>
      </c>
    </row>
    <row r="6268">
      <c r="G6268" s="9">
        <f t="shared" si="0"/>
      </c>
      <c r="L6268">
        <f t="shared" si="1"/>
      </c>
      <c r="M6268">
        <f t="shared" si="2"/>
      </c>
    </row>
    <row r="6269">
      <c r="G6269" s="9">
        <f t="shared" si="0"/>
      </c>
      <c r="L6269">
        <f t="shared" si="1"/>
      </c>
      <c r="M6269">
        <f t="shared" si="2"/>
      </c>
    </row>
    <row r="6270">
      <c r="G6270" s="9">
        <f t="shared" si="0"/>
      </c>
      <c r="L6270">
        <f t="shared" si="1"/>
      </c>
      <c r="M6270">
        <f t="shared" si="2"/>
      </c>
    </row>
    <row r="6271">
      <c r="G6271" s="9">
        <f t="shared" si="0"/>
      </c>
      <c r="L6271">
        <f t="shared" si="1"/>
      </c>
      <c r="M6271">
        <f t="shared" si="2"/>
      </c>
    </row>
    <row r="6272">
      <c r="G6272" s="9">
        <f t="shared" si="0"/>
      </c>
      <c r="L6272">
        <f t="shared" si="1"/>
      </c>
      <c r="M6272">
        <f t="shared" si="2"/>
      </c>
    </row>
    <row r="6273">
      <c r="G6273" s="9">
        <f t="shared" si="0"/>
      </c>
      <c r="L6273">
        <f t="shared" si="1"/>
      </c>
      <c r="M6273">
        <f t="shared" si="2"/>
      </c>
    </row>
    <row r="6274">
      <c r="G6274" s="9">
        <f t="shared" si="0"/>
      </c>
      <c r="L6274">
        <f t="shared" si="1"/>
      </c>
      <c r="M6274">
        <f t="shared" si="2"/>
      </c>
    </row>
    <row r="6275">
      <c r="G6275" s="9">
        <f t="shared" si="0"/>
      </c>
      <c r="L6275">
        <f t="shared" si="1"/>
      </c>
      <c r="M6275">
        <f t="shared" si="2"/>
      </c>
    </row>
    <row r="6276">
      <c r="G6276" s="9">
        <f t="shared" si="0"/>
      </c>
      <c r="L6276">
        <f t="shared" si="1"/>
      </c>
      <c r="M6276">
        <f t="shared" si="2"/>
      </c>
    </row>
    <row r="6277">
      <c r="G6277" s="9">
        <f t="shared" si="0"/>
      </c>
      <c r="L6277">
        <f t="shared" si="1"/>
      </c>
      <c r="M6277">
        <f t="shared" si="2"/>
      </c>
    </row>
    <row r="6278">
      <c r="G6278" s="9">
        <f t="shared" si="0"/>
      </c>
      <c r="L6278">
        <f t="shared" si="1"/>
      </c>
      <c r="M6278">
        <f t="shared" si="2"/>
      </c>
    </row>
    <row r="6279">
      <c r="G6279" s="9">
        <f t="shared" si="0"/>
      </c>
      <c r="L6279">
        <f t="shared" si="1"/>
      </c>
      <c r="M6279">
        <f t="shared" si="2"/>
      </c>
    </row>
    <row r="6280">
      <c r="G6280" s="9">
        <f t="shared" si="0"/>
      </c>
      <c r="L6280">
        <f t="shared" si="1"/>
      </c>
      <c r="M6280">
        <f t="shared" si="2"/>
      </c>
    </row>
    <row r="6281">
      <c r="G6281" s="9">
        <f t="shared" si="0"/>
      </c>
      <c r="L6281">
        <f t="shared" si="1"/>
      </c>
      <c r="M6281">
        <f t="shared" si="2"/>
      </c>
    </row>
    <row r="6282">
      <c r="G6282" s="9">
        <f t="shared" si="0"/>
      </c>
      <c r="L6282">
        <f t="shared" si="1"/>
      </c>
      <c r="M6282">
        <f t="shared" si="2"/>
      </c>
    </row>
    <row r="6283">
      <c r="G6283" s="9">
        <f t="shared" si="0"/>
      </c>
      <c r="L6283">
        <f t="shared" si="1"/>
      </c>
      <c r="M6283">
        <f t="shared" si="2"/>
      </c>
    </row>
    <row r="6284">
      <c r="G6284" s="9">
        <f t="shared" si="0"/>
      </c>
      <c r="L6284">
        <f t="shared" si="1"/>
      </c>
      <c r="M6284">
        <f t="shared" si="2"/>
      </c>
    </row>
    <row r="6285">
      <c r="G6285" s="9">
        <f t="shared" si="0"/>
      </c>
      <c r="L6285">
        <f t="shared" si="1"/>
      </c>
      <c r="M6285">
        <f t="shared" si="2"/>
      </c>
    </row>
    <row r="6286">
      <c r="G6286" s="9">
        <f t="shared" si="0"/>
      </c>
      <c r="L6286">
        <f t="shared" si="1"/>
      </c>
      <c r="M6286">
        <f t="shared" si="2"/>
      </c>
    </row>
    <row r="6287">
      <c r="G6287" s="9">
        <f t="shared" si="0"/>
      </c>
      <c r="L6287">
        <f t="shared" si="1"/>
      </c>
      <c r="M6287">
        <f t="shared" si="2"/>
      </c>
    </row>
    <row r="6288">
      <c r="G6288" s="9">
        <f t="shared" si="0"/>
      </c>
      <c r="L6288">
        <f t="shared" si="1"/>
      </c>
      <c r="M6288">
        <f t="shared" si="2"/>
      </c>
    </row>
    <row r="6289">
      <c r="G6289" s="9">
        <f t="shared" si="0"/>
      </c>
      <c r="L6289">
        <f t="shared" si="1"/>
      </c>
      <c r="M6289">
        <f t="shared" si="2"/>
      </c>
    </row>
    <row r="6290">
      <c r="G6290" s="9">
        <f t="shared" si="0"/>
      </c>
      <c r="L6290">
        <f t="shared" si="1"/>
      </c>
      <c r="M6290">
        <f t="shared" si="2"/>
      </c>
    </row>
    <row r="6291">
      <c r="G6291" s="9">
        <f t="shared" si="0"/>
      </c>
      <c r="L6291">
        <f t="shared" si="1"/>
      </c>
      <c r="M6291">
        <f t="shared" si="2"/>
      </c>
    </row>
    <row r="6292">
      <c r="G6292" s="9">
        <f t="shared" si="0"/>
      </c>
      <c r="L6292">
        <f t="shared" si="1"/>
      </c>
      <c r="M6292">
        <f t="shared" si="2"/>
      </c>
    </row>
    <row r="6293">
      <c r="G6293" s="9">
        <f t="shared" si="0"/>
      </c>
      <c r="L6293">
        <f t="shared" si="1"/>
      </c>
      <c r="M6293">
        <f t="shared" si="2"/>
      </c>
    </row>
    <row r="6294">
      <c r="G6294" s="9">
        <f t="shared" si="0"/>
      </c>
      <c r="L6294">
        <f t="shared" si="1"/>
      </c>
      <c r="M6294">
        <f t="shared" si="2"/>
      </c>
    </row>
    <row r="6295">
      <c r="G6295" s="9">
        <f t="shared" si="0"/>
      </c>
      <c r="L6295">
        <f t="shared" si="1"/>
      </c>
      <c r="M6295">
        <f t="shared" si="2"/>
      </c>
    </row>
    <row r="6296">
      <c r="G6296" s="9">
        <f t="shared" si="0"/>
      </c>
      <c r="L6296">
        <f t="shared" si="1"/>
      </c>
      <c r="M6296">
        <f t="shared" si="2"/>
      </c>
    </row>
    <row r="6297">
      <c r="G6297" s="9">
        <f t="shared" si="0"/>
      </c>
      <c r="L6297">
        <f t="shared" si="1"/>
      </c>
      <c r="M6297">
        <f t="shared" si="2"/>
      </c>
    </row>
    <row r="6298">
      <c r="G6298" s="9">
        <f t="shared" si="0"/>
      </c>
      <c r="L6298">
        <f t="shared" si="1"/>
      </c>
      <c r="M6298">
        <f t="shared" si="2"/>
      </c>
    </row>
    <row r="6299">
      <c r="G6299" s="9">
        <f t="shared" si="0"/>
      </c>
      <c r="L6299">
        <f t="shared" si="1"/>
      </c>
      <c r="M6299">
        <f t="shared" si="2"/>
      </c>
    </row>
    <row r="6300">
      <c r="G6300" s="9">
        <f t="shared" si="0"/>
      </c>
      <c r="L6300">
        <f t="shared" si="1"/>
      </c>
      <c r="M6300">
        <f t="shared" si="2"/>
      </c>
    </row>
    <row r="6301">
      <c r="G6301" s="9">
        <f t="shared" si="0"/>
      </c>
      <c r="L6301">
        <f t="shared" si="1"/>
      </c>
      <c r="M6301">
        <f t="shared" si="2"/>
      </c>
    </row>
    <row r="6302">
      <c r="G6302" s="9">
        <f t="shared" si="0"/>
      </c>
      <c r="L6302">
        <f t="shared" si="1"/>
      </c>
      <c r="M6302">
        <f t="shared" si="2"/>
      </c>
    </row>
    <row r="6303">
      <c r="G6303" s="9">
        <f t="shared" si="0"/>
      </c>
      <c r="L6303">
        <f t="shared" si="1"/>
      </c>
      <c r="M6303">
        <f t="shared" si="2"/>
      </c>
    </row>
    <row r="6304">
      <c r="G6304" s="9">
        <f t="shared" si="0"/>
      </c>
      <c r="L6304">
        <f t="shared" si="1"/>
      </c>
      <c r="M6304">
        <f t="shared" si="2"/>
      </c>
    </row>
    <row r="6305">
      <c r="G6305" s="9">
        <f t="shared" si="0"/>
      </c>
      <c r="L6305">
        <f t="shared" si="1"/>
      </c>
      <c r="M6305">
        <f t="shared" si="2"/>
      </c>
    </row>
    <row r="6306">
      <c r="G6306" s="9">
        <f t="shared" si="0"/>
      </c>
      <c r="L6306">
        <f t="shared" si="1"/>
      </c>
      <c r="M6306">
        <f t="shared" si="2"/>
      </c>
    </row>
    <row r="6307">
      <c r="G6307" s="9">
        <f t="shared" si="0"/>
      </c>
      <c r="L6307">
        <f t="shared" si="1"/>
      </c>
      <c r="M6307">
        <f t="shared" si="2"/>
      </c>
    </row>
    <row r="6308">
      <c r="G6308" s="9">
        <f t="shared" si="0"/>
      </c>
      <c r="L6308">
        <f t="shared" si="1"/>
      </c>
      <c r="M6308">
        <f t="shared" si="2"/>
      </c>
    </row>
    <row r="6309">
      <c r="G6309" s="9">
        <f t="shared" si="0"/>
      </c>
      <c r="L6309">
        <f t="shared" si="1"/>
      </c>
      <c r="M6309">
        <f t="shared" si="2"/>
      </c>
    </row>
    <row r="6310">
      <c r="G6310" s="9">
        <f t="shared" si="0"/>
      </c>
      <c r="L6310">
        <f t="shared" si="1"/>
      </c>
      <c r="M6310">
        <f t="shared" si="2"/>
      </c>
    </row>
    <row r="6311">
      <c r="G6311" s="9">
        <f t="shared" si="0"/>
      </c>
      <c r="L6311">
        <f t="shared" si="1"/>
      </c>
      <c r="M6311">
        <f t="shared" si="2"/>
      </c>
    </row>
    <row r="6312">
      <c r="G6312" s="9">
        <f t="shared" si="0"/>
      </c>
      <c r="L6312">
        <f t="shared" si="1"/>
      </c>
      <c r="M6312">
        <f t="shared" si="2"/>
      </c>
    </row>
    <row r="6313">
      <c r="G6313" s="9">
        <f t="shared" si="0"/>
      </c>
      <c r="L6313">
        <f t="shared" si="1"/>
      </c>
      <c r="M6313">
        <f t="shared" si="2"/>
      </c>
    </row>
    <row r="6314">
      <c r="G6314" s="9">
        <f t="shared" si="0"/>
      </c>
      <c r="L6314">
        <f t="shared" si="1"/>
      </c>
      <c r="M6314">
        <f t="shared" si="2"/>
      </c>
    </row>
    <row r="6315">
      <c r="G6315" s="9">
        <f t="shared" si="0"/>
      </c>
      <c r="L6315">
        <f t="shared" si="1"/>
      </c>
      <c r="M6315">
        <f t="shared" si="2"/>
      </c>
    </row>
    <row r="6316">
      <c r="G6316" s="9">
        <f t="shared" si="0"/>
      </c>
      <c r="L6316">
        <f t="shared" si="1"/>
      </c>
      <c r="M6316">
        <f t="shared" si="2"/>
      </c>
    </row>
    <row r="6317">
      <c r="G6317" s="9">
        <f t="shared" si="0"/>
      </c>
      <c r="L6317">
        <f t="shared" si="1"/>
      </c>
      <c r="M6317">
        <f t="shared" si="2"/>
      </c>
    </row>
    <row r="6318">
      <c r="G6318" s="9">
        <f t="shared" si="0"/>
      </c>
      <c r="L6318">
        <f t="shared" si="1"/>
      </c>
      <c r="M6318">
        <f t="shared" si="2"/>
      </c>
    </row>
    <row r="6319">
      <c r="G6319" s="9">
        <f t="shared" si="0"/>
      </c>
      <c r="L6319">
        <f t="shared" si="1"/>
      </c>
      <c r="M6319">
        <f t="shared" si="2"/>
      </c>
    </row>
    <row r="6320">
      <c r="G6320" s="9">
        <f t="shared" si="0"/>
      </c>
      <c r="L6320">
        <f t="shared" si="1"/>
      </c>
      <c r="M6320">
        <f t="shared" si="2"/>
      </c>
    </row>
    <row r="6321">
      <c r="G6321" s="9">
        <f t="shared" si="0"/>
      </c>
      <c r="L6321">
        <f t="shared" si="1"/>
      </c>
      <c r="M6321">
        <f t="shared" si="2"/>
      </c>
    </row>
    <row r="6322">
      <c r="G6322" s="9">
        <f t="shared" si="0"/>
      </c>
      <c r="L6322">
        <f t="shared" si="1"/>
      </c>
      <c r="M6322">
        <f t="shared" si="2"/>
      </c>
    </row>
    <row r="6323">
      <c r="G6323" s="9">
        <f t="shared" si="0"/>
      </c>
      <c r="L6323">
        <f t="shared" si="1"/>
      </c>
      <c r="M6323">
        <f t="shared" si="2"/>
      </c>
    </row>
    <row r="6324">
      <c r="G6324" s="9">
        <f t="shared" si="0"/>
      </c>
      <c r="L6324">
        <f t="shared" si="1"/>
      </c>
      <c r="M6324">
        <f t="shared" si="2"/>
      </c>
    </row>
    <row r="6325">
      <c r="G6325" s="9">
        <f t="shared" si="0"/>
      </c>
      <c r="L6325">
        <f t="shared" si="1"/>
      </c>
      <c r="M6325">
        <f t="shared" si="2"/>
      </c>
    </row>
    <row r="6326">
      <c r="G6326" s="9">
        <f t="shared" si="0"/>
      </c>
      <c r="L6326">
        <f t="shared" si="1"/>
      </c>
      <c r="M6326">
        <f t="shared" si="2"/>
      </c>
    </row>
    <row r="6327">
      <c r="G6327" s="9">
        <f t="shared" si="0"/>
      </c>
      <c r="L6327">
        <f t="shared" si="1"/>
      </c>
      <c r="M6327">
        <f t="shared" si="2"/>
      </c>
    </row>
    <row r="6328">
      <c r="G6328" s="9">
        <f t="shared" si="0"/>
      </c>
      <c r="L6328">
        <f t="shared" si="1"/>
      </c>
      <c r="M6328">
        <f t="shared" si="2"/>
      </c>
    </row>
    <row r="6329">
      <c r="G6329" s="9">
        <f t="shared" si="0"/>
      </c>
      <c r="L6329">
        <f t="shared" si="1"/>
      </c>
      <c r="M6329">
        <f t="shared" si="2"/>
      </c>
    </row>
    <row r="6330">
      <c r="G6330" s="9">
        <f t="shared" si="0"/>
      </c>
      <c r="L6330">
        <f t="shared" si="1"/>
      </c>
      <c r="M6330">
        <f t="shared" si="2"/>
      </c>
    </row>
    <row r="6331">
      <c r="G6331" s="9">
        <f t="shared" si="0"/>
      </c>
      <c r="L6331">
        <f t="shared" si="1"/>
      </c>
      <c r="M6331">
        <f t="shared" si="2"/>
      </c>
    </row>
    <row r="6332">
      <c r="G6332" s="9">
        <f t="shared" si="0"/>
      </c>
      <c r="L6332">
        <f t="shared" si="1"/>
      </c>
      <c r="M6332">
        <f t="shared" si="2"/>
      </c>
    </row>
    <row r="6333">
      <c r="G6333" s="9">
        <f t="shared" si="0"/>
      </c>
      <c r="L6333">
        <f t="shared" si="1"/>
      </c>
      <c r="M6333">
        <f t="shared" si="2"/>
      </c>
    </row>
    <row r="6334">
      <c r="G6334" s="9">
        <f t="shared" si="0"/>
      </c>
      <c r="L6334">
        <f t="shared" si="1"/>
      </c>
      <c r="M6334">
        <f t="shared" si="2"/>
      </c>
    </row>
    <row r="6335">
      <c r="G6335" s="9">
        <f t="shared" si="0"/>
      </c>
      <c r="L6335">
        <f t="shared" si="1"/>
      </c>
      <c r="M6335">
        <f t="shared" si="2"/>
      </c>
    </row>
    <row r="6336">
      <c r="G6336" s="9">
        <f t="shared" si="0"/>
      </c>
      <c r="L6336">
        <f t="shared" si="1"/>
      </c>
      <c r="M6336">
        <f t="shared" si="2"/>
      </c>
    </row>
    <row r="6337">
      <c r="G6337" s="9">
        <f t="shared" si="0"/>
      </c>
      <c r="L6337">
        <f t="shared" si="1"/>
      </c>
      <c r="M6337">
        <f t="shared" si="2"/>
      </c>
    </row>
    <row r="6338">
      <c r="G6338" s="9">
        <f t="shared" si="0"/>
      </c>
      <c r="L6338">
        <f t="shared" si="1"/>
      </c>
      <c r="M6338">
        <f t="shared" si="2"/>
      </c>
    </row>
    <row r="6339">
      <c r="G6339" s="9">
        <f t="shared" si="0"/>
      </c>
      <c r="L6339">
        <f t="shared" si="1"/>
      </c>
      <c r="M6339">
        <f t="shared" si="2"/>
      </c>
    </row>
    <row r="6340">
      <c r="G6340" s="9">
        <f t="shared" si="0"/>
      </c>
      <c r="L6340">
        <f t="shared" si="1"/>
      </c>
      <c r="M6340">
        <f t="shared" si="2"/>
      </c>
    </row>
    <row r="6341">
      <c r="G6341" s="9">
        <f t="shared" si="0"/>
      </c>
      <c r="L6341">
        <f t="shared" si="1"/>
      </c>
      <c r="M6341">
        <f t="shared" si="2"/>
      </c>
    </row>
    <row r="6342">
      <c r="G6342" s="9">
        <f t="shared" si="0"/>
      </c>
      <c r="L6342">
        <f t="shared" si="1"/>
      </c>
      <c r="M6342">
        <f t="shared" si="2"/>
      </c>
    </row>
    <row r="6343">
      <c r="G6343" s="9">
        <f t="shared" si="0"/>
      </c>
      <c r="L6343">
        <f t="shared" si="1"/>
      </c>
      <c r="M6343">
        <f t="shared" si="2"/>
      </c>
    </row>
    <row r="6344">
      <c r="G6344" s="9">
        <f t="shared" si="0"/>
      </c>
      <c r="L6344">
        <f t="shared" si="1"/>
      </c>
      <c r="M6344">
        <f t="shared" si="2"/>
      </c>
    </row>
    <row r="6345">
      <c r="G6345" s="9">
        <f t="shared" si="0"/>
      </c>
      <c r="L6345">
        <f t="shared" si="1"/>
      </c>
      <c r="M6345">
        <f t="shared" si="2"/>
      </c>
    </row>
    <row r="6346">
      <c r="G6346" s="9">
        <f t="shared" si="0"/>
      </c>
      <c r="L6346">
        <f t="shared" si="1"/>
      </c>
      <c r="M6346">
        <f t="shared" si="2"/>
      </c>
    </row>
    <row r="6347">
      <c r="G6347" s="9">
        <f t="shared" si="0"/>
      </c>
      <c r="L6347">
        <f t="shared" si="1"/>
      </c>
      <c r="M6347">
        <f t="shared" si="2"/>
      </c>
    </row>
    <row r="6348">
      <c r="G6348" s="9">
        <f t="shared" si="0"/>
      </c>
      <c r="L6348">
        <f t="shared" si="1"/>
      </c>
      <c r="M6348">
        <f t="shared" si="2"/>
      </c>
    </row>
    <row r="6349">
      <c r="G6349" s="9">
        <f t="shared" si="0"/>
      </c>
      <c r="L6349">
        <f t="shared" si="1"/>
      </c>
      <c r="M6349">
        <f t="shared" si="2"/>
      </c>
    </row>
    <row r="6350">
      <c r="G6350" s="9">
        <f t="shared" si="0"/>
      </c>
      <c r="L6350">
        <f t="shared" si="1"/>
      </c>
      <c r="M6350">
        <f t="shared" si="2"/>
      </c>
    </row>
    <row r="6351">
      <c r="G6351" s="9">
        <f t="shared" si="0"/>
      </c>
      <c r="L6351">
        <f t="shared" si="1"/>
      </c>
      <c r="M6351">
        <f t="shared" si="2"/>
      </c>
    </row>
    <row r="6352">
      <c r="G6352" s="9">
        <f t="shared" si="0"/>
      </c>
      <c r="L6352">
        <f t="shared" si="1"/>
      </c>
      <c r="M6352">
        <f t="shared" si="2"/>
      </c>
    </row>
    <row r="6353">
      <c r="G6353" s="9">
        <f t="shared" si="0"/>
      </c>
      <c r="L6353">
        <f t="shared" si="1"/>
      </c>
      <c r="M6353">
        <f t="shared" si="2"/>
      </c>
    </row>
    <row r="6354">
      <c r="G6354" s="9">
        <f t="shared" si="0"/>
      </c>
      <c r="L6354">
        <f t="shared" si="1"/>
      </c>
      <c r="M6354">
        <f t="shared" si="2"/>
      </c>
    </row>
    <row r="6355">
      <c r="G6355" s="9">
        <f t="shared" si="0"/>
      </c>
      <c r="L6355">
        <f t="shared" si="1"/>
      </c>
      <c r="M6355">
        <f t="shared" si="2"/>
      </c>
    </row>
    <row r="6356">
      <c r="G6356" s="9">
        <f t="shared" si="0"/>
      </c>
      <c r="L6356">
        <f t="shared" si="1"/>
      </c>
      <c r="M6356">
        <f t="shared" si="2"/>
      </c>
    </row>
    <row r="6357">
      <c r="G6357" s="9">
        <f t="shared" si="0"/>
      </c>
      <c r="L6357">
        <f t="shared" si="1"/>
      </c>
      <c r="M6357">
        <f t="shared" si="2"/>
      </c>
    </row>
    <row r="6358">
      <c r="G6358" s="9">
        <f t="shared" si="0"/>
      </c>
      <c r="L6358">
        <f t="shared" si="1"/>
      </c>
      <c r="M6358">
        <f t="shared" si="2"/>
      </c>
    </row>
    <row r="6359">
      <c r="G6359" s="9">
        <f t="shared" si="0"/>
      </c>
      <c r="L6359">
        <f t="shared" si="1"/>
      </c>
      <c r="M6359">
        <f t="shared" si="2"/>
      </c>
    </row>
    <row r="6360">
      <c r="G6360" s="9">
        <f t="shared" si="0"/>
      </c>
      <c r="L6360">
        <f t="shared" si="1"/>
      </c>
      <c r="M6360">
        <f t="shared" si="2"/>
      </c>
    </row>
    <row r="6361">
      <c r="G6361" s="9">
        <f t="shared" si="0"/>
      </c>
      <c r="L6361">
        <f t="shared" si="1"/>
      </c>
      <c r="M6361">
        <f t="shared" si="2"/>
      </c>
    </row>
    <row r="6362">
      <c r="G6362" s="9">
        <f t="shared" si="0"/>
      </c>
      <c r="L6362">
        <f t="shared" si="1"/>
      </c>
      <c r="M6362">
        <f t="shared" si="2"/>
      </c>
    </row>
    <row r="6363">
      <c r="G6363" s="9">
        <f t="shared" si="0"/>
      </c>
      <c r="L6363">
        <f t="shared" si="1"/>
      </c>
      <c r="M6363">
        <f t="shared" si="2"/>
      </c>
    </row>
    <row r="6364">
      <c r="G6364" s="9">
        <f t="shared" si="0"/>
      </c>
      <c r="L6364">
        <f t="shared" si="1"/>
      </c>
      <c r="M6364">
        <f t="shared" si="2"/>
      </c>
    </row>
    <row r="6365">
      <c r="G6365" s="9">
        <f t="shared" si="0"/>
      </c>
      <c r="L6365">
        <f t="shared" si="1"/>
      </c>
      <c r="M6365">
        <f t="shared" si="2"/>
      </c>
    </row>
    <row r="6366">
      <c r="G6366" s="9">
        <f t="shared" si="0"/>
      </c>
      <c r="L6366">
        <f t="shared" si="1"/>
      </c>
      <c r="M6366">
        <f t="shared" si="2"/>
      </c>
    </row>
    <row r="6367">
      <c r="G6367" s="9">
        <f t="shared" si="0"/>
      </c>
      <c r="L6367">
        <f t="shared" si="1"/>
      </c>
      <c r="M6367">
        <f t="shared" si="2"/>
      </c>
    </row>
    <row r="6368">
      <c r="G6368" s="9">
        <f t="shared" si="0"/>
      </c>
      <c r="L6368">
        <f t="shared" si="1"/>
      </c>
      <c r="M6368">
        <f t="shared" si="2"/>
      </c>
    </row>
    <row r="6369">
      <c r="G6369" s="9">
        <f t="shared" si="0"/>
      </c>
      <c r="L6369">
        <f t="shared" si="1"/>
      </c>
      <c r="M6369">
        <f t="shared" si="2"/>
      </c>
    </row>
    <row r="6370">
      <c r="G6370" s="9">
        <f t="shared" si="0"/>
      </c>
      <c r="L6370">
        <f t="shared" si="1"/>
      </c>
      <c r="M6370">
        <f t="shared" si="2"/>
      </c>
    </row>
    <row r="6371">
      <c r="G6371" s="9">
        <f t="shared" si="0"/>
      </c>
      <c r="L6371">
        <f t="shared" si="1"/>
      </c>
      <c r="M6371">
        <f t="shared" si="2"/>
      </c>
    </row>
    <row r="6372">
      <c r="G6372" s="9">
        <f t="shared" si="0"/>
      </c>
      <c r="L6372">
        <f t="shared" si="1"/>
      </c>
      <c r="M6372">
        <f t="shared" si="2"/>
      </c>
    </row>
    <row r="6373">
      <c r="G6373" s="9">
        <f t="shared" si="0"/>
      </c>
      <c r="L6373">
        <f t="shared" si="1"/>
      </c>
      <c r="M6373">
        <f t="shared" si="2"/>
      </c>
    </row>
    <row r="6374">
      <c r="G6374" s="9">
        <f t="shared" si="0"/>
      </c>
      <c r="L6374">
        <f t="shared" si="1"/>
      </c>
      <c r="M6374">
        <f t="shared" si="2"/>
      </c>
    </row>
    <row r="6375">
      <c r="G6375" s="9">
        <f t="shared" si="0"/>
      </c>
      <c r="L6375">
        <f t="shared" si="1"/>
      </c>
      <c r="M6375">
        <f t="shared" si="2"/>
      </c>
    </row>
    <row r="6376">
      <c r="G6376" s="9">
        <f t="shared" si="0"/>
      </c>
      <c r="L6376">
        <f t="shared" si="1"/>
      </c>
      <c r="M6376">
        <f t="shared" si="2"/>
      </c>
    </row>
    <row r="6377">
      <c r="G6377" s="9">
        <f t="shared" si="0"/>
      </c>
      <c r="L6377">
        <f t="shared" si="1"/>
      </c>
      <c r="M6377">
        <f t="shared" si="2"/>
      </c>
    </row>
    <row r="6378">
      <c r="G6378" s="9">
        <f t="shared" si="0"/>
      </c>
      <c r="L6378">
        <f t="shared" si="1"/>
      </c>
      <c r="M6378">
        <f t="shared" si="2"/>
      </c>
    </row>
    <row r="6379">
      <c r="G6379" s="9">
        <f t="shared" si="0"/>
      </c>
      <c r="L6379">
        <f t="shared" si="1"/>
      </c>
      <c r="M6379">
        <f t="shared" si="2"/>
      </c>
    </row>
    <row r="6380">
      <c r="G6380" s="9">
        <f t="shared" si="0"/>
      </c>
      <c r="L6380">
        <f t="shared" si="1"/>
      </c>
      <c r="M6380">
        <f t="shared" si="2"/>
      </c>
    </row>
    <row r="6381">
      <c r="G6381" s="9">
        <f t="shared" si="0"/>
      </c>
      <c r="L6381">
        <f t="shared" si="1"/>
      </c>
      <c r="M6381">
        <f t="shared" si="2"/>
      </c>
    </row>
    <row r="6382">
      <c r="G6382" s="9">
        <f t="shared" si="0"/>
      </c>
      <c r="L6382">
        <f t="shared" si="1"/>
      </c>
      <c r="M6382">
        <f t="shared" si="2"/>
      </c>
    </row>
    <row r="6383">
      <c r="G6383" s="9">
        <f t="shared" si="0"/>
      </c>
      <c r="L6383">
        <f t="shared" si="1"/>
      </c>
      <c r="M6383">
        <f t="shared" si="2"/>
      </c>
    </row>
    <row r="6384">
      <c r="G6384" s="9">
        <f t="shared" si="0"/>
      </c>
      <c r="L6384">
        <f t="shared" si="1"/>
      </c>
      <c r="M6384">
        <f t="shared" si="2"/>
      </c>
    </row>
    <row r="6385">
      <c r="G6385" s="9">
        <f t="shared" si="0"/>
      </c>
      <c r="L6385">
        <f t="shared" si="1"/>
      </c>
      <c r="M6385">
        <f t="shared" si="2"/>
      </c>
    </row>
    <row r="6386">
      <c r="G6386" s="9">
        <f t="shared" si="0"/>
      </c>
      <c r="L6386">
        <f t="shared" si="1"/>
      </c>
      <c r="M6386">
        <f t="shared" si="2"/>
      </c>
    </row>
    <row r="6387">
      <c r="G6387" s="9">
        <f t="shared" si="0"/>
      </c>
      <c r="L6387">
        <f t="shared" si="1"/>
      </c>
      <c r="M6387">
        <f t="shared" si="2"/>
      </c>
    </row>
    <row r="6388">
      <c r="G6388" s="9">
        <f t="shared" si="0"/>
      </c>
      <c r="L6388">
        <f t="shared" si="1"/>
      </c>
      <c r="M6388">
        <f t="shared" si="2"/>
      </c>
    </row>
    <row r="6389">
      <c r="G6389" s="9">
        <f t="shared" si="0"/>
      </c>
      <c r="L6389">
        <f t="shared" si="1"/>
      </c>
      <c r="M6389">
        <f t="shared" si="2"/>
      </c>
    </row>
    <row r="6390">
      <c r="G6390" s="9">
        <f t="shared" si="0"/>
      </c>
      <c r="L6390">
        <f t="shared" si="1"/>
      </c>
      <c r="M6390">
        <f t="shared" si="2"/>
      </c>
    </row>
    <row r="6391">
      <c r="G6391" s="9">
        <f t="shared" si="0"/>
      </c>
      <c r="L6391">
        <f t="shared" si="1"/>
      </c>
      <c r="M6391">
        <f t="shared" si="2"/>
      </c>
    </row>
    <row r="6392">
      <c r="G6392" s="9">
        <f t="shared" si="0"/>
      </c>
      <c r="L6392">
        <f t="shared" si="1"/>
      </c>
      <c r="M6392">
        <f t="shared" si="2"/>
      </c>
    </row>
    <row r="6393">
      <c r="G6393" s="9">
        <f t="shared" si="0"/>
      </c>
      <c r="L6393">
        <f t="shared" si="1"/>
      </c>
      <c r="M6393">
        <f t="shared" si="2"/>
      </c>
    </row>
    <row r="6394">
      <c r="G6394" s="9">
        <f t="shared" si="0"/>
      </c>
      <c r="L6394">
        <f t="shared" si="1"/>
      </c>
      <c r="M6394">
        <f t="shared" si="2"/>
      </c>
    </row>
    <row r="6395">
      <c r="G6395" s="9">
        <f t="shared" si="0"/>
      </c>
      <c r="L6395">
        <f t="shared" si="1"/>
      </c>
      <c r="M6395">
        <f t="shared" si="2"/>
      </c>
    </row>
    <row r="6396">
      <c r="G6396" s="9">
        <f t="shared" si="0"/>
      </c>
      <c r="L6396">
        <f t="shared" si="1"/>
      </c>
      <c r="M6396">
        <f t="shared" si="2"/>
      </c>
    </row>
    <row r="6397">
      <c r="G6397" s="9">
        <f t="shared" si="0"/>
      </c>
      <c r="L6397">
        <f t="shared" si="1"/>
      </c>
      <c r="M6397">
        <f t="shared" si="2"/>
      </c>
    </row>
    <row r="6398">
      <c r="G6398" s="9">
        <f t="shared" si="0"/>
      </c>
      <c r="L6398">
        <f t="shared" si="1"/>
      </c>
      <c r="M6398">
        <f t="shared" si="2"/>
      </c>
    </row>
    <row r="6399">
      <c r="G6399" s="9">
        <f t="shared" si="0"/>
      </c>
      <c r="L6399">
        <f t="shared" si="1"/>
      </c>
      <c r="M6399">
        <f t="shared" si="2"/>
      </c>
    </row>
    <row r="6400">
      <c r="G6400" s="9">
        <f t="shared" si="0"/>
      </c>
      <c r="L6400">
        <f t="shared" si="1"/>
      </c>
      <c r="M6400">
        <f t="shared" si="2"/>
      </c>
    </row>
    <row r="6401">
      <c r="G6401" s="9">
        <f t="shared" si="0"/>
      </c>
      <c r="L6401">
        <f t="shared" si="1"/>
      </c>
      <c r="M6401">
        <f t="shared" si="2"/>
      </c>
    </row>
    <row r="6402">
      <c r="G6402" s="9">
        <f t="shared" si="0"/>
      </c>
      <c r="L6402">
        <f t="shared" si="1"/>
      </c>
      <c r="M6402">
        <f t="shared" si="2"/>
      </c>
    </row>
    <row r="6403">
      <c r="G6403" s="9">
        <f t="shared" si="0"/>
      </c>
      <c r="L6403">
        <f t="shared" si="1"/>
      </c>
      <c r="M6403">
        <f t="shared" si="2"/>
      </c>
    </row>
    <row r="6404">
      <c r="G6404" s="9">
        <f t="shared" si="0"/>
      </c>
      <c r="L6404">
        <f t="shared" si="1"/>
      </c>
      <c r="M6404">
        <f t="shared" si="2"/>
      </c>
    </row>
    <row r="6405">
      <c r="G6405" s="9">
        <f t="shared" si="0"/>
      </c>
      <c r="L6405">
        <f t="shared" si="1"/>
      </c>
      <c r="M6405">
        <f t="shared" si="2"/>
      </c>
    </row>
    <row r="6406">
      <c r="G6406" s="9">
        <f t="shared" si="0"/>
      </c>
      <c r="L6406">
        <f t="shared" si="1"/>
      </c>
      <c r="M6406">
        <f t="shared" si="2"/>
      </c>
    </row>
    <row r="6407">
      <c r="G6407" s="9">
        <f t="shared" si="0"/>
      </c>
      <c r="L6407">
        <f t="shared" si="1"/>
      </c>
      <c r="M6407">
        <f t="shared" si="2"/>
      </c>
    </row>
    <row r="6408">
      <c r="G6408" s="9">
        <f t="shared" si="0"/>
      </c>
      <c r="L6408">
        <f t="shared" si="1"/>
      </c>
      <c r="M6408">
        <f t="shared" si="2"/>
      </c>
    </row>
    <row r="6409">
      <c r="G6409" s="9">
        <f t="shared" si="0"/>
      </c>
      <c r="L6409">
        <f t="shared" si="1"/>
      </c>
      <c r="M6409">
        <f t="shared" si="2"/>
      </c>
    </row>
    <row r="6410">
      <c r="G6410" s="9">
        <f t="shared" si="0"/>
      </c>
      <c r="L6410">
        <f t="shared" si="1"/>
      </c>
      <c r="M6410">
        <f t="shared" si="2"/>
      </c>
    </row>
    <row r="6411">
      <c r="G6411" s="9">
        <f t="shared" si="0"/>
      </c>
      <c r="L6411">
        <f t="shared" si="1"/>
      </c>
      <c r="M6411">
        <f t="shared" si="2"/>
      </c>
    </row>
    <row r="6412">
      <c r="G6412" s="9">
        <f t="shared" si="0"/>
      </c>
      <c r="L6412">
        <f t="shared" si="1"/>
      </c>
      <c r="M6412">
        <f t="shared" si="2"/>
      </c>
    </row>
    <row r="6413">
      <c r="G6413" s="9">
        <f t="shared" si="0"/>
      </c>
      <c r="L6413">
        <f t="shared" si="1"/>
      </c>
      <c r="M6413">
        <f t="shared" si="2"/>
      </c>
    </row>
    <row r="6414">
      <c r="G6414" s="9">
        <f t="shared" si="0"/>
      </c>
      <c r="L6414">
        <f t="shared" si="1"/>
      </c>
      <c r="M6414">
        <f t="shared" si="2"/>
      </c>
    </row>
    <row r="6415">
      <c r="G6415" s="9">
        <f t="shared" si="0"/>
      </c>
      <c r="L6415">
        <f t="shared" si="1"/>
      </c>
      <c r="M6415">
        <f t="shared" si="2"/>
      </c>
    </row>
    <row r="6416">
      <c r="G6416" s="9">
        <f t="shared" si="0"/>
      </c>
      <c r="L6416">
        <f t="shared" si="1"/>
      </c>
      <c r="M6416">
        <f t="shared" si="2"/>
      </c>
    </row>
    <row r="6417">
      <c r="G6417" s="9">
        <f t="shared" si="0"/>
      </c>
      <c r="L6417">
        <f t="shared" si="1"/>
      </c>
      <c r="M6417">
        <f t="shared" si="2"/>
      </c>
    </row>
    <row r="6418">
      <c r="G6418" s="9">
        <f t="shared" si="0"/>
      </c>
      <c r="L6418">
        <f t="shared" si="1"/>
      </c>
      <c r="M6418">
        <f t="shared" si="2"/>
      </c>
    </row>
    <row r="6419">
      <c r="G6419" s="9">
        <f t="shared" si="0"/>
      </c>
      <c r="L6419">
        <f t="shared" si="1"/>
      </c>
      <c r="M6419">
        <f t="shared" si="2"/>
      </c>
    </row>
    <row r="6420">
      <c r="G6420" s="9">
        <f t="shared" si="0"/>
      </c>
      <c r="L6420">
        <f t="shared" si="1"/>
      </c>
      <c r="M6420">
        <f t="shared" si="2"/>
      </c>
    </row>
    <row r="6421">
      <c r="G6421" s="9">
        <f t="shared" si="0"/>
      </c>
      <c r="L6421">
        <f t="shared" si="1"/>
      </c>
      <c r="M6421">
        <f t="shared" si="2"/>
      </c>
    </row>
    <row r="6422">
      <c r="G6422" s="9">
        <f t="shared" si="0"/>
      </c>
      <c r="L6422">
        <f t="shared" si="1"/>
      </c>
      <c r="M6422">
        <f t="shared" si="2"/>
      </c>
    </row>
    <row r="6423">
      <c r="G6423" s="9">
        <f t="shared" si="0"/>
      </c>
      <c r="L6423">
        <f t="shared" si="1"/>
      </c>
      <c r="M6423">
        <f t="shared" si="2"/>
      </c>
    </row>
    <row r="6424">
      <c r="G6424" s="9">
        <f t="shared" si="0"/>
      </c>
      <c r="L6424">
        <f t="shared" si="1"/>
      </c>
      <c r="M6424">
        <f t="shared" si="2"/>
      </c>
    </row>
    <row r="6425">
      <c r="G6425" s="9">
        <f t="shared" si="0"/>
      </c>
      <c r="L6425">
        <f t="shared" si="1"/>
      </c>
      <c r="M6425">
        <f t="shared" si="2"/>
      </c>
    </row>
    <row r="6426">
      <c r="G6426" s="9">
        <f t="shared" si="0"/>
      </c>
      <c r="L6426">
        <f t="shared" si="1"/>
      </c>
      <c r="M6426">
        <f t="shared" si="2"/>
      </c>
    </row>
    <row r="6427">
      <c r="G6427" s="9">
        <f t="shared" si="0"/>
      </c>
      <c r="L6427">
        <f t="shared" si="1"/>
      </c>
      <c r="M6427">
        <f t="shared" si="2"/>
      </c>
    </row>
    <row r="6428">
      <c r="G6428" s="9">
        <f t="shared" si="0"/>
      </c>
      <c r="L6428">
        <f t="shared" si="1"/>
      </c>
      <c r="M6428">
        <f t="shared" si="2"/>
      </c>
    </row>
    <row r="6429">
      <c r="G6429" s="9">
        <f t="shared" si="0"/>
      </c>
      <c r="L6429">
        <f t="shared" si="1"/>
      </c>
      <c r="M6429">
        <f t="shared" si="2"/>
      </c>
    </row>
    <row r="6430">
      <c r="G6430" s="9">
        <f t="shared" si="0"/>
      </c>
      <c r="L6430">
        <f t="shared" si="1"/>
      </c>
      <c r="M6430">
        <f t="shared" si="2"/>
      </c>
    </row>
    <row r="6431">
      <c r="G6431" s="9">
        <f t="shared" si="0"/>
      </c>
      <c r="L6431">
        <f t="shared" si="1"/>
      </c>
      <c r="M6431">
        <f t="shared" si="2"/>
      </c>
    </row>
    <row r="6432">
      <c r="G6432" s="9">
        <f t="shared" si="0"/>
      </c>
      <c r="L6432">
        <f t="shared" si="1"/>
      </c>
      <c r="M6432">
        <f t="shared" si="2"/>
      </c>
    </row>
    <row r="6433">
      <c r="G6433" s="9">
        <f t="shared" si="0"/>
      </c>
      <c r="L6433">
        <f t="shared" si="1"/>
      </c>
      <c r="M6433">
        <f t="shared" si="2"/>
      </c>
    </row>
    <row r="6434">
      <c r="G6434" s="9">
        <f t="shared" si="0"/>
      </c>
      <c r="L6434">
        <f t="shared" si="1"/>
      </c>
      <c r="M6434">
        <f t="shared" si="2"/>
      </c>
    </row>
    <row r="6435">
      <c r="G6435" s="9">
        <f t="shared" si="0"/>
      </c>
      <c r="L6435">
        <f t="shared" si="1"/>
      </c>
      <c r="M6435">
        <f t="shared" si="2"/>
      </c>
    </row>
    <row r="6436">
      <c r="G6436" s="9">
        <f t="shared" si="0"/>
      </c>
      <c r="L6436">
        <f t="shared" si="1"/>
      </c>
      <c r="M6436">
        <f t="shared" si="2"/>
      </c>
    </row>
    <row r="6437">
      <c r="G6437" s="9">
        <f t="shared" si="0"/>
      </c>
      <c r="L6437">
        <f t="shared" si="1"/>
      </c>
      <c r="M6437">
        <f t="shared" si="2"/>
      </c>
    </row>
    <row r="6438">
      <c r="G6438" s="9">
        <f t="shared" si="0"/>
      </c>
      <c r="L6438">
        <f t="shared" si="1"/>
      </c>
      <c r="M6438">
        <f t="shared" si="2"/>
      </c>
    </row>
    <row r="6439">
      <c r="G6439" s="9">
        <f t="shared" si="0"/>
      </c>
      <c r="L6439">
        <f t="shared" si="1"/>
      </c>
      <c r="M6439">
        <f t="shared" si="2"/>
      </c>
    </row>
    <row r="6440">
      <c r="G6440" s="9">
        <f t="shared" si="0"/>
      </c>
      <c r="L6440">
        <f t="shared" si="1"/>
      </c>
      <c r="M6440">
        <f t="shared" si="2"/>
      </c>
    </row>
    <row r="6441">
      <c r="G6441" s="9">
        <f t="shared" si="0"/>
      </c>
      <c r="L6441">
        <f t="shared" si="1"/>
      </c>
      <c r="M6441">
        <f t="shared" si="2"/>
      </c>
    </row>
    <row r="6442">
      <c r="G6442" s="9">
        <f t="shared" si="0"/>
      </c>
      <c r="L6442">
        <f t="shared" si="1"/>
      </c>
      <c r="M6442">
        <f t="shared" si="2"/>
      </c>
    </row>
    <row r="6443">
      <c r="G6443" s="9">
        <f t="shared" si="0"/>
      </c>
      <c r="L6443">
        <f t="shared" si="1"/>
      </c>
      <c r="M6443">
        <f t="shared" si="2"/>
      </c>
    </row>
    <row r="6444">
      <c r="G6444" s="9">
        <f t="shared" si="0"/>
      </c>
      <c r="L6444">
        <f t="shared" si="1"/>
      </c>
      <c r="M6444">
        <f t="shared" si="2"/>
      </c>
    </row>
    <row r="6445">
      <c r="G6445" s="9">
        <f t="shared" si="0"/>
      </c>
      <c r="L6445">
        <f t="shared" si="1"/>
      </c>
      <c r="M6445">
        <f t="shared" si="2"/>
      </c>
    </row>
    <row r="6446">
      <c r="G6446" s="9">
        <f t="shared" si="0"/>
      </c>
      <c r="L6446">
        <f t="shared" si="1"/>
      </c>
      <c r="M6446">
        <f t="shared" si="2"/>
      </c>
    </row>
    <row r="6447">
      <c r="G6447" s="9">
        <f t="shared" si="0"/>
      </c>
      <c r="L6447">
        <f t="shared" si="1"/>
      </c>
      <c r="M6447">
        <f t="shared" si="2"/>
      </c>
    </row>
    <row r="6448">
      <c r="G6448" s="9">
        <f t="shared" si="0"/>
      </c>
      <c r="L6448">
        <f t="shared" si="1"/>
      </c>
      <c r="M6448">
        <f t="shared" si="2"/>
      </c>
    </row>
    <row r="6449">
      <c r="G6449" s="9">
        <f t="shared" si="0"/>
      </c>
      <c r="L6449">
        <f t="shared" si="1"/>
      </c>
      <c r="M6449">
        <f t="shared" si="2"/>
      </c>
    </row>
    <row r="6450">
      <c r="G6450" s="9">
        <f t="shared" si="0"/>
      </c>
      <c r="L6450">
        <f t="shared" si="1"/>
      </c>
      <c r="M6450">
        <f t="shared" si="2"/>
      </c>
    </row>
    <row r="6451">
      <c r="G6451" s="9">
        <f t="shared" si="0"/>
      </c>
      <c r="L6451">
        <f t="shared" si="1"/>
      </c>
      <c r="M6451">
        <f t="shared" si="2"/>
      </c>
    </row>
    <row r="6452">
      <c r="G6452" s="9">
        <f t="shared" si="0"/>
      </c>
      <c r="L6452">
        <f t="shared" si="1"/>
      </c>
      <c r="M6452">
        <f t="shared" si="2"/>
      </c>
    </row>
    <row r="6453">
      <c r="G6453" s="9">
        <f t="shared" si="0"/>
      </c>
      <c r="L6453">
        <f t="shared" si="1"/>
      </c>
      <c r="M6453">
        <f t="shared" si="2"/>
      </c>
    </row>
    <row r="6454">
      <c r="G6454" s="9">
        <f t="shared" si="0"/>
      </c>
      <c r="L6454">
        <f t="shared" si="1"/>
      </c>
      <c r="M6454">
        <f t="shared" si="2"/>
      </c>
    </row>
    <row r="6455">
      <c r="G6455" s="9">
        <f t="shared" si="0"/>
      </c>
      <c r="L6455">
        <f t="shared" si="1"/>
      </c>
      <c r="M6455">
        <f t="shared" si="2"/>
      </c>
    </row>
    <row r="6456">
      <c r="G6456" s="9">
        <f t="shared" si="0"/>
      </c>
      <c r="L6456">
        <f t="shared" si="1"/>
      </c>
      <c r="M6456">
        <f t="shared" si="2"/>
      </c>
    </row>
    <row r="6457">
      <c r="G6457" s="9">
        <f t="shared" si="0"/>
      </c>
      <c r="L6457">
        <f t="shared" si="1"/>
      </c>
      <c r="M6457">
        <f t="shared" si="2"/>
      </c>
    </row>
    <row r="6458">
      <c r="G6458" s="9">
        <f t="shared" si="0"/>
      </c>
      <c r="L6458">
        <f t="shared" si="1"/>
      </c>
      <c r="M6458">
        <f t="shared" si="2"/>
      </c>
    </row>
    <row r="6459">
      <c r="G6459" s="9">
        <f t="shared" si="0"/>
      </c>
      <c r="L6459">
        <f t="shared" si="1"/>
      </c>
      <c r="M6459">
        <f t="shared" si="2"/>
      </c>
    </row>
    <row r="6460">
      <c r="G6460" s="9">
        <f t="shared" si="0"/>
      </c>
      <c r="L6460">
        <f t="shared" si="1"/>
      </c>
      <c r="M6460">
        <f t="shared" si="2"/>
      </c>
    </row>
    <row r="6461">
      <c r="G6461" s="9">
        <f t="shared" si="0"/>
      </c>
      <c r="L6461">
        <f t="shared" si="1"/>
      </c>
      <c r="M6461">
        <f t="shared" si="2"/>
      </c>
    </row>
    <row r="6462">
      <c r="G6462" s="9">
        <f t="shared" si="0"/>
      </c>
      <c r="L6462">
        <f t="shared" si="1"/>
      </c>
      <c r="M6462">
        <f t="shared" si="2"/>
      </c>
    </row>
    <row r="6463">
      <c r="G6463" s="9">
        <f t="shared" si="0"/>
      </c>
      <c r="L6463">
        <f t="shared" si="1"/>
      </c>
      <c r="M6463">
        <f t="shared" si="2"/>
      </c>
    </row>
    <row r="6464">
      <c r="G6464" s="9">
        <f t="shared" si="0"/>
      </c>
      <c r="L6464">
        <f t="shared" si="1"/>
      </c>
      <c r="M6464">
        <f t="shared" si="2"/>
      </c>
    </row>
    <row r="6465">
      <c r="G6465" s="9">
        <f t="shared" si="0"/>
      </c>
      <c r="L6465">
        <f t="shared" si="1"/>
      </c>
      <c r="M6465">
        <f t="shared" si="2"/>
      </c>
    </row>
    <row r="6466">
      <c r="G6466" s="9">
        <f t="shared" si="0"/>
      </c>
      <c r="L6466">
        <f t="shared" si="1"/>
      </c>
      <c r="M6466">
        <f t="shared" si="2"/>
      </c>
    </row>
    <row r="6467">
      <c r="G6467" s="9">
        <f t="shared" si="0"/>
      </c>
      <c r="L6467">
        <f t="shared" si="1"/>
      </c>
      <c r="M6467">
        <f t="shared" si="2"/>
      </c>
    </row>
    <row r="6468">
      <c r="G6468" s="9">
        <f t="shared" si="0"/>
      </c>
      <c r="L6468">
        <f t="shared" si="1"/>
      </c>
      <c r="M6468">
        <f t="shared" si="2"/>
      </c>
    </row>
    <row r="6469">
      <c r="G6469" s="9">
        <f t="shared" si="0"/>
      </c>
      <c r="L6469">
        <f t="shared" si="1"/>
      </c>
      <c r="M6469">
        <f t="shared" si="2"/>
      </c>
    </row>
    <row r="6470">
      <c r="G6470" s="9">
        <f t="shared" si="0"/>
      </c>
      <c r="L6470">
        <f t="shared" si="1"/>
      </c>
      <c r="M6470">
        <f t="shared" si="2"/>
      </c>
    </row>
    <row r="6471">
      <c r="G6471" s="9">
        <f t="shared" si="0"/>
      </c>
      <c r="L6471">
        <f t="shared" si="1"/>
      </c>
      <c r="M6471">
        <f t="shared" si="2"/>
      </c>
    </row>
    <row r="6472">
      <c r="G6472" s="9">
        <f t="shared" si="0"/>
      </c>
      <c r="L6472">
        <f t="shared" si="1"/>
      </c>
      <c r="M6472">
        <f t="shared" si="2"/>
      </c>
    </row>
    <row r="6473">
      <c r="G6473" s="9">
        <f t="shared" si="0"/>
      </c>
      <c r="L6473">
        <f t="shared" si="1"/>
      </c>
      <c r="M6473">
        <f t="shared" si="2"/>
      </c>
    </row>
    <row r="6474">
      <c r="G6474" s="9">
        <f t="shared" si="0"/>
      </c>
      <c r="L6474">
        <f t="shared" si="1"/>
      </c>
      <c r="M6474">
        <f t="shared" si="2"/>
      </c>
    </row>
    <row r="6475">
      <c r="G6475" s="9">
        <f t="shared" si="0"/>
      </c>
      <c r="L6475">
        <f t="shared" si="1"/>
      </c>
      <c r="M6475">
        <f t="shared" si="2"/>
      </c>
    </row>
    <row r="6476">
      <c r="G6476" s="9">
        <f t="shared" si="0"/>
      </c>
      <c r="L6476">
        <f t="shared" si="1"/>
      </c>
      <c r="M6476">
        <f t="shared" si="2"/>
      </c>
    </row>
    <row r="6477">
      <c r="G6477" s="9">
        <f t="shared" si="0"/>
      </c>
      <c r="L6477">
        <f t="shared" si="1"/>
      </c>
      <c r="M6477">
        <f t="shared" si="2"/>
      </c>
    </row>
    <row r="6478">
      <c r="G6478" s="9">
        <f t="shared" si="0"/>
      </c>
      <c r="L6478">
        <f t="shared" si="1"/>
      </c>
      <c r="M6478">
        <f t="shared" si="2"/>
      </c>
    </row>
    <row r="6479">
      <c r="G6479" s="9">
        <f t="shared" si="0"/>
      </c>
      <c r="L6479">
        <f t="shared" si="1"/>
      </c>
      <c r="M6479">
        <f t="shared" si="2"/>
      </c>
    </row>
    <row r="6480">
      <c r="G6480" s="9">
        <f t="shared" si="0"/>
      </c>
      <c r="L6480">
        <f t="shared" si="1"/>
      </c>
      <c r="M6480">
        <f t="shared" si="2"/>
      </c>
    </row>
    <row r="6481">
      <c r="G6481" s="9">
        <f t="shared" si="0"/>
      </c>
      <c r="L6481">
        <f t="shared" si="1"/>
      </c>
      <c r="M6481">
        <f t="shared" si="2"/>
      </c>
    </row>
    <row r="6482">
      <c r="G6482" s="9">
        <f t="shared" si="0"/>
      </c>
      <c r="L6482">
        <f t="shared" si="1"/>
      </c>
      <c r="M6482">
        <f t="shared" si="2"/>
      </c>
    </row>
    <row r="6483">
      <c r="G6483" s="9">
        <f t="shared" si="0"/>
      </c>
      <c r="L6483">
        <f t="shared" si="1"/>
      </c>
      <c r="M6483">
        <f t="shared" si="2"/>
      </c>
    </row>
    <row r="6484">
      <c r="G6484" s="9">
        <f t="shared" si="0"/>
      </c>
      <c r="L6484">
        <f t="shared" si="1"/>
      </c>
      <c r="M6484">
        <f t="shared" si="2"/>
      </c>
    </row>
    <row r="6485">
      <c r="G6485" s="9">
        <f t="shared" si="0"/>
      </c>
      <c r="L6485">
        <f t="shared" si="1"/>
      </c>
      <c r="M6485">
        <f t="shared" si="2"/>
      </c>
    </row>
    <row r="6486">
      <c r="G6486" s="9">
        <f t="shared" si="0"/>
      </c>
      <c r="L6486">
        <f t="shared" si="1"/>
      </c>
      <c r="M6486">
        <f t="shared" si="2"/>
      </c>
    </row>
    <row r="6487">
      <c r="G6487" s="9">
        <f t="shared" si="0"/>
      </c>
      <c r="L6487">
        <f t="shared" si="1"/>
      </c>
      <c r="M6487">
        <f t="shared" si="2"/>
      </c>
    </row>
    <row r="6488">
      <c r="G6488" s="9">
        <f t="shared" si="0"/>
      </c>
      <c r="L6488">
        <f t="shared" si="1"/>
      </c>
      <c r="M6488">
        <f t="shared" si="2"/>
      </c>
    </row>
    <row r="6489">
      <c r="G6489" s="9">
        <f t="shared" si="0"/>
      </c>
      <c r="L6489">
        <f t="shared" si="1"/>
      </c>
      <c r="M6489">
        <f t="shared" si="2"/>
      </c>
    </row>
    <row r="6490">
      <c r="G6490" s="9">
        <f t="shared" si="0"/>
      </c>
      <c r="L6490">
        <f t="shared" si="1"/>
      </c>
      <c r="M6490">
        <f t="shared" si="2"/>
      </c>
    </row>
    <row r="6491">
      <c r="G6491" s="9">
        <f t="shared" si="0"/>
      </c>
      <c r="L6491">
        <f t="shared" si="1"/>
      </c>
      <c r="M6491">
        <f t="shared" si="2"/>
      </c>
    </row>
    <row r="6492">
      <c r="G6492" s="9">
        <f t="shared" si="0"/>
      </c>
      <c r="L6492">
        <f t="shared" si="1"/>
      </c>
      <c r="M6492">
        <f t="shared" si="2"/>
      </c>
    </row>
    <row r="6493">
      <c r="G6493" s="9">
        <f t="shared" si="0"/>
      </c>
      <c r="L6493">
        <f t="shared" si="1"/>
      </c>
      <c r="M6493">
        <f t="shared" si="2"/>
      </c>
    </row>
    <row r="6494">
      <c r="G6494" s="9">
        <f t="shared" si="0"/>
      </c>
      <c r="L6494">
        <f t="shared" si="1"/>
      </c>
      <c r="M6494">
        <f t="shared" si="2"/>
      </c>
    </row>
    <row r="6495">
      <c r="G6495" s="9">
        <f t="shared" si="0"/>
      </c>
      <c r="L6495">
        <f t="shared" si="1"/>
      </c>
      <c r="M6495">
        <f t="shared" si="2"/>
      </c>
    </row>
    <row r="6496">
      <c r="G6496" s="9">
        <f t="shared" si="0"/>
      </c>
      <c r="L6496">
        <f t="shared" si="1"/>
      </c>
      <c r="M6496">
        <f t="shared" si="2"/>
      </c>
    </row>
    <row r="6497">
      <c r="G6497" s="9">
        <f t="shared" si="0"/>
      </c>
      <c r="L6497">
        <f t="shared" si="1"/>
      </c>
      <c r="M6497">
        <f t="shared" si="2"/>
      </c>
    </row>
    <row r="6498">
      <c r="G6498" s="9">
        <f t="shared" si="0"/>
      </c>
      <c r="L6498">
        <f t="shared" si="1"/>
      </c>
      <c r="M6498">
        <f t="shared" si="2"/>
      </c>
    </row>
    <row r="6499">
      <c r="G6499" s="9">
        <f t="shared" si="0"/>
      </c>
      <c r="L6499">
        <f t="shared" si="1"/>
      </c>
      <c r="M6499">
        <f t="shared" si="2"/>
      </c>
    </row>
    <row r="6500">
      <c r="G6500" s="9">
        <f t="shared" si="0"/>
      </c>
      <c r="L6500">
        <f t="shared" si="1"/>
      </c>
      <c r="M6500">
        <f t="shared" si="2"/>
      </c>
    </row>
    <row r="6501">
      <c r="G6501" s="9">
        <f t="shared" si="0"/>
      </c>
      <c r="L6501">
        <f t="shared" si="1"/>
      </c>
      <c r="M6501">
        <f t="shared" si="2"/>
      </c>
    </row>
    <row r="6502">
      <c r="G6502" s="9">
        <f t="shared" si="0"/>
      </c>
      <c r="L6502">
        <f t="shared" si="1"/>
      </c>
      <c r="M6502">
        <f t="shared" si="2"/>
      </c>
    </row>
    <row r="6503">
      <c r="G6503" s="9">
        <f t="shared" si="0"/>
      </c>
      <c r="L6503">
        <f t="shared" si="1"/>
      </c>
      <c r="M6503">
        <f t="shared" si="2"/>
      </c>
    </row>
    <row r="6504">
      <c r="G6504" s="9">
        <f t="shared" si="0"/>
      </c>
      <c r="L6504">
        <f t="shared" si="1"/>
      </c>
      <c r="M6504">
        <f t="shared" si="2"/>
      </c>
    </row>
    <row r="6505">
      <c r="G6505" s="9">
        <f t="shared" si="0"/>
      </c>
      <c r="L6505">
        <f t="shared" si="1"/>
      </c>
      <c r="M6505">
        <f t="shared" si="2"/>
      </c>
    </row>
    <row r="6506">
      <c r="G6506" s="9">
        <f t="shared" si="0"/>
      </c>
      <c r="L6506">
        <f t="shared" si="1"/>
      </c>
      <c r="M6506">
        <f t="shared" si="2"/>
      </c>
    </row>
    <row r="6507">
      <c r="G6507" s="9">
        <f t="shared" si="0"/>
      </c>
      <c r="L6507">
        <f t="shared" si="1"/>
      </c>
      <c r="M6507">
        <f t="shared" si="2"/>
      </c>
    </row>
    <row r="6508">
      <c r="G6508" s="9">
        <f t="shared" si="0"/>
      </c>
      <c r="L6508">
        <f t="shared" si="1"/>
      </c>
      <c r="M6508">
        <f t="shared" si="2"/>
      </c>
    </row>
    <row r="6509">
      <c r="G6509" s="9">
        <f t="shared" si="0"/>
      </c>
      <c r="L6509">
        <f t="shared" si="1"/>
      </c>
      <c r="M6509">
        <f t="shared" si="2"/>
      </c>
    </row>
    <row r="6510">
      <c r="G6510" s="9">
        <f t="shared" si="0"/>
      </c>
      <c r="L6510">
        <f t="shared" si="1"/>
      </c>
      <c r="M6510">
        <f t="shared" si="2"/>
      </c>
    </row>
    <row r="6511">
      <c r="G6511" s="9">
        <f t="shared" si="0"/>
      </c>
      <c r="L6511">
        <f t="shared" si="1"/>
      </c>
      <c r="M6511">
        <f t="shared" si="2"/>
      </c>
    </row>
    <row r="6512">
      <c r="G6512" s="9">
        <f t="shared" si="0"/>
      </c>
      <c r="L6512">
        <f t="shared" si="1"/>
      </c>
      <c r="M6512">
        <f t="shared" si="2"/>
      </c>
    </row>
    <row r="6513">
      <c r="G6513" s="9">
        <f t="shared" si="0"/>
      </c>
      <c r="L6513">
        <f t="shared" si="1"/>
      </c>
      <c r="M6513">
        <f t="shared" si="2"/>
      </c>
    </row>
    <row r="6514">
      <c r="G6514" s="9">
        <f t="shared" si="0"/>
      </c>
      <c r="L6514">
        <f t="shared" si="1"/>
      </c>
      <c r="M6514">
        <f t="shared" si="2"/>
      </c>
    </row>
    <row r="6515">
      <c r="G6515" s="9">
        <f t="shared" si="0"/>
      </c>
      <c r="L6515">
        <f t="shared" si="1"/>
      </c>
      <c r="M6515">
        <f t="shared" si="2"/>
      </c>
    </row>
    <row r="6516">
      <c r="G6516" s="9">
        <f t="shared" si="0"/>
      </c>
      <c r="L6516">
        <f t="shared" si="1"/>
      </c>
      <c r="M6516">
        <f t="shared" si="2"/>
      </c>
    </row>
    <row r="6517">
      <c r="G6517" s="9">
        <f t="shared" si="0"/>
      </c>
      <c r="L6517">
        <f t="shared" si="1"/>
      </c>
      <c r="M6517">
        <f t="shared" si="2"/>
      </c>
    </row>
    <row r="6518">
      <c r="G6518" s="9">
        <f t="shared" si="0"/>
      </c>
      <c r="L6518">
        <f t="shared" si="1"/>
      </c>
      <c r="M6518">
        <f t="shared" si="2"/>
      </c>
    </row>
    <row r="6519">
      <c r="G6519" s="9">
        <f t="shared" si="0"/>
      </c>
      <c r="L6519">
        <f t="shared" si="1"/>
      </c>
      <c r="M6519">
        <f t="shared" si="2"/>
      </c>
    </row>
    <row r="6520">
      <c r="G6520" s="9">
        <f t="shared" si="0"/>
      </c>
      <c r="L6520">
        <f t="shared" si="1"/>
      </c>
      <c r="M6520">
        <f t="shared" si="2"/>
      </c>
    </row>
    <row r="6521">
      <c r="G6521" s="9">
        <f t="shared" si="0"/>
      </c>
      <c r="L6521">
        <f t="shared" si="1"/>
      </c>
      <c r="M6521">
        <f t="shared" si="2"/>
      </c>
    </row>
    <row r="6522">
      <c r="G6522" s="9">
        <f t="shared" si="0"/>
      </c>
      <c r="L6522">
        <f t="shared" si="1"/>
      </c>
      <c r="M6522">
        <f t="shared" si="2"/>
      </c>
    </row>
    <row r="6523">
      <c r="G6523" s="9">
        <f t="shared" si="0"/>
      </c>
      <c r="L6523">
        <f t="shared" si="1"/>
      </c>
      <c r="M6523">
        <f t="shared" si="2"/>
      </c>
    </row>
    <row r="6524">
      <c r="G6524" s="9">
        <f t="shared" si="0"/>
      </c>
      <c r="L6524">
        <f t="shared" si="1"/>
      </c>
      <c r="M6524">
        <f t="shared" si="2"/>
      </c>
    </row>
    <row r="6525">
      <c r="G6525" s="9">
        <f t="shared" si="0"/>
      </c>
      <c r="L6525">
        <f t="shared" si="1"/>
      </c>
      <c r="M6525">
        <f t="shared" si="2"/>
      </c>
    </row>
    <row r="6526">
      <c r="G6526" s="9">
        <f t="shared" si="0"/>
      </c>
      <c r="L6526">
        <f t="shared" si="1"/>
      </c>
      <c r="M6526">
        <f t="shared" si="2"/>
      </c>
    </row>
    <row r="6527">
      <c r="G6527" s="9">
        <f t="shared" si="0"/>
      </c>
      <c r="L6527">
        <f t="shared" si="1"/>
      </c>
      <c r="M6527">
        <f t="shared" si="2"/>
      </c>
    </row>
    <row r="6528">
      <c r="G6528" s="9">
        <f t="shared" si="0"/>
      </c>
      <c r="L6528">
        <f t="shared" si="1"/>
      </c>
      <c r="M6528">
        <f t="shared" si="2"/>
      </c>
    </row>
    <row r="6529">
      <c r="G6529" s="9">
        <f t="shared" si="0"/>
      </c>
      <c r="L6529">
        <f t="shared" si="1"/>
      </c>
      <c r="M6529">
        <f t="shared" si="2"/>
      </c>
    </row>
    <row r="6530">
      <c r="G6530" s="9">
        <f t="shared" si="0"/>
      </c>
      <c r="L6530">
        <f t="shared" si="1"/>
      </c>
      <c r="M6530">
        <f t="shared" si="2"/>
      </c>
    </row>
    <row r="6531">
      <c r="G6531" s="9">
        <f t="shared" si="0"/>
      </c>
      <c r="L6531">
        <f t="shared" si="1"/>
      </c>
      <c r="M6531">
        <f t="shared" si="2"/>
      </c>
    </row>
    <row r="6532">
      <c r="G6532" s="9">
        <f t="shared" si="0"/>
      </c>
      <c r="L6532">
        <f t="shared" si="1"/>
      </c>
      <c r="M6532">
        <f t="shared" si="2"/>
      </c>
    </row>
    <row r="6533">
      <c r="G6533" s="9">
        <f t="shared" si="0"/>
      </c>
      <c r="L6533">
        <f t="shared" si="1"/>
      </c>
      <c r="M6533">
        <f t="shared" si="2"/>
      </c>
    </row>
    <row r="6534">
      <c r="G6534" s="9">
        <f t="shared" si="0"/>
      </c>
      <c r="L6534">
        <f t="shared" si="1"/>
      </c>
      <c r="M6534">
        <f t="shared" si="2"/>
      </c>
    </row>
    <row r="6535">
      <c r="G6535" s="9">
        <f t="shared" si="0"/>
      </c>
      <c r="L6535">
        <f t="shared" si="1"/>
      </c>
      <c r="M6535">
        <f t="shared" si="2"/>
      </c>
    </row>
    <row r="6536">
      <c r="G6536" s="9">
        <f t="shared" si="0"/>
      </c>
      <c r="L6536">
        <f t="shared" si="1"/>
      </c>
      <c r="M6536">
        <f t="shared" si="2"/>
      </c>
    </row>
    <row r="6537">
      <c r="G6537" s="9">
        <f t="shared" si="0"/>
      </c>
      <c r="L6537">
        <f t="shared" si="1"/>
      </c>
      <c r="M6537">
        <f t="shared" si="2"/>
      </c>
    </row>
    <row r="6538">
      <c r="G6538" s="9">
        <f t="shared" si="0"/>
      </c>
      <c r="L6538">
        <f t="shared" si="1"/>
      </c>
      <c r="M6538">
        <f t="shared" si="2"/>
      </c>
    </row>
    <row r="6539">
      <c r="G6539" s="9">
        <f t="shared" si="0"/>
      </c>
      <c r="L6539">
        <f t="shared" si="1"/>
      </c>
      <c r="M6539">
        <f t="shared" si="2"/>
      </c>
    </row>
    <row r="6540">
      <c r="G6540" s="9">
        <f t="shared" si="0"/>
      </c>
      <c r="L6540">
        <f t="shared" si="1"/>
      </c>
      <c r="M6540">
        <f t="shared" si="2"/>
      </c>
    </row>
    <row r="6541">
      <c r="G6541" s="9">
        <f t="shared" si="0"/>
      </c>
      <c r="L6541">
        <f t="shared" si="1"/>
      </c>
      <c r="M6541">
        <f t="shared" si="2"/>
      </c>
    </row>
    <row r="6542">
      <c r="G6542" s="9">
        <f t="shared" si="0"/>
      </c>
      <c r="L6542">
        <f t="shared" si="1"/>
      </c>
      <c r="M6542">
        <f t="shared" si="2"/>
      </c>
    </row>
    <row r="6543">
      <c r="G6543" s="9">
        <f t="shared" si="0"/>
      </c>
      <c r="L6543">
        <f t="shared" si="1"/>
      </c>
      <c r="M6543">
        <f t="shared" si="2"/>
      </c>
    </row>
    <row r="6544">
      <c r="G6544" s="9">
        <f t="shared" si="0"/>
      </c>
      <c r="L6544">
        <f t="shared" si="1"/>
      </c>
      <c r="M6544">
        <f t="shared" si="2"/>
      </c>
    </row>
    <row r="6545">
      <c r="G6545" s="9">
        <f t="shared" si="0"/>
      </c>
      <c r="L6545">
        <f t="shared" si="1"/>
      </c>
      <c r="M6545">
        <f t="shared" si="2"/>
      </c>
    </row>
    <row r="6546">
      <c r="G6546" s="9">
        <f t="shared" si="0"/>
      </c>
      <c r="L6546">
        <f t="shared" si="1"/>
      </c>
      <c r="M6546">
        <f t="shared" si="2"/>
      </c>
    </row>
    <row r="6547">
      <c r="G6547" s="9">
        <f t="shared" si="0"/>
      </c>
      <c r="L6547">
        <f t="shared" si="1"/>
      </c>
      <c r="M6547">
        <f t="shared" si="2"/>
      </c>
    </row>
    <row r="6548">
      <c r="G6548" s="9">
        <f t="shared" si="0"/>
      </c>
      <c r="L6548">
        <f t="shared" si="1"/>
      </c>
      <c r="M6548">
        <f t="shared" si="2"/>
      </c>
    </row>
    <row r="6549">
      <c r="G6549" s="9">
        <f t="shared" si="0"/>
      </c>
      <c r="L6549">
        <f t="shared" si="1"/>
      </c>
      <c r="M6549">
        <f t="shared" si="2"/>
      </c>
    </row>
    <row r="6550">
      <c r="G6550" s="9">
        <f t="shared" si="0"/>
      </c>
      <c r="L6550">
        <f t="shared" si="1"/>
      </c>
      <c r="M6550">
        <f t="shared" si="2"/>
      </c>
    </row>
    <row r="6551">
      <c r="G6551" s="9">
        <f t="shared" si="0"/>
      </c>
      <c r="L6551">
        <f t="shared" si="1"/>
      </c>
      <c r="M6551">
        <f t="shared" si="2"/>
      </c>
    </row>
    <row r="6552">
      <c r="G6552" s="9">
        <f t="shared" si="0"/>
      </c>
      <c r="L6552">
        <f t="shared" si="1"/>
      </c>
      <c r="M6552">
        <f t="shared" si="2"/>
      </c>
    </row>
    <row r="6553">
      <c r="G6553" s="9">
        <f t="shared" si="0"/>
      </c>
      <c r="L6553">
        <f t="shared" si="1"/>
      </c>
      <c r="M6553">
        <f t="shared" si="2"/>
      </c>
    </row>
    <row r="6554">
      <c r="G6554" s="9">
        <f t="shared" si="0"/>
      </c>
      <c r="L6554">
        <f t="shared" si="1"/>
      </c>
      <c r="M6554">
        <f t="shared" si="2"/>
      </c>
    </row>
    <row r="6555">
      <c r="G6555" s="9">
        <f t="shared" si="0"/>
      </c>
      <c r="L6555">
        <f t="shared" si="1"/>
      </c>
      <c r="M6555">
        <f t="shared" si="2"/>
      </c>
    </row>
    <row r="6556">
      <c r="G6556" s="9">
        <f t="shared" si="0"/>
      </c>
      <c r="L6556">
        <f t="shared" si="1"/>
      </c>
      <c r="M6556">
        <f t="shared" si="2"/>
      </c>
    </row>
    <row r="6557">
      <c r="G6557" s="9">
        <f t="shared" si="0"/>
      </c>
      <c r="L6557">
        <f t="shared" si="1"/>
      </c>
      <c r="M6557">
        <f t="shared" si="2"/>
      </c>
    </row>
    <row r="6558">
      <c r="G6558" s="9">
        <f t="shared" si="0"/>
      </c>
      <c r="L6558">
        <f t="shared" si="1"/>
      </c>
      <c r="M6558">
        <f t="shared" si="2"/>
      </c>
    </row>
    <row r="6559">
      <c r="G6559" s="9">
        <f t="shared" si="0"/>
      </c>
      <c r="L6559">
        <f t="shared" si="1"/>
      </c>
      <c r="M6559">
        <f t="shared" si="2"/>
      </c>
    </row>
    <row r="6560">
      <c r="G6560" s="9">
        <f t="shared" si="0"/>
      </c>
      <c r="L6560">
        <f t="shared" si="1"/>
      </c>
      <c r="M6560">
        <f t="shared" si="2"/>
      </c>
    </row>
    <row r="6561">
      <c r="G6561" s="9">
        <f t="shared" si="0"/>
      </c>
      <c r="L6561">
        <f t="shared" si="1"/>
      </c>
      <c r="M6561">
        <f t="shared" si="2"/>
      </c>
    </row>
    <row r="6562">
      <c r="G6562" s="9">
        <f t="shared" si="0"/>
      </c>
      <c r="L6562">
        <f t="shared" si="1"/>
      </c>
      <c r="M6562">
        <f t="shared" si="2"/>
      </c>
    </row>
    <row r="6563">
      <c r="G6563" s="9">
        <f t="shared" si="0"/>
      </c>
      <c r="L6563">
        <f t="shared" si="1"/>
      </c>
      <c r="M6563">
        <f t="shared" si="2"/>
      </c>
    </row>
    <row r="6564">
      <c r="G6564" s="9">
        <f t="shared" si="0"/>
      </c>
      <c r="L6564">
        <f t="shared" si="1"/>
      </c>
      <c r="M6564">
        <f t="shared" si="2"/>
      </c>
    </row>
    <row r="6565">
      <c r="G6565" s="9">
        <f t="shared" si="0"/>
      </c>
      <c r="L6565">
        <f t="shared" si="1"/>
      </c>
      <c r="M6565">
        <f t="shared" si="2"/>
      </c>
    </row>
    <row r="6566">
      <c r="G6566" s="9">
        <f t="shared" si="0"/>
      </c>
      <c r="L6566">
        <f t="shared" si="1"/>
      </c>
      <c r="M6566">
        <f t="shared" si="2"/>
      </c>
    </row>
    <row r="6567">
      <c r="G6567" s="9">
        <f t="shared" si="0"/>
      </c>
      <c r="L6567">
        <f t="shared" si="1"/>
      </c>
      <c r="M6567">
        <f t="shared" si="2"/>
      </c>
    </row>
    <row r="6568">
      <c r="G6568" s="9">
        <f t="shared" si="0"/>
      </c>
      <c r="L6568">
        <f t="shared" si="1"/>
      </c>
      <c r="M6568">
        <f t="shared" si="2"/>
      </c>
    </row>
    <row r="6569">
      <c r="G6569" s="9">
        <f t="shared" si="0"/>
      </c>
      <c r="L6569">
        <f t="shared" si="1"/>
      </c>
      <c r="M6569">
        <f t="shared" si="2"/>
      </c>
    </row>
    <row r="6570">
      <c r="G6570" s="9">
        <f t="shared" si="0"/>
      </c>
      <c r="L6570">
        <f t="shared" si="1"/>
      </c>
      <c r="M6570">
        <f t="shared" si="2"/>
      </c>
    </row>
    <row r="6571">
      <c r="G6571" s="9">
        <f t="shared" si="0"/>
      </c>
      <c r="L6571">
        <f t="shared" si="1"/>
      </c>
      <c r="M6571">
        <f t="shared" si="2"/>
      </c>
    </row>
    <row r="6572">
      <c r="G6572" s="9">
        <f t="shared" si="0"/>
      </c>
      <c r="L6572">
        <f t="shared" si="1"/>
      </c>
      <c r="M6572">
        <f t="shared" si="2"/>
      </c>
    </row>
    <row r="6573">
      <c r="G6573" s="9">
        <f t="shared" si="0"/>
      </c>
      <c r="L6573">
        <f t="shared" si="1"/>
      </c>
      <c r="M6573">
        <f t="shared" si="2"/>
      </c>
    </row>
    <row r="6574">
      <c r="G6574" s="9">
        <f t="shared" si="0"/>
      </c>
      <c r="L6574">
        <f t="shared" si="1"/>
      </c>
      <c r="M6574">
        <f t="shared" si="2"/>
      </c>
    </row>
    <row r="6575">
      <c r="G6575" s="9">
        <f t="shared" si="0"/>
      </c>
      <c r="L6575">
        <f t="shared" si="1"/>
      </c>
      <c r="M6575">
        <f t="shared" si="2"/>
      </c>
    </row>
    <row r="6576">
      <c r="G6576" s="9">
        <f t="shared" si="0"/>
      </c>
      <c r="L6576">
        <f t="shared" si="1"/>
      </c>
      <c r="M6576">
        <f t="shared" si="2"/>
      </c>
    </row>
    <row r="6577">
      <c r="G6577" s="9">
        <f t="shared" si="0"/>
      </c>
      <c r="L6577">
        <f t="shared" si="1"/>
      </c>
      <c r="M6577">
        <f t="shared" si="2"/>
      </c>
    </row>
    <row r="6578">
      <c r="G6578" s="9">
        <f t="shared" si="0"/>
      </c>
      <c r="L6578">
        <f t="shared" si="1"/>
      </c>
      <c r="M6578">
        <f t="shared" si="2"/>
      </c>
    </row>
    <row r="6579">
      <c r="G6579" s="9">
        <f t="shared" si="0"/>
      </c>
      <c r="L6579">
        <f t="shared" si="1"/>
      </c>
      <c r="M6579">
        <f t="shared" si="2"/>
      </c>
    </row>
    <row r="6580">
      <c r="G6580" s="9">
        <f t="shared" si="0"/>
      </c>
      <c r="L6580">
        <f t="shared" si="1"/>
      </c>
      <c r="M6580">
        <f t="shared" si="2"/>
      </c>
    </row>
    <row r="6581">
      <c r="G6581" s="9">
        <f t="shared" si="0"/>
      </c>
      <c r="L6581">
        <f t="shared" si="1"/>
      </c>
      <c r="M6581">
        <f t="shared" si="2"/>
      </c>
    </row>
    <row r="6582">
      <c r="G6582" s="9">
        <f t="shared" si="0"/>
      </c>
      <c r="L6582">
        <f t="shared" si="1"/>
      </c>
      <c r="M6582">
        <f t="shared" si="2"/>
      </c>
    </row>
    <row r="6583">
      <c r="G6583" s="9">
        <f t="shared" si="0"/>
      </c>
      <c r="L6583">
        <f t="shared" si="1"/>
      </c>
      <c r="M6583">
        <f t="shared" si="2"/>
      </c>
    </row>
    <row r="6584">
      <c r="G6584" s="9">
        <f t="shared" si="0"/>
      </c>
      <c r="L6584">
        <f t="shared" si="1"/>
      </c>
      <c r="M6584">
        <f t="shared" si="2"/>
      </c>
    </row>
    <row r="6585">
      <c r="G6585" s="9">
        <f t="shared" si="0"/>
      </c>
      <c r="L6585">
        <f t="shared" si="1"/>
      </c>
      <c r="M6585">
        <f t="shared" si="2"/>
      </c>
    </row>
    <row r="6586">
      <c r="G6586" s="9">
        <f t="shared" si="0"/>
      </c>
      <c r="L6586">
        <f t="shared" si="1"/>
      </c>
      <c r="M6586">
        <f t="shared" si="2"/>
      </c>
    </row>
    <row r="6587">
      <c r="G6587" s="9">
        <f t="shared" si="0"/>
      </c>
      <c r="L6587">
        <f t="shared" si="1"/>
      </c>
      <c r="M6587">
        <f t="shared" si="2"/>
      </c>
    </row>
    <row r="6588">
      <c r="G6588" s="9">
        <f t="shared" si="0"/>
      </c>
      <c r="L6588">
        <f t="shared" si="1"/>
      </c>
      <c r="M6588">
        <f t="shared" si="2"/>
      </c>
    </row>
    <row r="6589">
      <c r="G6589" s="9">
        <f t="shared" si="0"/>
      </c>
      <c r="L6589">
        <f t="shared" si="1"/>
      </c>
      <c r="M6589">
        <f t="shared" si="2"/>
      </c>
    </row>
    <row r="6590">
      <c r="G6590" s="9">
        <f t="shared" si="0"/>
      </c>
      <c r="L6590">
        <f t="shared" si="1"/>
      </c>
      <c r="M6590">
        <f t="shared" si="2"/>
      </c>
    </row>
    <row r="6591">
      <c r="G6591" s="9">
        <f t="shared" si="0"/>
      </c>
      <c r="L6591">
        <f t="shared" si="1"/>
      </c>
      <c r="M6591">
        <f t="shared" si="2"/>
      </c>
    </row>
    <row r="6592">
      <c r="G6592" s="9">
        <f t="shared" si="0"/>
      </c>
      <c r="L6592">
        <f t="shared" si="1"/>
      </c>
      <c r="M6592">
        <f t="shared" si="2"/>
      </c>
    </row>
    <row r="6593">
      <c r="G6593" s="9">
        <f t="shared" si="0"/>
      </c>
      <c r="L6593">
        <f t="shared" si="1"/>
      </c>
      <c r="M6593">
        <f t="shared" si="2"/>
      </c>
    </row>
    <row r="6594">
      <c r="G6594" s="9">
        <f t="shared" si="0"/>
      </c>
      <c r="L6594">
        <f t="shared" si="1"/>
      </c>
      <c r="M6594">
        <f t="shared" si="2"/>
      </c>
    </row>
    <row r="6595">
      <c r="G6595" s="9">
        <f t="shared" si="0"/>
      </c>
      <c r="L6595">
        <f t="shared" si="1"/>
      </c>
      <c r="M6595">
        <f t="shared" si="2"/>
      </c>
    </row>
    <row r="6596">
      <c r="G6596" s="9">
        <f t="shared" si="0"/>
      </c>
      <c r="L6596">
        <f t="shared" si="1"/>
      </c>
      <c r="M6596">
        <f t="shared" si="2"/>
      </c>
    </row>
    <row r="6597">
      <c r="G6597" s="9">
        <f t="shared" si="0"/>
      </c>
      <c r="L6597">
        <f t="shared" si="1"/>
      </c>
      <c r="M6597">
        <f t="shared" si="2"/>
      </c>
    </row>
    <row r="6598">
      <c r="G6598" s="9">
        <f t="shared" si="0"/>
      </c>
      <c r="L6598">
        <f t="shared" si="1"/>
      </c>
      <c r="M6598">
        <f t="shared" si="2"/>
      </c>
    </row>
    <row r="6599">
      <c r="G6599" s="9">
        <f t="shared" si="0"/>
      </c>
      <c r="L6599">
        <f t="shared" si="1"/>
      </c>
      <c r="M6599">
        <f t="shared" si="2"/>
      </c>
    </row>
    <row r="6600">
      <c r="G6600" s="9">
        <f t="shared" si="0"/>
      </c>
      <c r="L6600">
        <f t="shared" si="1"/>
      </c>
      <c r="M6600">
        <f t="shared" si="2"/>
      </c>
    </row>
    <row r="6601">
      <c r="G6601" s="9">
        <f t="shared" si="0"/>
      </c>
      <c r="L6601">
        <f t="shared" si="1"/>
      </c>
      <c r="M6601">
        <f t="shared" si="2"/>
      </c>
    </row>
    <row r="6602">
      <c r="G6602" s="9">
        <f t="shared" si="0"/>
      </c>
      <c r="L6602">
        <f t="shared" si="1"/>
      </c>
      <c r="M6602">
        <f t="shared" si="2"/>
      </c>
    </row>
    <row r="6603">
      <c r="G6603" s="9">
        <f t="shared" si="0"/>
      </c>
      <c r="L6603">
        <f t="shared" si="1"/>
      </c>
      <c r="M6603">
        <f t="shared" si="2"/>
      </c>
    </row>
    <row r="6604">
      <c r="G6604" s="9">
        <f t="shared" si="0"/>
      </c>
      <c r="L6604">
        <f t="shared" si="1"/>
      </c>
      <c r="M6604">
        <f t="shared" si="2"/>
      </c>
    </row>
    <row r="6605">
      <c r="G6605" s="9">
        <f t="shared" si="0"/>
      </c>
      <c r="L6605">
        <f t="shared" si="1"/>
      </c>
      <c r="M6605">
        <f t="shared" si="2"/>
      </c>
    </row>
    <row r="6606">
      <c r="G6606" s="9">
        <f t="shared" si="0"/>
      </c>
      <c r="L6606">
        <f t="shared" si="1"/>
      </c>
      <c r="M6606">
        <f t="shared" si="2"/>
      </c>
    </row>
    <row r="6607">
      <c r="G6607" s="9">
        <f t="shared" si="0"/>
      </c>
      <c r="L6607">
        <f t="shared" si="1"/>
      </c>
      <c r="M6607">
        <f t="shared" si="2"/>
      </c>
    </row>
    <row r="6608">
      <c r="G6608" s="9">
        <f t="shared" si="0"/>
      </c>
      <c r="L6608">
        <f t="shared" si="1"/>
      </c>
      <c r="M6608">
        <f t="shared" si="2"/>
      </c>
    </row>
    <row r="6609">
      <c r="G6609" s="9">
        <f t="shared" si="0"/>
      </c>
      <c r="L6609">
        <f t="shared" si="1"/>
      </c>
      <c r="M6609">
        <f t="shared" si="2"/>
      </c>
    </row>
    <row r="6610">
      <c r="G6610" s="9">
        <f t="shared" si="0"/>
      </c>
      <c r="L6610">
        <f t="shared" si="1"/>
      </c>
      <c r="M6610">
        <f t="shared" si="2"/>
      </c>
    </row>
    <row r="6611">
      <c r="G6611" s="9">
        <f t="shared" si="0"/>
      </c>
      <c r="L6611">
        <f t="shared" si="1"/>
      </c>
      <c r="M6611">
        <f t="shared" si="2"/>
      </c>
    </row>
    <row r="6612">
      <c r="G6612" s="9">
        <f t="shared" si="0"/>
      </c>
      <c r="L6612">
        <f t="shared" si="1"/>
      </c>
      <c r="M6612">
        <f t="shared" si="2"/>
      </c>
    </row>
    <row r="6613">
      <c r="G6613" s="9">
        <f t="shared" si="0"/>
      </c>
      <c r="L6613">
        <f t="shared" si="1"/>
      </c>
      <c r="M6613">
        <f t="shared" si="2"/>
      </c>
    </row>
    <row r="6614">
      <c r="G6614" s="9">
        <f t="shared" si="0"/>
      </c>
      <c r="L6614">
        <f t="shared" si="1"/>
      </c>
      <c r="M6614">
        <f t="shared" si="2"/>
      </c>
    </row>
    <row r="6615">
      <c r="G6615" s="9">
        <f t="shared" si="0"/>
      </c>
      <c r="L6615">
        <f t="shared" si="1"/>
      </c>
      <c r="M6615">
        <f t="shared" si="2"/>
      </c>
    </row>
    <row r="6616">
      <c r="G6616" s="9">
        <f t="shared" si="0"/>
      </c>
      <c r="L6616">
        <f t="shared" si="1"/>
      </c>
      <c r="M6616">
        <f t="shared" si="2"/>
      </c>
    </row>
    <row r="6617">
      <c r="G6617" s="9">
        <f t="shared" si="0"/>
      </c>
      <c r="L6617">
        <f t="shared" si="1"/>
      </c>
      <c r="M6617">
        <f t="shared" si="2"/>
      </c>
    </row>
    <row r="6618">
      <c r="G6618" s="9">
        <f t="shared" si="0"/>
      </c>
      <c r="L6618">
        <f t="shared" si="1"/>
      </c>
      <c r="M6618">
        <f t="shared" si="2"/>
      </c>
    </row>
    <row r="6619">
      <c r="G6619" s="9">
        <f t="shared" si="0"/>
      </c>
      <c r="L6619">
        <f t="shared" si="1"/>
      </c>
      <c r="M6619">
        <f t="shared" si="2"/>
      </c>
    </row>
    <row r="6620">
      <c r="G6620" s="9">
        <f t="shared" si="0"/>
      </c>
      <c r="L6620">
        <f t="shared" si="1"/>
      </c>
      <c r="M6620">
        <f t="shared" si="2"/>
      </c>
    </row>
    <row r="6621">
      <c r="G6621" s="9">
        <f t="shared" si="0"/>
      </c>
      <c r="L6621">
        <f t="shared" si="1"/>
      </c>
      <c r="M6621">
        <f t="shared" si="2"/>
      </c>
    </row>
    <row r="6622">
      <c r="G6622" s="9">
        <f t="shared" si="0"/>
      </c>
      <c r="L6622">
        <f t="shared" si="1"/>
      </c>
      <c r="M6622">
        <f t="shared" si="2"/>
      </c>
    </row>
    <row r="6623">
      <c r="G6623" s="9">
        <f t="shared" si="0"/>
      </c>
      <c r="L6623">
        <f t="shared" si="1"/>
      </c>
      <c r="M6623">
        <f t="shared" si="2"/>
      </c>
    </row>
    <row r="6624">
      <c r="G6624" s="9">
        <f t="shared" si="0"/>
      </c>
      <c r="L6624">
        <f t="shared" si="1"/>
      </c>
      <c r="M6624">
        <f t="shared" si="2"/>
      </c>
    </row>
    <row r="6625">
      <c r="G6625" s="9">
        <f t="shared" si="0"/>
      </c>
      <c r="L6625">
        <f t="shared" si="1"/>
      </c>
      <c r="M6625">
        <f t="shared" si="2"/>
      </c>
    </row>
    <row r="6626">
      <c r="G6626" s="9">
        <f t="shared" si="0"/>
      </c>
      <c r="L6626">
        <f t="shared" si="1"/>
      </c>
      <c r="M6626">
        <f t="shared" si="2"/>
      </c>
    </row>
    <row r="6627">
      <c r="G6627" s="9">
        <f t="shared" si="0"/>
      </c>
      <c r="L6627">
        <f t="shared" si="1"/>
      </c>
      <c r="M6627">
        <f t="shared" si="2"/>
      </c>
    </row>
    <row r="6628">
      <c r="G6628" s="9">
        <f t="shared" si="0"/>
      </c>
      <c r="L6628">
        <f t="shared" si="1"/>
      </c>
      <c r="M6628">
        <f t="shared" si="2"/>
      </c>
    </row>
    <row r="6629">
      <c r="G6629" s="9">
        <f t="shared" si="0"/>
      </c>
      <c r="L6629">
        <f t="shared" si="1"/>
      </c>
      <c r="M6629">
        <f t="shared" si="2"/>
      </c>
    </row>
    <row r="6630">
      <c r="G6630" s="9">
        <f t="shared" si="0"/>
      </c>
      <c r="L6630">
        <f t="shared" si="1"/>
      </c>
      <c r="M6630">
        <f t="shared" si="2"/>
      </c>
    </row>
    <row r="6631">
      <c r="G6631" s="9">
        <f t="shared" si="0"/>
      </c>
      <c r="L6631">
        <f t="shared" si="1"/>
      </c>
      <c r="M6631">
        <f t="shared" si="2"/>
      </c>
    </row>
    <row r="6632">
      <c r="G6632" s="9">
        <f t="shared" si="0"/>
      </c>
      <c r="L6632">
        <f t="shared" si="1"/>
      </c>
      <c r="M6632">
        <f t="shared" si="2"/>
      </c>
    </row>
    <row r="6633">
      <c r="G6633" s="9">
        <f t="shared" si="0"/>
      </c>
      <c r="L6633">
        <f t="shared" si="1"/>
      </c>
      <c r="M6633">
        <f t="shared" si="2"/>
      </c>
    </row>
    <row r="6634">
      <c r="G6634" s="9">
        <f t="shared" si="0"/>
      </c>
      <c r="L6634">
        <f t="shared" si="1"/>
      </c>
      <c r="M6634">
        <f t="shared" si="2"/>
      </c>
    </row>
    <row r="6635">
      <c r="G6635" s="9">
        <f t="shared" si="0"/>
      </c>
      <c r="L6635">
        <f t="shared" si="1"/>
      </c>
      <c r="M6635">
        <f t="shared" si="2"/>
      </c>
    </row>
    <row r="6636">
      <c r="G6636" s="9">
        <f t="shared" si="0"/>
      </c>
      <c r="L6636">
        <f t="shared" si="1"/>
      </c>
      <c r="M6636">
        <f t="shared" si="2"/>
      </c>
    </row>
    <row r="6637">
      <c r="G6637" s="9">
        <f t="shared" si="0"/>
      </c>
      <c r="L6637">
        <f t="shared" si="1"/>
      </c>
      <c r="M6637">
        <f t="shared" si="2"/>
      </c>
    </row>
    <row r="6638">
      <c r="G6638" s="9">
        <f t="shared" si="0"/>
      </c>
      <c r="L6638">
        <f t="shared" si="1"/>
      </c>
      <c r="M6638">
        <f t="shared" si="2"/>
      </c>
    </row>
    <row r="6639">
      <c r="G6639" s="9">
        <f t="shared" si="0"/>
      </c>
      <c r="L6639">
        <f t="shared" si="1"/>
      </c>
      <c r="M6639">
        <f t="shared" si="2"/>
      </c>
    </row>
    <row r="6640">
      <c r="G6640" s="9">
        <f t="shared" si="0"/>
      </c>
      <c r="L6640">
        <f t="shared" si="1"/>
      </c>
      <c r="M6640">
        <f t="shared" si="2"/>
      </c>
    </row>
    <row r="6641">
      <c r="G6641" s="9">
        <f t="shared" si="0"/>
      </c>
      <c r="L6641">
        <f t="shared" si="1"/>
      </c>
      <c r="M6641">
        <f t="shared" si="2"/>
      </c>
    </row>
    <row r="6642">
      <c r="G6642" s="9">
        <f t="shared" si="0"/>
      </c>
      <c r="L6642">
        <f t="shared" si="1"/>
      </c>
      <c r="M6642">
        <f t="shared" si="2"/>
      </c>
    </row>
    <row r="6643">
      <c r="G6643" s="9">
        <f t="shared" si="0"/>
      </c>
      <c r="L6643">
        <f t="shared" si="1"/>
      </c>
      <c r="M6643">
        <f t="shared" si="2"/>
      </c>
    </row>
    <row r="6644">
      <c r="G6644" s="9">
        <f t="shared" si="0"/>
      </c>
      <c r="L6644">
        <f t="shared" si="1"/>
      </c>
      <c r="M6644">
        <f t="shared" si="2"/>
      </c>
    </row>
    <row r="6645">
      <c r="G6645" s="9">
        <f t="shared" si="0"/>
      </c>
      <c r="L6645">
        <f t="shared" si="1"/>
      </c>
      <c r="M6645">
        <f t="shared" si="2"/>
      </c>
    </row>
    <row r="6646">
      <c r="G6646" s="9">
        <f t="shared" si="0"/>
      </c>
      <c r="L6646">
        <f t="shared" si="1"/>
      </c>
      <c r="M6646">
        <f t="shared" si="2"/>
      </c>
    </row>
    <row r="6647">
      <c r="G6647" s="9">
        <f t="shared" si="0"/>
      </c>
      <c r="L6647">
        <f t="shared" si="1"/>
      </c>
      <c r="M6647">
        <f t="shared" si="2"/>
      </c>
    </row>
    <row r="6648">
      <c r="G6648" s="9">
        <f t="shared" si="0"/>
      </c>
      <c r="L6648">
        <f t="shared" si="1"/>
      </c>
      <c r="M6648">
        <f t="shared" si="2"/>
      </c>
    </row>
    <row r="6649">
      <c r="G6649" s="9">
        <f t="shared" si="0"/>
      </c>
      <c r="L6649">
        <f t="shared" si="1"/>
      </c>
      <c r="M6649">
        <f t="shared" si="2"/>
      </c>
    </row>
    <row r="6650">
      <c r="G6650" s="9">
        <f t="shared" si="0"/>
      </c>
      <c r="L6650">
        <f t="shared" si="1"/>
      </c>
      <c r="M6650">
        <f t="shared" si="2"/>
      </c>
    </row>
    <row r="6651">
      <c r="G6651" s="9">
        <f t="shared" si="0"/>
      </c>
      <c r="L6651">
        <f t="shared" si="1"/>
      </c>
      <c r="M6651">
        <f t="shared" si="2"/>
      </c>
    </row>
    <row r="6652">
      <c r="G6652" s="9">
        <f t="shared" si="0"/>
      </c>
      <c r="L6652">
        <f t="shared" si="1"/>
      </c>
      <c r="M6652">
        <f t="shared" si="2"/>
      </c>
    </row>
    <row r="6653">
      <c r="G6653" s="9">
        <f t="shared" si="0"/>
      </c>
      <c r="L6653">
        <f t="shared" si="1"/>
      </c>
      <c r="M6653">
        <f t="shared" si="2"/>
      </c>
    </row>
    <row r="6654">
      <c r="G6654" s="9">
        <f t="shared" si="0"/>
      </c>
      <c r="L6654">
        <f t="shared" si="1"/>
      </c>
      <c r="M6654">
        <f t="shared" si="2"/>
      </c>
    </row>
    <row r="6655">
      <c r="G6655" s="9">
        <f t="shared" si="0"/>
      </c>
      <c r="L6655">
        <f t="shared" si="1"/>
      </c>
      <c r="M6655">
        <f t="shared" si="2"/>
      </c>
    </row>
    <row r="6656">
      <c r="G6656" s="9">
        <f t="shared" si="0"/>
      </c>
      <c r="L6656">
        <f t="shared" si="1"/>
      </c>
      <c r="M6656">
        <f t="shared" si="2"/>
      </c>
    </row>
    <row r="6657">
      <c r="G6657" s="9">
        <f t="shared" si="0"/>
      </c>
      <c r="L6657">
        <f t="shared" si="1"/>
      </c>
      <c r="M6657">
        <f t="shared" si="2"/>
      </c>
    </row>
    <row r="6658">
      <c r="G6658" s="9">
        <f t="shared" si="0"/>
      </c>
      <c r="L6658">
        <f t="shared" si="1"/>
      </c>
      <c r="M6658">
        <f t="shared" si="2"/>
      </c>
    </row>
    <row r="6659">
      <c r="G6659" s="9">
        <f t="shared" si="0"/>
      </c>
      <c r="L6659">
        <f t="shared" si="1"/>
      </c>
      <c r="M6659">
        <f t="shared" si="2"/>
      </c>
    </row>
    <row r="6660">
      <c r="G6660" s="9">
        <f t="shared" si="0"/>
      </c>
      <c r="L6660">
        <f t="shared" si="1"/>
      </c>
      <c r="M6660">
        <f t="shared" si="2"/>
      </c>
    </row>
    <row r="6661">
      <c r="G6661" s="9">
        <f t="shared" si="0"/>
      </c>
      <c r="L6661">
        <f t="shared" si="1"/>
      </c>
      <c r="M6661">
        <f t="shared" si="2"/>
      </c>
    </row>
    <row r="6662">
      <c r="G6662" s="9">
        <f t="shared" si="0"/>
      </c>
      <c r="L6662">
        <f t="shared" si="1"/>
      </c>
      <c r="M6662">
        <f t="shared" si="2"/>
      </c>
    </row>
    <row r="6663">
      <c r="G6663" s="9">
        <f t="shared" si="0"/>
      </c>
      <c r="L6663">
        <f t="shared" si="1"/>
      </c>
      <c r="M6663">
        <f t="shared" si="2"/>
      </c>
    </row>
    <row r="6664">
      <c r="G6664" s="9">
        <f t="shared" si="0"/>
      </c>
      <c r="L6664">
        <f t="shared" si="1"/>
      </c>
      <c r="M6664">
        <f t="shared" si="2"/>
      </c>
    </row>
    <row r="6665">
      <c r="G6665" s="9">
        <f t="shared" si="0"/>
      </c>
      <c r="L6665">
        <f t="shared" si="1"/>
      </c>
      <c r="M6665">
        <f t="shared" si="2"/>
      </c>
    </row>
    <row r="6666">
      <c r="G6666" s="9">
        <f t="shared" si="0"/>
      </c>
      <c r="L6666">
        <f t="shared" si="1"/>
      </c>
      <c r="M6666">
        <f t="shared" si="2"/>
      </c>
    </row>
    <row r="6667">
      <c r="G6667" s="9">
        <f t="shared" si="0"/>
      </c>
      <c r="L6667">
        <f t="shared" si="1"/>
      </c>
      <c r="M6667">
        <f t="shared" si="2"/>
      </c>
    </row>
    <row r="6668">
      <c r="G6668" s="9">
        <f t="shared" si="0"/>
      </c>
      <c r="L6668">
        <f t="shared" si="1"/>
      </c>
      <c r="M6668">
        <f t="shared" si="2"/>
      </c>
    </row>
    <row r="6669">
      <c r="G6669" s="9">
        <f t="shared" si="0"/>
      </c>
      <c r="L6669">
        <f t="shared" si="1"/>
      </c>
      <c r="M6669">
        <f t="shared" si="2"/>
      </c>
    </row>
    <row r="6670">
      <c r="G6670" s="9">
        <f t="shared" si="0"/>
      </c>
      <c r="L6670">
        <f t="shared" si="1"/>
      </c>
      <c r="M6670">
        <f t="shared" si="2"/>
      </c>
    </row>
    <row r="6671">
      <c r="G6671" s="9">
        <f t="shared" si="0"/>
      </c>
      <c r="L6671">
        <f t="shared" si="1"/>
      </c>
      <c r="M6671">
        <f t="shared" si="2"/>
      </c>
    </row>
    <row r="6672">
      <c r="G6672" s="9">
        <f t="shared" si="0"/>
      </c>
      <c r="L6672">
        <f t="shared" si="1"/>
      </c>
      <c r="M6672">
        <f t="shared" si="2"/>
      </c>
    </row>
    <row r="6673">
      <c r="G6673" s="9">
        <f t="shared" si="0"/>
      </c>
      <c r="L6673">
        <f t="shared" si="1"/>
      </c>
      <c r="M6673">
        <f t="shared" si="2"/>
      </c>
    </row>
    <row r="6674">
      <c r="G6674" s="9">
        <f t="shared" si="0"/>
      </c>
      <c r="L6674">
        <f t="shared" si="1"/>
      </c>
      <c r="M6674">
        <f t="shared" si="2"/>
      </c>
    </row>
    <row r="6675">
      <c r="G6675" s="9">
        <f t="shared" si="0"/>
      </c>
      <c r="L6675">
        <f t="shared" si="1"/>
      </c>
      <c r="M6675">
        <f t="shared" si="2"/>
      </c>
    </row>
    <row r="6676">
      <c r="G6676" s="9">
        <f t="shared" si="0"/>
      </c>
      <c r="L6676">
        <f t="shared" si="1"/>
      </c>
      <c r="M6676">
        <f t="shared" si="2"/>
      </c>
    </row>
    <row r="6677">
      <c r="G6677" s="9">
        <f t="shared" si="0"/>
      </c>
      <c r="L6677">
        <f t="shared" si="1"/>
      </c>
      <c r="M6677">
        <f t="shared" si="2"/>
      </c>
    </row>
    <row r="6678">
      <c r="G6678" s="9">
        <f t="shared" si="0"/>
      </c>
      <c r="L6678">
        <f t="shared" si="1"/>
      </c>
      <c r="M6678">
        <f t="shared" si="2"/>
      </c>
    </row>
    <row r="6679">
      <c r="G6679" s="9">
        <f t="shared" si="0"/>
      </c>
      <c r="L6679">
        <f t="shared" si="1"/>
      </c>
      <c r="M6679">
        <f t="shared" si="2"/>
      </c>
    </row>
    <row r="6680">
      <c r="G6680" s="9">
        <f t="shared" si="0"/>
      </c>
      <c r="L6680">
        <f t="shared" si="1"/>
      </c>
      <c r="M6680">
        <f t="shared" si="2"/>
      </c>
    </row>
    <row r="6681">
      <c r="G6681" s="9">
        <f t="shared" si="0"/>
      </c>
      <c r="L6681">
        <f t="shared" si="1"/>
      </c>
      <c r="M6681">
        <f t="shared" si="2"/>
      </c>
    </row>
    <row r="6682">
      <c r="G6682" s="9">
        <f t="shared" si="0"/>
      </c>
      <c r="L6682">
        <f t="shared" si="1"/>
      </c>
      <c r="M6682">
        <f t="shared" si="2"/>
      </c>
    </row>
    <row r="6683">
      <c r="G6683" s="9">
        <f t="shared" si="0"/>
      </c>
      <c r="L6683">
        <f t="shared" si="1"/>
      </c>
      <c r="M6683">
        <f t="shared" si="2"/>
      </c>
    </row>
    <row r="6684">
      <c r="G6684" s="9">
        <f t="shared" si="0"/>
      </c>
      <c r="L6684">
        <f t="shared" si="1"/>
      </c>
      <c r="M6684">
        <f t="shared" si="2"/>
      </c>
    </row>
    <row r="6685">
      <c r="G6685" s="9">
        <f t="shared" si="0"/>
      </c>
      <c r="L6685">
        <f t="shared" si="1"/>
      </c>
      <c r="M6685">
        <f t="shared" si="2"/>
      </c>
    </row>
    <row r="6686">
      <c r="G6686" s="9">
        <f t="shared" si="0"/>
      </c>
      <c r="L6686">
        <f t="shared" si="1"/>
      </c>
      <c r="M6686">
        <f t="shared" si="2"/>
      </c>
    </row>
    <row r="6687">
      <c r="G6687" s="9">
        <f t="shared" si="0"/>
      </c>
      <c r="L6687">
        <f t="shared" si="1"/>
      </c>
      <c r="M6687">
        <f t="shared" si="2"/>
      </c>
    </row>
    <row r="6688">
      <c r="G6688" s="9">
        <f t="shared" si="0"/>
      </c>
      <c r="L6688">
        <f t="shared" si="1"/>
      </c>
      <c r="M6688">
        <f t="shared" si="2"/>
      </c>
    </row>
    <row r="6689">
      <c r="G6689" s="9">
        <f t="shared" si="0"/>
      </c>
      <c r="L6689">
        <f t="shared" si="1"/>
      </c>
      <c r="M6689">
        <f t="shared" si="2"/>
      </c>
    </row>
    <row r="6690">
      <c r="G6690" s="9">
        <f t="shared" si="0"/>
      </c>
      <c r="L6690">
        <f t="shared" si="1"/>
      </c>
      <c r="M6690">
        <f t="shared" si="2"/>
      </c>
    </row>
    <row r="6691">
      <c r="G6691" s="9">
        <f t="shared" si="0"/>
      </c>
      <c r="L6691">
        <f t="shared" si="1"/>
      </c>
      <c r="M6691">
        <f t="shared" si="2"/>
      </c>
    </row>
    <row r="6692">
      <c r="G6692" s="9">
        <f t="shared" si="0"/>
      </c>
      <c r="L6692">
        <f t="shared" si="1"/>
      </c>
      <c r="M6692">
        <f t="shared" si="2"/>
      </c>
    </row>
    <row r="6693">
      <c r="G6693" s="9">
        <f t="shared" si="0"/>
      </c>
      <c r="L6693">
        <f t="shared" si="1"/>
      </c>
      <c r="M6693">
        <f t="shared" si="2"/>
      </c>
    </row>
    <row r="6694">
      <c r="G6694" s="9">
        <f t="shared" si="0"/>
      </c>
      <c r="L6694">
        <f t="shared" si="1"/>
      </c>
      <c r="M6694">
        <f t="shared" si="2"/>
      </c>
    </row>
    <row r="6695">
      <c r="G6695" s="9">
        <f t="shared" si="0"/>
      </c>
      <c r="L6695">
        <f t="shared" si="1"/>
      </c>
      <c r="M6695">
        <f t="shared" si="2"/>
      </c>
    </row>
    <row r="6696">
      <c r="G6696" s="9">
        <f t="shared" si="0"/>
      </c>
      <c r="L6696">
        <f t="shared" si="1"/>
      </c>
      <c r="M6696">
        <f t="shared" si="2"/>
      </c>
    </row>
    <row r="6697">
      <c r="G6697" s="9">
        <f t="shared" si="0"/>
      </c>
      <c r="L6697">
        <f t="shared" si="1"/>
      </c>
      <c r="M6697">
        <f t="shared" si="2"/>
      </c>
    </row>
    <row r="6698">
      <c r="G6698" s="9">
        <f t="shared" si="0"/>
      </c>
      <c r="L6698">
        <f t="shared" si="1"/>
      </c>
      <c r="M6698">
        <f t="shared" si="2"/>
      </c>
    </row>
    <row r="6699">
      <c r="G6699" s="9">
        <f t="shared" si="0"/>
      </c>
      <c r="L6699">
        <f t="shared" si="1"/>
      </c>
      <c r="M6699">
        <f t="shared" si="2"/>
      </c>
    </row>
    <row r="6700">
      <c r="G6700" s="9">
        <f t="shared" si="0"/>
      </c>
      <c r="L6700">
        <f t="shared" si="1"/>
      </c>
      <c r="M6700">
        <f t="shared" si="2"/>
      </c>
    </row>
    <row r="6701">
      <c r="G6701" s="9">
        <f t="shared" si="0"/>
      </c>
      <c r="L6701">
        <f t="shared" si="1"/>
      </c>
      <c r="M6701">
        <f t="shared" si="2"/>
      </c>
    </row>
    <row r="6702">
      <c r="G6702" s="9">
        <f t="shared" si="0"/>
      </c>
      <c r="L6702">
        <f t="shared" si="1"/>
      </c>
      <c r="M6702">
        <f t="shared" si="2"/>
      </c>
    </row>
    <row r="6703">
      <c r="G6703" s="9">
        <f t="shared" si="0"/>
      </c>
      <c r="L6703">
        <f t="shared" si="1"/>
      </c>
      <c r="M6703">
        <f t="shared" si="2"/>
      </c>
    </row>
    <row r="6704">
      <c r="G6704" s="9">
        <f t="shared" si="0"/>
      </c>
      <c r="L6704">
        <f t="shared" si="1"/>
      </c>
      <c r="M6704">
        <f t="shared" si="2"/>
      </c>
    </row>
    <row r="6705">
      <c r="G6705" s="9">
        <f t="shared" si="0"/>
      </c>
      <c r="L6705">
        <f t="shared" si="1"/>
      </c>
      <c r="M6705">
        <f t="shared" si="2"/>
      </c>
    </row>
    <row r="6706">
      <c r="G6706" s="9">
        <f t="shared" si="0"/>
      </c>
      <c r="L6706">
        <f t="shared" si="1"/>
      </c>
      <c r="M6706">
        <f t="shared" si="2"/>
      </c>
    </row>
    <row r="6707">
      <c r="G6707" s="9">
        <f t="shared" si="0"/>
      </c>
      <c r="L6707">
        <f t="shared" si="1"/>
      </c>
      <c r="M6707">
        <f t="shared" si="2"/>
      </c>
    </row>
    <row r="6708">
      <c r="G6708" s="9">
        <f t="shared" si="0"/>
      </c>
      <c r="L6708">
        <f t="shared" si="1"/>
      </c>
      <c r="M6708">
        <f t="shared" si="2"/>
      </c>
    </row>
    <row r="6709">
      <c r="G6709" s="9">
        <f t="shared" si="0"/>
      </c>
      <c r="L6709">
        <f t="shared" si="1"/>
      </c>
      <c r="M6709">
        <f t="shared" si="2"/>
      </c>
    </row>
    <row r="6710">
      <c r="G6710" s="9">
        <f t="shared" si="0"/>
      </c>
      <c r="L6710">
        <f t="shared" si="1"/>
      </c>
      <c r="M6710">
        <f t="shared" si="2"/>
      </c>
    </row>
    <row r="6711">
      <c r="G6711" s="9">
        <f t="shared" si="0"/>
      </c>
      <c r="L6711">
        <f t="shared" si="1"/>
      </c>
      <c r="M6711">
        <f t="shared" si="2"/>
      </c>
    </row>
    <row r="6712">
      <c r="G6712" s="9">
        <f t="shared" si="0"/>
      </c>
      <c r="L6712">
        <f t="shared" si="1"/>
      </c>
      <c r="M6712">
        <f t="shared" si="2"/>
      </c>
    </row>
    <row r="6713">
      <c r="G6713" s="9">
        <f t="shared" si="0"/>
      </c>
      <c r="L6713">
        <f t="shared" si="1"/>
      </c>
      <c r="M6713">
        <f t="shared" si="2"/>
      </c>
    </row>
    <row r="6714">
      <c r="G6714" s="9">
        <f t="shared" si="0"/>
      </c>
      <c r="L6714">
        <f t="shared" si="1"/>
      </c>
      <c r="M6714">
        <f t="shared" si="2"/>
      </c>
    </row>
    <row r="6715">
      <c r="G6715" s="9">
        <f t="shared" si="0"/>
      </c>
      <c r="L6715">
        <f t="shared" si="1"/>
      </c>
      <c r="M6715">
        <f t="shared" si="2"/>
      </c>
    </row>
    <row r="6716">
      <c r="G6716" s="9">
        <f t="shared" si="0"/>
      </c>
      <c r="L6716">
        <f t="shared" si="1"/>
      </c>
      <c r="M6716">
        <f t="shared" si="2"/>
      </c>
    </row>
    <row r="6717">
      <c r="G6717" s="9">
        <f t="shared" si="0"/>
      </c>
      <c r="L6717">
        <f t="shared" si="1"/>
      </c>
      <c r="M6717">
        <f t="shared" si="2"/>
      </c>
    </row>
    <row r="6718">
      <c r="G6718" s="9">
        <f t="shared" si="0"/>
      </c>
      <c r="L6718">
        <f t="shared" si="1"/>
      </c>
      <c r="M6718">
        <f t="shared" si="2"/>
      </c>
    </row>
    <row r="6719">
      <c r="G6719" s="9">
        <f t="shared" si="0"/>
      </c>
      <c r="L6719">
        <f t="shared" si="1"/>
      </c>
      <c r="M6719">
        <f t="shared" si="2"/>
      </c>
    </row>
    <row r="6720">
      <c r="G6720" s="9">
        <f t="shared" si="0"/>
      </c>
      <c r="L6720">
        <f t="shared" si="1"/>
      </c>
      <c r="M6720">
        <f t="shared" si="2"/>
      </c>
    </row>
    <row r="6721">
      <c r="G6721" s="9">
        <f t="shared" si="0"/>
      </c>
      <c r="L6721">
        <f t="shared" si="1"/>
      </c>
      <c r="M6721">
        <f t="shared" si="2"/>
      </c>
    </row>
    <row r="6722">
      <c r="G6722" s="9">
        <f t="shared" si="0"/>
      </c>
      <c r="L6722">
        <f t="shared" si="1"/>
      </c>
      <c r="M6722">
        <f t="shared" si="2"/>
      </c>
    </row>
    <row r="6723">
      <c r="G6723" s="9">
        <f t="shared" si="0"/>
      </c>
      <c r="L6723">
        <f t="shared" si="1"/>
      </c>
      <c r="M6723">
        <f t="shared" si="2"/>
      </c>
    </row>
    <row r="6724">
      <c r="G6724" s="9">
        <f t="shared" si="0"/>
      </c>
      <c r="L6724">
        <f t="shared" si="1"/>
      </c>
      <c r="M6724">
        <f t="shared" si="2"/>
      </c>
    </row>
    <row r="6725">
      <c r="G6725" s="9">
        <f t="shared" si="0"/>
      </c>
      <c r="L6725">
        <f t="shared" si="1"/>
      </c>
      <c r="M6725">
        <f t="shared" si="2"/>
      </c>
    </row>
    <row r="6726">
      <c r="G6726" s="9">
        <f t="shared" si="0"/>
      </c>
      <c r="L6726">
        <f t="shared" si="1"/>
      </c>
      <c r="M6726">
        <f t="shared" si="2"/>
      </c>
    </row>
    <row r="6727">
      <c r="G6727" s="9">
        <f t="shared" si="0"/>
      </c>
      <c r="L6727">
        <f t="shared" si="1"/>
      </c>
      <c r="M6727">
        <f t="shared" si="2"/>
      </c>
    </row>
    <row r="6728">
      <c r="G6728" s="9">
        <f t="shared" si="0"/>
      </c>
      <c r="L6728">
        <f t="shared" si="1"/>
      </c>
      <c r="M6728">
        <f t="shared" si="2"/>
      </c>
    </row>
    <row r="6729">
      <c r="G6729" s="9">
        <f t="shared" si="0"/>
      </c>
      <c r="L6729">
        <f t="shared" si="1"/>
      </c>
      <c r="M6729">
        <f t="shared" si="2"/>
      </c>
    </row>
    <row r="6730">
      <c r="G6730" s="9">
        <f t="shared" si="0"/>
      </c>
      <c r="L6730">
        <f t="shared" si="1"/>
      </c>
      <c r="M6730">
        <f t="shared" si="2"/>
      </c>
    </row>
    <row r="6731">
      <c r="G6731" s="9">
        <f t="shared" si="0"/>
      </c>
      <c r="L6731">
        <f t="shared" si="1"/>
      </c>
      <c r="M6731">
        <f t="shared" si="2"/>
      </c>
    </row>
    <row r="6732">
      <c r="G6732" s="9">
        <f t="shared" si="0"/>
      </c>
      <c r="L6732">
        <f t="shared" si="1"/>
      </c>
      <c r="M6732">
        <f t="shared" si="2"/>
      </c>
    </row>
    <row r="6733">
      <c r="G6733" s="9">
        <f t="shared" si="0"/>
      </c>
      <c r="L6733">
        <f t="shared" si="1"/>
      </c>
      <c r="M6733">
        <f t="shared" si="2"/>
      </c>
    </row>
    <row r="6734">
      <c r="G6734" s="9">
        <f t="shared" si="0"/>
      </c>
      <c r="L6734">
        <f t="shared" si="1"/>
      </c>
      <c r="M6734">
        <f t="shared" si="2"/>
      </c>
    </row>
    <row r="6735">
      <c r="G6735" s="9">
        <f t="shared" si="0"/>
      </c>
      <c r="L6735">
        <f t="shared" si="1"/>
      </c>
      <c r="M6735">
        <f t="shared" si="2"/>
      </c>
    </row>
    <row r="6736">
      <c r="G6736" s="9">
        <f t="shared" si="0"/>
      </c>
      <c r="L6736">
        <f t="shared" si="1"/>
      </c>
      <c r="M6736">
        <f t="shared" si="2"/>
      </c>
    </row>
    <row r="6737">
      <c r="G6737" s="9">
        <f t="shared" si="0"/>
      </c>
      <c r="L6737">
        <f t="shared" si="1"/>
      </c>
      <c r="M6737">
        <f t="shared" si="2"/>
      </c>
    </row>
    <row r="6738">
      <c r="G6738" s="9">
        <f t="shared" si="0"/>
      </c>
      <c r="L6738">
        <f t="shared" si="1"/>
      </c>
      <c r="M6738">
        <f t="shared" si="2"/>
      </c>
    </row>
    <row r="6739">
      <c r="G6739" s="9">
        <f t="shared" si="0"/>
      </c>
      <c r="L6739">
        <f t="shared" si="1"/>
      </c>
      <c r="M6739">
        <f t="shared" si="2"/>
      </c>
    </row>
    <row r="6740">
      <c r="G6740" s="9">
        <f t="shared" si="0"/>
      </c>
      <c r="L6740">
        <f t="shared" si="1"/>
      </c>
      <c r="M6740">
        <f t="shared" si="2"/>
      </c>
    </row>
    <row r="6741">
      <c r="G6741" s="9">
        <f t="shared" si="0"/>
      </c>
      <c r="L6741">
        <f t="shared" si="1"/>
      </c>
      <c r="M6741">
        <f t="shared" si="2"/>
      </c>
    </row>
    <row r="6742">
      <c r="G6742" s="9">
        <f t="shared" si="0"/>
      </c>
      <c r="L6742">
        <f t="shared" si="1"/>
      </c>
      <c r="M6742">
        <f t="shared" si="2"/>
      </c>
    </row>
    <row r="6743">
      <c r="G6743" s="9">
        <f t="shared" si="0"/>
      </c>
      <c r="L6743">
        <f t="shared" si="1"/>
      </c>
      <c r="M6743">
        <f t="shared" si="2"/>
      </c>
    </row>
    <row r="6744">
      <c r="G6744" s="9">
        <f t="shared" si="0"/>
      </c>
      <c r="L6744">
        <f t="shared" si="1"/>
      </c>
      <c r="M6744">
        <f t="shared" si="2"/>
      </c>
    </row>
    <row r="6745">
      <c r="G6745" s="9">
        <f t="shared" si="0"/>
      </c>
      <c r="L6745">
        <f t="shared" si="1"/>
      </c>
      <c r="M6745">
        <f t="shared" si="2"/>
      </c>
    </row>
    <row r="6746">
      <c r="G6746" s="9">
        <f t="shared" si="0"/>
      </c>
      <c r="L6746">
        <f t="shared" si="1"/>
      </c>
      <c r="M6746">
        <f t="shared" si="2"/>
      </c>
    </row>
    <row r="6747">
      <c r="G6747" s="9">
        <f t="shared" si="0"/>
      </c>
      <c r="L6747">
        <f t="shared" si="1"/>
      </c>
      <c r="M6747">
        <f t="shared" si="2"/>
      </c>
    </row>
    <row r="6748">
      <c r="G6748" s="9">
        <f t="shared" si="0"/>
      </c>
      <c r="L6748">
        <f t="shared" si="1"/>
      </c>
      <c r="M6748">
        <f t="shared" si="2"/>
      </c>
    </row>
    <row r="6749">
      <c r="G6749" s="9">
        <f t="shared" si="0"/>
      </c>
      <c r="L6749">
        <f t="shared" si="1"/>
      </c>
      <c r="M6749">
        <f t="shared" si="2"/>
      </c>
    </row>
    <row r="6750">
      <c r="G6750" s="9">
        <f t="shared" si="0"/>
      </c>
      <c r="L6750">
        <f t="shared" si="1"/>
      </c>
      <c r="M6750">
        <f t="shared" si="2"/>
      </c>
    </row>
    <row r="6751">
      <c r="G6751" s="9">
        <f t="shared" si="0"/>
      </c>
      <c r="L6751">
        <f t="shared" si="1"/>
      </c>
      <c r="M6751">
        <f t="shared" si="2"/>
      </c>
    </row>
    <row r="6752">
      <c r="G6752" s="9">
        <f t="shared" si="0"/>
      </c>
      <c r="L6752">
        <f t="shared" si="1"/>
      </c>
      <c r="M6752">
        <f t="shared" si="2"/>
      </c>
    </row>
    <row r="6753">
      <c r="G6753" s="9">
        <f t="shared" si="0"/>
      </c>
      <c r="L6753">
        <f t="shared" si="1"/>
      </c>
      <c r="M6753">
        <f t="shared" si="2"/>
      </c>
    </row>
    <row r="6754">
      <c r="G6754" s="9">
        <f t="shared" si="0"/>
      </c>
      <c r="L6754">
        <f t="shared" si="1"/>
      </c>
      <c r="M6754">
        <f t="shared" si="2"/>
      </c>
    </row>
    <row r="6755">
      <c r="G6755" s="9">
        <f t="shared" si="0"/>
      </c>
      <c r="L6755">
        <f t="shared" si="1"/>
      </c>
      <c r="M6755">
        <f t="shared" si="2"/>
      </c>
    </row>
    <row r="6756">
      <c r="G6756" s="9">
        <f t="shared" si="0"/>
      </c>
      <c r="L6756">
        <f t="shared" si="1"/>
      </c>
      <c r="M6756">
        <f t="shared" si="2"/>
      </c>
    </row>
    <row r="6757">
      <c r="G6757" s="9">
        <f t="shared" si="0"/>
      </c>
      <c r="L6757">
        <f t="shared" si="1"/>
      </c>
      <c r="M6757">
        <f t="shared" si="2"/>
      </c>
    </row>
    <row r="6758">
      <c r="G6758" s="9">
        <f t="shared" si="0"/>
      </c>
      <c r="L6758">
        <f t="shared" si="1"/>
      </c>
      <c r="M6758">
        <f t="shared" si="2"/>
      </c>
    </row>
    <row r="6759">
      <c r="G6759" s="9">
        <f t="shared" si="0"/>
      </c>
      <c r="L6759">
        <f t="shared" si="1"/>
      </c>
      <c r="M6759">
        <f t="shared" si="2"/>
      </c>
    </row>
    <row r="6760">
      <c r="G6760" s="9">
        <f t="shared" si="0"/>
      </c>
      <c r="L6760">
        <f t="shared" si="1"/>
      </c>
      <c r="M6760">
        <f t="shared" si="2"/>
      </c>
    </row>
    <row r="6761">
      <c r="G6761" s="9">
        <f t="shared" si="0"/>
      </c>
      <c r="L6761">
        <f t="shared" si="1"/>
      </c>
      <c r="M6761">
        <f t="shared" si="2"/>
      </c>
    </row>
    <row r="6762">
      <c r="G6762" s="9">
        <f t="shared" si="0"/>
      </c>
      <c r="L6762">
        <f t="shared" si="1"/>
      </c>
      <c r="M6762">
        <f t="shared" si="2"/>
      </c>
    </row>
    <row r="6763">
      <c r="G6763" s="9">
        <f t="shared" si="0"/>
      </c>
      <c r="L6763">
        <f t="shared" si="1"/>
      </c>
      <c r="M6763">
        <f t="shared" si="2"/>
      </c>
    </row>
    <row r="6764">
      <c r="G6764" s="9">
        <f t="shared" si="0"/>
      </c>
      <c r="L6764">
        <f t="shared" si="1"/>
      </c>
      <c r="M6764">
        <f t="shared" si="2"/>
      </c>
    </row>
    <row r="6765">
      <c r="G6765" s="9">
        <f t="shared" si="0"/>
      </c>
      <c r="L6765">
        <f t="shared" si="1"/>
      </c>
      <c r="M6765">
        <f t="shared" si="2"/>
      </c>
    </row>
    <row r="6766">
      <c r="G6766" s="9">
        <f t="shared" si="0"/>
      </c>
      <c r="L6766">
        <f t="shared" si="1"/>
      </c>
      <c r="M6766">
        <f t="shared" si="2"/>
      </c>
    </row>
    <row r="6767">
      <c r="G6767" s="9">
        <f t="shared" si="0"/>
      </c>
      <c r="L6767">
        <f t="shared" si="1"/>
      </c>
      <c r="M6767">
        <f t="shared" si="2"/>
      </c>
    </row>
    <row r="6768">
      <c r="G6768" s="9">
        <f t="shared" si="0"/>
      </c>
      <c r="L6768">
        <f t="shared" si="1"/>
      </c>
      <c r="M6768">
        <f t="shared" si="2"/>
      </c>
    </row>
    <row r="6769">
      <c r="G6769" s="9">
        <f t="shared" si="0"/>
      </c>
      <c r="L6769">
        <f t="shared" si="1"/>
      </c>
      <c r="M6769">
        <f t="shared" si="2"/>
      </c>
    </row>
    <row r="6770">
      <c r="G6770" s="9">
        <f t="shared" si="0"/>
      </c>
      <c r="L6770">
        <f t="shared" si="1"/>
      </c>
      <c r="M6770">
        <f t="shared" si="2"/>
      </c>
    </row>
    <row r="6771">
      <c r="G6771" s="9">
        <f t="shared" si="0"/>
      </c>
      <c r="L6771">
        <f t="shared" si="1"/>
      </c>
      <c r="M6771">
        <f t="shared" si="2"/>
      </c>
    </row>
    <row r="6772">
      <c r="G6772" s="9">
        <f t="shared" si="0"/>
      </c>
      <c r="L6772">
        <f t="shared" si="1"/>
      </c>
      <c r="M6772">
        <f t="shared" si="2"/>
      </c>
    </row>
    <row r="6773">
      <c r="G6773" s="9">
        <f t="shared" si="0"/>
      </c>
      <c r="L6773">
        <f t="shared" si="1"/>
      </c>
      <c r="M6773">
        <f t="shared" si="2"/>
      </c>
    </row>
    <row r="6774">
      <c r="G6774" s="9">
        <f t="shared" si="0"/>
      </c>
      <c r="L6774">
        <f t="shared" si="1"/>
      </c>
      <c r="M6774">
        <f t="shared" si="2"/>
      </c>
    </row>
    <row r="6775">
      <c r="G6775" s="9">
        <f t="shared" si="0"/>
      </c>
      <c r="L6775">
        <f t="shared" si="1"/>
      </c>
      <c r="M6775">
        <f t="shared" si="2"/>
      </c>
    </row>
    <row r="6776">
      <c r="G6776" s="9">
        <f t="shared" si="0"/>
      </c>
      <c r="L6776">
        <f t="shared" si="1"/>
      </c>
      <c r="M6776">
        <f t="shared" si="2"/>
      </c>
    </row>
    <row r="6777">
      <c r="G6777" s="9">
        <f t="shared" si="0"/>
      </c>
      <c r="L6777">
        <f t="shared" si="1"/>
      </c>
      <c r="M6777">
        <f t="shared" si="2"/>
      </c>
    </row>
    <row r="6778">
      <c r="G6778" s="9">
        <f t="shared" si="0"/>
      </c>
      <c r="L6778">
        <f t="shared" si="1"/>
      </c>
      <c r="M6778">
        <f t="shared" si="2"/>
      </c>
    </row>
    <row r="6779">
      <c r="G6779" s="9">
        <f t="shared" si="0"/>
      </c>
      <c r="L6779">
        <f t="shared" si="1"/>
      </c>
      <c r="M6779">
        <f t="shared" si="2"/>
      </c>
    </row>
    <row r="6780">
      <c r="G6780" s="9">
        <f t="shared" si="0"/>
      </c>
      <c r="L6780">
        <f t="shared" si="1"/>
      </c>
      <c r="M6780">
        <f t="shared" si="2"/>
      </c>
    </row>
    <row r="6781">
      <c r="G6781" s="9">
        <f t="shared" si="0"/>
      </c>
      <c r="L6781">
        <f t="shared" si="1"/>
      </c>
      <c r="M6781">
        <f t="shared" si="2"/>
      </c>
    </row>
    <row r="6782">
      <c r="G6782" s="9">
        <f t="shared" si="0"/>
      </c>
      <c r="L6782">
        <f t="shared" si="1"/>
      </c>
      <c r="M6782">
        <f t="shared" si="2"/>
      </c>
    </row>
    <row r="6783">
      <c r="G6783" s="9">
        <f t="shared" si="0"/>
      </c>
      <c r="L6783">
        <f t="shared" si="1"/>
      </c>
      <c r="M6783">
        <f t="shared" si="2"/>
      </c>
    </row>
    <row r="6784">
      <c r="G6784" s="9">
        <f t="shared" si="0"/>
      </c>
      <c r="L6784">
        <f t="shared" si="1"/>
      </c>
      <c r="M6784">
        <f t="shared" si="2"/>
      </c>
    </row>
    <row r="6785">
      <c r="G6785" s="9">
        <f t="shared" si="0"/>
      </c>
      <c r="L6785">
        <f t="shared" si="1"/>
      </c>
      <c r="M6785">
        <f t="shared" si="2"/>
      </c>
    </row>
    <row r="6786">
      <c r="G6786" s="9">
        <f t="shared" si="0"/>
      </c>
      <c r="L6786">
        <f t="shared" si="1"/>
      </c>
      <c r="M6786">
        <f t="shared" si="2"/>
      </c>
    </row>
    <row r="6787">
      <c r="G6787" s="9">
        <f t="shared" si="0"/>
      </c>
      <c r="L6787">
        <f t="shared" si="1"/>
      </c>
      <c r="M6787">
        <f t="shared" si="2"/>
      </c>
    </row>
    <row r="6788">
      <c r="G6788" s="9">
        <f t="shared" si="0"/>
      </c>
      <c r="L6788">
        <f t="shared" si="1"/>
      </c>
      <c r="M6788">
        <f t="shared" si="2"/>
      </c>
    </row>
    <row r="6789">
      <c r="G6789" s="9">
        <f t="shared" si="0"/>
      </c>
      <c r="L6789">
        <f t="shared" si="1"/>
      </c>
      <c r="M6789">
        <f t="shared" si="2"/>
      </c>
    </row>
    <row r="6790">
      <c r="G6790" s="9">
        <f t="shared" si="0"/>
      </c>
      <c r="L6790">
        <f t="shared" si="1"/>
      </c>
      <c r="M6790">
        <f t="shared" si="2"/>
      </c>
    </row>
    <row r="6791">
      <c r="G6791" s="9">
        <f t="shared" si="0"/>
      </c>
      <c r="L6791">
        <f t="shared" si="1"/>
      </c>
      <c r="M6791">
        <f t="shared" si="2"/>
      </c>
    </row>
    <row r="6792">
      <c r="G6792" s="9">
        <f t="shared" si="0"/>
      </c>
      <c r="L6792">
        <f t="shared" si="1"/>
      </c>
      <c r="M6792">
        <f t="shared" si="2"/>
      </c>
    </row>
    <row r="6793">
      <c r="G6793" s="9">
        <f t="shared" si="0"/>
      </c>
      <c r="L6793">
        <f t="shared" si="1"/>
      </c>
      <c r="M6793">
        <f t="shared" si="2"/>
      </c>
    </row>
    <row r="6794">
      <c r="G6794" s="9">
        <f t="shared" si="0"/>
      </c>
      <c r="L6794">
        <f t="shared" si="1"/>
      </c>
      <c r="M6794">
        <f t="shared" si="2"/>
      </c>
    </row>
    <row r="6795">
      <c r="G6795" s="9">
        <f t="shared" si="0"/>
      </c>
      <c r="L6795">
        <f t="shared" si="1"/>
      </c>
      <c r="M6795">
        <f t="shared" si="2"/>
      </c>
    </row>
    <row r="6796">
      <c r="G6796" s="9">
        <f t="shared" si="0"/>
      </c>
      <c r="L6796">
        <f t="shared" si="1"/>
      </c>
      <c r="M6796">
        <f t="shared" si="2"/>
      </c>
    </row>
    <row r="6797">
      <c r="G6797" s="9">
        <f t="shared" si="0"/>
      </c>
      <c r="L6797">
        <f t="shared" si="1"/>
      </c>
      <c r="M6797">
        <f t="shared" si="2"/>
      </c>
    </row>
    <row r="6798">
      <c r="G6798" s="9">
        <f t="shared" si="0"/>
      </c>
      <c r="L6798">
        <f t="shared" si="1"/>
      </c>
      <c r="M6798">
        <f t="shared" si="2"/>
      </c>
    </row>
    <row r="6799">
      <c r="G6799" s="9">
        <f t="shared" si="0"/>
      </c>
      <c r="L6799">
        <f t="shared" si="1"/>
      </c>
      <c r="M6799">
        <f t="shared" si="2"/>
      </c>
    </row>
    <row r="6800">
      <c r="G6800" s="9">
        <f t="shared" si="0"/>
      </c>
      <c r="L6800">
        <f t="shared" si="1"/>
      </c>
      <c r="M6800">
        <f t="shared" si="2"/>
      </c>
    </row>
    <row r="6801">
      <c r="G6801" s="9">
        <f t="shared" si="0"/>
      </c>
      <c r="L6801">
        <f t="shared" si="1"/>
      </c>
      <c r="M6801">
        <f t="shared" si="2"/>
      </c>
    </row>
    <row r="6802">
      <c r="G6802" s="9">
        <f t="shared" si="0"/>
      </c>
      <c r="L6802">
        <f t="shared" si="1"/>
      </c>
      <c r="M6802">
        <f t="shared" si="2"/>
      </c>
    </row>
    <row r="6803">
      <c r="G6803" s="9">
        <f t="shared" si="0"/>
      </c>
      <c r="L6803">
        <f t="shared" si="1"/>
      </c>
      <c r="M6803">
        <f t="shared" si="2"/>
      </c>
    </row>
    <row r="6804">
      <c r="G6804" s="9">
        <f t="shared" si="0"/>
      </c>
      <c r="L6804">
        <f t="shared" si="1"/>
      </c>
      <c r="M6804">
        <f t="shared" si="2"/>
      </c>
    </row>
    <row r="6805">
      <c r="G6805" s="9">
        <f t="shared" si="0"/>
      </c>
      <c r="L6805">
        <f t="shared" si="1"/>
      </c>
      <c r="M6805">
        <f t="shared" si="2"/>
      </c>
    </row>
    <row r="6806">
      <c r="G6806" s="9">
        <f t="shared" si="0"/>
      </c>
      <c r="L6806">
        <f t="shared" si="1"/>
      </c>
      <c r="M6806">
        <f t="shared" si="2"/>
      </c>
    </row>
    <row r="6807">
      <c r="G6807" s="9">
        <f t="shared" si="0"/>
      </c>
      <c r="L6807">
        <f t="shared" si="1"/>
      </c>
      <c r="M6807">
        <f t="shared" si="2"/>
      </c>
    </row>
    <row r="6808">
      <c r="G6808" s="9">
        <f t="shared" si="0"/>
      </c>
      <c r="L6808">
        <f t="shared" si="1"/>
      </c>
      <c r="M6808">
        <f t="shared" si="2"/>
      </c>
    </row>
    <row r="6809">
      <c r="G6809" s="9">
        <f t="shared" si="0"/>
      </c>
      <c r="L6809">
        <f t="shared" si="1"/>
      </c>
      <c r="M6809">
        <f t="shared" si="2"/>
      </c>
    </row>
    <row r="6810">
      <c r="G6810" s="9">
        <f t="shared" si="0"/>
      </c>
      <c r="L6810">
        <f t="shared" si="1"/>
      </c>
      <c r="M6810">
        <f t="shared" si="2"/>
      </c>
    </row>
    <row r="6811">
      <c r="G6811" s="9">
        <f t="shared" si="0"/>
      </c>
      <c r="L6811">
        <f t="shared" si="1"/>
      </c>
      <c r="M6811">
        <f t="shared" si="2"/>
      </c>
    </row>
    <row r="6812">
      <c r="G6812" s="9">
        <f t="shared" si="0"/>
      </c>
      <c r="L6812">
        <f t="shared" si="1"/>
      </c>
      <c r="M6812">
        <f t="shared" si="2"/>
      </c>
    </row>
    <row r="6813">
      <c r="G6813" s="9">
        <f t="shared" si="0"/>
      </c>
      <c r="L6813">
        <f t="shared" si="1"/>
      </c>
      <c r="M6813">
        <f t="shared" si="2"/>
      </c>
    </row>
    <row r="6814">
      <c r="G6814" s="9">
        <f t="shared" si="0"/>
      </c>
      <c r="L6814">
        <f t="shared" si="1"/>
      </c>
      <c r="M6814">
        <f t="shared" si="2"/>
      </c>
    </row>
    <row r="6815">
      <c r="G6815" s="9">
        <f t="shared" si="0"/>
      </c>
      <c r="L6815">
        <f t="shared" si="1"/>
      </c>
      <c r="M6815">
        <f t="shared" si="2"/>
      </c>
    </row>
    <row r="6816">
      <c r="G6816" s="9">
        <f t="shared" si="0"/>
      </c>
      <c r="L6816">
        <f t="shared" si="1"/>
      </c>
      <c r="M6816">
        <f t="shared" si="2"/>
      </c>
    </row>
    <row r="6817">
      <c r="G6817" s="9">
        <f t="shared" si="0"/>
      </c>
      <c r="L6817">
        <f t="shared" si="1"/>
      </c>
      <c r="M6817">
        <f t="shared" si="2"/>
      </c>
    </row>
    <row r="6818">
      <c r="G6818" s="9">
        <f t="shared" si="0"/>
      </c>
      <c r="L6818">
        <f t="shared" si="1"/>
      </c>
      <c r="M6818">
        <f t="shared" si="2"/>
      </c>
    </row>
    <row r="6819">
      <c r="G6819" s="9">
        <f t="shared" si="0"/>
      </c>
      <c r="L6819">
        <f t="shared" si="1"/>
      </c>
      <c r="M6819">
        <f t="shared" si="2"/>
      </c>
    </row>
    <row r="6820">
      <c r="G6820" s="9">
        <f t="shared" si="0"/>
      </c>
      <c r="L6820">
        <f t="shared" si="1"/>
      </c>
      <c r="M6820">
        <f t="shared" si="2"/>
      </c>
    </row>
    <row r="6821">
      <c r="G6821" s="9">
        <f t="shared" si="0"/>
      </c>
      <c r="L6821">
        <f t="shared" si="1"/>
      </c>
      <c r="M6821">
        <f t="shared" si="2"/>
      </c>
    </row>
    <row r="6822">
      <c r="G6822" s="9">
        <f t="shared" si="0"/>
      </c>
      <c r="L6822">
        <f t="shared" si="1"/>
      </c>
      <c r="M6822">
        <f t="shared" si="2"/>
      </c>
    </row>
    <row r="6823">
      <c r="G6823" s="9">
        <f t="shared" si="0"/>
      </c>
      <c r="L6823">
        <f t="shared" si="1"/>
      </c>
      <c r="M6823">
        <f t="shared" si="2"/>
      </c>
    </row>
    <row r="6824">
      <c r="G6824" s="9">
        <f t="shared" si="0"/>
      </c>
      <c r="L6824">
        <f t="shared" si="1"/>
      </c>
      <c r="M6824">
        <f t="shared" si="2"/>
      </c>
    </row>
    <row r="6825">
      <c r="G6825" s="9">
        <f t="shared" si="0"/>
      </c>
      <c r="L6825">
        <f t="shared" si="1"/>
      </c>
      <c r="M6825">
        <f t="shared" si="2"/>
      </c>
    </row>
    <row r="6826">
      <c r="G6826" s="9">
        <f t="shared" si="0"/>
      </c>
      <c r="L6826">
        <f t="shared" si="1"/>
      </c>
      <c r="M6826">
        <f t="shared" si="2"/>
      </c>
    </row>
    <row r="6827">
      <c r="G6827" s="9">
        <f t="shared" si="0"/>
      </c>
      <c r="L6827">
        <f t="shared" si="1"/>
      </c>
      <c r="M6827">
        <f t="shared" si="2"/>
      </c>
    </row>
    <row r="6828">
      <c r="G6828" s="9">
        <f t="shared" si="0"/>
      </c>
      <c r="L6828">
        <f t="shared" si="1"/>
      </c>
      <c r="M6828">
        <f t="shared" si="2"/>
      </c>
    </row>
    <row r="6829">
      <c r="G6829" s="9">
        <f t="shared" si="0"/>
      </c>
      <c r="L6829">
        <f t="shared" si="1"/>
      </c>
      <c r="M6829">
        <f t="shared" si="2"/>
      </c>
    </row>
    <row r="6830">
      <c r="G6830" s="9">
        <f t="shared" si="0"/>
      </c>
      <c r="L6830">
        <f t="shared" si="1"/>
      </c>
      <c r="M6830">
        <f t="shared" si="2"/>
      </c>
    </row>
    <row r="6831">
      <c r="G6831" s="9">
        <f t="shared" si="0"/>
      </c>
      <c r="L6831">
        <f t="shared" si="1"/>
      </c>
      <c r="M6831">
        <f t="shared" si="2"/>
      </c>
    </row>
    <row r="6832">
      <c r="G6832" s="9">
        <f t="shared" si="0"/>
      </c>
      <c r="L6832">
        <f t="shared" si="1"/>
      </c>
      <c r="M6832">
        <f t="shared" si="2"/>
      </c>
    </row>
    <row r="6833">
      <c r="G6833" s="9">
        <f t="shared" si="0"/>
      </c>
      <c r="L6833">
        <f t="shared" si="1"/>
      </c>
      <c r="M6833">
        <f t="shared" si="2"/>
      </c>
    </row>
    <row r="6834">
      <c r="G6834" s="9">
        <f t="shared" si="0"/>
      </c>
      <c r="L6834">
        <f t="shared" si="1"/>
      </c>
      <c r="M6834">
        <f t="shared" si="2"/>
      </c>
    </row>
    <row r="6835">
      <c r="G6835" s="9">
        <f t="shared" si="0"/>
      </c>
      <c r="L6835">
        <f t="shared" si="1"/>
      </c>
      <c r="M6835">
        <f t="shared" si="2"/>
      </c>
    </row>
    <row r="6836">
      <c r="G6836" s="9">
        <f t="shared" si="0"/>
      </c>
      <c r="L6836">
        <f t="shared" si="1"/>
      </c>
      <c r="M6836">
        <f t="shared" si="2"/>
      </c>
    </row>
    <row r="6837">
      <c r="G6837" s="9">
        <f t="shared" si="0"/>
      </c>
      <c r="L6837">
        <f t="shared" si="1"/>
      </c>
      <c r="M6837">
        <f t="shared" si="2"/>
      </c>
    </row>
    <row r="6838">
      <c r="G6838" s="9">
        <f t="shared" si="0"/>
      </c>
      <c r="L6838">
        <f t="shared" si="1"/>
      </c>
      <c r="M6838">
        <f t="shared" si="2"/>
      </c>
    </row>
    <row r="6839">
      <c r="G6839" s="9">
        <f t="shared" si="0"/>
      </c>
      <c r="L6839">
        <f t="shared" si="1"/>
      </c>
      <c r="M6839">
        <f t="shared" si="2"/>
      </c>
    </row>
    <row r="6840">
      <c r="G6840" s="9">
        <f t="shared" si="0"/>
      </c>
      <c r="L6840">
        <f t="shared" si="1"/>
      </c>
      <c r="M6840">
        <f t="shared" si="2"/>
      </c>
    </row>
    <row r="6841">
      <c r="G6841" s="9">
        <f t="shared" si="0"/>
      </c>
      <c r="L6841">
        <f t="shared" si="1"/>
      </c>
      <c r="M6841">
        <f t="shared" si="2"/>
      </c>
    </row>
    <row r="6842">
      <c r="G6842" s="9">
        <f t="shared" si="0"/>
      </c>
      <c r="L6842">
        <f t="shared" si="1"/>
      </c>
      <c r="M6842">
        <f t="shared" si="2"/>
      </c>
    </row>
    <row r="6843">
      <c r="G6843" s="9">
        <f t="shared" si="0"/>
      </c>
      <c r="L6843">
        <f t="shared" si="1"/>
      </c>
      <c r="M6843">
        <f t="shared" si="2"/>
      </c>
    </row>
    <row r="6844">
      <c r="G6844" s="9">
        <f t="shared" si="0"/>
      </c>
      <c r="L6844">
        <f t="shared" si="1"/>
      </c>
      <c r="M6844">
        <f t="shared" si="2"/>
      </c>
    </row>
    <row r="6845">
      <c r="G6845" s="9">
        <f t="shared" si="0"/>
      </c>
      <c r="L6845">
        <f t="shared" si="1"/>
      </c>
      <c r="M6845">
        <f t="shared" si="2"/>
      </c>
    </row>
    <row r="6846">
      <c r="G6846" s="9">
        <f t="shared" si="0"/>
      </c>
      <c r="L6846">
        <f t="shared" si="1"/>
      </c>
      <c r="M6846">
        <f t="shared" si="2"/>
      </c>
    </row>
    <row r="6847">
      <c r="G6847" s="9">
        <f t="shared" si="0"/>
      </c>
      <c r="L6847">
        <f t="shared" si="1"/>
      </c>
      <c r="M6847">
        <f t="shared" si="2"/>
      </c>
    </row>
    <row r="6848">
      <c r="G6848" s="9">
        <f t="shared" si="0"/>
      </c>
      <c r="L6848">
        <f t="shared" si="1"/>
      </c>
      <c r="M6848">
        <f t="shared" si="2"/>
      </c>
    </row>
    <row r="6849">
      <c r="G6849" s="9">
        <f t="shared" si="0"/>
      </c>
      <c r="L6849">
        <f t="shared" si="1"/>
      </c>
      <c r="M6849">
        <f t="shared" si="2"/>
      </c>
    </row>
    <row r="6850">
      <c r="G6850" s="9">
        <f t="shared" si="0"/>
      </c>
      <c r="L6850">
        <f t="shared" si="1"/>
      </c>
      <c r="M6850">
        <f t="shared" si="2"/>
      </c>
    </row>
    <row r="6851">
      <c r="G6851" s="9">
        <f t="shared" si="0"/>
      </c>
      <c r="L6851">
        <f t="shared" si="1"/>
      </c>
      <c r="M6851">
        <f t="shared" si="2"/>
      </c>
    </row>
    <row r="6852">
      <c r="G6852" s="9">
        <f t="shared" si="0"/>
      </c>
      <c r="L6852">
        <f t="shared" si="1"/>
      </c>
      <c r="M6852">
        <f t="shared" si="2"/>
      </c>
    </row>
    <row r="6853">
      <c r="G6853" s="9">
        <f t="shared" si="0"/>
      </c>
      <c r="L6853">
        <f t="shared" si="1"/>
      </c>
      <c r="M6853">
        <f t="shared" si="2"/>
      </c>
    </row>
    <row r="6854">
      <c r="G6854" s="9">
        <f t="shared" si="0"/>
      </c>
      <c r="L6854">
        <f t="shared" si="1"/>
      </c>
      <c r="M6854">
        <f t="shared" si="2"/>
      </c>
    </row>
    <row r="6855">
      <c r="G6855" s="9">
        <f t="shared" si="0"/>
      </c>
      <c r="L6855">
        <f t="shared" si="1"/>
      </c>
      <c r="M6855">
        <f t="shared" si="2"/>
      </c>
    </row>
    <row r="6856">
      <c r="G6856" s="9">
        <f t="shared" si="0"/>
      </c>
      <c r="L6856">
        <f t="shared" si="1"/>
      </c>
      <c r="M6856">
        <f t="shared" si="2"/>
      </c>
    </row>
    <row r="6857">
      <c r="G6857" s="9">
        <f t="shared" si="0"/>
      </c>
      <c r="L6857">
        <f t="shared" si="1"/>
      </c>
      <c r="M6857">
        <f t="shared" si="2"/>
      </c>
    </row>
    <row r="6858">
      <c r="G6858" s="9">
        <f t="shared" si="0"/>
      </c>
      <c r="L6858">
        <f t="shared" si="1"/>
      </c>
      <c r="M6858">
        <f t="shared" si="2"/>
      </c>
    </row>
    <row r="6859">
      <c r="G6859" s="9">
        <f t="shared" si="0"/>
      </c>
      <c r="L6859">
        <f t="shared" si="1"/>
      </c>
      <c r="M6859">
        <f t="shared" si="2"/>
      </c>
    </row>
    <row r="6860">
      <c r="G6860" s="9">
        <f t="shared" si="0"/>
      </c>
      <c r="L6860">
        <f t="shared" si="1"/>
      </c>
      <c r="M6860">
        <f t="shared" si="2"/>
      </c>
    </row>
    <row r="6861">
      <c r="G6861" s="9">
        <f t="shared" si="0"/>
      </c>
      <c r="L6861">
        <f t="shared" si="1"/>
      </c>
      <c r="M6861">
        <f t="shared" si="2"/>
      </c>
    </row>
    <row r="6862">
      <c r="G6862" s="9">
        <f t="shared" si="0"/>
      </c>
      <c r="L6862">
        <f t="shared" si="1"/>
      </c>
      <c r="M6862">
        <f t="shared" si="2"/>
      </c>
    </row>
    <row r="6863">
      <c r="G6863" s="9">
        <f t="shared" si="0"/>
      </c>
      <c r="L6863">
        <f t="shared" si="1"/>
      </c>
      <c r="M6863">
        <f t="shared" si="2"/>
      </c>
    </row>
    <row r="6864">
      <c r="G6864" s="9">
        <f t="shared" si="0"/>
      </c>
      <c r="L6864">
        <f t="shared" si="1"/>
      </c>
      <c r="M6864">
        <f t="shared" si="2"/>
      </c>
    </row>
    <row r="6865">
      <c r="G6865" s="9">
        <f t="shared" si="0"/>
      </c>
      <c r="L6865">
        <f t="shared" si="1"/>
      </c>
      <c r="M6865">
        <f t="shared" si="2"/>
      </c>
    </row>
    <row r="6866">
      <c r="G6866" s="9">
        <f t="shared" si="0"/>
      </c>
      <c r="L6866">
        <f t="shared" si="1"/>
      </c>
      <c r="M6866">
        <f t="shared" si="2"/>
      </c>
    </row>
    <row r="6867">
      <c r="G6867" s="9">
        <f t="shared" si="0"/>
      </c>
      <c r="L6867">
        <f t="shared" si="1"/>
      </c>
      <c r="M6867">
        <f t="shared" si="2"/>
      </c>
    </row>
    <row r="6868">
      <c r="G6868" s="9">
        <f t="shared" si="0"/>
      </c>
      <c r="L6868">
        <f t="shared" si="1"/>
      </c>
      <c r="M6868">
        <f t="shared" si="2"/>
      </c>
    </row>
    <row r="6869">
      <c r="G6869" s="9">
        <f t="shared" si="0"/>
      </c>
      <c r="L6869">
        <f t="shared" si="1"/>
      </c>
      <c r="M6869">
        <f t="shared" si="2"/>
      </c>
    </row>
    <row r="6870">
      <c r="G6870" s="9">
        <f t="shared" si="0"/>
      </c>
      <c r="L6870">
        <f t="shared" si="1"/>
      </c>
      <c r="M6870">
        <f t="shared" si="2"/>
      </c>
    </row>
    <row r="6871">
      <c r="G6871" s="9">
        <f t="shared" si="0"/>
      </c>
      <c r="L6871">
        <f t="shared" si="1"/>
      </c>
      <c r="M6871">
        <f t="shared" si="2"/>
      </c>
    </row>
    <row r="6872">
      <c r="G6872" s="9">
        <f t="shared" si="0"/>
      </c>
      <c r="L6872">
        <f t="shared" si="1"/>
      </c>
      <c r="M6872">
        <f t="shared" si="2"/>
      </c>
    </row>
    <row r="6873">
      <c r="G6873" s="9">
        <f t="shared" si="0"/>
      </c>
      <c r="L6873">
        <f t="shared" si="1"/>
      </c>
      <c r="M6873">
        <f t="shared" si="2"/>
      </c>
    </row>
    <row r="6874">
      <c r="G6874" s="9">
        <f t="shared" si="0"/>
      </c>
      <c r="L6874">
        <f t="shared" si="1"/>
      </c>
      <c r="M6874">
        <f t="shared" si="2"/>
      </c>
    </row>
    <row r="6875">
      <c r="G6875" s="9">
        <f t="shared" si="0"/>
      </c>
      <c r="L6875">
        <f t="shared" si="1"/>
      </c>
      <c r="M6875">
        <f t="shared" si="2"/>
      </c>
    </row>
    <row r="6876">
      <c r="G6876" s="9">
        <f t="shared" si="0"/>
      </c>
      <c r="L6876">
        <f t="shared" si="1"/>
      </c>
      <c r="M6876">
        <f t="shared" si="2"/>
      </c>
    </row>
    <row r="6877">
      <c r="G6877" s="9">
        <f t="shared" si="0"/>
      </c>
      <c r="L6877">
        <f t="shared" si="1"/>
      </c>
      <c r="M6877">
        <f t="shared" si="2"/>
      </c>
    </row>
    <row r="6878">
      <c r="G6878" s="9">
        <f t="shared" si="0"/>
      </c>
      <c r="L6878">
        <f t="shared" si="1"/>
      </c>
      <c r="M6878">
        <f t="shared" si="2"/>
      </c>
    </row>
    <row r="6879">
      <c r="G6879" s="9">
        <f t="shared" si="0"/>
      </c>
      <c r="L6879">
        <f t="shared" si="1"/>
      </c>
      <c r="M6879">
        <f t="shared" si="2"/>
      </c>
    </row>
    <row r="6880">
      <c r="G6880" s="9">
        <f t="shared" si="0"/>
      </c>
      <c r="L6880">
        <f t="shared" si="1"/>
      </c>
      <c r="M6880">
        <f t="shared" si="2"/>
      </c>
    </row>
    <row r="6881">
      <c r="G6881" s="9">
        <f t="shared" si="0"/>
      </c>
      <c r="L6881">
        <f t="shared" si="1"/>
      </c>
      <c r="M6881">
        <f t="shared" si="2"/>
      </c>
    </row>
    <row r="6882">
      <c r="G6882" s="9">
        <f t="shared" si="0"/>
      </c>
      <c r="L6882">
        <f t="shared" si="1"/>
      </c>
      <c r="M6882">
        <f t="shared" si="2"/>
      </c>
    </row>
    <row r="6883">
      <c r="G6883" s="9">
        <f t="shared" si="0"/>
      </c>
      <c r="L6883">
        <f t="shared" si="1"/>
      </c>
      <c r="M6883">
        <f t="shared" si="2"/>
      </c>
    </row>
    <row r="6884">
      <c r="G6884" s="9">
        <f t="shared" si="0"/>
      </c>
      <c r="L6884">
        <f t="shared" si="1"/>
      </c>
      <c r="M6884">
        <f t="shared" si="2"/>
      </c>
    </row>
    <row r="6885">
      <c r="G6885" s="9">
        <f t="shared" si="0"/>
      </c>
      <c r="L6885">
        <f t="shared" si="1"/>
      </c>
      <c r="M6885">
        <f t="shared" si="2"/>
      </c>
    </row>
    <row r="6886">
      <c r="G6886" s="9">
        <f t="shared" si="0"/>
      </c>
      <c r="L6886">
        <f t="shared" si="1"/>
      </c>
      <c r="M6886">
        <f t="shared" si="2"/>
      </c>
    </row>
    <row r="6887">
      <c r="G6887" s="9">
        <f t="shared" si="0"/>
      </c>
      <c r="L6887">
        <f t="shared" si="1"/>
      </c>
      <c r="M6887">
        <f t="shared" si="2"/>
      </c>
    </row>
    <row r="6888">
      <c r="G6888" s="9">
        <f t="shared" si="0"/>
      </c>
      <c r="L6888">
        <f t="shared" si="1"/>
      </c>
      <c r="M6888">
        <f t="shared" si="2"/>
      </c>
    </row>
    <row r="6889">
      <c r="G6889" s="9">
        <f t="shared" si="0"/>
      </c>
      <c r="L6889">
        <f t="shared" si="1"/>
      </c>
      <c r="M6889">
        <f t="shared" si="2"/>
      </c>
    </row>
    <row r="6890">
      <c r="G6890" s="9">
        <f t="shared" si="0"/>
      </c>
      <c r="L6890">
        <f t="shared" si="1"/>
      </c>
      <c r="M6890">
        <f t="shared" si="2"/>
      </c>
    </row>
    <row r="6891">
      <c r="G6891" s="9">
        <f t="shared" si="0"/>
      </c>
      <c r="L6891">
        <f t="shared" si="1"/>
      </c>
      <c r="M6891">
        <f t="shared" si="2"/>
      </c>
    </row>
    <row r="6892">
      <c r="G6892" s="9">
        <f t="shared" si="0"/>
      </c>
      <c r="L6892">
        <f t="shared" si="1"/>
      </c>
      <c r="M6892">
        <f t="shared" si="2"/>
      </c>
    </row>
    <row r="6893">
      <c r="G6893" s="9">
        <f t="shared" si="0"/>
      </c>
      <c r="L6893">
        <f t="shared" si="1"/>
      </c>
      <c r="M6893">
        <f t="shared" si="2"/>
      </c>
    </row>
    <row r="6894">
      <c r="G6894" s="9">
        <f t="shared" si="0"/>
      </c>
      <c r="L6894">
        <f t="shared" si="1"/>
      </c>
      <c r="M6894">
        <f t="shared" si="2"/>
      </c>
    </row>
    <row r="6895">
      <c r="G6895" s="9">
        <f t="shared" si="0"/>
      </c>
      <c r="L6895">
        <f t="shared" si="1"/>
      </c>
      <c r="M6895">
        <f t="shared" si="2"/>
      </c>
    </row>
    <row r="6896">
      <c r="G6896" s="9">
        <f t="shared" si="0"/>
      </c>
      <c r="L6896">
        <f t="shared" si="1"/>
      </c>
      <c r="M6896">
        <f t="shared" si="2"/>
      </c>
    </row>
    <row r="6897">
      <c r="G6897" s="9">
        <f t="shared" si="0"/>
      </c>
      <c r="L6897">
        <f t="shared" si="1"/>
      </c>
      <c r="M6897">
        <f t="shared" si="2"/>
      </c>
    </row>
    <row r="6898">
      <c r="G6898" s="9">
        <f t="shared" si="0"/>
      </c>
      <c r="L6898">
        <f t="shared" si="1"/>
      </c>
      <c r="M6898">
        <f t="shared" si="2"/>
      </c>
    </row>
    <row r="6899">
      <c r="G6899" s="9">
        <f t="shared" si="0"/>
      </c>
      <c r="L6899">
        <f t="shared" si="1"/>
      </c>
      <c r="M6899">
        <f t="shared" si="2"/>
      </c>
    </row>
    <row r="6900">
      <c r="G6900" s="9">
        <f t="shared" si="0"/>
      </c>
      <c r="L6900">
        <f t="shared" si="1"/>
      </c>
      <c r="M6900">
        <f t="shared" si="2"/>
      </c>
    </row>
    <row r="6901">
      <c r="G6901" s="9">
        <f t="shared" si="0"/>
      </c>
      <c r="L6901">
        <f t="shared" si="1"/>
      </c>
      <c r="M6901">
        <f t="shared" si="2"/>
      </c>
    </row>
    <row r="6902">
      <c r="G6902" s="9">
        <f t="shared" si="0"/>
      </c>
      <c r="L6902">
        <f t="shared" si="1"/>
      </c>
      <c r="M6902">
        <f t="shared" si="2"/>
      </c>
    </row>
    <row r="6903">
      <c r="G6903" s="9">
        <f t="shared" si="0"/>
      </c>
      <c r="L6903">
        <f t="shared" si="1"/>
      </c>
      <c r="M6903">
        <f t="shared" si="2"/>
      </c>
    </row>
    <row r="6904">
      <c r="G6904" s="9">
        <f t="shared" si="0"/>
      </c>
      <c r="L6904">
        <f t="shared" si="1"/>
      </c>
      <c r="M6904">
        <f t="shared" si="2"/>
      </c>
    </row>
    <row r="6905">
      <c r="G6905" s="9">
        <f t="shared" si="0"/>
      </c>
      <c r="L6905">
        <f t="shared" si="1"/>
      </c>
      <c r="M6905">
        <f t="shared" si="2"/>
      </c>
    </row>
    <row r="6906">
      <c r="G6906" s="9">
        <f t="shared" si="0"/>
      </c>
      <c r="L6906">
        <f t="shared" si="1"/>
      </c>
      <c r="M6906">
        <f t="shared" si="2"/>
      </c>
    </row>
    <row r="6907">
      <c r="G6907" s="9">
        <f t="shared" si="0"/>
      </c>
      <c r="L6907">
        <f t="shared" si="1"/>
      </c>
      <c r="M6907">
        <f t="shared" si="2"/>
      </c>
    </row>
    <row r="6908">
      <c r="G6908" s="9">
        <f t="shared" si="0"/>
      </c>
      <c r="L6908">
        <f t="shared" si="1"/>
      </c>
      <c r="M6908">
        <f t="shared" si="2"/>
      </c>
    </row>
    <row r="6909">
      <c r="G6909" s="9">
        <f t="shared" si="0"/>
      </c>
      <c r="L6909">
        <f t="shared" si="1"/>
      </c>
      <c r="M6909">
        <f t="shared" si="2"/>
      </c>
    </row>
    <row r="6910">
      <c r="G6910" s="9">
        <f t="shared" si="0"/>
      </c>
      <c r="L6910">
        <f t="shared" si="1"/>
      </c>
      <c r="M6910">
        <f t="shared" si="2"/>
      </c>
    </row>
    <row r="6911">
      <c r="G6911" s="9">
        <f t="shared" si="0"/>
      </c>
      <c r="L6911">
        <f t="shared" si="1"/>
      </c>
      <c r="M6911">
        <f t="shared" si="2"/>
      </c>
    </row>
    <row r="6912">
      <c r="G6912" s="9">
        <f t="shared" si="0"/>
      </c>
      <c r="L6912">
        <f t="shared" si="1"/>
      </c>
      <c r="M6912">
        <f t="shared" si="2"/>
      </c>
    </row>
    <row r="6913">
      <c r="G6913" s="9">
        <f t="shared" si="0"/>
      </c>
      <c r="L6913">
        <f t="shared" si="1"/>
      </c>
      <c r="M6913">
        <f t="shared" si="2"/>
      </c>
    </row>
    <row r="6914">
      <c r="G6914" s="9">
        <f t="shared" si="0"/>
      </c>
      <c r="L6914">
        <f t="shared" si="1"/>
      </c>
      <c r="M6914">
        <f t="shared" si="2"/>
      </c>
    </row>
    <row r="6915">
      <c r="G6915" s="9">
        <f t="shared" si="0"/>
      </c>
      <c r="L6915">
        <f t="shared" si="1"/>
      </c>
      <c r="M6915">
        <f t="shared" si="2"/>
      </c>
    </row>
    <row r="6916">
      <c r="G6916" s="9">
        <f t="shared" si="0"/>
      </c>
      <c r="L6916">
        <f t="shared" si="1"/>
      </c>
      <c r="M6916">
        <f t="shared" si="2"/>
      </c>
    </row>
    <row r="6917">
      <c r="G6917" s="9">
        <f t="shared" si="0"/>
      </c>
      <c r="L6917">
        <f t="shared" si="1"/>
      </c>
      <c r="M6917">
        <f t="shared" si="2"/>
      </c>
    </row>
    <row r="6918">
      <c r="G6918" s="9">
        <f t="shared" si="0"/>
      </c>
      <c r="L6918">
        <f t="shared" si="1"/>
      </c>
      <c r="M6918">
        <f t="shared" si="2"/>
      </c>
    </row>
    <row r="6919">
      <c r="G6919" s="9">
        <f t="shared" si="0"/>
      </c>
      <c r="L6919">
        <f t="shared" si="1"/>
      </c>
      <c r="M6919">
        <f t="shared" si="2"/>
      </c>
    </row>
    <row r="6920">
      <c r="G6920" s="9">
        <f t="shared" si="0"/>
      </c>
      <c r="L6920">
        <f t="shared" si="1"/>
      </c>
      <c r="M6920">
        <f t="shared" si="2"/>
      </c>
    </row>
    <row r="6921">
      <c r="G6921" s="9">
        <f t="shared" si="0"/>
      </c>
      <c r="L6921">
        <f t="shared" si="1"/>
      </c>
      <c r="M6921">
        <f t="shared" si="2"/>
      </c>
    </row>
    <row r="6922">
      <c r="G6922" s="9">
        <f t="shared" si="0"/>
      </c>
      <c r="L6922">
        <f t="shared" si="1"/>
      </c>
      <c r="M6922">
        <f t="shared" si="2"/>
      </c>
    </row>
    <row r="6923">
      <c r="G6923" s="9">
        <f t="shared" si="0"/>
      </c>
      <c r="L6923">
        <f t="shared" si="1"/>
      </c>
      <c r="M6923">
        <f t="shared" si="2"/>
      </c>
    </row>
    <row r="6924">
      <c r="G6924" s="9">
        <f t="shared" si="0"/>
      </c>
      <c r="L6924">
        <f t="shared" si="1"/>
      </c>
      <c r="M6924">
        <f t="shared" si="2"/>
      </c>
    </row>
    <row r="6925">
      <c r="G6925" s="9">
        <f t="shared" si="0"/>
      </c>
      <c r="L6925">
        <f t="shared" si="1"/>
      </c>
      <c r="M6925">
        <f t="shared" si="2"/>
      </c>
    </row>
    <row r="6926">
      <c r="G6926" s="9">
        <f t="shared" si="0"/>
      </c>
      <c r="L6926">
        <f t="shared" si="1"/>
      </c>
      <c r="M6926">
        <f t="shared" si="2"/>
      </c>
    </row>
    <row r="6927">
      <c r="G6927" s="9">
        <f t="shared" si="0"/>
      </c>
      <c r="L6927">
        <f t="shared" si="1"/>
      </c>
      <c r="M6927">
        <f t="shared" si="2"/>
      </c>
    </row>
    <row r="6928">
      <c r="G6928" s="9">
        <f t="shared" si="0"/>
      </c>
      <c r="L6928">
        <f t="shared" si="1"/>
      </c>
      <c r="M6928">
        <f t="shared" si="2"/>
      </c>
    </row>
    <row r="6929">
      <c r="G6929" s="9">
        <f t="shared" si="0"/>
      </c>
      <c r="L6929">
        <f t="shared" si="1"/>
      </c>
      <c r="M6929">
        <f t="shared" si="2"/>
      </c>
    </row>
    <row r="6930">
      <c r="G6930" s="9">
        <f t="shared" si="0"/>
      </c>
      <c r="L6930">
        <f t="shared" si="1"/>
      </c>
      <c r="M6930">
        <f t="shared" si="2"/>
      </c>
    </row>
    <row r="6931">
      <c r="G6931" s="9">
        <f t="shared" si="0"/>
      </c>
      <c r="L6931">
        <f t="shared" si="1"/>
      </c>
      <c r="M6931">
        <f t="shared" si="2"/>
      </c>
    </row>
    <row r="6932">
      <c r="G6932" s="9">
        <f t="shared" si="0"/>
      </c>
      <c r="L6932">
        <f t="shared" si="1"/>
      </c>
      <c r="M6932">
        <f t="shared" si="2"/>
      </c>
    </row>
    <row r="6933">
      <c r="G6933" s="9">
        <f t="shared" si="0"/>
      </c>
      <c r="L6933">
        <f t="shared" si="1"/>
      </c>
      <c r="M6933">
        <f t="shared" si="2"/>
      </c>
    </row>
    <row r="6934">
      <c r="G6934" s="9">
        <f t="shared" si="0"/>
      </c>
      <c r="L6934">
        <f t="shared" si="1"/>
      </c>
      <c r="M6934">
        <f t="shared" si="2"/>
      </c>
    </row>
    <row r="6935">
      <c r="G6935" s="9">
        <f t="shared" si="0"/>
      </c>
      <c r="L6935">
        <f t="shared" si="1"/>
      </c>
      <c r="M6935">
        <f t="shared" si="2"/>
      </c>
    </row>
    <row r="6936">
      <c r="G6936" s="9">
        <f t="shared" si="0"/>
      </c>
      <c r="L6936">
        <f t="shared" si="1"/>
      </c>
      <c r="M6936">
        <f t="shared" si="2"/>
      </c>
    </row>
    <row r="6937">
      <c r="G6937" s="9">
        <f t="shared" si="0"/>
      </c>
      <c r="L6937">
        <f t="shared" si="1"/>
      </c>
      <c r="M6937">
        <f t="shared" si="2"/>
      </c>
    </row>
    <row r="6938">
      <c r="G6938" s="9">
        <f t="shared" si="0"/>
      </c>
      <c r="L6938">
        <f t="shared" si="1"/>
      </c>
      <c r="M6938">
        <f t="shared" si="2"/>
      </c>
    </row>
    <row r="6939">
      <c r="G6939" s="9">
        <f t="shared" si="0"/>
      </c>
      <c r="L6939">
        <f t="shared" si="1"/>
      </c>
      <c r="M6939">
        <f t="shared" si="2"/>
      </c>
    </row>
    <row r="6940">
      <c r="G6940" s="9">
        <f t="shared" si="0"/>
      </c>
      <c r="L6940">
        <f t="shared" si="1"/>
      </c>
      <c r="M6940">
        <f t="shared" si="2"/>
      </c>
    </row>
    <row r="6941">
      <c r="G6941" s="9">
        <f t="shared" si="0"/>
      </c>
      <c r="L6941">
        <f t="shared" si="1"/>
      </c>
      <c r="M6941">
        <f t="shared" si="2"/>
      </c>
    </row>
    <row r="6942">
      <c r="G6942" s="9">
        <f t="shared" si="0"/>
      </c>
      <c r="L6942">
        <f t="shared" si="1"/>
      </c>
      <c r="M6942">
        <f t="shared" si="2"/>
      </c>
    </row>
    <row r="6943">
      <c r="G6943" s="9">
        <f t="shared" si="0"/>
      </c>
      <c r="L6943">
        <f t="shared" si="1"/>
      </c>
      <c r="M6943">
        <f t="shared" si="2"/>
      </c>
    </row>
    <row r="6944">
      <c r="G6944" s="9">
        <f t="shared" si="0"/>
      </c>
      <c r="L6944">
        <f t="shared" si="1"/>
      </c>
      <c r="M6944">
        <f t="shared" si="2"/>
      </c>
    </row>
    <row r="6945">
      <c r="G6945" s="9">
        <f t="shared" si="0"/>
      </c>
      <c r="L6945">
        <f t="shared" si="1"/>
      </c>
      <c r="M6945">
        <f t="shared" si="2"/>
      </c>
    </row>
    <row r="6946">
      <c r="G6946" s="9">
        <f t="shared" si="0"/>
      </c>
      <c r="L6946">
        <f t="shared" si="1"/>
      </c>
      <c r="M6946">
        <f t="shared" si="2"/>
      </c>
    </row>
    <row r="6947">
      <c r="G6947" s="9">
        <f t="shared" si="0"/>
      </c>
      <c r="L6947">
        <f t="shared" si="1"/>
      </c>
      <c r="M6947">
        <f t="shared" si="2"/>
      </c>
    </row>
    <row r="6948">
      <c r="G6948" s="9">
        <f t="shared" si="0"/>
      </c>
      <c r="L6948">
        <f t="shared" si="1"/>
      </c>
      <c r="M6948">
        <f t="shared" si="2"/>
      </c>
    </row>
    <row r="6949">
      <c r="G6949" s="9">
        <f t="shared" si="0"/>
      </c>
      <c r="L6949">
        <f t="shared" si="1"/>
      </c>
      <c r="M6949">
        <f t="shared" si="2"/>
      </c>
    </row>
    <row r="6950">
      <c r="G6950" s="9">
        <f t="shared" si="0"/>
      </c>
      <c r="L6950">
        <f t="shared" si="1"/>
      </c>
      <c r="M6950">
        <f t="shared" si="2"/>
      </c>
    </row>
    <row r="6951">
      <c r="G6951" s="9">
        <f t="shared" si="0"/>
      </c>
      <c r="L6951">
        <f t="shared" si="1"/>
      </c>
      <c r="M6951">
        <f t="shared" si="2"/>
      </c>
    </row>
    <row r="6952">
      <c r="G6952" s="9">
        <f t="shared" si="0"/>
      </c>
      <c r="L6952">
        <f t="shared" si="1"/>
      </c>
      <c r="M6952">
        <f t="shared" si="2"/>
      </c>
    </row>
    <row r="6953">
      <c r="G6953" s="9">
        <f t="shared" si="0"/>
      </c>
      <c r="L6953">
        <f t="shared" si="1"/>
      </c>
      <c r="M6953">
        <f t="shared" si="2"/>
      </c>
    </row>
    <row r="6954">
      <c r="G6954" s="9">
        <f t="shared" si="0"/>
      </c>
      <c r="L6954">
        <f t="shared" si="1"/>
      </c>
      <c r="M6954">
        <f t="shared" si="2"/>
      </c>
    </row>
    <row r="6955">
      <c r="G6955" s="9">
        <f t="shared" si="0"/>
      </c>
      <c r="L6955">
        <f t="shared" si="1"/>
      </c>
      <c r="M6955">
        <f t="shared" si="2"/>
      </c>
    </row>
    <row r="6956">
      <c r="G6956" s="9">
        <f t="shared" si="0"/>
      </c>
      <c r="L6956">
        <f t="shared" si="1"/>
      </c>
      <c r="M6956">
        <f t="shared" si="2"/>
      </c>
    </row>
    <row r="6957">
      <c r="G6957" s="9">
        <f t="shared" si="0"/>
      </c>
      <c r="L6957">
        <f t="shared" si="1"/>
      </c>
      <c r="M6957">
        <f t="shared" si="2"/>
      </c>
    </row>
    <row r="6958">
      <c r="G6958" s="9">
        <f t="shared" si="0"/>
      </c>
      <c r="L6958">
        <f t="shared" si="1"/>
      </c>
      <c r="M6958">
        <f t="shared" si="2"/>
      </c>
    </row>
    <row r="6959">
      <c r="G6959" s="9">
        <f t="shared" si="0"/>
      </c>
      <c r="L6959">
        <f t="shared" si="1"/>
      </c>
      <c r="M6959">
        <f t="shared" si="2"/>
      </c>
    </row>
    <row r="6960">
      <c r="G6960" s="9">
        <f t="shared" si="0"/>
      </c>
      <c r="L6960">
        <f t="shared" si="1"/>
      </c>
      <c r="M6960">
        <f t="shared" si="2"/>
      </c>
    </row>
    <row r="6961">
      <c r="G6961" s="9">
        <f t="shared" si="0"/>
      </c>
      <c r="L6961">
        <f t="shared" si="1"/>
      </c>
      <c r="M6961">
        <f t="shared" si="2"/>
      </c>
    </row>
    <row r="6962">
      <c r="G6962" s="9">
        <f t="shared" si="0"/>
      </c>
      <c r="L6962">
        <f t="shared" si="1"/>
      </c>
      <c r="M6962">
        <f t="shared" si="2"/>
      </c>
    </row>
    <row r="6963">
      <c r="G6963" s="9">
        <f t="shared" si="0"/>
      </c>
      <c r="L6963">
        <f t="shared" si="1"/>
      </c>
      <c r="M6963">
        <f t="shared" si="2"/>
      </c>
    </row>
    <row r="6964">
      <c r="G6964" s="9">
        <f t="shared" si="0"/>
      </c>
      <c r="L6964">
        <f t="shared" si="1"/>
      </c>
      <c r="M6964">
        <f t="shared" si="2"/>
      </c>
    </row>
    <row r="6965">
      <c r="G6965" s="9">
        <f t="shared" si="0"/>
      </c>
      <c r="L6965">
        <f t="shared" si="1"/>
      </c>
      <c r="M6965">
        <f t="shared" si="2"/>
      </c>
    </row>
    <row r="6966">
      <c r="G6966" s="9">
        <f t="shared" si="0"/>
      </c>
      <c r="L6966">
        <f t="shared" si="1"/>
      </c>
      <c r="M6966">
        <f t="shared" si="2"/>
      </c>
    </row>
    <row r="6967">
      <c r="G6967" s="9">
        <f t="shared" si="0"/>
      </c>
      <c r="L6967">
        <f t="shared" si="1"/>
      </c>
      <c r="M6967">
        <f t="shared" si="2"/>
      </c>
    </row>
    <row r="6968">
      <c r="G6968" s="9">
        <f t="shared" si="0"/>
      </c>
      <c r="L6968">
        <f t="shared" si="1"/>
      </c>
      <c r="M6968">
        <f t="shared" si="2"/>
      </c>
    </row>
    <row r="6969">
      <c r="G6969" s="9">
        <f t="shared" si="0"/>
      </c>
      <c r="L6969">
        <f t="shared" si="1"/>
      </c>
      <c r="M6969">
        <f t="shared" si="2"/>
      </c>
    </row>
    <row r="6970">
      <c r="G6970" s="9">
        <f t="shared" si="0"/>
      </c>
      <c r="L6970">
        <f t="shared" si="1"/>
      </c>
      <c r="M6970">
        <f t="shared" si="2"/>
      </c>
    </row>
    <row r="6971">
      <c r="G6971" s="9">
        <f t="shared" si="0"/>
      </c>
      <c r="L6971">
        <f t="shared" si="1"/>
      </c>
      <c r="M6971">
        <f t="shared" si="2"/>
      </c>
    </row>
    <row r="6972">
      <c r="G6972" s="9">
        <f t="shared" si="0"/>
      </c>
      <c r="L6972">
        <f t="shared" si="1"/>
      </c>
      <c r="M6972">
        <f t="shared" si="2"/>
      </c>
    </row>
    <row r="6973">
      <c r="G6973" s="9">
        <f t="shared" si="0"/>
      </c>
      <c r="L6973">
        <f t="shared" si="1"/>
      </c>
      <c r="M6973">
        <f t="shared" si="2"/>
      </c>
    </row>
    <row r="6974">
      <c r="G6974" s="9">
        <f t="shared" si="0"/>
      </c>
      <c r="L6974">
        <f t="shared" si="1"/>
      </c>
      <c r="M6974">
        <f t="shared" si="2"/>
      </c>
    </row>
    <row r="6975">
      <c r="G6975" s="9">
        <f t="shared" si="0"/>
      </c>
      <c r="L6975">
        <f t="shared" si="1"/>
      </c>
      <c r="M6975">
        <f t="shared" si="2"/>
      </c>
    </row>
    <row r="6976">
      <c r="G6976" s="9">
        <f t="shared" si="0"/>
      </c>
      <c r="L6976">
        <f t="shared" si="1"/>
      </c>
      <c r="M6976">
        <f t="shared" si="2"/>
      </c>
    </row>
    <row r="6977">
      <c r="G6977" s="9">
        <f t="shared" si="0"/>
      </c>
      <c r="L6977">
        <f t="shared" si="1"/>
      </c>
      <c r="M6977">
        <f t="shared" si="2"/>
      </c>
    </row>
    <row r="6978">
      <c r="G6978" s="9">
        <f t="shared" si="0"/>
      </c>
      <c r="L6978">
        <f t="shared" si="1"/>
      </c>
      <c r="M6978">
        <f t="shared" si="2"/>
      </c>
    </row>
    <row r="6979">
      <c r="G6979" s="9">
        <f t="shared" si="0"/>
      </c>
      <c r="L6979">
        <f t="shared" si="1"/>
      </c>
      <c r="M6979">
        <f t="shared" si="2"/>
      </c>
    </row>
    <row r="6980">
      <c r="G6980" s="9">
        <f t="shared" si="0"/>
      </c>
      <c r="L6980">
        <f t="shared" si="1"/>
      </c>
      <c r="M6980">
        <f t="shared" si="2"/>
      </c>
    </row>
    <row r="6981">
      <c r="G6981" s="9">
        <f t="shared" si="0"/>
      </c>
      <c r="L6981">
        <f t="shared" si="1"/>
      </c>
      <c r="M6981">
        <f t="shared" si="2"/>
      </c>
    </row>
    <row r="6982">
      <c r="G6982" s="9">
        <f t="shared" si="0"/>
      </c>
      <c r="L6982">
        <f t="shared" si="1"/>
      </c>
      <c r="M6982">
        <f t="shared" si="2"/>
      </c>
    </row>
    <row r="6983">
      <c r="G6983" s="9">
        <f t="shared" si="0"/>
      </c>
      <c r="L6983">
        <f t="shared" si="1"/>
      </c>
      <c r="M6983">
        <f t="shared" si="2"/>
      </c>
    </row>
    <row r="6984">
      <c r="G6984" s="9">
        <f t="shared" si="0"/>
      </c>
      <c r="L6984">
        <f t="shared" si="1"/>
      </c>
      <c r="M6984">
        <f t="shared" si="2"/>
      </c>
    </row>
    <row r="6985">
      <c r="G6985" s="9">
        <f t="shared" si="0"/>
      </c>
      <c r="L6985">
        <f t="shared" si="1"/>
      </c>
      <c r="M6985">
        <f t="shared" si="2"/>
      </c>
    </row>
    <row r="6986">
      <c r="G6986" s="9">
        <f t="shared" si="0"/>
      </c>
      <c r="L6986">
        <f t="shared" si="1"/>
      </c>
      <c r="M6986">
        <f t="shared" si="2"/>
      </c>
    </row>
    <row r="6987">
      <c r="G6987" s="9">
        <f t="shared" si="0"/>
      </c>
      <c r="L6987">
        <f t="shared" si="1"/>
      </c>
      <c r="M6987">
        <f t="shared" si="2"/>
      </c>
    </row>
    <row r="6988">
      <c r="G6988" s="9">
        <f t="shared" si="0"/>
      </c>
      <c r="L6988">
        <f t="shared" si="1"/>
      </c>
      <c r="M6988">
        <f t="shared" si="2"/>
      </c>
    </row>
    <row r="6989">
      <c r="G6989" s="9">
        <f t="shared" si="0"/>
      </c>
      <c r="L6989">
        <f t="shared" si="1"/>
      </c>
      <c r="M6989">
        <f t="shared" si="2"/>
      </c>
    </row>
    <row r="6990">
      <c r="G6990" s="9">
        <f t="shared" si="0"/>
      </c>
      <c r="L6990">
        <f t="shared" si="1"/>
      </c>
      <c r="M6990">
        <f t="shared" si="2"/>
      </c>
    </row>
    <row r="6991">
      <c r="G6991" s="9">
        <f t="shared" si="0"/>
      </c>
      <c r="L6991">
        <f t="shared" si="1"/>
      </c>
      <c r="M6991">
        <f t="shared" si="2"/>
      </c>
    </row>
    <row r="6992">
      <c r="G6992" s="9">
        <f t="shared" si="0"/>
      </c>
      <c r="L6992">
        <f t="shared" si="1"/>
      </c>
      <c r="M6992">
        <f t="shared" si="2"/>
      </c>
    </row>
    <row r="6993">
      <c r="G6993" s="9">
        <f t="shared" si="0"/>
      </c>
      <c r="L6993">
        <f t="shared" si="1"/>
      </c>
      <c r="M6993">
        <f t="shared" si="2"/>
      </c>
    </row>
    <row r="6994">
      <c r="G6994" s="9">
        <f t="shared" si="0"/>
      </c>
      <c r="L6994">
        <f t="shared" si="1"/>
      </c>
      <c r="M6994">
        <f t="shared" si="2"/>
      </c>
    </row>
    <row r="6995">
      <c r="G6995" s="9">
        <f t="shared" si="0"/>
      </c>
      <c r="L6995">
        <f t="shared" si="1"/>
      </c>
      <c r="M6995">
        <f t="shared" si="2"/>
      </c>
    </row>
    <row r="6996">
      <c r="G6996" s="9">
        <f t="shared" si="0"/>
      </c>
      <c r="L6996">
        <f t="shared" si="1"/>
      </c>
      <c r="M6996">
        <f t="shared" si="2"/>
      </c>
    </row>
    <row r="6997">
      <c r="G6997" s="9">
        <f t="shared" si="0"/>
      </c>
      <c r="L6997">
        <f t="shared" si="1"/>
      </c>
      <c r="M6997">
        <f t="shared" si="2"/>
      </c>
    </row>
    <row r="6998">
      <c r="G6998" s="9">
        <f t="shared" si="0"/>
      </c>
      <c r="L6998">
        <f t="shared" si="1"/>
      </c>
      <c r="M6998">
        <f t="shared" si="2"/>
      </c>
    </row>
    <row r="6999">
      <c r="G6999" s="9">
        <f t="shared" si="0"/>
      </c>
      <c r="L6999">
        <f t="shared" si="1"/>
      </c>
      <c r="M6999">
        <f t="shared" si="2"/>
      </c>
    </row>
    <row r="7000">
      <c r="G7000" s="9">
        <f t="shared" si="0"/>
      </c>
      <c r="L7000">
        <f t="shared" si="1"/>
      </c>
      <c r="M7000">
        <f t="shared" si="2"/>
      </c>
    </row>
    <row r="7001">
      <c r="G7001" s="9">
        <f t="shared" si="0"/>
      </c>
      <c r="L7001">
        <f t="shared" si="1"/>
      </c>
      <c r="M7001">
        <f t="shared" si="2"/>
      </c>
    </row>
    <row r="7002">
      <c r="G7002" s="9">
        <f t="shared" si="0"/>
      </c>
      <c r="L7002">
        <f t="shared" si="1"/>
      </c>
      <c r="M7002">
        <f t="shared" si="2"/>
      </c>
    </row>
    <row r="7003">
      <c r="G7003" s="9">
        <f t="shared" si="0"/>
      </c>
      <c r="L7003">
        <f t="shared" si="1"/>
      </c>
      <c r="M7003">
        <f t="shared" si="2"/>
      </c>
    </row>
    <row r="7004">
      <c r="G7004" s="9">
        <f t="shared" si="0"/>
      </c>
      <c r="L7004">
        <f t="shared" si="1"/>
      </c>
      <c r="M7004">
        <f t="shared" si="2"/>
      </c>
    </row>
    <row r="7005">
      <c r="G7005" s="9">
        <f t="shared" si="0"/>
      </c>
      <c r="L7005">
        <f t="shared" si="1"/>
      </c>
      <c r="M7005">
        <f t="shared" si="2"/>
      </c>
    </row>
    <row r="7006">
      <c r="G7006" s="9">
        <f t="shared" si="0"/>
      </c>
      <c r="L7006">
        <f t="shared" si="1"/>
      </c>
      <c r="M7006">
        <f t="shared" si="2"/>
      </c>
    </row>
    <row r="7007">
      <c r="G7007" s="9">
        <f t="shared" si="0"/>
      </c>
      <c r="L7007">
        <f t="shared" si="1"/>
      </c>
      <c r="M7007">
        <f t="shared" si="2"/>
      </c>
    </row>
    <row r="7008">
      <c r="G7008" s="9">
        <f t="shared" si="0"/>
      </c>
      <c r="L7008">
        <f t="shared" si="1"/>
      </c>
      <c r="M7008">
        <f t="shared" si="2"/>
      </c>
    </row>
    <row r="7009">
      <c r="G7009" s="9">
        <f t="shared" si="0"/>
      </c>
      <c r="L7009">
        <f t="shared" si="1"/>
      </c>
      <c r="M7009">
        <f t="shared" si="2"/>
      </c>
    </row>
    <row r="7010">
      <c r="G7010" s="9">
        <f t="shared" si="0"/>
      </c>
      <c r="L7010">
        <f t="shared" si="1"/>
      </c>
      <c r="M7010">
        <f t="shared" si="2"/>
      </c>
    </row>
    <row r="7011">
      <c r="G7011" s="9">
        <f t="shared" si="0"/>
      </c>
      <c r="L7011">
        <f t="shared" si="1"/>
      </c>
      <c r="M7011">
        <f t="shared" si="2"/>
      </c>
    </row>
    <row r="7012">
      <c r="G7012" s="9">
        <f t="shared" si="0"/>
      </c>
      <c r="L7012">
        <f t="shared" si="1"/>
      </c>
      <c r="M7012">
        <f t="shared" si="2"/>
      </c>
    </row>
    <row r="7013">
      <c r="G7013" s="9">
        <f t="shared" si="0"/>
      </c>
      <c r="L7013">
        <f t="shared" si="1"/>
      </c>
      <c r="M7013">
        <f t="shared" si="2"/>
      </c>
    </row>
    <row r="7014">
      <c r="G7014" s="9">
        <f t="shared" si="0"/>
      </c>
      <c r="L7014">
        <f t="shared" si="1"/>
      </c>
      <c r="M7014">
        <f t="shared" si="2"/>
      </c>
    </row>
    <row r="7015">
      <c r="G7015" s="9">
        <f t="shared" si="0"/>
      </c>
      <c r="L7015">
        <f t="shared" si="1"/>
      </c>
      <c r="M7015">
        <f t="shared" si="2"/>
      </c>
    </row>
    <row r="7016">
      <c r="G7016" s="9">
        <f t="shared" si="0"/>
      </c>
      <c r="L7016">
        <f t="shared" si="1"/>
      </c>
      <c r="M7016">
        <f t="shared" si="2"/>
      </c>
    </row>
    <row r="7017">
      <c r="G7017" s="9">
        <f t="shared" si="0"/>
      </c>
      <c r="L7017">
        <f t="shared" si="1"/>
      </c>
      <c r="M7017">
        <f t="shared" si="2"/>
      </c>
    </row>
    <row r="7018">
      <c r="G7018" s="9">
        <f t="shared" si="0"/>
      </c>
      <c r="L7018">
        <f t="shared" si="1"/>
      </c>
      <c r="M7018">
        <f t="shared" si="2"/>
      </c>
    </row>
    <row r="7019">
      <c r="G7019" s="9">
        <f t="shared" si="0"/>
      </c>
      <c r="L7019">
        <f t="shared" si="1"/>
      </c>
      <c r="M7019">
        <f t="shared" si="2"/>
      </c>
    </row>
    <row r="7020">
      <c r="G7020" s="9">
        <f t="shared" si="0"/>
      </c>
      <c r="L7020">
        <f t="shared" si="1"/>
      </c>
      <c r="M7020">
        <f t="shared" si="2"/>
      </c>
    </row>
    <row r="7021">
      <c r="G7021" s="9">
        <f t="shared" si="0"/>
      </c>
      <c r="L7021">
        <f t="shared" si="1"/>
      </c>
      <c r="M7021">
        <f t="shared" si="2"/>
      </c>
    </row>
    <row r="7022">
      <c r="G7022" s="9">
        <f t="shared" si="0"/>
      </c>
      <c r="L7022">
        <f t="shared" si="1"/>
      </c>
      <c r="M7022">
        <f t="shared" si="2"/>
      </c>
    </row>
    <row r="7023">
      <c r="G7023" s="9">
        <f t="shared" si="0"/>
      </c>
      <c r="L7023">
        <f t="shared" si="1"/>
      </c>
      <c r="M7023">
        <f t="shared" si="2"/>
      </c>
    </row>
    <row r="7024">
      <c r="G7024" s="9">
        <f t="shared" si="0"/>
      </c>
      <c r="L7024">
        <f t="shared" si="1"/>
      </c>
      <c r="M7024">
        <f t="shared" si="2"/>
      </c>
    </row>
    <row r="7025">
      <c r="G7025" s="9">
        <f t="shared" si="0"/>
      </c>
      <c r="L7025">
        <f t="shared" si="1"/>
      </c>
      <c r="M7025">
        <f t="shared" si="2"/>
      </c>
    </row>
    <row r="7026">
      <c r="G7026" s="9">
        <f t="shared" si="0"/>
      </c>
      <c r="L7026">
        <f t="shared" si="1"/>
      </c>
      <c r="M7026">
        <f t="shared" si="2"/>
      </c>
    </row>
    <row r="7027">
      <c r="G7027" s="9">
        <f t="shared" si="0"/>
      </c>
      <c r="L7027">
        <f t="shared" si="1"/>
      </c>
      <c r="M7027">
        <f t="shared" si="2"/>
      </c>
    </row>
    <row r="7028">
      <c r="G7028" s="9">
        <f t="shared" si="0"/>
      </c>
      <c r="L7028">
        <f t="shared" si="1"/>
      </c>
      <c r="M7028">
        <f t="shared" si="2"/>
      </c>
    </row>
    <row r="7029">
      <c r="G7029" s="9">
        <f t="shared" si="0"/>
      </c>
      <c r="L7029">
        <f t="shared" si="1"/>
      </c>
      <c r="M7029">
        <f t="shared" si="2"/>
      </c>
    </row>
    <row r="7030">
      <c r="G7030" s="9">
        <f t="shared" si="0"/>
      </c>
      <c r="L7030">
        <f t="shared" si="1"/>
      </c>
      <c r="M7030">
        <f t="shared" si="2"/>
      </c>
    </row>
    <row r="7031">
      <c r="G7031" s="9">
        <f t="shared" si="0"/>
      </c>
      <c r="L7031">
        <f t="shared" si="1"/>
      </c>
      <c r="M7031">
        <f t="shared" si="2"/>
      </c>
    </row>
    <row r="7032">
      <c r="G7032" s="9">
        <f t="shared" si="0"/>
      </c>
      <c r="L7032">
        <f t="shared" si="1"/>
      </c>
      <c r="M7032">
        <f t="shared" si="2"/>
      </c>
    </row>
    <row r="7033">
      <c r="G7033" s="9">
        <f t="shared" si="0"/>
      </c>
      <c r="L7033">
        <f t="shared" si="1"/>
      </c>
      <c r="M7033">
        <f t="shared" si="2"/>
      </c>
    </row>
    <row r="7034">
      <c r="G7034" s="9">
        <f t="shared" si="0"/>
      </c>
      <c r="L7034">
        <f t="shared" si="1"/>
      </c>
      <c r="M7034">
        <f t="shared" si="2"/>
      </c>
    </row>
    <row r="7035">
      <c r="G7035" s="9">
        <f t="shared" si="0"/>
      </c>
      <c r="L7035">
        <f t="shared" si="1"/>
      </c>
      <c r="M7035">
        <f t="shared" si="2"/>
      </c>
    </row>
    <row r="7036">
      <c r="G7036" s="9">
        <f t="shared" si="0"/>
      </c>
      <c r="L7036">
        <f t="shared" si="1"/>
      </c>
      <c r="M7036">
        <f t="shared" si="2"/>
      </c>
    </row>
    <row r="7037">
      <c r="G7037" s="9">
        <f t="shared" si="0"/>
      </c>
      <c r="L7037">
        <f t="shared" si="1"/>
      </c>
      <c r="M7037">
        <f t="shared" si="2"/>
      </c>
    </row>
    <row r="7038">
      <c r="G7038" s="9">
        <f t="shared" si="0"/>
      </c>
      <c r="L7038">
        <f t="shared" si="1"/>
      </c>
      <c r="M7038">
        <f t="shared" si="2"/>
      </c>
    </row>
    <row r="7039">
      <c r="G7039" s="9">
        <f t="shared" si="0"/>
      </c>
      <c r="L7039">
        <f t="shared" si="1"/>
      </c>
      <c r="M7039">
        <f t="shared" si="2"/>
      </c>
    </row>
    <row r="7040">
      <c r="G7040" s="9">
        <f t="shared" si="0"/>
      </c>
      <c r="L7040">
        <f t="shared" si="1"/>
      </c>
      <c r="M7040">
        <f t="shared" si="2"/>
      </c>
    </row>
    <row r="7041">
      <c r="G7041" s="9">
        <f t="shared" si="0"/>
      </c>
      <c r="L7041">
        <f t="shared" si="1"/>
      </c>
      <c r="M7041">
        <f t="shared" si="2"/>
      </c>
    </row>
    <row r="7042">
      <c r="G7042" s="9">
        <f t="shared" si="0"/>
      </c>
      <c r="L7042">
        <f t="shared" si="1"/>
      </c>
      <c r="M7042">
        <f t="shared" si="2"/>
      </c>
    </row>
    <row r="7043">
      <c r="G7043" s="9">
        <f t="shared" si="0"/>
      </c>
      <c r="L7043">
        <f t="shared" si="1"/>
      </c>
      <c r="M7043">
        <f t="shared" si="2"/>
      </c>
    </row>
    <row r="7044">
      <c r="G7044" s="9">
        <f t="shared" si="0"/>
      </c>
      <c r="L7044">
        <f t="shared" si="1"/>
      </c>
      <c r="M7044">
        <f t="shared" si="2"/>
      </c>
    </row>
    <row r="7045">
      <c r="G7045" s="9">
        <f t="shared" si="0"/>
      </c>
      <c r="L7045">
        <f t="shared" si="1"/>
      </c>
      <c r="M7045">
        <f t="shared" si="2"/>
      </c>
    </row>
    <row r="7046">
      <c r="G7046" s="9">
        <f t="shared" si="0"/>
      </c>
      <c r="L7046">
        <f t="shared" si="1"/>
      </c>
      <c r="M7046">
        <f t="shared" si="2"/>
      </c>
    </row>
    <row r="7047">
      <c r="G7047" s="9">
        <f t="shared" si="0"/>
      </c>
      <c r="L7047">
        <f t="shared" si="1"/>
      </c>
      <c r="M7047">
        <f t="shared" si="2"/>
      </c>
    </row>
    <row r="7048">
      <c r="G7048" s="9">
        <f t="shared" si="0"/>
      </c>
      <c r="L7048">
        <f t="shared" si="1"/>
      </c>
      <c r="M7048">
        <f t="shared" si="2"/>
      </c>
    </row>
    <row r="7049">
      <c r="G7049" s="9">
        <f t="shared" si="0"/>
      </c>
      <c r="L7049">
        <f t="shared" si="1"/>
      </c>
      <c r="M7049">
        <f t="shared" si="2"/>
      </c>
    </row>
    <row r="7050">
      <c r="G7050" s="9">
        <f t="shared" si="0"/>
      </c>
      <c r="L7050">
        <f t="shared" si="1"/>
      </c>
      <c r="M7050">
        <f t="shared" si="2"/>
      </c>
    </row>
    <row r="7051">
      <c r="G7051" s="9">
        <f t="shared" si="0"/>
      </c>
      <c r="L7051">
        <f t="shared" si="1"/>
      </c>
      <c r="M7051">
        <f t="shared" si="2"/>
      </c>
    </row>
    <row r="7052">
      <c r="G7052" s="9">
        <f t="shared" si="0"/>
      </c>
      <c r="L7052">
        <f t="shared" si="1"/>
      </c>
      <c r="M7052">
        <f t="shared" si="2"/>
      </c>
    </row>
    <row r="7053">
      <c r="G7053" s="9">
        <f t="shared" si="0"/>
      </c>
      <c r="L7053">
        <f t="shared" si="1"/>
      </c>
      <c r="M7053">
        <f t="shared" si="2"/>
      </c>
    </row>
    <row r="7054">
      <c r="G7054" s="9">
        <f t="shared" si="0"/>
      </c>
      <c r="L7054">
        <f t="shared" si="1"/>
      </c>
      <c r="M7054">
        <f t="shared" si="2"/>
      </c>
    </row>
    <row r="7055">
      <c r="G7055" s="9">
        <f t="shared" si="0"/>
      </c>
      <c r="L7055">
        <f t="shared" si="1"/>
      </c>
      <c r="M7055">
        <f t="shared" si="2"/>
      </c>
    </row>
    <row r="7056">
      <c r="G7056" s="9">
        <f t="shared" si="0"/>
      </c>
      <c r="L7056">
        <f t="shared" si="1"/>
      </c>
      <c r="M7056">
        <f t="shared" si="2"/>
      </c>
    </row>
    <row r="7057">
      <c r="G7057" s="9">
        <f t="shared" si="0"/>
      </c>
      <c r="L7057">
        <f t="shared" si="1"/>
      </c>
      <c r="M7057">
        <f t="shared" si="2"/>
      </c>
    </row>
    <row r="7058">
      <c r="G7058" s="9">
        <f t="shared" si="0"/>
      </c>
      <c r="L7058">
        <f t="shared" si="1"/>
      </c>
      <c r="M7058">
        <f t="shared" si="2"/>
      </c>
    </row>
    <row r="7059">
      <c r="G7059" s="9">
        <f t="shared" si="0"/>
      </c>
      <c r="L7059">
        <f t="shared" si="1"/>
      </c>
      <c r="M7059">
        <f t="shared" si="2"/>
      </c>
    </row>
    <row r="7060">
      <c r="G7060" s="9">
        <f t="shared" si="0"/>
      </c>
      <c r="L7060">
        <f t="shared" si="1"/>
      </c>
      <c r="M7060">
        <f t="shared" si="2"/>
      </c>
    </row>
    <row r="7061">
      <c r="G7061" s="9">
        <f t="shared" si="0"/>
      </c>
      <c r="L7061">
        <f t="shared" si="1"/>
      </c>
      <c r="M7061">
        <f t="shared" si="2"/>
      </c>
    </row>
    <row r="7062">
      <c r="G7062" s="9">
        <f t="shared" si="0"/>
      </c>
      <c r="L7062">
        <f t="shared" si="1"/>
      </c>
      <c r="M7062">
        <f t="shared" si="2"/>
      </c>
    </row>
    <row r="7063">
      <c r="G7063" s="9">
        <f t="shared" si="0"/>
      </c>
      <c r="L7063">
        <f t="shared" si="1"/>
      </c>
      <c r="M7063">
        <f t="shared" si="2"/>
      </c>
    </row>
    <row r="7064">
      <c r="G7064" s="9">
        <f t="shared" si="0"/>
      </c>
      <c r="L7064">
        <f t="shared" si="1"/>
      </c>
      <c r="M7064">
        <f t="shared" si="2"/>
      </c>
    </row>
    <row r="7065">
      <c r="G7065" s="9">
        <f t="shared" si="0"/>
      </c>
      <c r="L7065">
        <f t="shared" si="1"/>
      </c>
      <c r="M7065">
        <f t="shared" si="2"/>
      </c>
    </row>
    <row r="7066">
      <c r="G7066" s="9">
        <f t="shared" si="0"/>
      </c>
      <c r="L7066">
        <f t="shared" si="1"/>
      </c>
      <c r="M7066">
        <f t="shared" si="2"/>
      </c>
    </row>
    <row r="7067">
      <c r="G7067" s="9">
        <f t="shared" si="0"/>
      </c>
      <c r="L7067">
        <f t="shared" si="1"/>
      </c>
      <c r="M7067">
        <f t="shared" si="2"/>
      </c>
    </row>
    <row r="7068">
      <c r="G7068" s="9">
        <f t="shared" si="0"/>
      </c>
      <c r="L7068">
        <f t="shared" si="1"/>
      </c>
      <c r="M7068">
        <f t="shared" si="2"/>
      </c>
    </row>
    <row r="7069">
      <c r="G7069" s="9">
        <f t="shared" si="0"/>
      </c>
      <c r="L7069">
        <f t="shared" si="1"/>
      </c>
      <c r="M7069">
        <f t="shared" si="2"/>
      </c>
    </row>
    <row r="7070">
      <c r="G7070" s="9">
        <f t="shared" si="0"/>
      </c>
      <c r="L7070">
        <f t="shared" si="1"/>
      </c>
      <c r="M7070">
        <f t="shared" si="2"/>
      </c>
    </row>
    <row r="7071">
      <c r="G7071" s="9">
        <f t="shared" si="0"/>
      </c>
      <c r="L7071">
        <f t="shared" si="1"/>
      </c>
      <c r="M7071">
        <f t="shared" si="2"/>
      </c>
    </row>
    <row r="7072">
      <c r="G7072" s="9">
        <f t="shared" si="0"/>
      </c>
      <c r="L7072">
        <f t="shared" si="1"/>
      </c>
      <c r="M7072">
        <f t="shared" si="2"/>
      </c>
    </row>
    <row r="7073">
      <c r="G7073" s="9">
        <f t="shared" si="0"/>
      </c>
      <c r="L7073">
        <f t="shared" si="1"/>
      </c>
      <c r="M7073">
        <f t="shared" si="2"/>
      </c>
    </row>
    <row r="7074">
      <c r="G7074" s="9">
        <f t="shared" si="0"/>
      </c>
      <c r="L7074">
        <f t="shared" si="1"/>
      </c>
      <c r="M7074">
        <f t="shared" si="2"/>
      </c>
    </row>
    <row r="7075">
      <c r="G7075" s="9">
        <f t="shared" si="0"/>
      </c>
      <c r="L7075">
        <f t="shared" si="1"/>
      </c>
      <c r="M7075">
        <f t="shared" si="2"/>
      </c>
    </row>
    <row r="7076">
      <c r="G7076" s="9">
        <f t="shared" si="0"/>
      </c>
      <c r="L7076">
        <f t="shared" si="1"/>
      </c>
      <c r="M7076">
        <f t="shared" si="2"/>
      </c>
    </row>
    <row r="7077">
      <c r="G7077" s="9">
        <f t="shared" si="0"/>
      </c>
      <c r="L7077">
        <f t="shared" si="1"/>
      </c>
      <c r="M7077">
        <f t="shared" si="2"/>
      </c>
    </row>
    <row r="7078">
      <c r="G7078" s="9">
        <f t="shared" si="0"/>
      </c>
      <c r="L7078">
        <f t="shared" si="1"/>
      </c>
      <c r="M7078">
        <f t="shared" si="2"/>
      </c>
    </row>
    <row r="7079">
      <c r="G7079" s="9">
        <f t="shared" si="0"/>
      </c>
      <c r="L7079">
        <f t="shared" si="1"/>
      </c>
      <c r="M7079">
        <f t="shared" si="2"/>
      </c>
    </row>
    <row r="7080">
      <c r="G7080" s="9">
        <f t="shared" si="0"/>
      </c>
      <c r="L7080">
        <f t="shared" si="1"/>
      </c>
      <c r="M7080">
        <f t="shared" si="2"/>
      </c>
    </row>
    <row r="7081">
      <c r="G7081" s="9">
        <f t="shared" si="0"/>
      </c>
      <c r="L7081">
        <f t="shared" si="1"/>
      </c>
      <c r="M7081">
        <f t="shared" si="2"/>
      </c>
    </row>
    <row r="7082">
      <c r="G7082" s="9">
        <f t="shared" si="0"/>
      </c>
      <c r="L7082">
        <f t="shared" si="1"/>
      </c>
      <c r="M7082">
        <f t="shared" si="2"/>
      </c>
    </row>
    <row r="7083">
      <c r="G7083" s="9">
        <f t="shared" si="0"/>
      </c>
      <c r="L7083">
        <f t="shared" si="1"/>
      </c>
      <c r="M7083">
        <f t="shared" si="2"/>
      </c>
    </row>
    <row r="7084">
      <c r="G7084" s="9">
        <f t="shared" si="0"/>
      </c>
      <c r="L7084">
        <f t="shared" si="1"/>
      </c>
      <c r="M7084">
        <f t="shared" si="2"/>
      </c>
    </row>
    <row r="7085">
      <c r="G7085" s="9">
        <f t="shared" si="0"/>
      </c>
      <c r="L7085">
        <f t="shared" si="1"/>
      </c>
      <c r="M7085">
        <f t="shared" si="2"/>
      </c>
    </row>
    <row r="7086">
      <c r="G7086" s="9">
        <f t="shared" si="0"/>
      </c>
      <c r="L7086">
        <f t="shared" si="1"/>
      </c>
      <c r="M7086">
        <f t="shared" si="2"/>
      </c>
    </row>
    <row r="7087">
      <c r="G7087" s="9">
        <f t="shared" si="0"/>
      </c>
      <c r="L7087">
        <f t="shared" si="1"/>
      </c>
      <c r="M7087">
        <f t="shared" si="2"/>
      </c>
    </row>
    <row r="7088">
      <c r="G7088" s="9">
        <f t="shared" si="0"/>
      </c>
      <c r="L7088">
        <f t="shared" si="1"/>
      </c>
      <c r="M7088">
        <f t="shared" si="2"/>
      </c>
    </row>
    <row r="7089">
      <c r="G7089" s="9">
        <f t="shared" si="0"/>
      </c>
      <c r="L7089">
        <f t="shared" si="1"/>
      </c>
      <c r="M7089">
        <f t="shared" si="2"/>
      </c>
    </row>
    <row r="7090">
      <c r="G7090" s="9">
        <f t="shared" si="0"/>
      </c>
      <c r="L7090">
        <f t="shared" si="1"/>
      </c>
      <c r="M7090">
        <f t="shared" si="2"/>
      </c>
    </row>
    <row r="7091">
      <c r="G7091" s="9">
        <f t="shared" si="0"/>
      </c>
      <c r="L7091">
        <f t="shared" si="1"/>
      </c>
      <c r="M7091">
        <f t="shared" si="2"/>
      </c>
    </row>
    <row r="7092">
      <c r="G7092" s="9">
        <f t="shared" si="0"/>
      </c>
      <c r="L7092">
        <f t="shared" si="1"/>
      </c>
      <c r="M7092">
        <f t="shared" si="2"/>
      </c>
    </row>
    <row r="7093">
      <c r="G7093" s="9">
        <f t="shared" si="0"/>
      </c>
      <c r="L7093">
        <f t="shared" si="1"/>
      </c>
      <c r="M7093">
        <f t="shared" si="2"/>
      </c>
    </row>
    <row r="7094">
      <c r="G7094" s="9">
        <f t="shared" si="0"/>
      </c>
      <c r="L7094">
        <f t="shared" si="1"/>
      </c>
      <c r="M7094">
        <f t="shared" si="2"/>
      </c>
    </row>
    <row r="7095">
      <c r="G7095" s="9">
        <f t="shared" si="0"/>
      </c>
      <c r="L7095">
        <f t="shared" si="1"/>
      </c>
      <c r="M7095">
        <f t="shared" si="2"/>
      </c>
    </row>
    <row r="7096">
      <c r="G7096" s="9">
        <f t="shared" si="0"/>
      </c>
      <c r="L7096">
        <f t="shared" si="1"/>
      </c>
      <c r="M7096">
        <f t="shared" si="2"/>
      </c>
    </row>
    <row r="7097">
      <c r="G7097" s="9">
        <f t="shared" si="0"/>
      </c>
      <c r="L7097">
        <f t="shared" si="1"/>
      </c>
      <c r="M7097">
        <f t="shared" si="2"/>
      </c>
    </row>
    <row r="7098">
      <c r="G7098" s="9">
        <f t="shared" si="0"/>
      </c>
      <c r="L7098">
        <f t="shared" si="1"/>
      </c>
      <c r="M7098">
        <f t="shared" si="2"/>
      </c>
    </row>
    <row r="7099">
      <c r="G7099" s="9">
        <f t="shared" si="0"/>
      </c>
      <c r="L7099">
        <f t="shared" si="1"/>
      </c>
      <c r="M7099">
        <f t="shared" si="2"/>
      </c>
    </row>
    <row r="7100">
      <c r="G7100" s="9">
        <f t="shared" si="0"/>
      </c>
      <c r="L7100">
        <f t="shared" si="1"/>
      </c>
      <c r="M7100">
        <f t="shared" si="2"/>
      </c>
    </row>
    <row r="7101">
      <c r="G7101" s="9">
        <f t="shared" si="0"/>
      </c>
      <c r="L7101">
        <f t="shared" si="1"/>
      </c>
      <c r="M7101">
        <f t="shared" si="2"/>
      </c>
    </row>
    <row r="7102">
      <c r="G7102" s="9">
        <f t="shared" si="0"/>
      </c>
      <c r="L7102">
        <f t="shared" si="1"/>
      </c>
      <c r="M7102">
        <f t="shared" si="2"/>
      </c>
    </row>
    <row r="7103">
      <c r="G7103" s="9">
        <f t="shared" si="0"/>
      </c>
      <c r="L7103">
        <f t="shared" si="1"/>
      </c>
      <c r="M7103">
        <f t="shared" si="2"/>
      </c>
    </row>
    <row r="7104">
      <c r="G7104" s="9">
        <f t="shared" si="0"/>
      </c>
      <c r="L7104">
        <f t="shared" si="1"/>
      </c>
      <c r="M7104">
        <f t="shared" si="2"/>
      </c>
    </row>
    <row r="7105">
      <c r="G7105" s="9">
        <f t="shared" si="0"/>
      </c>
      <c r="L7105">
        <f t="shared" si="1"/>
      </c>
      <c r="M7105">
        <f t="shared" si="2"/>
      </c>
    </row>
    <row r="7106">
      <c r="G7106" s="9">
        <f t="shared" si="0"/>
      </c>
      <c r="L7106">
        <f t="shared" si="1"/>
      </c>
      <c r="M7106">
        <f t="shared" si="2"/>
      </c>
    </row>
    <row r="7107">
      <c r="G7107" s="9">
        <f t="shared" si="0"/>
      </c>
      <c r="L7107">
        <f t="shared" si="1"/>
      </c>
      <c r="M7107">
        <f t="shared" si="2"/>
      </c>
    </row>
    <row r="7108">
      <c r="G7108" s="9">
        <f t="shared" si="0"/>
      </c>
      <c r="L7108">
        <f t="shared" si="1"/>
      </c>
      <c r="M7108">
        <f t="shared" si="2"/>
      </c>
    </row>
    <row r="7109">
      <c r="G7109" s="9">
        <f t="shared" si="0"/>
      </c>
      <c r="L7109">
        <f t="shared" si="1"/>
      </c>
      <c r="M7109">
        <f t="shared" si="2"/>
      </c>
    </row>
    <row r="7110">
      <c r="G7110" s="9">
        <f t="shared" si="0"/>
      </c>
      <c r="L7110">
        <f t="shared" si="1"/>
      </c>
      <c r="M7110">
        <f t="shared" si="2"/>
      </c>
    </row>
    <row r="7111">
      <c r="G7111" s="9">
        <f t="shared" si="0"/>
      </c>
      <c r="L7111">
        <f t="shared" si="1"/>
      </c>
      <c r="M7111">
        <f t="shared" si="2"/>
      </c>
    </row>
    <row r="7112">
      <c r="G7112" s="9">
        <f t="shared" si="0"/>
      </c>
      <c r="L7112">
        <f t="shared" si="1"/>
      </c>
      <c r="M7112">
        <f t="shared" si="2"/>
      </c>
    </row>
    <row r="7113">
      <c r="G7113" s="9">
        <f t="shared" si="0"/>
      </c>
      <c r="L7113">
        <f t="shared" si="1"/>
      </c>
      <c r="M7113">
        <f t="shared" si="2"/>
      </c>
    </row>
    <row r="7114">
      <c r="G7114" s="9">
        <f t="shared" si="0"/>
      </c>
      <c r="L7114">
        <f t="shared" si="1"/>
      </c>
      <c r="M7114">
        <f t="shared" si="2"/>
      </c>
    </row>
    <row r="7115">
      <c r="G7115" s="9">
        <f t="shared" si="0"/>
      </c>
      <c r="L7115">
        <f t="shared" si="1"/>
      </c>
      <c r="M7115">
        <f t="shared" si="2"/>
      </c>
    </row>
    <row r="7116">
      <c r="G7116" s="9">
        <f t="shared" si="0"/>
      </c>
      <c r="L7116">
        <f t="shared" si="1"/>
      </c>
      <c r="M7116">
        <f t="shared" si="2"/>
      </c>
    </row>
    <row r="7117">
      <c r="G7117" s="9">
        <f t="shared" si="0"/>
      </c>
      <c r="L7117">
        <f t="shared" si="1"/>
      </c>
      <c r="M7117">
        <f t="shared" si="2"/>
      </c>
    </row>
    <row r="7118">
      <c r="G7118" s="9">
        <f t="shared" si="0"/>
      </c>
      <c r="L7118">
        <f t="shared" si="1"/>
      </c>
      <c r="M7118">
        <f t="shared" si="2"/>
      </c>
    </row>
    <row r="7119">
      <c r="G7119" s="9">
        <f t="shared" si="0"/>
      </c>
      <c r="L7119">
        <f t="shared" si="1"/>
      </c>
      <c r="M7119">
        <f t="shared" si="2"/>
      </c>
    </row>
    <row r="7120">
      <c r="G7120" s="9">
        <f t="shared" si="0"/>
      </c>
      <c r="L7120">
        <f t="shared" si="1"/>
      </c>
      <c r="M7120">
        <f t="shared" si="2"/>
      </c>
    </row>
    <row r="7121">
      <c r="G7121" s="9">
        <f t="shared" si="0"/>
      </c>
      <c r="L7121">
        <f t="shared" si="1"/>
      </c>
      <c r="M7121">
        <f t="shared" si="2"/>
      </c>
    </row>
    <row r="7122">
      <c r="G7122" s="9">
        <f t="shared" si="0"/>
      </c>
      <c r="L7122">
        <f t="shared" si="1"/>
      </c>
      <c r="M7122">
        <f t="shared" si="2"/>
      </c>
    </row>
    <row r="7123">
      <c r="G7123" s="9">
        <f t="shared" si="0"/>
      </c>
      <c r="L7123">
        <f t="shared" si="1"/>
      </c>
      <c r="M7123">
        <f t="shared" si="2"/>
      </c>
    </row>
    <row r="7124">
      <c r="G7124" s="9">
        <f t="shared" si="0"/>
      </c>
      <c r="L7124">
        <f t="shared" si="1"/>
      </c>
      <c r="M7124">
        <f t="shared" si="2"/>
      </c>
    </row>
    <row r="7125">
      <c r="G7125" s="9">
        <f t="shared" si="0"/>
      </c>
      <c r="L7125">
        <f t="shared" si="1"/>
      </c>
      <c r="M7125">
        <f t="shared" si="2"/>
      </c>
    </row>
    <row r="7126">
      <c r="G7126" s="9">
        <f t="shared" si="0"/>
      </c>
      <c r="L7126">
        <f t="shared" si="1"/>
      </c>
      <c r="M7126">
        <f t="shared" si="2"/>
      </c>
    </row>
    <row r="7127">
      <c r="G7127" s="9">
        <f t="shared" si="0"/>
      </c>
      <c r="L7127">
        <f t="shared" si="1"/>
      </c>
      <c r="M7127">
        <f t="shared" si="2"/>
      </c>
    </row>
    <row r="7128">
      <c r="G7128" s="9">
        <f t="shared" si="0"/>
      </c>
      <c r="L7128">
        <f t="shared" si="1"/>
      </c>
      <c r="M7128">
        <f t="shared" si="2"/>
      </c>
    </row>
    <row r="7129">
      <c r="G7129" s="9">
        <f t="shared" si="0"/>
      </c>
      <c r="L7129">
        <f t="shared" si="1"/>
      </c>
      <c r="M7129">
        <f t="shared" si="2"/>
      </c>
    </row>
    <row r="7130">
      <c r="G7130" s="9">
        <f t="shared" si="0"/>
      </c>
      <c r="L7130">
        <f t="shared" si="1"/>
      </c>
      <c r="M7130">
        <f t="shared" si="2"/>
      </c>
    </row>
    <row r="7131">
      <c r="G7131" s="9">
        <f t="shared" si="0"/>
      </c>
      <c r="L7131">
        <f t="shared" si="1"/>
      </c>
      <c r="M7131">
        <f t="shared" si="2"/>
      </c>
    </row>
    <row r="7132">
      <c r="G7132" s="9">
        <f t="shared" si="0"/>
      </c>
      <c r="L7132">
        <f t="shared" si="1"/>
      </c>
      <c r="M7132">
        <f t="shared" si="2"/>
      </c>
    </row>
    <row r="7133">
      <c r="G7133" s="9">
        <f t="shared" si="0"/>
      </c>
      <c r="L7133">
        <f t="shared" si="1"/>
      </c>
      <c r="M7133">
        <f t="shared" si="2"/>
      </c>
    </row>
    <row r="7134">
      <c r="G7134" s="9">
        <f t="shared" si="0"/>
      </c>
      <c r="L7134">
        <f t="shared" si="1"/>
      </c>
      <c r="M7134">
        <f t="shared" si="2"/>
      </c>
    </row>
    <row r="7135">
      <c r="G7135" s="9">
        <f t="shared" si="0"/>
      </c>
      <c r="L7135">
        <f t="shared" si="1"/>
      </c>
      <c r="M7135">
        <f t="shared" si="2"/>
      </c>
    </row>
    <row r="7136">
      <c r="G7136" s="9">
        <f t="shared" si="0"/>
      </c>
      <c r="L7136">
        <f t="shared" si="1"/>
      </c>
      <c r="M7136">
        <f t="shared" si="2"/>
      </c>
    </row>
    <row r="7137">
      <c r="G7137" s="9">
        <f t="shared" si="0"/>
      </c>
      <c r="L7137">
        <f t="shared" si="1"/>
      </c>
      <c r="M7137">
        <f t="shared" si="2"/>
      </c>
    </row>
    <row r="7138">
      <c r="G7138" s="9">
        <f t="shared" si="0"/>
      </c>
      <c r="L7138">
        <f t="shared" si="1"/>
      </c>
      <c r="M7138">
        <f t="shared" si="2"/>
      </c>
    </row>
    <row r="7139">
      <c r="G7139" s="9">
        <f t="shared" si="0"/>
      </c>
      <c r="L7139">
        <f t="shared" si="1"/>
      </c>
      <c r="M7139">
        <f t="shared" si="2"/>
      </c>
    </row>
    <row r="7140">
      <c r="G7140" s="9">
        <f t="shared" si="0"/>
      </c>
      <c r="L7140">
        <f t="shared" si="1"/>
      </c>
      <c r="M7140">
        <f t="shared" si="2"/>
      </c>
    </row>
    <row r="7141">
      <c r="G7141" s="9">
        <f t="shared" si="0"/>
      </c>
      <c r="L7141">
        <f t="shared" si="1"/>
      </c>
      <c r="M7141">
        <f t="shared" si="2"/>
      </c>
    </row>
    <row r="7142">
      <c r="G7142" s="9">
        <f t="shared" si="0"/>
      </c>
      <c r="L7142">
        <f t="shared" si="1"/>
      </c>
      <c r="M7142">
        <f t="shared" si="2"/>
      </c>
    </row>
    <row r="7143">
      <c r="G7143" s="9">
        <f t="shared" si="0"/>
      </c>
      <c r="L7143">
        <f t="shared" si="1"/>
      </c>
      <c r="M7143">
        <f t="shared" si="2"/>
      </c>
    </row>
    <row r="7144">
      <c r="G7144" s="9">
        <f t="shared" si="0"/>
      </c>
      <c r="L7144">
        <f t="shared" si="1"/>
      </c>
      <c r="M7144">
        <f t="shared" si="2"/>
      </c>
    </row>
    <row r="7145">
      <c r="G7145" s="9">
        <f t="shared" si="0"/>
      </c>
      <c r="L7145">
        <f t="shared" si="1"/>
      </c>
      <c r="M7145">
        <f t="shared" si="2"/>
      </c>
    </row>
    <row r="7146">
      <c r="G7146" s="9">
        <f t="shared" si="0"/>
      </c>
      <c r="L7146">
        <f t="shared" si="1"/>
      </c>
      <c r="M7146">
        <f t="shared" si="2"/>
      </c>
    </row>
    <row r="7147">
      <c r="G7147" s="9">
        <f t="shared" si="0"/>
      </c>
      <c r="L7147">
        <f t="shared" si="1"/>
      </c>
      <c r="M7147">
        <f t="shared" si="2"/>
      </c>
    </row>
    <row r="7148">
      <c r="G7148" s="9">
        <f t="shared" si="0"/>
      </c>
      <c r="L7148">
        <f t="shared" si="1"/>
      </c>
      <c r="M7148">
        <f t="shared" si="2"/>
      </c>
    </row>
    <row r="7149">
      <c r="G7149" s="9">
        <f t="shared" si="0"/>
      </c>
      <c r="L7149">
        <f t="shared" si="1"/>
      </c>
      <c r="M7149">
        <f t="shared" si="2"/>
      </c>
    </row>
    <row r="7150">
      <c r="G7150" s="9">
        <f t="shared" si="0"/>
      </c>
      <c r="L7150">
        <f t="shared" si="1"/>
      </c>
      <c r="M7150">
        <f t="shared" si="2"/>
      </c>
    </row>
    <row r="7151">
      <c r="G7151" s="9">
        <f t="shared" si="0"/>
      </c>
      <c r="L7151">
        <f t="shared" si="1"/>
      </c>
      <c r="M7151">
        <f t="shared" si="2"/>
      </c>
    </row>
    <row r="7152">
      <c r="G7152" s="9">
        <f t="shared" si="0"/>
      </c>
      <c r="L7152">
        <f t="shared" si="1"/>
      </c>
      <c r="M7152">
        <f t="shared" si="2"/>
      </c>
    </row>
    <row r="7153">
      <c r="G7153" s="9">
        <f t="shared" si="0"/>
      </c>
      <c r="L7153">
        <f t="shared" si="1"/>
      </c>
      <c r="M7153">
        <f t="shared" si="2"/>
      </c>
    </row>
    <row r="7154">
      <c r="G7154" s="9">
        <f t="shared" si="0"/>
      </c>
      <c r="L7154">
        <f t="shared" si="1"/>
      </c>
      <c r="M7154">
        <f t="shared" si="2"/>
      </c>
    </row>
    <row r="7155">
      <c r="G7155" s="9">
        <f t="shared" si="0"/>
      </c>
      <c r="L7155">
        <f t="shared" si="1"/>
      </c>
      <c r="M7155">
        <f t="shared" si="2"/>
      </c>
    </row>
    <row r="7156">
      <c r="G7156" s="9">
        <f t="shared" si="0"/>
      </c>
      <c r="L7156">
        <f t="shared" si="1"/>
      </c>
      <c r="M7156">
        <f t="shared" si="2"/>
      </c>
    </row>
    <row r="7157">
      <c r="G7157" s="9">
        <f t="shared" si="0"/>
      </c>
      <c r="L7157">
        <f t="shared" si="1"/>
      </c>
      <c r="M7157">
        <f t="shared" si="2"/>
      </c>
    </row>
    <row r="7158">
      <c r="G7158" s="9">
        <f t="shared" si="0"/>
      </c>
      <c r="L7158">
        <f t="shared" si="1"/>
      </c>
      <c r="M7158">
        <f t="shared" si="2"/>
      </c>
    </row>
    <row r="7159">
      <c r="G7159" s="9">
        <f t="shared" si="0"/>
      </c>
      <c r="L7159">
        <f t="shared" si="1"/>
      </c>
      <c r="M7159">
        <f t="shared" si="2"/>
      </c>
    </row>
    <row r="7160">
      <c r="G7160" s="9">
        <f t="shared" si="0"/>
      </c>
      <c r="L7160">
        <f t="shared" si="1"/>
      </c>
      <c r="M7160">
        <f t="shared" si="2"/>
      </c>
    </row>
    <row r="7161">
      <c r="G7161" s="9">
        <f t="shared" si="0"/>
      </c>
      <c r="L7161">
        <f t="shared" si="1"/>
      </c>
      <c r="M7161">
        <f t="shared" si="2"/>
      </c>
    </row>
    <row r="7162">
      <c r="G7162" s="9">
        <f t="shared" si="0"/>
      </c>
      <c r="L7162">
        <f t="shared" si="1"/>
      </c>
      <c r="M7162">
        <f t="shared" si="2"/>
      </c>
    </row>
    <row r="7163">
      <c r="G7163" s="9">
        <f t="shared" si="0"/>
      </c>
      <c r="L7163">
        <f t="shared" si="1"/>
      </c>
      <c r="M7163">
        <f t="shared" si="2"/>
      </c>
    </row>
    <row r="7164">
      <c r="G7164" s="9">
        <f t="shared" si="0"/>
      </c>
      <c r="L7164">
        <f t="shared" si="1"/>
      </c>
      <c r="M7164">
        <f t="shared" si="2"/>
      </c>
    </row>
    <row r="7165">
      <c r="G7165" s="9">
        <f t="shared" si="0"/>
      </c>
      <c r="L7165">
        <f t="shared" si="1"/>
      </c>
      <c r="M7165">
        <f t="shared" si="2"/>
      </c>
    </row>
    <row r="7166">
      <c r="G7166" s="9">
        <f t="shared" si="0"/>
      </c>
      <c r="L7166">
        <f t="shared" si="1"/>
      </c>
      <c r="M7166">
        <f t="shared" si="2"/>
      </c>
    </row>
    <row r="7167">
      <c r="G7167" s="9">
        <f t="shared" si="0"/>
      </c>
      <c r="L7167">
        <f t="shared" si="1"/>
      </c>
      <c r="M7167">
        <f t="shared" si="2"/>
      </c>
    </row>
    <row r="7168">
      <c r="G7168" s="9">
        <f t="shared" si="0"/>
      </c>
      <c r="L7168">
        <f t="shared" si="1"/>
      </c>
      <c r="M7168">
        <f t="shared" si="2"/>
      </c>
    </row>
    <row r="7169">
      <c r="G7169" s="9">
        <f t="shared" si="0"/>
      </c>
      <c r="L7169">
        <f t="shared" si="1"/>
      </c>
      <c r="M7169">
        <f t="shared" si="2"/>
      </c>
    </row>
    <row r="7170">
      <c r="G7170" s="9">
        <f t="shared" si="0"/>
      </c>
      <c r="L7170">
        <f t="shared" si="1"/>
      </c>
      <c r="M7170">
        <f t="shared" si="2"/>
      </c>
    </row>
    <row r="7171">
      <c r="G7171" s="9">
        <f t="shared" si="0"/>
      </c>
      <c r="L7171">
        <f t="shared" si="1"/>
      </c>
      <c r="M7171">
        <f t="shared" si="2"/>
      </c>
    </row>
    <row r="7172">
      <c r="G7172" s="9">
        <f t="shared" si="0"/>
      </c>
      <c r="L7172">
        <f t="shared" si="1"/>
      </c>
      <c r="M7172">
        <f t="shared" si="2"/>
      </c>
    </row>
    <row r="7173">
      <c r="G7173" s="9">
        <f t="shared" si="0"/>
      </c>
      <c r="L7173">
        <f t="shared" si="1"/>
      </c>
      <c r="M7173">
        <f t="shared" si="2"/>
      </c>
    </row>
    <row r="7174">
      <c r="G7174" s="9">
        <f t="shared" si="0"/>
      </c>
      <c r="L7174">
        <f t="shared" si="1"/>
      </c>
      <c r="M7174">
        <f t="shared" si="2"/>
      </c>
    </row>
    <row r="7175">
      <c r="G7175" s="9">
        <f t="shared" si="0"/>
      </c>
      <c r="L7175">
        <f t="shared" si="1"/>
      </c>
      <c r="M7175">
        <f t="shared" si="2"/>
      </c>
    </row>
    <row r="7176">
      <c r="G7176" s="9">
        <f t="shared" si="0"/>
      </c>
      <c r="L7176">
        <f t="shared" si="1"/>
      </c>
      <c r="M7176">
        <f t="shared" si="2"/>
      </c>
    </row>
    <row r="7177">
      <c r="G7177" s="9">
        <f t="shared" si="0"/>
      </c>
      <c r="L7177">
        <f t="shared" si="1"/>
      </c>
      <c r="M7177">
        <f t="shared" si="2"/>
      </c>
    </row>
    <row r="7178">
      <c r="G7178" s="9">
        <f t="shared" si="0"/>
      </c>
      <c r="L7178">
        <f t="shared" si="1"/>
      </c>
      <c r="M7178">
        <f t="shared" si="2"/>
      </c>
    </row>
    <row r="7179">
      <c r="G7179" s="9">
        <f t="shared" si="0"/>
      </c>
      <c r="L7179">
        <f t="shared" si="1"/>
      </c>
      <c r="M7179">
        <f t="shared" si="2"/>
      </c>
    </row>
    <row r="7180">
      <c r="G7180" s="9">
        <f t="shared" si="0"/>
      </c>
      <c r="L7180">
        <f t="shared" si="1"/>
      </c>
      <c r="M7180">
        <f t="shared" si="2"/>
      </c>
    </row>
    <row r="7181">
      <c r="G7181" s="9">
        <f t="shared" si="0"/>
      </c>
      <c r="L7181">
        <f t="shared" si="1"/>
      </c>
      <c r="M7181">
        <f t="shared" si="2"/>
      </c>
    </row>
    <row r="7182">
      <c r="G7182" s="9">
        <f t="shared" si="0"/>
      </c>
      <c r="L7182">
        <f t="shared" si="1"/>
      </c>
      <c r="M7182">
        <f t="shared" si="2"/>
      </c>
    </row>
    <row r="7183">
      <c r="G7183" s="9">
        <f t="shared" si="0"/>
      </c>
      <c r="L7183">
        <f t="shared" si="1"/>
      </c>
      <c r="M7183">
        <f t="shared" si="2"/>
      </c>
    </row>
    <row r="7184">
      <c r="G7184" s="9">
        <f t="shared" si="0"/>
      </c>
      <c r="L7184">
        <f t="shared" si="1"/>
      </c>
      <c r="M7184">
        <f t="shared" si="2"/>
      </c>
    </row>
    <row r="7185">
      <c r="G7185" s="9">
        <f t="shared" si="0"/>
      </c>
      <c r="L7185">
        <f t="shared" si="1"/>
      </c>
      <c r="M7185">
        <f t="shared" si="2"/>
      </c>
    </row>
    <row r="7186">
      <c r="G7186" s="9">
        <f t="shared" si="0"/>
      </c>
      <c r="L7186">
        <f t="shared" si="1"/>
      </c>
      <c r="M7186">
        <f t="shared" si="2"/>
      </c>
    </row>
    <row r="7187">
      <c r="G7187" s="9">
        <f t="shared" si="0"/>
      </c>
      <c r="L7187">
        <f t="shared" si="1"/>
      </c>
      <c r="M7187">
        <f t="shared" si="2"/>
      </c>
    </row>
    <row r="7188">
      <c r="G7188" s="9">
        <f t="shared" si="0"/>
      </c>
      <c r="L7188">
        <f t="shared" si="1"/>
      </c>
      <c r="M7188">
        <f t="shared" si="2"/>
      </c>
    </row>
    <row r="7189">
      <c r="G7189" s="9">
        <f t="shared" si="0"/>
      </c>
      <c r="L7189">
        <f t="shared" si="1"/>
      </c>
      <c r="M7189">
        <f t="shared" si="2"/>
      </c>
    </row>
    <row r="7190">
      <c r="G7190" s="9">
        <f t="shared" si="0"/>
      </c>
      <c r="L7190">
        <f t="shared" si="1"/>
      </c>
      <c r="M7190">
        <f t="shared" si="2"/>
      </c>
    </row>
    <row r="7191">
      <c r="G7191" s="9">
        <f t="shared" si="0"/>
      </c>
      <c r="L7191">
        <f t="shared" si="1"/>
      </c>
      <c r="M7191">
        <f t="shared" si="2"/>
      </c>
    </row>
    <row r="7192">
      <c r="G7192" s="9">
        <f t="shared" si="0"/>
      </c>
      <c r="L7192">
        <f t="shared" si="1"/>
      </c>
      <c r="M7192">
        <f t="shared" si="2"/>
      </c>
    </row>
    <row r="7193">
      <c r="G7193" s="9">
        <f t="shared" si="0"/>
      </c>
      <c r="L7193">
        <f t="shared" si="1"/>
      </c>
      <c r="M7193">
        <f t="shared" si="2"/>
      </c>
    </row>
    <row r="7194">
      <c r="G7194" s="9">
        <f t="shared" si="0"/>
      </c>
      <c r="L7194">
        <f t="shared" si="1"/>
      </c>
      <c r="M7194">
        <f t="shared" si="2"/>
      </c>
    </row>
    <row r="7195">
      <c r="G7195" s="9">
        <f t="shared" si="0"/>
      </c>
      <c r="L7195">
        <f t="shared" si="1"/>
      </c>
      <c r="M7195">
        <f t="shared" si="2"/>
      </c>
    </row>
    <row r="7196">
      <c r="G7196" s="9">
        <f t="shared" si="0"/>
      </c>
      <c r="L7196">
        <f t="shared" si="1"/>
      </c>
      <c r="M7196">
        <f t="shared" si="2"/>
      </c>
    </row>
    <row r="7197">
      <c r="G7197" s="9">
        <f t="shared" si="0"/>
      </c>
      <c r="L7197">
        <f t="shared" si="1"/>
      </c>
      <c r="M7197">
        <f t="shared" si="2"/>
      </c>
    </row>
    <row r="7198">
      <c r="G7198" s="9">
        <f t="shared" si="0"/>
      </c>
      <c r="L7198">
        <f t="shared" si="1"/>
      </c>
      <c r="M7198">
        <f t="shared" si="2"/>
      </c>
    </row>
    <row r="7199">
      <c r="G7199" s="9">
        <f t="shared" si="0"/>
      </c>
      <c r="L7199">
        <f t="shared" si="1"/>
      </c>
      <c r="M7199">
        <f t="shared" si="2"/>
      </c>
    </row>
    <row r="7200">
      <c r="G7200" s="9">
        <f t="shared" si="0"/>
      </c>
      <c r="L7200">
        <f t="shared" si="1"/>
      </c>
      <c r="M7200">
        <f t="shared" si="2"/>
      </c>
    </row>
    <row r="7201">
      <c r="G7201" s="9">
        <f t="shared" si="0"/>
      </c>
      <c r="L7201">
        <f t="shared" si="1"/>
      </c>
      <c r="M7201">
        <f t="shared" si="2"/>
      </c>
    </row>
    <row r="7202">
      <c r="G7202" s="9">
        <f t="shared" si="0"/>
      </c>
      <c r="L7202">
        <f t="shared" si="1"/>
      </c>
      <c r="M7202">
        <f t="shared" si="2"/>
      </c>
    </row>
    <row r="7203">
      <c r="G7203" s="9">
        <f t="shared" si="0"/>
      </c>
      <c r="L7203">
        <f t="shared" si="1"/>
      </c>
      <c r="M7203">
        <f t="shared" si="2"/>
      </c>
    </row>
    <row r="7204">
      <c r="G7204" s="9">
        <f t="shared" si="0"/>
      </c>
      <c r="L7204">
        <f t="shared" si="1"/>
      </c>
      <c r="M7204">
        <f t="shared" si="2"/>
      </c>
    </row>
    <row r="7205">
      <c r="G7205" s="9">
        <f t="shared" si="0"/>
      </c>
      <c r="L7205">
        <f t="shared" si="1"/>
      </c>
      <c r="M7205">
        <f t="shared" si="2"/>
      </c>
    </row>
    <row r="7206">
      <c r="G7206" s="9">
        <f t="shared" si="0"/>
      </c>
      <c r="L7206">
        <f t="shared" si="1"/>
      </c>
      <c r="M7206">
        <f t="shared" si="2"/>
      </c>
    </row>
    <row r="7207">
      <c r="G7207" s="9">
        <f t="shared" si="0"/>
      </c>
      <c r="L7207">
        <f t="shared" si="1"/>
      </c>
      <c r="M7207">
        <f t="shared" si="2"/>
      </c>
    </row>
    <row r="7208">
      <c r="G7208" s="9">
        <f t="shared" si="0"/>
      </c>
      <c r="L7208">
        <f t="shared" si="1"/>
      </c>
      <c r="M7208">
        <f t="shared" si="2"/>
      </c>
    </row>
    <row r="7209">
      <c r="G7209" s="9">
        <f t="shared" si="0"/>
      </c>
      <c r="L7209">
        <f t="shared" si="1"/>
      </c>
      <c r="M7209">
        <f t="shared" si="2"/>
      </c>
    </row>
    <row r="7210">
      <c r="G7210" s="9">
        <f t="shared" si="0"/>
      </c>
      <c r="L7210">
        <f t="shared" si="1"/>
      </c>
      <c r="M7210">
        <f t="shared" si="2"/>
      </c>
    </row>
    <row r="7211">
      <c r="G7211" s="9">
        <f t="shared" si="0"/>
      </c>
      <c r="L7211">
        <f t="shared" si="1"/>
      </c>
      <c r="M7211">
        <f t="shared" si="2"/>
      </c>
    </row>
    <row r="7212">
      <c r="G7212" s="9">
        <f t="shared" si="0"/>
      </c>
      <c r="L7212">
        <f t="shared" si="1"/>
      </c>
      <c r="M7212">
        <f t="shared" si="2"/>
      </c>
    </row>
    <row r="7213">
      <c r="G7213" s="9">
        <f t="shared" si="0"/>
      </c>
      <c r="L7213">
        <f t="shared" si="1"/>
      </c>
      <c r="M7213">
        <f t="shared" si="2"/>
      </c>
    </row>
    <row r="7214">
      <c r="G7214" s="9">
        <f t="shared" si="0"/>
      </c>
      <c r="L7214">
        <f t="shared" si="1"/>
      </c>
      <c r="M7214">
        <f t="shared" si="2"/>
      </c>
    </row>
    <row r="7215">
      <c r="G7215" s="9">
        <f t="shared" si="0"/>
      </c>
      <c r="L7215">
        <f t="shared" si="1"/>
      </c>
      <c r="M7215">
        <f t="shared" si="2"/>
      </c>
    </row>
    <row r="7216">
      <c r="G7216" s="9">
        <f t="shared" si="0"/>
      </c>
      <c r="L7216">
        <f t="shared" si="1"/>
      </c>
      <c r="M7216">
        <f t="shared" si="2"/>
      </c>
    </row>
    <row r="7217">
      <c r="G7217" s="9">
        <f t="shared" si="0"/>
      </c>
      <c r="L7217">
        <f t="shared" si="1"/>
      </c>
      <c r="M7217">
        <f t="shared" si="2"/>
      </c>
    </row>
    <row r="7218">
      <c r="G7218" s="9">
        <f t="shared" si="0"/>
      </c>
      <c r="L7218">
        <f t="shared" si="1"/>
      </c>
      <c r="M7218">
        <f t="shared" si="2"/>
      </c>
    </row>
    <row r="7219">
      <c r="G7219" s="9">
        <f t="shared" si="0"/>
      </c>
      <c r="L7219">
        <f t="shared" si="1"/>
      </c>
      <c r="M7219">
        <f t="shared" si="2"/>
      </c>
    </row>
    <row r="7220">
      <c r="G7220" s="9">
        <f t="shared" si="0"/>
      </c>
      <c r="L7220">
        <f t="shared" si="1"/>
      </c>
      <c r="M7220">
        <f t="shared" si="2"/>
      </c>
    </row>
    <row r="7221">
      <c r="G7221" s="9">
        <f t="shared" si="0"/>
      </c>
      <c r="L7221">
        <f t="shared" si="1"/>
      </c>
      <c r="M7221">
        <f t="shared" si="2"/>
      </c>
    </row>
    <row r="7222">
      <c r="G7222" s="9">
        <f t="shared" si="0"/>
      </c>
      <c r="L7222">
        <f t="shared" si="1"/>
      </c>
      <c r="M7222">
        <f t="shared" si="2"/>
      </c>
    </row>
    <row r="7223">
      <c r="G7223" s="9">
        <f t="shared" si="0"/>
      </c>
      <c r="L7223">
        <f t="shared" si="1"/>
      </c>
      <c r="M7223">
        <f t="shared" si="2"/>
      </c>
    </row>
    <row r="7224">
      <c r="G7224" s="9">
        <f t="shared" si="0"/>
      </c>
      <c r="L7224">
        <f t="shared" si="1"/>
      </c>
      <c r="M7224">
        <f t="shared" si="2"/>
      </c>
    </row>
    <row r="7225">
      <c r="G7225" s="9">
        <f t="shared" si="0"/>
      </c>
      <c r="L7225">
        <f t="shared" si="1"/>
      </c>
      <c r="M7225">
        <f t="shared" si="2"/>
      </c>
    </row>
    <row r="7226">
      <c r="G7226" s="9">
        <f t="shared" si="0"/>
      </c>
      <c r="L7226">
        <f t="shared" si="1"/>
      </c>
      <c r="M7226">
        <f t="shared" si="2"/>
      </c>
    </row>
    <row r="7227">
      <c r="G7227" s="9">
        <f t="shared" si="0"/>
      </c>
      <c r="L7227">
        <f t="shared" si="1"/>
      </c>
      <c r="M7227">
        <f t="shared" si="2"/>
      </c>
    </row>
    <row r="7228">
      <c r="G7228" s="9">
        <f t="shared" si="0"/>
      </c>
      <c r="L7228">
        <f t="shared" si="1"/>
      </c>
      <c r="M7228">
        <f t="shared" si="2"/>
      </c>
    </row>
    <row r="7229">
      <c r="G7229" s="9">
        <f t="shared" si="0"/>
      </c>
      <c r="L7229">
        <f t="shared" si="1"/>
      </c>
      <c r="M7229">
        <f t="shared" si="2"/>
      </c>
    </row>
    <row r="7230">
      <c r="G7230" s="9">
        <f t="shared" si="0"/>
      </c>
      <c r="L7230">
        <f t="shared" si="1"/>
      </c>
      <c r="M7230">
        <f t="shared" si="2"/>
      </c>
    </row>
    <row r="7231">
      <c r="G7231" s="9">
        <f t="shared" si="0"/>
      </c>
      <c r="L7231">
        <f t="shared" si="1"/>
      </c>
      <c r="M7231">
        <f t="shared" si="2"/>
      </c>
    </row>
    <row r="7232">
      <c r="G7232" s="9">
        <f t="shared" si="0"/>
      </c>
      <c r="L7232">
        <f t="shared" si="1"/>
      </c>
      <c r="M7232">
        <f t="shared" si="2"/>
      </c>
    </row>
    <row r="7233">
      <c r="G7233" s="9">
        <f t="shared" si="0"/>
      </c>
      <c r="L7233">
        <f t="shared" si="1"/>
      </c>
      <c r="M7233">
        <f t="shared" si="2"/>
      </c>
    </row>
    <row r="7234">
      <c r="G7234" s="9">
        <f t="shared" si="0"/>
      </c>
      <c r="L7234">
        <f t="shared" si="1"/>
      </c>
      <c r="M7234">
        <f t="shared" si="2"/>
      </c>
    </row>
    <row r="7235">
      <c r="G7235" s="9">
        <f t="shared" si="0"/>
      </c>
      <c r="L7235">
        <f t="shared" si="1"/>
      </c>
      <c r="M7235">
        <f t="shared" si="2"/>
      </c>
    </row>
    <row r="7236">
      <c r="G7236" s="9">
        <f t="shared" si="0"/>
      </c>
      <c r="L7236">
        <f t="shared" si="1"/>
      </c>
      <c r="M7236">
        <f t="shared" si="2"/>
      </c>
    </row>
    <row r="7237">
      <c r="G7237" s="9">
        <f t="shared" si="0"/>
      </c>
      <c r="L7237">
        <f t="shared" si="1"/>
      </c>
      <c r="M7237">
        <f t="shared" si="2"/>
      </c>
    </row>
    <row r="7238">
      <c r="G7238" s="9">
        <f t="shared" si="0"/>
      </c>
      <c r="L7238">
        <f t="shared" si="1"/>
      </c>
      <c r="M7238">
        <f t="shared" si="2"/>
      </c>
    </row>
    <row r="7239">
      <c r="G7239" s="9">
        <f t="shared" si="0"/>
      </c>
      <c r="L7239">
        <f t="shared" si="1"/>
      </c>
      <c r="M7239">
        <f t="shared" si="2"/>
      </c>
    </row>
    <row r="7240">
      <c r="G7240" s="9">
        <f t="shared" si="0"/>
      </c>
      <c r="L7240">
        <f t="shared" si="1"/>
      </c>
      <c r="M7240">
        <f t="shared" si="2"/>
      </c>
    </row>
    <row r="7241">
      <c r="G7241" s="9">
        <f t="shared" si="0"/>
      </c>
      <c r="L7241">
        <f t="shared" si="1"/>
      </c>
      <c r="M7241">
        <f t="shared" si="2"/>
      </c>
    </row>
    <row r="7242">
      <c r="G7242" s="9">
        <f t="shared" si="0"/>
      </c>
      <c r="L7242">
        <f t="shared" si="1"/>
      </c>
      <c r="M7242">
        <f t="shared" si="2"/>
      </c>
    </row>
    <row r="7243">
      <c r="G7243" s="9">
        <f t="shared" si="0"/>
      </c>
      <c r="L7243">
        <f t="shared" si="1"/>
      </c>
      <c r="M7243">
        <f t="shared" si="2"/>
      </c>
    </row>
    <row r="7244">
      <c r="G7244" s="9">
        <f t="shared" si="0"/>
      </c>
      <c r="L7244">
        <f t="shared" si="1"/>
      </c>
      <c r="M7244">
        <f t="shared" si="2"/>
      </c>
    </row>
    <row r="7245">
      <c r="G7245" s="9">
        <f t="shared" si="0"/>
      </c>
      <c r="L7245">
        <f t="shared" si="1"/>
      </c>
      <c r="M7245">
        <f t="shared" si="2"/>
      </c>
    </row>
    <row r="7246">
      <c r="G7246" s="9">
        <f t="shared" si="0"/>
      </c>
      <c r="L7246">
        <f t="shared" si="1"/>
      </c>
      <c r="M7246">
        <f t="shared" si="2"/>
      </c>
    </row>
    <row r="7247">
      <c r="G7247" s="9">
        <f t="shared" si="0"/>
      </c>
      <c r="L7247">
        <f t="shared" si="1"/>
      </c>
      <c r="M7247">
        <f t="shared" si="2"/>
      </c>
    </row>
    <row r="7248">
      <c r="G7248" s="9">
        <f t="shared" si="0"/>
      </c>
      <c r="L7248">
        <f t="shared" si="1"/>
      </c>
      <c r="M7248">
        <f t="shared" si="2"/>
      </c>
    </row>
    <row r="7249">
      <c r="G7249" s="9">
        <f t="shared" si="0"/>
      </c>
      <c r="L7249">
        <f t="shared" si="1"/>
      </c>
      <c r="M7249">
        <f t="shared" si="2"/>
      </c>
    </row>
    <row r="7250">
      <c r="G7250" s="9">
        <f t="shared" si="0"/>
      </c>
      <c r="L7250">
        <f t="shared" si="1"/>
      </c>
      <c r="M7250">
        <f t="shared" si="2"/>
      </c>
    </row>
    <row r="7251">
      <c r="G7251" s="9">
        <f t="shared" si="0"/>
      </c>
      <c r="L7251">
        <f t="shared" si="1"/>
      </c>
      <c r="M7251">
        <f t="shared" si="2"/>
      </c>
    </row>
    <row r="7252">
      <c r="G7252" s="9">
        <f t="shared" si="0"/>
      </c>
      <c r="L7252">
        <f t="shared" si="1"/>
      </c>
      <c r="M7252">
        <f t="shared" si="2"/>
      </c>
    </row>
    <row r="7253">
      <c r="G7253" s="9">
        <f t="shared" si="0"/>
      </c>
      <c r="L7253">
        <f t="shared" si="1"/>
      </c>
      <c r="M7253">
        <f t="shared" si="2"/>
      </c>
    </row>
    <row r="7254">
      <c r="G7254" s="9">
        <f t="shared" si="0"/>
      </c>
      <c r="L7254">
        <f t="shared" si="1"/>
      </c>
      <c r="M7254">
        <f t="shared" si="2"/>
      </c>
    </row>
    <row r="7255">
      <c r="G7255" s="9">
        <f t="shared" si="0"/>
      </c>
      <c r="L7255">
        <f t="shared" si="1"/>
      </c>
      <c r="M7255">
        <f t="shared" si="2"/>
      </c>
    </row>
    <row r="7256">
      <c r="G7256" s="9">
        <f t="shared" si="0"/>
      </c>
      <c r="L7256">
        <f t="shared" si="1"/>
      </c>
      <c r="M7256">
        <f t="shared" si="2"/>
      </c>
    </row>
    <row r="7257">
      <c r="G7257" s="9">
        <f t="shared" si="0"/>
      </c>
      <c r="L7257">
        <f t="shared" si="1"/>
      </c>
      <c r="M7257">
        <f t="shared" si="2"/>
      </c>
    </row>
    <row r="7258">
      <c r="G7258" s="9">
        <f t="shared" si="0"/>
      </c>
      <c r="L7258">
        <f t="shared" si="1"/>
      </c>
      <c r="M7258">
        <f t="shared" si="2"/>
      </c>
    </row>
    <row r="7259">
      <c r="G7259" s="9">
        <f t="shared" si="0"/>
      </c>
      <c r="L7259">
        <f t="shared" si="1"/>
      </c>
      <c r="M7259">
        <f t="shared" si="2"/>
      </c>
    </row>
    <row r="7260">
      <c r="G7260" s="9">
        <f t="shared" si="0"/>
      </c>
      <c r="L7260">
        <f t="shared" si="1"/>
      </c>
      <c r="M7260">
        <f t="shared" si="2"/>
      </c>
    </row>
    <row r="7261">
      <c r="G7261" s="9">
        <f t="shared" si="0"/>
      </c>
      <c r="L7261">
        <f t="shared" si="1"/>
      </c>
      <c r="M7261">
        <f t="shared" si="2"/>
      </c>
    </row>
    <row r="7262">
      <c r="G7262" s="9">
        <f t="shared" si="0"/>
      </c>
      <c r="L7262">
        <f t="shared" si="1"/>
      </c>
      <c r="M7262">
        <f t="shared" si="2"/>
      </c>
    </row>
    <row r="7263">
      <c r="G7263" s="9">
        <f t="shared" si="0"/>
      </c>
      <c r="L7263">
        <f t="shared" si="1"/>
      </c>
      <c r="M7263">
        <f t="shared" si="2"/>
      </c>
    </row>
    <row r="7264">
      <c r="G7264" s="9">
        <f t="shared" si="0"/>
      </c>
      <c r="L7264">
        <f t="shared" si="1"/>
      </c>
      <c r="M7264">
        <f t="shared" si="2"/>
      </c>
    </row>
    <row r="7265">
      <c r="G7265" s="9">
        <f t="shared" si="0"/>
      </c>
      <c r="L7265">
        <f t="shared" si="1"/>
      </c>
      <c r="M7265">
        <f t="shared" si="2"/>
      </c>
    </row>
    <row r="7266">
      <c r="G7266" s="9">
        <f t="shared" si="0"/>
      </c>
      <c r="L7266">
        <f t="shared" si="1"/>
      </c>
      <c r="M7266">
        <f t="shared" si="2"/>
      </c>
    </row>
    <row r="7267">
      <c r="G7267" s="9">
        <f t="shared" si="0"/>
      </c>
      <c r="L7267">
        <f t="shared" si="1"/>
      </c>
      <c r="M7267">
        <f t="shared" si="2"/>
      </c>
    </row>
    <row r="7268">
      <c r="G7268" s="9">
        <f t="shared" si="0"/>
      </c>
      <c r="L7268">
        <f t="shared" si="1"/>
      </c>
      <c r="M7268">
        <f t="shared" si="2"/>
      </c>
    </row>
    <row r="7269">
      <c r="G7269" s="9">
        <f t="shared" si="0"/>
      </c>
      <c r="L7269">
        <f t="shared" si="1"/>
      </c>
      <c r="M7269">
        <f t="shared" si="2"/>
      </c>
    </row>
    <row r="7270">
      <c r="G7270" s="9">
        <f t="shared" si="0"/>
      </c>
      <c r="L7270">
        <f t="shared" si="1"/>
      </c>
      <c r="M7270">
        <f t="shared" si="2"/>
      </c>
    </row>
    <row r="7271">
      <c r="G7271" s="9">
        <f t="shared" si="0"/>
      </c>
      <c r="L7271">
        <f t="shared" si="1"/>
      </c>
      <c r="M7271">
        <f t="shared" si="2"/>
      </c>
    </row>
    <row r="7272">
      <c r="G7272" s="9">
        <f t="shared" si="0"/>
      </c>
      <c r="L7272">
        <f t="shared" si="1"/>
      </c>
      <c r="M7272">
        <f t="shared" si="2"/>
      </c>
    </row>
    <row r="7273">
      <c r="G7273" s="9">
        <f t="shared" si="0"/>
      </c>
      <c r="L7273">
        <f t="shared" si="1"/>
      </c>
      <c r="M7273">
        <f t="shared" si="2"/>
      </c>
    </row>
    <row r="7274">
      <c r="G7274" s="9">
        <f t="shared" si="0"/>
      </c>
      <c r="L7274">
        <f t="shared" si="1"/>
      </c>
      <c r="M7274">
        <f t="shared" si="2"/>
      </c>
    </row>
    <row r="7275">
      <c r="G7275" s="9">
        <f t="shared" si="0"/>
      </c>
      <c r="L7275">
        <f t="shared" si="1"/>
      </c>
      <c r="M7275">
        <f t="shared" si="2"/>
      </c>
    </row>
    <row r="7276">
      <c r="G7276" s="9">
        <f t="shared" si="0"/>
      </c>
      <c r="L7276">
        <f t="shared" si="1"/>
      </c>
      <c r="M7276">
        <f t="shared" si="2"/>
      </c>
    </row>
    <row r="7277">
      <c r="G7277" s="9">
        <f t="shared" si="0"/>
      </c>
      <c r="L7277">
        <f t="shared" si="1"/>
      </c>
      <c r="M7277">
        <f t="shared" si="2"/>
      </c>
    </row>
    <row r="7278">
      <c r="G7278" s="9">
        <f t="shared" si="0"/>
      </c>
      <c r="L7278">
        <f t="shared" si="1"/>
      </c>
      <c r="M7278">
        <f t="shared" si="2"/>
      </c>
    </row>
    <row r="7279">
      <c r="G7279" s="9">
        <f t="shared" si="0"/>
      </c>
      <c r="L7279">
        <f t="shared" si="1"/>
      </c>
      <c r="M7279">
        <f t="shared" si="2"/>
      </c>
    </row>
    <row r="7280">
      <c r="G7280" s="9">
        <f t="shared" si="0"/>
      </c>
      <c r="L7280">
        <f t="shared" si="1"/>
      </c>
      <c r="M7280">
        <f t="shared" si="2"/>
      </c>
    </row>
    <row r="7281">
      <c r="G7281" s="9">
        <f t="shared" si="0"/>
      </c>
      <c r="L7281">
        <f t="shared" si="1"/>
      </c>
      <c r="M7281">
        <f t="shared" si="2"/>
      </c>
    </row>
    <row r="7282">
      <c r="G7282" s="9">
        <f t="shared" si="0"/>
      </c>
      <c r="L7282">
        <f t="shared" si="1"/>
      </c>
      <c r="M7282">
        <f t="shared" si="2"/>
      </c>
    </row>
    <row r="7283">
      <c r="G7283" s="9">
        <f t="shared" si="0"/>
      </c>
      <c r="L7283">
        <f t="shared" si="1"/>
      </c>
      <c r="M7283">
        <f t="shared" si="2"/>
      </c>
    </row>
    <row r="7284">
      <c r="G7284" s="9">
        <f t="shared" si="0"/>
      </c>
      <c r="L7284">
        <f t="shared" si="1"/>
      </c>
      <c r="M7284">
        <f t="shared" si="2"/>
      </c>
    </row>
    <row r="7285">
      <c r="G7285" s="9">
        <f t="shared" si="0"/>
      </c>
      <c r="L7285">
        <f t="shared" si="1"/>
      </c>
      <c r="M7285">
        <f t="shared" si="2"/>
      </c>
    </row>
    <row r="7286">
      <c r="G7286" s="9">
        <f t="shared" si="0"/>
      </c>
      <c r="L7286">
        <f t="shared" si="1"/>
      </c>
      <c r="M7286">
        <f t="shared" si="2"/>
      </c>
    </row>
    <row r="7287">
      <c r="G7287" s="9">
        <f t="shared" si="0"/>
      </c>
      <c r="L7287">
        <f t="shared" si="1"/>
      </c>
      <c r="M7287">
        <f t="shared" si="2"/>
      </c>
    </row>
    <row r="7288">
      <c r="G7288" s="9">
        <f t="shared" si="0"/>
      </c>
      <c r="L7288">
        <f t="shared" si="1"/>
      </c>
      <c r="M7288">
        <f t="shared" si="2"/>
      </c>
    </row>
    <row r="7289">
      <c r="G7289" s="9">
        <f t="shared" si="0"/>
      </c>
      <c r="L7289">
        <f t="shared" si="1"/>
      </c>
      <c r="M7289">
        <f t="shared" si="2"/>
      </c>
    </row>
    <row r="7290">
      <c r="G7290" s="9">
        <f t="shared" si="0"/>
      </c>
      <c r="L7290">
        <f t="shared" si="1"/>
      </c>
      <c r="M7290">
        <f t="shared" si="2"/>
      </c>
    </row>
    <row r="7291">
      <c r="G7291" s="9">
        <f t="shared" si="0"/>
      </c>
      <c r="L7291">
        <f t="shared" si="1"/>
      </c>
      <c r="M7291">
        <f t="shared" si="2"/>
      </c>
    </row>
    <row r="7292">
      <c r="G7292" s="9">
        <f t="shared" si="0"/>
      </c>
      <c r="L7292">
        <f t="shared" si="1"/>
      </c>
      <c r="M7292">
        <f t="shared" si="2"/>
      </c>
    </row>
    <row r="7293">
      <c r="G7293" s="9">
        <f t="shared" si="0"/>
      </c>
      <c r="L7293">
        <f t="shared" si="1"/>
      </c>
      <c r="M7293">
        <f t="shared" si="2"/>
      </c>
    </row>
    <row r="7294">
      <c r="G7294" s="9">
        <f t="shared" si="0"/>
      </c>
      <c r="L7294">
        <f t="shared" si="1"/>
      </c>
      <c r="M7294">
        <f t="shared" si="2"/>
      </c>
    </row>
    <row r="7295">
      <c r="G7295" s="9">
        <f t="shared" si="0"/>
      </c>
      <c r="L7295">
        <f t="shared" si="1"/>
      </c>
      <c r="M7295">
        <f t="shared" si="2"/>
      </c>
    </row>
    <row r="7296">
      <c r="G7296" s="9">
        <f t="shared" si="0"/>
      </c>
      <c r="L7296">
        <f t="shared" si="1"/>
      </c>
      <c r="M7296">
        <f t="shared" si="2"/>
      </c>
    </row>
    <row r="7297">
      <c r="G7297" s="9">
        <f t="shared" si="0"/>
      </c>
      <c r="L7297">
        <f t="shared" si="1"/>
      </c>
      <c r="M7297">
        <f t="shared" si="2"/>
      </c>
    </row>
    <row r="7298">
      <c r="G7298" s="9">
        <f t="shared" si="0"/>
      </c>
      <c r="L7298">
        <f t="shared" si="1"/>
      </c>
      <c r="M7298">
        <f t="shared" si="2"/>
      </c>
    </row>
    <row r="7299">
      <c r="G7299" s="9">
        <f t="shared" si="0"/>
      </c>
      <c r="L7299">
        <f t="shared" si="1"/>
      </c>
      <c r="M7299">
        <f t="shared" si="2"/>
      </c>
    </row>
    <row r="7300">
      <c r="G7300" s="9">
        <f t="shared" si="0"/>
      </c>
      <c r="L7300">
        <f t="shared" si="1"/>
      </c>
      <c r="M7300">
        <f t="shared" si="2"/>
      </c>
    </row>
    <row r="7301">
      <c r="G7301" s="9">
        <f t="shared" si="0"/>
      </c>
      <c r="L7301">
        <f t="shared" si="1"/>
      </c>
      <c r="M7301">
        <f t="shared" si="2"/>
      </c>
    </row>
    <row r="7302">
      <c r="G7302" s="9">
        <f t="shared" si="0"/>
      </c>
      <c r="L7302">
        <f t="shared" si="1"/>
      </c>
      <c r="M7302">
        <f t="shared" si="2"/>
      </c>
    </row>
    <row r="7303">
      <c r="G7303" s="9">
        <f t="shared" si="0"/>
      </c>
      <c r="L7303">
        <f t="shared" si="1"/>
      </c>
      <c r="M7303">
        <f t="shared" si="2"/>
      </c>
    </row>
    <row r="7304">
      <c r="G7304" s="9">
        <f t="shared" si="0"/>
      </c>
      <c r="L7304">
        <f t="shared" si="1"/>
      </c>
      <c r="M7304">
        <f t="shared" si="2"/>
      </c>
    </row>
    <row r="7305">
      <c r="G7305" s="9">
        <f t="shared" si="0"/>
      </c>
      <c r="L7305">
        <f t="shared" si="1"/>
      </c>
      <c r="M7305">
        <f t="shared" si="2"/>
      </c>
    </row>
    <row r="7306">
      <c r="G7306" s="9">
        <f t="shared" si="0"/>
      </c>
      <c r="L7306">
        <f t="shared" si="1"/>
      </c>
      <c r="M7306">
        <f t="shared" si="2"/>
      </c>
    </row>
    <row r="7307">
      <c r="G7307" s="9">
        <f t="shared" si="0"/>
      </c>
      <c r="L7307">
        <f t="shared" si="1"/>
      </c>
      <c r="M7307">
        <f t="shared" si="2"/>
      </c>
    </row>
    <row r="7308">
      <c r="G7308" s="9">
        <f t="shared" si="0"/>
      </c>
      <c r="L7308">
        <f t="shared" si="1"/>
      </c>
      <c r="M7308">
        <f t="shared" si="2"/>
      </c>
    </row>
    <row r="7309">
      <c r="G7309" s="9">
        <f t="shared" si="0"/>
      </c>
      <c r="L7309">
        <f t="shared" si="1"/>
      </c>
      <c r="M7309">
        <f t="shared" si="2"/>
      </c>
    </row>
    <row r="7310">
      <c r="G7310" s="9">
        <f t="shared" si="0"/>
      </c>
      <c r="L7310">
        <f t="shared" si="1"/>
      </c>
      <c r="M7310">
        <f t="shared" si="2"/>
      </c>
    </row>
    <row r="7311">
      <c r="G7311" s="9">
        <f t="shared" si="0"/>
      </c>
      <c r="L7311">
        <f t="shared" si="1"/>
      </c>
      <c r="M7311">
        <f t="shared" si="2"/>
      </c>
    </row>
    <row r="7312">
      <c r="G7312" s="9">
        <f t="shared" si="0"/>
      </c>
      <c r="L7312">
        <f t="shared" si="1"/>
      </c>
      <c r="M7312">
        <f t="shared" si="2"/>
      </c>
    </row>
    <row r="7313">
      <c r="G7313" s="9">
        <f t="shared" si="0"/>
      </c>
      <c r="L7313">
        <f t="shared" si="1"/>
      </c>
      <c r="M7313">
        <f t="shared" si="2"/>
      </c>
    </row>
    <row r="7314">
      <c r="G7314" s="9">
        <f t="shared" si="0"/>
      </c>
      <c r="L7314">
        <f t="shared" si="1"/>
      </c>
      <c r="M7314">
        <f t="shared" si="2"/>
      </c>
    </row>
    <row r="7315">
      <c r="G7315" s="9">
        <f t="shared" si="0"/>
      </c>
      <c r="L7315">
        <f t="shared" si="1"/>
      </c>
      <c r="M7315">
        <f t="shared" si="2"/>
      </c>
    </row>
    <row r="7316">
      <c r="G7316" s="9">
        <f t="shared" si="0"/>
      </c>
      <c r="L7316">
        <f t="shared" si="1"/>
      </c>
      <c r="M7316">
        <f t="shared" si="2"/>
      </c>
    </row>
    <row r="7317">
      <c r="G7317" s="9">
        <f t="shared" si="0"/>
      </c>
      <c r="L7317">
        <f t="shared" si="1"/>
      </c>
      <c r="M7317">
        <f t="shared" si="2"/>
      </c>
    </row>
    <row r="7318">
      <c r="G7318" s="9">
        <f t="shared" si="0"/>
      </c>
      <c r="L7318">
        <f t="shared" si="1"/>
      </c>
      <c r="M7318">
        <f t="shared" si="2"/>
      </c>
    </row>
    <row r="7319">
      <c r="G7319" s="9">
        <f t="shared" si="0"/>
      </c>
      <c r="L7319">
        <f t="shared" si="1"/>
      </c>
      <c r="M7319">
        <f t="shared" si="2"/>
      </c>
    </row>
    <row r="7320">
      <c r="G7320" s="9">
        <f t="shared" si="0"/>
      </c>
      <c r="L7320">
        <f t="shared" si="1"/>
      </c>
      <c r="M7320">
        <f t="shared" si="2"/>
      </c>
    </row>
    <row r="7321">
      <c r="G7321" s="9">
        <f t="shared" si="0"/>
      </c>
      <c r="L7321">
        <f t="shared" si="1"/>
      </c>
      <c r="M7321">
        <f t="shared" si="2"/>
      </c>
    </row>
    <row r="7322">
      <c r="G7322" s="9">
        <f t="shared" si="0"/>
      </c>
      <c r="L7322">
        <f t="shared" si="1"/>
      </c>
      <c r="M7322">
        <f t="shared" si="2"/>
      </c>
    </row>
    <row r="7323">
      <c r="G7323" s="9">
        <f t="shared" si="0"/>
      </c>
      <c r="L7323">
        <f t="shared" si="1"/>
      </c>
      <c r="M7323">
        <f t="shared" si="2"/>
      </c>
    </row>
    <row r="7324">
      <c r="G7324" s="9">
        <f t="shared" si="0"/>
      </c>
      <c r="L7324">
        <f t="shared" si="1"/>
      </c>
      <c r="M7324">
        <f t="shared" si="2"/>
      </c>
    </row>
    <row r="7325">
      <c r="G7325" s="9">
        <f t="shared" si="0"/>
      </c>
      <c r="L7325">
        <f t="shared" si="1"/>
      </c>
      <c r="M7325">
        <f t="shared" si="2"/>
      </c>
    </row>
    <row r="7326">
      <c r="G7326" s="9">
        <f t="shared" si="0"/>
      </c>
      <c r="L7326">
        <f t="shared" si="1"/>
      </c>
      <c r="M7326">
        <f t="shared" si="2"/>
      </c>
    </row>
    <row r="7327">
      <c r="G7327" s="9">
        <f t="shared" si="0"/>
      </c>
      <c r="L7327">
        <f t="shared" si="1"/>
      </c>
      <c r="M7327">
        <f t="shared" si="2"/>
      </c>
    </row>
    <row r="7328">
      <c r="G7328" s="9">
        <f t="shared" si="0"/>
      </c>
      <c r="L7328">
        <f t="shared" si="1"/>
      </c>
      <c r="M7328">
        <f t="shared" si="2"/>
      </c>
    </row>
    <row r="7329">
      <c r="G7329" s="9">
        <f t="shared" si="0"/>
      </c>
      <c r="L7329">
        <f t="shared" si="1"/>
      </c>
      <c r="M7329">
        <f t="shared" si="2"/>
      </c>
    </row>
    <row r="7330">
      <c r="G7330" s="9">
        <f t="shared" si="0"/>
      </c>
      <c r="L7330">
        <f t="shared" si="1"/>
      </c>
      <c r="M7330">
        <f t="shared" si="2"/>
      </c>
    </row>
    <row r="7331">
      <c r="G7331" s="9">
        <f t="shared" si="0"/>
      </c>
      <c r="L7331">
        <f t="shared" si="1"/>
      </c>
      <c r="M7331">
        <f t="shared" si="2"/>
      </c>
    </row>
    <row r="7332">
      <c r="G7332" s="9">
        <f t="shared" si="0"/>
      </c>
      <c r="L7332">
        <f t="shared" si="1"/>
      </c>
      <c r="M7332">
        <f t="shared" si="2"/>
      </c>
    </row>
    <row r="7333">
      <c r="G7333" s="9">
        <f t="shared" si="0"/>
      </c>
      <c r="L7333">
        <f t="shared" si="1"/>
      </c>
      <c r="M7333">
        <f t="shared" si="2"/>
      </c>
    </row>
    <row r="7334">
      <c r="G7334" s="9">
        <f t="shared" si="0"/>
      </c>
      <c r="L7334">
        <f t="shared" si="1"/>
      </c>
      <c r="M7334">
        <f t="shared" si="2"/>
      </c>
    </row>
    <row r="7335">
      <c r="G7335" s="9">
        <f t="shared" si="0"/>
      </c>
      <c r="L7335">
        <f t="shared" si="1"/>
      </c>
      <c r="M7335">
        <f t="shared" si="2"/>
      </c>
    </row>
    <row r="7336">
      <c r="G7336" s="9">
        <f t="shared" si="0"/>
      </c>
      <c r="L7336">
        <f t="shared" si="1"/>
      </c>
      <c r="M7336">
        <f t="shared" si="2"/>
      </c>
    </row>
    <row r="7337">
      <c r="G7337" s="9">
        <f t="shared" si="0"/>
      </c>
      <c r="L7337">
        <f t="shared" si="1"/>
      </c>
      <c r="M7337">
        <f t="shared" si="2"/>
      </c>
    </row>
    <row r="7338">
      <c r="G7338" s="9">
        <f t="shared" si="0"/>
      </c>
      <c r="L7338">
        <f t="shared" si="1"/>
      </c>
      <c r="M7338">
        <f t="shared" si="2"/>
      </c>
    </row>
    <row r="7339">
      <c r="G7339" s="9">
        <f t="shared" si="0"/>
      </c>
      <c r="L7339">
        <f t="shared" si="1"/>
      </c>
      <c r="M7339">
        <f t="shared" si="2"/>
      </c>
    </row>
    <row r="7340">
      <c r="G7340" s="9">
        <f t="shared" si="0"/>
      </c>
      <c r="L7340">
        <f t="shared" si="1"/>
      </c>
      <c r="M7340">
        <f t="shared" si="2"/>
      </c>
    </row>
    <row r="7341">
      <c r="G7341" s="9">
        <f t="shared" si="0"/>
      </c>
      <c r="L7341">
        <f t="shared" si="1"/>
      </c>
      <c r="M7341">
        <f t="shared" si="2"/>
      </c>
    </row>
    <row r="7342">
      <c r="G7342" s="9">
        <f t="shared" si="0"/>
      </c>
      <c r="L7342">
        <f t="shared" si="1"/>
      </c>
      <c r="M7342">
        <f t="shared" si="2"/>
      </c>
    </row>
    <row r="7343">
      <c r="G7343" s="9">
        <f t="shared" si="0"/>
      </c>
      <c r="L7343">
        <f t="shared" si="1"/>
      </c>
      <c r="M7343">
        <f t="shared" si="2"/>
      </c>
    </row>
    <row r="7344">
      <c r="G7344" s="9">
        <f t="shared" si="0"/>
      </c>
      <c r="L7344">
        <f t="shared" si="1"/>
      </c>
      <c r="M7344">
        <f t="shared" si="2"/>
      </c>
    </row>
    <row r="7345">
      <c r="G7345" s="9">
        <f t="shared" si="0"/>
      </c>
      <c r="L7345">
        <f t="shared" si="1"/>
      </c>
      <c r="M7345">
        <f t="shared" si="2"/>
      </c>
    </row>
    <row r="7346">
      <c r="G7346" s="9">
        <f t="shared" si="0"/>
      </c>
      <c r="L7346">
        <f t="shared" si="1"/>
      </c>
      <c r="M7346">
        <f t="shared" si="2"/>
      </c>
    </row>
    <row r="7347">
      <c r="G7347" s="9">
        <f t="shared" si="0"/>
      </c>
      <c r="L7347">
        <f t="shared" si="1"/>
      </c>
      <c r="M7347">
        <f t="shared" si="2"/>
      </c>
    </row>
    <row r="7348">
      <c r="G7348" s="9">
        <f t="shared" si="0"/>
      </c>
      <c r="L7348">
        <f t="shared" si="1"/>
      </c>
      <c r="M7348">
        <f t="shared" si="2"/>
      </c>
    </row>
    <row r="7349">
      <c r="G7349" s="9">
        <f t="shared" si="0"/>
      </c>
      <c r="L7349">
        <f t="shared" si="1"/>
      </c>
      <c r="M7349">
        <f t="shared" si="2"/>
      </c>
    </row>
    <row r="7350">
      <c r="G7350" s="9">
        <f t="shared" si="0"/>
      </c>
      <c r="L7350">
        <f t="shared" si="1"/>
      </c>
      <c r="M7350">
        <f t="shared" si="2"/>
      </c>
    </row>
    <row r="7351">
      <c r="G7351" s="9">
        <f t="shared" si="0"/>
      </c>
      <c r="L7351">
        <f t="shared" si="1"/>
      </c>
      <c r="M7351">
        <f t="shared" si="2"/>
      </c>
    </row>
    <row r="7352">
      <c r="G7352" s="9">
        <f t="shared" si="0"/>
      </c>
      <c r="L7352">
        <f t="shared" si="1"/>
      </c>
      <c r="M7352">
        <f t="shared" si="2"/>
      </c>
    </row>
    <row r="7353">
      <c r="G7353" s="9">
        <f t="shared" si="0"/>
      </c>
      <c r="L7353">
        <f t="shared" si="1"/>
      </c>
      <c r="M7353">
        <f t="shared" si="2"/>
      </c>
    </row>
    <row r="7354">
      <c r="G7354" s="9">
        <f t="shared" si="0"/>
      </c>
      <c r="L7354">
        <f t="shared" si="1"/>
      </c>
      <c r="M7354">
        <f t="shared" si="2"/>
      </c>
    </row>
    <row r="7355">
      <c r="G7355" s="9">
        <f t="shared" si="0"/>
      </c>
      <c r="L7355">
        <f t="shared" si="1"/>
      </c>
      <c r="M7355">
        <f t="shared" si="2"/>
      </c>
    </row>
    <row r="7356">
      <c r="G7356" s="9">
        <f t="shared" si="0"/>
      </c>
      <c r="L7356">
        <f t="shared" si="1"/>
      </c>
      <c r="M7356">
        <f t="shared" si="2"/>
      </c>
    </row>
    <row r="7357">
      <c r="G7357" s="9">
        <f t="shared" si="0"/>
      </c>
      <c r="L7357">
        <f t="shared" si="1"/>
      </c>
      <c r="M7357">
        <f t="shared" si="2"/>
      </c>
    </row>
    <row r="7358">
      <c r="G7358" s="9">
        <f t="shared" si="0"/>
      </c>
      <c r="L7358">
        <f t="shared" si="1"/>
      </c>
      <c r="M7358">
        <f t="shared" si="2"/>
      </c>
    </row>
    <row r="7359">
      <c r="G7359" s="9">
        <f t="shared" si="0"/>
      </c>
      <c r="L7359">
        <f t="shared" si="1"/>
      </c>
      <c r="M7359">
        <f t="shared" si="2"/>
      </c>
    </row>
    <row r="7360">
      <c r="G7360" s="9">
        <f t="shared" si="0"/>
      </c>
      <c r="L7360">
        <f t="shared" si="1"/>
      </c>
      <c r="M7360">
        <f t="shared" si="2"/>
      </c>
    </row>
    <row r="7361">
      <c r="G7361" s="9">
        <f t="shared" si="0"/>
      </c>
      <c r="L7361">
        <f t="shared" si="1"/>
      </c>
      <c r="M7361">
        <f t="shared" si="2"/>
      </c>
    </row>
    <row r="7362">
      <c r="G7362" s="9">
        <f t="shared" si="0"/>
      </c>
      <c r="L7362">
        <f t="shared" si="1"/>
      </c>
      <c r="M7362">
        <f t="shared" si="2"/>
      </c>
    </row>
    <row r="7363">
      <c r="G7363" s="9">
        <f t="shared" si="0"/>
      </c>
      <c r="L7363">
        <f t="shared" si="1"/>
      </c>
      <c r="M7363">
        <f t="shared" si="2"/>
      </c>
    </row>
    <row r="7364">
      <c r="G7364" s="9">
        <f t="shared" si="0"/>
      </c>
      <c r="L7364">
        <f t="shared" si="1"/>
      </c>
      <c r="M7364">
        <f t="shared" si="2"/>
      </c>
    </row>
    <row r="7365">
      <c r="G7365" s="9">
        <f t="shared" si="0"/>
      </c>
      <c r="L7365">
        <f t="shared" si="1"/>
      </c>
      <c r="M7365">
        <f t="shared" si="2"/>
      </c>
    </row>
    <row r="7366">
      <c r="G7366" s="9">
        <f t="shared" si="0"/>
      </c>
      <c r="L7366">
        <f t="shared" si="1"/>
      </c>
      <c r="M7366">
        <f t="shared" si="2"/>
      </c>
    </row>
    <row r="7367">
      <c r="G7367" s="9">
        <f t="shared" si="0"/>
      </c>
      <c r="L7367">
        <f t="shared" si="1"/>
      </c>
      <c r="M7367">
        <f t="shared" si="2"/>
      </c>
    </row>
    <row r="7368">
      <c r="G7368" s="9">
        <f t="shared" si="0"/>
      </c>
      <c r="L7368">
        <f t="shared" si="1"/>
      </c>
      <c r="M7368">
        <f t="shared" si="2"/>
      </c>
    </row>
    <row r="7369">
      <c r="G7369" s="9">
        <f t="shared" si="0"/>
      </c>
      <c r="L7369">
        <f t="shared" si="1"/>
      </c>
      <c r="M7369">
        <f t="shared" si="2"/>
      </c>
    </row>
    <row r="7370">
      <c r="G7370" s="9">
        <f t="shared" si="0"/>
      </c>
      <c r="L7370">
        <f t="shared" si="1"/>
      </c>
      <c r="M7370">
        <f t="shared" si="2"/>
      </c>
    </row>
    <row r="7371">
      <c r="G7371" s="9">
        <f t="shared" si="0"/>
      </c>
      <c r="L7371">
        <f t="shared" si="1"/>
      </c>
      <c r="M7371">
        <f t="shared" si="2"/>
      </c>
    </row>
    <row r="7372">
      <c r="G7372" s="9">
        <f t="shared" si="0"/>
      </c>
      <c r="L7372">
        <f t="shared" si="1"/>
      </c>
      <c r="M7372">
        <f t="shared" si="2"/>
      </c>
    </row>
    <row r="7373">
      <c r="G7373" s="9">
        <f t="shared" si="0"/>
      </c>
      <c r="L7373">
        <f t="shared" si="1"/>
      </c>
      <c r="M7373">
        <f t="shared" si="2"/>
      </c>
    </row>
    <row r="7374">
      <c r="G7374" s="9">
        <f t="shared" si="0"/>
      </c>
      <c r="L7374">
        <f t="shared" si="1"/>
      </c>
      <c r="M7374">
        <f t="shared" si="2"/>
      </c>
    </row>
    <row r="7375">
      <c r="G7375" s="9">
        <f t="shared" si="0"/>
      </c>
      <c r="L7375">
        <f t="shared" si="1"/>
      </c>
      <c r="M7375">
        <f t="shared" si="2"/>
      </c>
    </row>
    <row r="7376">
      <c r="G7376" s="9">
        <f t="shared" si="0"/>
      </c>
      <c r="L7376">
        <f t="shared" si="1"/>
      </c>
      <c r="M7376">
        <f t="shared" si="2"/>
      </c>
    </row>
    <row r="7377">
      <c r="G7377" s="9">
        <f t="shared" si="0"/>
      </c>
      <c r="L7377">
        <f t="shared" si="1"/>
      </c>
      <c r="M7377">
        <f t="shared" si="2"/>
      </c>
    </row>
    <row r="7378">
      <c r="G7378" s="9">
        <f t="shared" si="0"/>
      </c>
      <c r="L7378">
        <f t="shared" si="1"/>
      </c>
      <c r="M7378">
        <f t="shared" si="2"/>
      </c>
    </row>
    <row r="7379">
      <c r="G7379" s="9">
        <f t="shared" si="0"/>
      </c>
      <c r="L7379">
        <f t="shared" si="1"/>
      </c>
      <c r="M7379">
        <f t="shared" si="2"/>
      </c>
    </row>
    <row r="7380">
      <c r="G7380" s="9">
        <f t="shared" si="0"/>
      </c>
      <c r="L7380">
        <f t="shared" si="1"/>
      </c>
      <c r="M7380">
        <f t="shared" si="2"/>
      </c>
    </row>
    <row r="7381">
      <c r="G7381" s="9">
        <f t="shared" si="0"/>
      </c>
      <c r="L7381">
        <f t="shared" si="1"/>
      </c>
      <c r="M7381">
        <f t="shared" si="2"/>
      </c>
    </row>
    <row r="7382">
      <c r="G7382" s="9">
        <f t="shared" si="0"/>
      </c>
      <c r="L7382">
        <f t="shared" si="1"/>
      </c>
      <c r="M7382">
        <f t="shared" si="2"/>
      </c>
    </row>
    <row r="7383">
      <c r="G7383" s="9">
        <f t="shared" si="0"/>
      </c>
      <c r="L7383">
        <f t="shared" si="1"/>
      </c>
      <c r="M7383">
        <f t="shared" si="2"/>
      </c>
    </row>
    <row r="7384">
      <c r="G7384" s="9">
        <f t="shared" si="0"/>
      </c>
      <c r="L7384">
        <f t="shared" si="1"/>
      </c>
      <c r="M7384">
        <f t="shared" si="2"/>
      </c>
    </row>
    <row r="7385">
      <c r="G7385" s="9">
        <f t="shared" si="0"/>
      </c>
      <c r="L7385">
        <f t="shared" si="1"/>
      </c>
      <c r="M7385">
        <f t="shared" si="2"/>
      </c>
    </row>
    <row r="7386">
      <c r="G7386" s="9">
        <f t="shared" si="0"/>
      </c>
      <c r="L7386">
        <f t="shared" si="1"/>
      </c>
      <c r="M7386">
        <f t="shared" si="2"/>
      </c>
    </row>
    <row r="7387">
      <c r="G7387" s="9">
        <f t="shared" si="0"/>
      </c>
      <c r="L7387">
        <f t="shared" si="1"/>
      </c>
      <c r="M7387">
        <f t="shared" si="2"/>
      </c>
    </row>
    <row r="7388">
      <c r="G7388" s="9">
        <f t="shared" si="0"/>
      </c>
      <c r="L7388">
        <f t="shared" si="1"/>
      </c>
      <c r="M7388">
        <f t="shared" si="2"/>
      </c>
    </row>
    <row r="7389">
      <c r="G7389" s="9">
        <f t="shared" si="0"/>
      </c>
      <c r="L7389">
        <f t="shared" si="1"/>
      </c>
      <c r="M7389">
        <f t="shared" si="2"/>
      </c>
    </row>
    <row r="7390">
      <c r="G7390" s="9">
        <f t="shared" si="0"/>
      </c>
      <c r="L7390">
        <f t="shared" si="1"/>
      </c>
      <c r="M7390">
        <f t="shared" si="2"/>
      </c>
    </row>
    <row r="7391">
      <c r="G7391" s="9">
        <f t="shared" si="0"/>
      </c>
      <c r="L7391">
        <f t="shared" si="1"/>
      </c>
      <c r="M7391">
        <f t="shared" si="2"/>
      </c>
    </row>
    <row r="7392">
      <c r="G7392" s="9">
        <f t="shared" si="0"/>
      </c>
      <c r="L7392">
        <f t="shared" si="1"/>
      </c>
      <c r="M7392">
        <f t="shared" si="2"/>
      </c>
    </row>
    <row r="7393">
      <c r="G7393" s="9">
        <f t="shared" si="0"/>
      </c>
      <c r="L7393">
        <f t="shared" si="1"/>
      </c>
      <c r="M7393">
        <f t="shared" si="2"/>
      </c>
    </row>
    <row r="7394">
      <c r="G7394" s="9">
        <f t="shared" si="0"/>
      </c>
      <c r="L7394">
        <f t="shared" si="1"/>
      </c>
      <c r="M7394">
        <f t="shared" si="2"/>
      </c>
    </row>
    <row r="7395">
      <c r="G7395" s="9">
        <f t="shared" si="0"/>
      </c>
      <c r="L7395">
        <f t="shared" si="1"/>
      </c>
      <c r="M7395">
        <f t="shared" si="2"/>
      </c>
    </row>
    <row r="7396">
      <c r="G7396" s="9">
        <f t="shared" si="0"/>
      </c>
      <c r="L7396">
        <f t="shared" si="1"/>
      </c>
      <c r="M7396">
        <f t="shared" si="2"/>
      </c>
    </row>
    <row r="7397">
      <c r="G7397" s="9">
        <f t="shared" si="0"/>
      </c>
      <c r="L7397">
        <f t="shared" si="1"/>
      </c>
      <c r="M7397">
        <f t="shared" si="2"/>
      </c>
    </row>
    <row r="7398">
      <c r="G7398" s="9">
        <f t="shared" si="0"/>
      </c>
      <c r="L7398">
        <f t="shared" si="1"/>
      </c>
      <c r="M7398">
        <f t="shared" si="2"/>
      </c>
    </row>
    <row r="7399">
      <c r="G7399" s="9">
        <f t="shared" si="0"/>
      </c>
      <c r="L7399">
        <f t="shared" si="1"/>
      </c>
      <c r="M7399">
        <f t="shared" si="2"/>
      </c>
    </row>
    <row r="7400">
      <c r="G7400" s="9">
        <f t="shared" si="0"/>
      </c>
      <c r="L7400">
        <f t="shared" si="1"/>
      </c>
      <c r="M7400">
        <f t="shared" si="2"/>
      </c>
    </row>
    <row r="7401">
      <c r="G7401" s="9">
        <f t="shared" si="0"/>
      </c>
      <c r="L7401">
        <f t="shared" si="1"/>
      </c>
      <c r="M7401">
        <f t="shared" si="2"/>
      </c>
    </row>
    <row r="7402">
      <c r="G7402" s="9">
        <f t="shared" si="0"/>
      </c>
      <c r="L7402">
        <f t="shared" si="1"/>
      </c>
      <c r="M7402">
        <f t="shared" si="2"/>
      </c>
    </row>
    <row r="7403">
      <c r="G7403" s="9">
        <f t="shared" si="0"/>
      </c>
      <c r="L7403">
        <f t="shared" si="1"/>
      </c>
      <c r="M7403">
        <f t="shared" si="2"/>
      </c>
    </row>
    <row r="7404">
      <c r="G7404" s="9">
        <f t="shared" si="0"/>
      </c>
      <c r="L7404">
        <f t="shared" si="1"/>
      </c>
      <c r="M7404">
        <f t="shared" si="2"/>
      </c>
    </row>
    <row r="7405">
      <c r="G7405" s="9">
        <f t="shared" si="0"/>
      </c>
      <c r="L7405">
        <f t="shared" si="1"/>
      </c>
      <c r="M7405">
        <f t="shared" si="2"/>
      </c>
    </row>
    <row r="7406">
      <c r="G7406" s="9">
        <f t="shared" si="0"/>
      </c>
      <c r="L7406">
        <f t="shared" si="1"/>
      </c>
      <c r="M7406">
        <f t="shared" si="2"/>
      </c>
    </row>
    <row r="7407">
      <c r="G7407" s="9">
        <f t="shared" si="0"/>
      </c>
      <c r="L7407">
        <f t="shared" si="1"/>
      </c>
      <c r="M7407">
        <f t="shared" si="2"/>
      </c>
    </row>
    <row r="7408">
      <c r="G7408" s="9">
        <f t="shared" si="0"/>
      </c>
      <c r="L7408">
        <f t="shared" si="1"/>
      </c>
      <c r="M7408">
        <f t="shared" si="2"/>
      </c>
    </row>
    <row r="7409">
      <c r="G7409" s="9">
        <f t="shared" si="0"/>
      </c>
      <c r="L7409">
        <f t="shared" si="1"/>
      </c>
      <c r="M7409">
        <f t="shared" si="2"/>
      </c>
    </row>
    <row r="7410">
      <c r="G7410" s="9">
        <f t="shared" si="0"/>
      </c>
      <c r="L7410">
        <f t="shared" si="1"/>
      </c>
      <c r="M7410">
        <f t="shared" si="2"/>
      </c>
    </row>
    <row r="7411">
      <c r="G7411" s="9">
        <f t="shared" si="0"/>
      </c>
      <c r="L7411">
        <f t="shared" si="1"/>
      </c>
      <c r="M7411">
        <f t="shared" si="2"/>
      </c>
    </row>
    <row r="7412">
      <c r="G7412" s="9">
        <f t="shared" si="0"/>
      </c>
      <c r="L7412">
        <f t="shared" si="1"/>
      </c>
      <c r="M7412">
        <f t="shared" si="2"/>
      </c>
    </row>
    <row r="7413">
      <c r="G7413" s="9">
        <f t="shared" si="0"/>
      </c>
      <c r="L7413">
        <f t="shared" si="1"/>
      </c>
      <c r="M7413">
        <f t="shared" si="2"/>
      </c>
    </row>
    <row r="7414">
      <c r="G7414" s="9">
        <f t="shared" si="0"/>
      </c>
      <c r="L7414">
        <f t="shared" si="1"/>
      </c>
      <c r="M7414">
        <f t="shared" si="2"/>
      </c>
    </row>
    <row r="7415">
      <c r="G7415" s="9">
        <f t="shared" si="0"/>
      </c>
      <c r="L7415">
        <f t="shared" si="1"/>
      </c>
      <c r="M7415">
        <f t="shared" si="2"/>
      </c>
    </row>
    <row r="7416">
      <c r="G7416" s="9">
        <f t="shared" si="0"/>
      </c>
      <c r="L7416">
        <f t="shared" si="1"/>
      </c>
      <c r="M7416">
        <f t="shared" si="2"/>
      </c>
    </row>
    <row r="7417">
      <c r="G7417" s="9">
        <f t="shared" si="0"/>
      </c>
      <c r="L7417">
        <f t="shared" si="1"/>
      </c>
      <c r="M7417">
        <f t="shared" si="2"/>
      </c>
    </row>
    <row r="7418">
      <c r="G7418" s="9">
        <f t="shared" si="0"/>
      </c>
      <c r="L7418">
        <f t="shared" si="1"/>
      </c>
      <c r="M7418">
        <f t="shared" si="2"/>
      </c>
    </row>
    <row r="7419">
      <c r="G7419" s="9">
        <f t="shared" si="0"/>
      </c>
      <c r="L7419">
        <f t="shared" si="1"/>
      </c>
      <c r="M7419">
        <f t="shared" si="2"/>
      </c>
    </row>
    <row r="7420">
      <c r="G7420" s="9">
        <f t="shared" si="0"/>
      </c>
      <c r="L7420">
        <f t="shared" si="1"/>
      </c>
      <c r="M7420">
        <f t="shared" si="2"/>
      </c>
    </row>
    <row r="7421">
      <c r="G7421" s="9">
        <f t="shared" si="0"/>
      </c>
      <c r="L7421">
        <f t="shared" si="1"/>
      </c>
      <c r="M7421">
        <f t="shared" si="2"/>
      </c>
    </row>
    <row r="7422">
      <c r="G7422" s="9">
        <f t="shared" si="0"/>
      </c>
      <c r="L7422">
        <f t="shared" si="1"/>
      </c>
      <c r="M7422">
        <f t="shared" si="2"/>
      </c>
    </row>
    <row r="7423">
      <c r="G7423" s="9">
        <f t="shared" si="0"/>
      </c>
      <c r="L7423">
        <f t="shared" si="1"/>
      </c>
      <c r="M7423">
        <f t="shared" si="2"/>
      </c>
    </row>
    <row r="7424">
      <c r="G7424" s="9">
        <f t="shared" si="0"/>
      </c>
      <c r="L7424">
        <f t="shared" si="1"/>
      </c>
      <c r="M7424">
        <f t="shared" si="2"/>
      </c>
    </row>
    <row r="7425">
      <c r="G7425" s="9">
        <f t="shared" si="0"/>
      </c>
      <c r="L7425">
        <f t="shared" si="1"/>
      </c>
      <c r="M7425">
        <f t="shared" si="2"/>
      </c>
    </row>
    <row r="7426">
      <c r="G7426" s="9">
        <f t="shared" si="0"/>
      </c>
      <c r="L7426">
        <f t="shared" si="1"/>
      </c>
      <c r="M7426">
        <f t="shared" si="2"/>
      </c>
    </row>
    <row r="7427">
      <c r="G7427" s="9">
        <f t="shared" si="0"/>
      </c>
      <c r="L7427">
        <f t="shared" si="1"/>
      </c>
      <c r="M7427">
        <f t="shared" si="2"/>
      </c>
    </row>
    <row r="7428">
      <c r="G7428" s="9">
        <f t="shared" si="0"/>
      </c>
      <c r="L7428">
        <f t="shared" si="1"/>
      </c>
      <c r="M7428">
        <f t="shared" si="2"/>
      </c>
    </row>
    <row r="7429">
      <c r="G7429" s="9">
        <f t="shared" si="0"/>
      </c>
      <c r="L7429">
        <f t="shared" si="1"/>
      </c>
      <c r="M7429">
        <f t="shared" si="2"/>
      </c>
    </row>
    <row r="7430">
      <c r="G7430" s="9">
        <f t="shared" si="0"/>
      </c>
      <c r="L7430">
        <f t="shared" si="1"/>
      </c>
      <c r="M7430">
        <f t="shared" si="2"/>
      </c>
    </row>
    <row r="7431">
      <c r="G7431" s="9">
        <f t="shared" si="0"/>
      </c>
      <c r="L7431">
        <f t="shared" si="1"/>
      </c>
      <c r="M7431">
        <f t="shared" si="2"/>
      </c>
    </row>
    <row r="7432">
      <c r="G7432" s="9">
        <f t="shared" si="0"/>
      </c>
      <c r="L7432">
        <f t="shared" si="1"/>
      </c>
      <c r="M7432">
        <f t="shared" si="2"/>
      </c>
    </row>
    <row r="7433">
      <c r="G7433" s="9">
        <f t="shared" si="0"/>
      </c>
      <c r="L7433">
        <f t="shared" si="1"/>
      </c>
      <c r="M7433">
        <f t="shared" si="2"/>
      </c>
    </row>
    <row r="7434">
      <c r="G7434" s="9">
        <f t="shared" si="0"/>
      </c>
      <c r="L7434">
        <f t="shared" si="1"/>
      </c>
      <c r="M7434">
        <f t="shared" si="2"/>
      </c>
    </row>
    <row r="7435">
      <c r="G7435" s="9">
        <f t="shared" si="0"/>
      </c>
      <c r="L7435">
        <f t="shared" si="1"/>
      </c>
      <c r="M7435">
        <f t="shared" si="2"/>
      </c>
    </row>
    <row r="7436">
      <c r="G7436" s="9">
        <f t="shared" si="0"/>
      </c>
      <c r="L7436">
        <f t="shared" si="1"/>
      </c>
      <c r="M7436">
        <f t="shared" si="2"/>
      </c>
    </row>
    <row r="7437">
      <c r="G7437" s="9">
        <f t="shared" si="0"/>
      </c>
      <c r="L7437">
        <f t="shared" si="1"/>
      </c>
      <c r="M7437">
        <f t="shared" si="2"/>
      </c>
    </row>
    <row r="7438">
      <c r="G7438" s="9">
        <f t="shared" si="0"/>
      </c>
      <c r="L7438">
        <f t="shared" si="1"/>
      </c>
      <c r="M7438">
        <f t="shared" si="2"/>
      </c>
    </row>
    <row r="7439">
      <c r="G7439" s="9">
        <f t="shared" si="0"/>
      </c>
      <c r="L7439">
        <f t="shared" si="1"/>
      </c>
      <c r="M7439">
        <f t="shared" si="2"/>
      </c>
    </row>
    <row r="7440">
      <c r="G7440" s="9">
        <f t="shared" si="0"/>
      </c>
      <c r="L7440">
        <f t="shared" si="1"/>
      </c>
      <c r="M7440">
        <f t="shared" si="2"/>
      </c>
    </row>
    <row r="7441">
      <c r="G7441" s="9">
        <f t="shared" si="0"/>
      </c>
      <c r="L7441">
        <f t="shared" si="1"/>
      </c>
      <c r="M7441">
        <f t="shared" si="2"/>
      </c>
    </row>
    <row r="7442">
      <c r="G7442" s="9">
        <f t="shared" si="0"/>
      </c>
      <c r="L7442">
        <f t="shared" si="1"/>
      </c>
      <c r="M7442">
        <f t="shared" si="2"/>
      </c>
    </row>
    <row r="7443">
      <c r="G7443" s="9">
        <f t="shared" si="0"/>
      </c>
      <c r="L7443">
        <f t="shared" si="1"/>
      </c>
      <c r="M7443">
        <f t="shared" si="2"/>
      </c>
    </row>
    <row r="7444">
      <c r="G7444" s="9">
        <f t="shared" si="0"/>
      </c>
      <c r="L7444">
        <f t="shared" si="1"/>
      </c>
      <c r="M7444">
        <f t="shared" si="2"/>
      </c>
    </row>
    <row r="7445">
      <c r="G7445" s="9">
        <f t="shared" si="0"/>
      </c>
      <c r="L7445">
        <f t="shared" si="1"/>
      </c>
      <c r="M7445">
        <f t="shared" si="2"/>
      </c>
    </row>
    <row r="7446">
      <c r="G7446" s="9">
        <f t="shared" si="0"/>
      </c>
      <c r="L7446">
        <f t="shared" si="1"/>
      </c>
      <c r="M7446">
        <f t="shared" si="2"/>
      </c>
    </row>
    <row r="7447">
      <c r="G7447" s="9">
        <f t="shared" si="0"/>
      </c>
      <c r="L7447">
        <f t="shared" si="1"/>
      </c>
      <c r="M7447">
        <f t="shared" si="2"/>
      </c>
    </row>
    <row r="7448">
      <c r="G7448" s="9">
        <f t="shared" si="0"/>
      </c>
      <c r="L7448">
        <f t="shared" si="1"/>
      </c>
      <c r="M7448">
        <f t="shared" si="2"/>
      </c>
    </row>
    <row r="7449">
      <c r="G7449" s="9">
        <f t="shared" si="0"/>
      </c>
      <c r="L7449">
        <f t="shared" si="1"/>
      </c>
      <c r="M7449">
        <f t="shared" si="2"/>
      </c>
    </row>
    <row r="7450">
      <c r="G7450" s="9">
        <f t="shared" si="0"/>
      </c>
      <c r="L7450">
        <f t="shared" si="1"/>
      </c>
      <c r="M7450">
        <f t="shared" si="2"/>
      </c>
    </row>
    <row r="7451">
      <c r="G7451" s="9">
        <f t="shared" si="0"/>
      </c>
      <c r="L7451">
        <f t="shared" si="1"/>
      </c>
      <c r="M7451">
        <f t="shared" si="2"/>
      </c>
    </row>
    <row r="7452">
      <c r="G7452" s="9">
        <f t="shared" si="0"/>
      </c>
      <c r="L7452">
        <f t="shared" si="1"/>
      </c>
      <c r="M7452">
        <f t="shared" si="2"/>
      </c>
    </row>
    <row r="7453">
      <c r="G7453" s="9">
        <f t="shared" si="0"/>
      </c>
      <c r="L7453">
        <f t="shared" si="1"/>
      </c>
      <c r="M7453">
        <f t="shared" si="2"/>
      </c>
    </row>
    <row r="7454">
      <c r="G7454" s="9">
        <f t="shared" si="0"/>
      </c>
      <c r="L7454">
        <f t="shared" si="1"/>
      </c>
      <c r="M7454">
        <f t="shared" si="2"/>
      </c>
    </row>
    <row r="7455">
      <c r="G7455" s="9">
        <f t="shared" si="0"/>
      </c>
      <c r="L7455">
        <f t="shared" si="1"/>
      </c>
      <c r="M7455">
        <f t="shared" si="2"/>
      </c>
    </row>
    <row r="7456">
      <c r="G7456" s="9">
        <f t="shared" si="0"/>
      </c>
      <c r="L7456">
        <f t="shared" si="1"/>
      </c>
      <c r="M7456">
        <f t="shared" si="2"/>
      </c>
    </row>
    <row r="7457">
      <c r="G7457" s="9">
        <f t="shared" si="0"/>
      </c>
      <c r="L7457">
        <f t="shared" si="1"/>
      </c>
      <c r="M7457">
        <f t="shared" si="2"/>
      </c>
    </row>
    <row r="7458">
      <c r="G7458" s="9">
        <f t="shared" si="0"/>
      </c>
      <c r="L7458">
        <f t="shared" si="1"/>
      </c>
      <c r="M7458">
        <f t="shared" si="2"/>
      </c>
    </row>
    <row r="7459">
      <c r="G7459" s="9">
        <f t="shared" si="0"/>
      </c>
      <c r="L7459">
        <f t="shared" si="1"/>
      </c>
      <c r="M7459">
        <f t="shared" si="2"/>
      </c>
    </row>
    <row r="7460">
      <c r="G7460" s="9">
        <f t="shared" si="0"/>
      </c>
      <c r="L7460">
        <f t="shared" si="1"/>
      </c>
      <c r="M7460">
        <f t="shared" si="2"/>
      </c>
    </row>
    <row r="7461">
      <c r="G7461" s="9">
        <f t="shared" si="0"/>
      </c>
      <c r="L7461">
        <f t="shared" si="1"/>
      </c>
      <c r="M7461">
        <f t="shared" si="2"/>
      </c>
    </row>
    <row r="7462">
      <c r="G7462" s="9">
        <f t="shared" si="0"/>
      </c>
      <c r="L7462">
        <f t="shared" si="1"/>
      </c>
      <c r="M7462">
        <f t="shared" si="2"/>
      </c>
    </row>
    <row r="7463">
      <c r="G7463" s="9">
        <f t="shared" si="0"/>
      </c>
      <c r="L7463">
        <f t="shared" si="1"/>
      </c>
      <c r="M7463">
        <f t="shared" si="2"/>
      </c>
    </row>
    <row r="7464">
      <c r="G7464" s="9">
        <f t="shared" si="0"/>
      </c>
      <c r="L7464">
        <f t="shared" si="1"/>
      </c>
      <c r="M7464">
        <f t="shared" si="2"/>
      </c>
    </row>
    <row r="7465">
      <c r="G7465" s="9">
        <f t="shared" si="0"/>
      </c>
      <c r="L7465">
        <f t="shared" si="1"/>
      </c>
      <c r="M7465">
        <f t="shared" si="2"/>
      </c>
    </row>
    <row r="7466">
      <c r="G7466" s="9">
        <f t="shared" si="0"/>
      </c>
      <c r="L7466">
        <f t="shared" si="1"/>
      </c>
      <c r="M7466">
        <f t="shared" si="2"/>
      </c>
    </row>
    <row r="7467">
      <c r="G7467" s="9">
        <f t="shared" si="0"/>
      </c>
      <c r="L7467">
        <f t="shared" si="1"/>
      </c>
      <c r="M7467">
        <f t="shared" si="2"/>
      </c>
    </row>
    <row r="7468">
      <c r="G7468" s="9">
        <f t="shared" si="0"/>
      </c>
      <c r="L7468">
        <f t="shared" si="1"/>
      </c>
      <c r="M7468">
        <f t="shared" si="2"/>
      </c>
    </row>
    <row r="7469">
      <c r="G7469" s="9">
        <f t="shared" si="0"/>
      </c>
      <c r="L7469">
        <f t="shared" si="1"/>
      </c>
      <c r="M7469">
        <f t="shared" si="2"/>
      </c>
    </row>
    <row r="7470">
      <c r="G7470" s="9">
        <f t="shared" si="0"/>
      </c>
      <c r="L7470">
        <f t="shared" si="1"/>
      </c>
      <c r="M7470">
        <f t="shared" si="2"/>
      </c>
    </row>
    <row r="7471">
      <c r="G7471" s="9">
        <f t="shared" si="0"/>
      </c>
      <c r="L7471">
        <f t="shared" si="1"/>
      </c>
      <c r="M7471">
        <f t="shared" si="2"/>
      </c>
    </row>
    <row r="7472">
      <c r="G7472" s="9">
        <f t="shared" si="0"/>
      </c>
      <c r="L7472">
        <f t="shared" si="1"/>
      </c>
      <c r="M7472">
        <f t="shared" si="2"/>
      </c>
    </row>
    <row r="7473">
      <c r="G7473" s="9">
        <f t="shared" si="0"/>
      </c>
      <c r="L7473">
        <f t="shared" si="1"/>
      </c>
      <c r="M7473">
        <f t="shared" si="2"/>
      </c>
    </row>
    <row r="7474">
      <c r="G7474" s="9">
        <f t="shared" si="0"/>
      </c>
      <c r="L7474">
        <f t="shared" si="1"/>
      </c>
      <c r="M7474">
        <f t="shared" si="2"/>
      </c>
    </row>
    <row r="7475">
      <c r="G7475" s="9">
        <f t="shared" si="0"/>
      </c>
      <c r="L7475">
        <f t="shared" si="1"/>
      </c>
      <c r="M7475">
        <f t="shared" si="2"/>
      </c>
    </row>
    <row r="7476">
      <c r="G7476" s="9">
        <f t="shared" si="0"/>
      </c>
      <c r="L7476">
        <f t="shared" si="1"/>
      </c>
      <c r="M7476">
        <f t="shared" si="2"/>
      </c>
    </row>
    <row r="7477">
      <c r="G7477" s="9">
        <f t="shared" si="0"/>
      </c>
      <c r="L7477">
        <f t="shared" si="1"/>
      </c>
      <c r="M7477">
        <f t="shared" si="2"/>
      </c>
    </row>
    <row r="7478">
      <c r="G7478" s="9">
        <f t="shared" si="0"/>
      </c>
      <c r="L7478">
        <f t="shared" si="1"/>
      </c>
      <c r="M7478">
        <f t="shared" si="2"/>
      </c>
    </row>
    <row r="7479">
      <c r="G7479" s="9">
        <f t="shared" si="0"/>
      </c>
      <c r="L7479">
        <f t="shared" si="1"/>
      </c>
      <c r="M7479">
        <f t="shared" si="2"/>
      </c>
    </row>
    <row r="7480">
      <c r="G7480" s="9">
        <f t="shared" si="0"/>
      </c>
      <c r="L7480">
        <f t="shared" si="1"/>
      </c>
      <c r="M7480">
        <f t="shared" si="2"/>
      </c>
    </row>
    <row r="7481">
      <c r="G7481" s="9">
        <f t="shared" si="0"/>
      </c>
      <c r="L7481">
        <f t="shared" si="1"/>
      </c>
      <c r="M7481">
        <f t="shared" si="2"/>
      </c>
    </row>
    <row r="7482">
      <c r="G7482" s="9">
        <f t="shared" si="0"/>
      </c>
      <c r="L7482">
        <f t="shared" si="1"/>
      </c>
      <c r="M7482">
        <f t="shared" si="2"/>
      </c>
    </row>
    <row r="7483">
      <c r="G7483" s="9">
        <f t="shared" si="0"/>
      </c>
      <c r="L7483">
        <f t="shared" si="1"/>
      </c>
      <c r="M7483">
        <f t="shared" si="2"/>
      </c>
    </row>
    <row r="7484">
      <c r="G7484" s="9">
        <f t="shared" si="0"/>
      </c>
      <c r="L7484">
        <f t="shared" si="1"/>
      </c>
      <c r="M7484">
        <f t="shared" si="2"/>
      </c>
    </row>
    <row r="7485">
      <c r="G7485" s="9">
        <f t="shared" si="0"/>
      </c>
      <c r="L7485">
        <f t="shared" si="1"/>
      </c>
      <c r="M7485">
        <f t="shared" si="2"/>
      </c>
    </row>
    <row r="7486">
      <c r="G7486" s="9">
        <f t="shared" si="0"/>
      </c>
      <c r="L7486">
        <f t="shared" si="1"/>
      </c>
      <c r="M7486">
        <f t="shared" si="2"/>
      </c>
    </row>
    <row r="7487">
      <c r="G7487" s="9">
        <f t="shared" si="0"/>
      </c>
      <c r="L7487">
        <f t="shared" si="1"/>
      </c>
      <c r="M7487">
        <f t="shared" si="2"/>
      </c>
    </row>
    <row r="7488">
      <c r="G7488" s="9">
        <f t="shared" si="0"/>
      </c>
      <c r="L7488">
        <f t="shared" si="1"/>
      </c>
      <c r="M7488">
        <f t="shared" si="2"/>
      </c>
    </row>
    <row r="7489">
      <c r="G7489" s="9">
        <f t="shared" si="0"/>
      </c>
      <c r="L7489">
        <f t="shared" si="1"/>
      </c>
      <c r="M7489">
        <f t="shared" si="2"/>
      </c>
    </row>
    <row r="7490">
      <c r="G7490" s="9">
        <f t="shared" si="0"/>
      </c>
      <c r="L7490">
        <f t="shared" si="1"/>
      </c>
      <c r="M7490">
        <f t="shared" si="2"/>
      </c>
    </row>
    <row r="7491">
      <c r="G7491" s="9">
        <f t="shared" si="0"/>
      </c>
      <c r="L7491">
        <f t="shared" si="1"/>
      </c>
      <c r="M7491">
        <f t="shared" si="2"/>
      </c>
    </row>
    <row r="7492">
      <c r="G7492" s="9">
        <f t="shared" si="0"/>
      </c>
      <c r="L7492">
        <f t="shared" si="1"/>
      </c>
      <c r="M7492">
        <f t="shared" si="2"/>
      </c>
    </row>
    <row r="7493">
      <c r="G7493" s="9">
        <f t="shared" si="0"/>
      </c>
      <c r="L7493">
        <f t="shared" si="1"/>
      </c>
      <c r="M7493">
        <f t="shared" si="2"/>
      </c>
    </row>
    <row r="7494">
      <c r="G7494" s="9">
        <f t="shared" si="0"/>
      </c>
      <c r="L7494">
        <f t="shared" si="1"/>
      </c>
      <c r="M7494">
        <f t="shared" si="2"/>
      </c>
    </row>
    <row r="7495">
      <c r="G7495" s="9">
        <f t="shared" si="0"/>
      </c>
      <c r="L7495">
        <f t="shared" si="1"/>
      </c>
      <c r="M7495">
        <f t="shared" si="2"/>
      </c>
    </row>
    <row r="7496">
      <c r="G7496" s="9">
        <f t="shared" si="0"/>
      </c>
      <c r="L7496">
        <f t="shared" si="1"/>
      </c>
      <c r="M7496">
        <f t="shared" si="2"/>
      </c>
    </row>
    <row r="7497">
      <c r="G7497" s="9">
        <f t="shared" si="0"/>
      </c>
      <c r="L7497">
        <f t="shared" si="1"/>
      </c>
      <c r="M7497">
        <f t="shared" si="2"/>
      </c>
    </row>
    <row r="7498">
      <c r="G7498" s="9">
        <f t="shared" si="0"/>
      </c>
      <c r="L7498">
        <f t="shared" si="1"/>
      </c>
      <c r="M7498">
        <f t="shared" si="2"/>
      </c>
    </row>
    <row r="7499">
      <c r="G7499" s="9">
        <f t="shared" si="0"/>
      </c>
      <c r="L7499">
        <f t="shared" si="1"/>
      </c>
      <c r="M7499">
        <f t="shared" si="2"/>
      </c>
    </row>
    <row r="7500">
      <c r="G7500" s="9">
        <f t="shared" si="0"/>
      </c>
      <c r="L7500">
        <f t="shared" si="1"/>
      </c>
      <c r="M7500">
        <f t="shared" si="2"/>
      </c>
    </row>
    <row r="7501">
      <c r="G7501" s="9">
        <f t="shared" si="0"/>
      </c>
      <c r="L7501">
        <f t="shared" si="1"/>
      </c>
      <c r="M7501">
        <f t="shared" si="2"/>
      </c>
    </row>
    <row r="7502">
      <c r="G7502" s="9">
        <f t="shared" si="0"/>
      </c>
      <c r="L7502">
        <f t="shared" si="1"/>
      </c>
      <c r="M7502">
        <f t="shared" si="2"/>
      </c>
    </row>
    <row r="7503">
      <c r="G7503" s="9">
        <f t="shared" si="0"/>
      </c>
      <c r="L7503">
        <f t="shared" si="1"/>
      </c>
      <c r="M7503">
        <f t="shared" si="2"/>
      </c>
    </row>
    <row r="7504">
      <c r="G7504" s="9">
        <f t="shared" si="0"/>
      </c>
      <c r="L7504">
        <f t="shared" si="1"/>
      </c>
      <c r="M7504">
        <f t="shared" si="2"/>
      </c>
    </row>
    <row r="7505">
      <c r="G7505" s="9">
        <f t="shared" si="0"/>
      </c>
      <c r="L7505">
        <f t="shared" si="1"/>
      </c>
      <c r="M7505">
        <f t="shared" si="2"/>
      </c>
    </row>
    <row r="7506">
      <c r="G7506" s="9">
        <f t="shared" si="0"/>
      </c>
      <c r="L7506">
        <f t="shared" si="1"/>
      </c>
      <c r="M7506">
        <f t="shared" si="2"/>
      </c>
    </row>
    <row r="7507">
      <c r="G7507" s="9">
        <f t="shared" si="0"/>
      </c>
      <c r="L7507">
        <f t="shared" si="1"/>
      </c>
      <c r="M7507">
        <f t="shared" si="2"/>
      </c>
    </row>
    <row r="7508">
      <c r="G7508" s="9">
        <f t="shared" si="0"/>
      </c>
      <c r="L7508">
        <f t="shared" si="1"/>
      </c>
      <c r="M7508">
        <f t="shared" si="2"/>
      </c>
    </row>
    <row r="7509">
      <c r="G7509" s="9">
        <f t="shared" si="0"/>
      </c>
      <c r="L7509">
        <f t="shared" si="1"/>
      </c>
      <c r="M7509">
        <f t="shared" si="2"/>
      </c>
    </row>
    <row r="7510">
      <c r="G7510" s="9">
        <f t="shared" si="0"/>
      </c>
      <c r="L7510">
        <f t="shared" si="1"/>
      </c>
      <c r="M7510">
        <f t="shared" si="2"/>
      </c>
    </row>
    <row r="7511">
      <c r="G7511" s="9">
        <f t="shared" si="0"/>
      </c>
      <c r="L7511">
        <f t="shared" si="1"/>
      </c>
      <c r="M7511">
        <f t="shared" si="2"/>
      </c>
    </row>
    <row r="7512">
      <c r="G7512" s="9">
        <f t="shared" si="0"/>
      </c>
      <c r="L7512">
        <f t="shared" si="1"/>
      </c>
      <c r="M7512">
        <f t="shared" si="2"/>
      </c>
    </row>
    <row r="7513">
      <c r="G7513" s="9">
        <f t="shared" si="0"/>
      </c>
      <c r="L7513">
        <f t="shared" si="1"/>
      </c>
      <c r="M7513">
        <f t="shared" si="2"/>
      </c>
    </row>
    <row r="7514">
      <c r="G7514" s="9">
        <f t="shared" si="0"/>
      </c>
      <c r="L7514">
        <f t="shared" si="1"/>
      </c>
      <c r="M7514">
        <f t="shared" si="2"/>
      </c>
    </row>
    <row r="7515">
      <c r="G7515" s="9">
        <f t="shared" si="0"/>
      </c>
      <c r="L7515">
        <f t="shared" si="1"/>
      </c>
      <c r="M7515">
        <f t="shared" si="2"/>
      </c>
    </row>
    <row r="7516">
      <c r="G7516" s="9">
        <f t="shared" si="0"/>
      </c>
      <c r="L7516">
        <f t="shared" si="1"/>
      </c>
      <c r="M7516">
        <f t="shared" si="2"/>
      </c>
    </row>
    <row r="7517">
      <c r="G7517" s="9">
        <f t="shared" si="0"/>
      </c>
      <c r="L7517">
        <f t="shared" si="1"/>
      </c>
      <c r="M7517">
        <f t="shared" si="2"/>
      </c>
    </row>
    <row r="7518">
      <c r="G7518" s="9">
        <f t="shared" si="0"/>
      </c>
      <c r="L7518">
        <f t="shared" si="1"/>
      </c>
      <c r="M7518">
        <f t="shared" si="2"/>
      </c>
    </row>
    <row r="7519">
      <c r="G7519" s="9">
        <f t="shared" si="0"/>
      </c>
      <c r="L7519">
        <f t="shared" si="1"/>
      </c>
      <c r="M7519">
        <f t="shared" si="2"/>
      </c>
    </row>
    <row r="7520">
      <c r="G7520" s="9">
        <f t="shared" si="0"/>
      </c>
      <c r="L7520">
        <f t="shared" si="1"/>
      </c>
      <c r="M7520">
        <f t="shared" si="2"/>
      </c>
    </row>
    <row r="7521">
      <c r="G7521" s="9">
        <f t="shared" si="0"/>
      </c>
      <c r="L7521">
        <f t="shared" si="1"/>
      </c>
      <c r="M7521">
        <f t="shared" si="2"/>
      </c>
    </row>
    <row r="7522">
      <c r="G7522" s="9">
        <f t="shared" si="0"/>
      </c>
      <c r="L7522">
        <f t="shared" si="1"/>
      </c>
      <c r="M7522">
        <f t="shared" si="2"/>
      </c>
    </row>
    <row r="7523">
      <c r="G7523" s="9">
        <f t="shared" si="0"/>
      </c>
      <c r="L7523">
        <f t="shared" si="1"/>
      </c>
      <c r="M7523">
        <f t="shared" si="2"/>
      </c>
    </row>
    <row r="7524">
      <c r="G7524" s="9">
        <f t="shared" si="0"/>
      </c>
      <c r="L7524">
        <f t="shared" si="1"/>
      </c>
      <c r="M7524">
        <f t="shared" si="2"/>
      </c>
    </row>
    <row r="7525">
      <c r="G7525" s="9">
        <f t="shared" si="0"/>
      </c>
      <c r="L7525">
        <f t="shared" si="1"/>
      </c>
      <c r="M7525">
        <f t="shared" si="2"/>
      </c>
    </row>
    <row r="7526">
      <c r="G7526" s="9">
        <f t="shared" si="0"/>
      </c>
      <c r="L7526">
        <f t="shared" si="1"/>
      </c>
      <c r="M7526">
        <f t="shared" si="2"/>
      </c>
    </row>
    <row r="7527">
      <c r="G7527" s="9">
        <f t="shared" si="0"/>
      </c>
      <c r="L7527">
        <f t="shared" si="1"/>
      </c>
      <c r="M7527">
        <f t="shared" si="2"/>
      </c>
    </row>
    <row r="7528">
      <c r="G7528" s="9">
        <f t="shared" si="0"/>
      </c>
      <c r="L7528">
        <f t="shared" si="1"/>
      </c>
      <c r="M7528">
        <f t="shared" si="2"/>
      </c>
    </row>
    <row r="7529">
      <c r="G7529" s="9">
        <f t="shared" si="0"/>
      </c>
      <c r="L7529">
        <f t="shared" si="1"/>
      </c>
      <c r="M7529">
        <f t="shared" si="2"/>
      </c>
    </row>
    <row r="7530">
      <c r="G7530" s="9">
        <f t="shared" si="0"/>
      </c>
      <c r="L7530">
        <f t="shared" si="1"/>
      </c>
      <c r="M7530">
        <f t="shared" si="2"/>
      </c>
    </row>
    <row r="7531">
      <c r="G7531" s="9">
        <f t="shared" si="0"/>
      </c>
      <c r="L7531">
        <f t="shared" si="1"/>
      </c>
      <c r="M7531">
        <f t="shared" si="2"/>
      </c>
    </row>
    <row r="7532">
      <c r="G7532" s="9">
        <f t="shared" si="0"/>
      </c>
      <c r="L7532">
        <f t="shared" si="1"/>
      </c>
      <c r="M7532">
        <f t="shared" si="2"/>
      </c>
    </row>
    <row r="7533">
      <c r="G7533" s="9">
        <f t="shared" si="0"/>
      </c>
      <c r="L7533">
        <f t="shared" si="1"/>
      </c>
      <c r="M7533">
        <f t="shared" si="2"/>
      </c>
    </row>
    <row r="7534">
      <c r="G7534" s="9">
        <f t="shared" si="0"/>
      </c>
      <c r="L7534">
        <f t="shared" si="1"/>
      </c>
      <c r="M7534">
        <f t="shared" si="2"/>
      </c>
    </row>
    <row r="7535">
      <c r="G7535" s="9">
        <f t="shared" si="0"/>
      </c>
      <c r="L7535">
        <f t="shared" si="1"/>
      </c>
      <c r="M7535">
        <f t="shared" si="2"/>
      </c>
    </row>
    <row r="7536">
      <c r="G7536" s="9">
        <f t="shared" si="0"/>
      </c>
      <c r="L7536">
        <f t="shared" si="1"/>
      </c>
      <c r="M7536">
        <f t="shared" si="2"/>
      </c>
    </row>
    <row r="7537">
      <c r="G7537" s="9">
        <f t="shared" si="0"/>
      </c>
      <c r="L7537">
        <f t="shared" si="1"/>
      </c>
      <c r="M7537">
        <f t="shared" si="2"/>
      </c>
    </row>
    <row r="7538">
      <c r="G7538" s="9">
        <f t="shared" si="0"/>
      </c>
      <c r="L7538">
        <f t="shared" si="1"/>
      </c>
      <c r="M7538">
        <f t="shared" si="2"/>
      </c>
    </row>
    <row r="7539">
      <c r="G7539" s="9">
        <f t="shared" si="0"/>
      </c>
      <c r="L7539">
        <f t="shared" si="1"/>
      </c>
      <c r="M7539">
        <f t="shared" si="2"/>
      </c>
    </row>
    <row r="7540">
      <c r="G7540" s="9">
        <f t="shared" si="0"/>
      </c>
      <c r="L7540">
        <f t="shared" si="1"/>
      </c>
      <c r="M7540">
        <f t="shared" si="2"/>
      </c>
    </row>
    <row r="7541">
      <c r="G7541" s="9">
        <f t="shared" si="0"/>
      </c>
      <c r="L7541">
        <f t="shared" si="1"/>
      </c>
      <c r="M7541">
        <f t="shared" si="2"/>
      </c>
    </row>
    <row r="7542">
      <c r="G7542" s="9">
        <f t="shared" si="0"/>
      </c>
      <c r="L7542">
        <f t="shared" si="1"/>
      </c>
      <c r="M7542">
        <f t="shared" si="2"/>
      </c>
    </row>
    <row r="7543">
      <c r="G7543" s="9">
        <f t="shared" si="0"/>
      </c>
      <c r="L7543">
        <f t="shared" si="1"/>
      </c>
      <c r="M7543">
        <f t="shared" si="2"/>
      </c>
    </row>
    <row r="7544">
      <c r="G7544" s="9">
        <f t="shared" si="0"/>
      </c>
      <c r="L7544">
        <f t="shared" si="1"/>
      </c>
      <c r="M7544">
        <f t="shared" si="2"/>
      </c>
    </row>
    <row r="7545">
      <c r="G7545" s="9">
        <f t="shared" si="0"/>
      </c>
      <c r="L7545">
        <f t="shared" si="1"/>
      </c>
      <c r="M7545">
        <f t="shared" si="2"/>
      </c>
    </row>
    <row r="7546">
      <c r="G7546" s="9">
        <f t="shared" si="0"/>
      </c>
      <c r="L7546">
        <f t="shared" si="1"/>
      </c>
      <c r="M7546">
        <f t="shared" si="2"/>
      </c>
    </row>
    <row r="7547">
      <c r="G7547" s="9">
        <f t="shared" si="0"/>
      </c>
      <c r="L7547">
        <f t="shared" si="1"/>
      </c>
      <c r="M7547">
        <f t="shared" si="2"/>
      </c>
    </row>
    <row r="7548">
      <c r="G7548" s="9">
        <f t="shared" si="0"/>
      </c>
      <c r="L7548">
        <f t="shared" si="1"/>
      </c>
      <c r="M7548">
        <f t="shared" si="2"/>
      </c>
    </row>
    <row r="7549">
      <c r="G7549" s="9">
        <f t="shared" si="0"/>
      </c>
      <c r="L7549">
        <f t="shared" si="1"/>
      </c>
      <c r="M7549">
        <f t="shared" si="2"/>
      </c>
    </row>
    <row r="7550">
      <c r="G7550" s="9">
        <f t="shared" si="0"/>
      </c>
      <c r="L7550">
        <f t="shared" si="1"/>
      </c>
      <c r="M7550">
        <f t="shared" si="2"/>
      </c>
    </row>
    <row r="7551">
      <c r="G7551" s="9">
        <f t="shared" si="0"/>
      </c>
      <c r="L7551">
        <f t="shared" si="1"/>
      </c>
      <c r="M7551">
        <f t="shared" si="2"/>
      </c>
    </row>
    <row r="7552">
      <c r="G7552" s="9">
        <f t="shared" si="0"/>
      </c>
      <c r="L7552">
        <f t="shared" si="1"/>
      </c>
      <c r="M7552">
        <f t="shared" si="2"/>
      </c>
    </row>
    <row r="7553">
      <c r="G7553" s="9">
        <f t="shared" si="0"/>
      </c>
      <c r="L7553">
        <f t="shared" si="1"/>
      </c>
      <c r="M7553">
        <f t="shared" si="2"/>
      </c>
    </row>
    <row r="7554">
      <c r="G7554" s="9">
        <f t="shared" si="0"/>
      </c>
      <c r="L7554">
        <f t="shared" si="1"/>
      </c>
      <c r="M7554">
        <f t="shared" si="2"/>
      </c>
    </row>
    <row r="7555">
      <c r="G7555" s="9">
        <f t="shared" si="0"/>
      </c>
      <c r="L7555">
        <f t="shared" si="1"/>
      </c>
      <c r="M7555">
        <f t="shared" si="2"/>
      </c>
    </row>
    <row r="7556">
      <c r="G7556" s="9">
        <f t="shared" si="0"/>
      </c>
      <c r="L7556">
        <f t="shared" si="1"/>
      </c>
      <c r="M7556">
        <f t="shared" si="2"/>
      </c>
    </row>
    <row r="7557">
      <c r="G7557" s="9">
        <f t="shared" si="0"/>
      </c>
      <c r="L7557">
        <f t="shared" si="1"/>
      </c>
      <c r="M7557">
        <f t="shared" si="2"/>
      </c>
    </row>
    <row r="7558">
      <c r="G7558" s="9">
        <f t="shared" si="0"/>
      </c>
      <c r="L7558">
        <f t="shared" si="1"/>
      </c>
      <c r="M7558">
        <f t="shared" si="2"/>
      </c>
    </row>
    <row r="7559">
      <c r="G7559" s="9">
        <f t="shared" si="0"/>
      </c>
      <c r="L7559">
        <f t="shared" si="1"/>
      </c>
      <c r="M7559">
        <f t="shared" si="2"/>
      </c>
    </row>
    <row r="7560">
      <c r="G7560" s="9">
        <f t="shared" si="0"/>
      </c>
      <c r="L7560">
        <f t="shared" si="1"/>
      </c>
      <c r="M7560">
        <f t="shared" si="2"/>
      </c>
    </row>
    <row r="7561">
      <c r="G7561" s="9">
        <f t="shared" si="0"/>
      </c>
      <c r="L7561">
        <f t="shared" si="1"/>
      </c>
      <c r="M7561">
        <f t="shared" si="2"/>
      </c>
    </row>
    <row r="7562">
      <c r="G7562" s="9">
        <f t="shared" si="0"/>
      </c>
      <c r="L7562">
        <f t="shared" si="1"/>
      </c>
      <c r="M7562">
        <f t="shared" si="2"/>
      </c>
    </row>
    <row r="7563">
      <c r="G7563" s="9">
        <f t="shared" si="0"/>
      </c>
      <c r="L7563">
        <f t="shared" si="1"/>
      </c>
      <c r="M7563">
        <f t="shared" si="2"/>
      </c>
    </row>
    <row r="7564">
      <c r="G7564" s="9">
        <f t="shared" si="0"/>
      </c>
      <c r="L7564">
        <f t="shared" si="1"/>
      </c>
      <c r="M7564">
        <f t="shared" si="2"/>
      </c>
    </row>
    <row r="7565">
      <c r="G7565" s="9">
        <f t="shared" si="0"/>
      </c>
      <c r="L7565">
        <f t="shared" si="1"/>
      </c>
      <c r="M7565">
        <f t="shared" si="2"/>
      </c>
    </row>
    <row r="7566">
      <c r="G7566" s="9">
        <f t="shared" si="0"/>
      </c>
      <c r="L7566">
        <f t="shared" si="1"/>
      </c>
      <c r="M7566">
        <f t="shared" si="2"/>
      </c>
    </row>
    <row r="7567">
      <c r="G7567" s="9">
        <f t="shared" si="0"/>
      </c>
      <c r="L7567">
        <f t="shared" si="1"/>
      </c>
      <c r="M7567">
        <f t="shared" si="2"/>
      </c>
    </row>
    <row r="7568">
      <c r="G7568" s="9">
        <f t="shared" si="0"/>
      </c>
      <c r="L7568">
        <f t="shared" si="1"/>
      </c>
      <c r="M7568">
        <f t="shared" si="2"/>
      </c>
    </row>
    <row r="7569">
      <c r="G7569" s="9">
        <f t="shared" si="0"/>
      </c>
      <c r="L7569">
        <f t="shared" si="1"/>
      </c>
      <c r="M7569">
        <f t="shared" si="2"/>
      </c>
    </row>
    <row r="7570">
      <c r="G7570" s="9">
        <f t="shared" si="0"/>
      </c>
      <c r="L7570">
        <f t="shared" si="1"/>
      </c>
      <c r="M7570">
        <f t="shared" si="2"/>
      </c>
    </row>
    <row r="7571">
      <c r="G7571" s="9">
        <f t="shared" si="0"/>
      </c>
      <c r="L7571">
        <f t="shared" si="1"/>
      </c>
      <c r="M7571">
        <f t="shared" si="2"/>
      </c>
    </row>
    <row r="7572">
      <c r="G7572" s="9">
        <f t="shared" si="0"/>
      </c>
      <c r="L7572">
        <f t="shared" si="1"/>
      </c>
      <c r="M7572">
        <f t="shared" si="2"/>
      </c>
    </row>
    <row r="7573">
      <c r="G7573" s="9">
        <f t="shared" si="0"/>
      </c>
      <c r="L7573">
        <f t="shared" si="1"/>
      </c>
      <c r="M7573">
        <f t="shared" si="2"/>
      </c>
    </row>
    <row r="7574">
      <c r="G7574" s="9">
        <f t="shared" si="0"/>
      </c>
      <c r="L7574">
        <f t="shared" si="1"/>
      </c>
      <c r="M7574">
        <f t="shared" si="2"/>
      </c>
    </row>
    <row r="7575">
      <c r="G7575" s="9">
        <f t="shared" si="0"/>
      </c>
      <c r="L7575">
        <f t="shared" si="1"/>
      </c>
      <c r="M7575">
        <f t="shared" si="2"/>
      </c>
    </row>
    <row r="7576">
      <c r="G7576" s="9">
        <f t="shared" si="0"/>
      </c>
      <c r="L7576">
        <f t="shared" si="1"/>
      </c>
      <c r="M7576">
        <f t="shared" si="2"/>
      </c>
    </row>
    <row r="7577">
      <c r="G7577" s="9">
        <f t="shared" si="0"/>
      </c>
      <c r="L7577">
        <f t="shared" si="1"/>
      </c>
      <c r="M7577">
        <f t="shared" si="2"/>
      </c>
    </row>
    <row r="7578">
      <c r="G7578" s="9">
        <f t="shared" si="0"/>
      </c>
      <c r="L7578">
        <f t="shared" si="1"/>
      </c>
      <c r="M7578">
        <f t="shared" si="2"/>
      </c>
    </row>
    <row r="7579">
      <c r="G7579" s="9">
        <f t="shared" si="0"/>
      </c>
      <c r="L7579">
        <f t="shared" si="1"/>
      </c>
      <c r="M7579">
        <f t="shared" si="2"/>
      </c>
    </row>
    <row r="7580">
      <c r="G7580" s="9">
        <f t="shared" si="0"/>
      </c>
      <c r="L7580">
        <f t="shared" si="1"/>
      </c>
      <c r="M7580">
        <f t="shared" si="2"/>
      </c>
    </row>
    <row r="7581">
      <c r="G7581" s="9">
        <f t="shared" si="0"/>
      </c>
      <c r="L7581">
        <f t="shared" si="1"/>
      </c>
      <c r="M7581">
        <f t="shared" si="2"/>
      </c>
    </row>
    <row r="7582">
      <c r="G7582" s="9">
        <f t="shared" si="0"/>
      </c>
      <c r="L7582">
        <f t="shared" si="1"/>
      </c>
      <c r="M7582">
        <f t="shared" si="2"/>
      </c>
    </row>
    <row r="7583">
      <c r="G7583" s="9">
        <f t="shared" si="0"/>
      </c>
      <c r="L7583">
        <f t="shared" si="1"/>
      </c>
      <c r="M7583">
        <f t="shared" si="2"/>
      </c>
    </row>
    <row r="7584">
      <c r="G7584" s="9">
        <f t="shared" si="0"/>
      </c>
      <c r="L7584">
        <f t="shared" si="1"/>
      </c>
      <c r="M7584">
        <f t="shared" si="2"/>
      </c>
    </row>
    <row r="7585">
      <c r="G7585" s="9">
        <f t="shared" si="0"/>
      </c>
      <c r="L7585">
        <f t="shared" si="1"/>
      </c>
      <c r="M7585">
        <f t="shared" si="2"/>
      </c>
    </row>
    <row r="7586">
      <c r="G7586" s="9">
        <f t="shared" si="0"/>
      </c>
      <c r="L7586">
        <f t="shared" si="1"/>
      </c>
      <c r="M7586">
        <f t="shared" si="2"/>
      </c>
    </row>
    <row r="7587">
      <c r="G7587" s="9">
        <f t="shared" si="0"/>
      </c>
      <c r="L7587">
        <f t="shared" si="1"/>
      </c>
      <c r="M7587">
        <f t="shared" si="2"/>
      </c>
    </row>
    <row r="7588">
      <c r="G7588" s="9">
        <f t="shared" si="0"/>
      </c>
      <c r="L7588">
        <f t="shared" si="1"/>
      </c>
      <c r="M7588">
        <f t="shared" si="2"/>
      </c>
    </row>
    <row r="7589">
      <c r="G7589" s="9">
        <f t="shared" si="0"/>
      </c>
      <c r="L7589">
        <f t="shared" si="1"/>
      </c>
      <c r="M7589">
        <f t="shared" si="2"/>
      </c>
    </row>
    <row r="7590">
      <c r="G7590" s="9">
        <f t="shared" si="0"/>
      </c>
      <c r="L7590">
        <f t="shared" si="1"/>
      </c>
      <c r="M7590">
        <f t="shared" si="2"/>
      </c>
    </row>
    <row r="7591">
      <c r="G7591" s="9">
        <f t="shared" si="0"/>
      </c>
      <c r="L7591">
        <f t="shared" si="1"/>
      </c>
      <c r="M7591">
        <f t="shared" si="2"/>
      </c>
    </row>
    <row r="7592">
      <c r="G7592" s="9">
        <f t="shared" si="0"/>
      </c>
      <c r="L7592">
        <f t="shared" si="1"/>
      </c>
      <c r="M7592">
        <f t="shared" si="2"/>
      </c>
    </row>
    <row r="7593">
      <c r="G7593" s="9">
        <f t="shared" si="0"/>
      </c>
      <c r="L7593">
        <f t="shared" si="1"/>
      </c>
      <c r="M7593">
        <f t="shared" si="2"/>
      </c>
    </row>
    <row r="7594">
      <c r="G7594" s="9">
        <f t="shared" si="0"/>
      </c>
      <c r="L7594">
        <f t="shared" si="1"/>
      </c>
      <c r="M7594">
        <f t="shared" si="2"/>
      </c>
    </row>
    <row r="7595">
      <c r="G7595" s="9">
        <f t="shared" si="0"/>
      </c>
      <c r="L7595">
        <f t="shared" si="1"/>
      </c>
      <c r="M7595">
        <f t="shared" si="2"/>
      </c>
    </row>
    <row r="7596">
      <c r="G7596" s="9">
        <f t="shared" si="0"/>
      </c>
      <c r="L7596">
        <f t="shared" si="1"/>
      </c>
      <c r="M7596">
        <f t="shared" si="2"/>
      </c>
    </row>
    <row r="7597">
      <c r="G7597" s="9">
        <f t="shared" si="0"/>
      </c>
      <c r="L7597">
        <f t="shared" si="1"/>
      </c>
      <c r="M7597">
        <f t="shared" si="2"/>
      </c>
    </row>
    <row r="7598">
      <c r="G7598" s="9">
        <f t="shared" si="0"/>
      </c>
      <c r="L7598">
        <f t="shared" si="1"/>
      </c>
      <c r="M7598">
        <f t="shared" si="2"/>
      </c>
    </row>
    <row r="7599">
      <c r="G7599" s="9">
        <f t="shared" si="0"/>
      </c>
      <c r="L7599">
        <f t="shared" si="1"/>
      </c>
      <c r="M7599">
        <f t="shared" si="2"/>
      </c>
    </row>
    <row r="7600">
      <c r="G7600" s="9">
        <f t="shared" si="0"/>
      </c>
      <c r="L7600">
        <f t="shared" si="1"/>
      </c>
      <c r="M7600">
        <f t="shared" si="2"/>
      </c>
    </row>
    <row r="7601">
      <c r="G7601" s="9">
        <f t="shared" si="0"/>
      </c>
      <c r="L7601">
        <f t="shared" si="1"/>
      </c>
      <c r="M7601">
        <f t="shared" si="2"/>
      </c>
    </row>
    <row r="7602">
      <c r="G7602" s="9">
        <f t="shared" si="0"/>
      </c>
      <c r="L7602">
        <f t="shared" si="1"/>
      </c>
      <c r="M7602">
        <f t="shared" si="2"/>
      </c>
    </row>
    <row r="7603">
      <c r="G7603" s="9">
        <f t="shared" si="0"/>
      </c>
      <c r="L7603">
        <f t="shared" si="1"/>
      </c>
      <c r="M7603">
        <f t="shared" si="2"/>
      </c>
    </row>
    <row r="7604">
      <c r="G7604" s="9">
        <f t="shared" si="0"/>
      </c>
      <c r="L7604">
        <f t="shared" si="1"/>
      </c>
      <c r="M7604">
        <f t="shared" si="2"/>
      </c>
    </row>
    <row r="7605">
      <c r="G7605" s="9">
        <f t="shared" si="0"/>
      </c>
      <c r="L7605">
        <f t="shared" si="1"/>
      </c>
      <c r="M7605">
        <f t="shared" si="2"/>
      </c>
    </row>
    <row r="7606">
      <c r="G7606" s="9">
        <f t="shared" si="0"/>
      </c>
      <c r="L7606">
        <f t="shared" si="1"/>
      </c>
      <c r="M7606">
        <f t="shared" si="2"/>
      </c>
    </row>
    <row r="7607">
      <c r="G7607" s="9">
        <f t="shared" si="0"/>
      </c>
      <c r="L7607">
        <f t="shared" si="1"/>
      </c>
      <c r="M7607">
        <f t="shared" si="2"/>
      </c>
    </row>
    <row r="7608">
      <c r="G7608" s="9">
        <f t="shared" si="0"/>
      </c>
      <c r="L7608">
        <f t="shared" si="1"/>
      </c>
      <c r="M7608">
        <f t="shared" si="2"/>
      </c>
    </row>
    <row r="7609">
      <c r="G7609" s="9">
        <f t="shared" si="0"/>
      </c>
      <c r="L7609">
        <f t="shared" si="1"/>
      </c>
      <c r="M7609">
        <f t="shared" si="2"/>
      </c>
    </row>
    <row r="7610">
      <c r="G7610" s="9">
        <f t="shared" si="0"/>
      </c>
      <c r="L7610">
        <f t="shared" si="1"/>
      </c>
      <c r="M7610">
        <f t="shared" si="2"/>
      </c>
    </row>
    <row r="7611">
      <c r="G7611" s="9">
        <f t="shared" si="0"/>
      </c>
      <c r="L7611">
        <f t="shared" si="1"/>
      </c>
      <c r="M7611">
        <f t="shared" si="2"/>
      </c>
    </row>
    <row r="7612">
      <c r="G7612" s="9">
        <f t="shared" si="0"/>
      </c>
      <c r="L7612">
        <f t="shared" si="1"/>
      </c>
      <c r="M7612">
        <f t="shared" si="2"/>
      </c>
    </row>
    <row r="7613">
      <c r="G7613" s="9">
        <f t="shared" si="0"/>
      </c>
      <c r="L7613">
        <f t="shared" si="1"/>
      </c>
      <c r="M7613">
        <f t="shared" si="2"/>
      </c>
    </row>
    <row r="7614">
      <c r="G7614" s="9">
        <f t="shared" si="0"/>
      </c>
      <c r="L7614">
        <f t="shared" si="1"/>
      </c>
      <c r="M7614">
        <f t="shared" si="2"/>
      </c>
    </row>
    <row r="7615">
      <c r="G7615" s="9">
        <f t="shared" si="0"/>
      </c>
      <c r="L7615">
        <f t="shared" si="1"/>
      </c>
      <c r="M7615">
        <f t="shared" si="2"/>
      </c>
    </row>
    <row r="7616">
      <c r="G7616" s="9">
        <f t="shared" si="0"/>
      </c>
      <c r="L7616">
        <f t="shared" si="1"/>
      </c>
      <c r="M7616">
        <f t="shared" si="2"/>
      </c>
    </row>
    <row r="7617">
      <c r="G7617" s="9">
        <f t="shared" si="0"/>
      </c>
      <c r="L7617">
        <f t="shared" si="1"/>
      </c>
      <c r="M7617">
        <f t="shared" si="2"/>
      </c>
    </row>
    <row r="7618">
      <c r="G7618" s="9">
        <f t="shared" si="0"/>
      </c>
      <c r="L7618">
        <f t="shared" si="1"/>
      </c>
      <c r="M7618">
        <f t="shared" si="2"/>
      </c>
    </row>
    <row r="7619">
      <c r="G7619" s="9">
        <f t="shared" si="0"/>
      </c>
      <c r="L7619">
        <f t="shared" si="1"/>
      </c>
      <c r="M7619">
        <f t="shared" si="2"/>
      </c>
    </row>
    <row r="7620">
      <c r="G7620" s="9">
        <f t="shared" si="0"/>
      </c>
      <c r="L7620">
        <f t="shared" si="1"/>
      </c>
      <c r="M7620">
        <f t="shared" si="2"/>
      </c>
    </row>
    <row r="7621">
      <c r="G7621" s="9">
        <f t="shared" si="0"/>
      </c>
      <c r="L7621">
        <f t="shared" si="1"/>
      </c>
      <c r="M7621">
        <f t="shared" si="2"/>
      </c>
    </row>
    <row r="7622">
      <c r="G7622" s="9">
        <f t="shared" si="0"/>
      </c>
      <c r="L7622">
        <f t="shared" si="1"/>
      </c>
      <c r="M7622">
        <f t="shared" si="2"/>
      </c>
    </row>
    <row r="7623">
      <c r="G7623" s="9">
        <f t="shared" si="0"/>
      </c>
      <c r="L7623">
        <f t="shared" si="1"/>
      </c>
      <c r="M7623">
        <f t="shared" si="2"/>
      </c>
    </row>
    <row r="7624">
      <c r="G7624" s="9">
        <f t="shared" si="0"/>
      </c>
      <c r="L7624">
        <f t="shared" si="1"/>
      </c>
      <c r="M7624">
        <f t="shared" si="2"/>
      </c>
    </row>
    <row r="7625">
      <c r="G7625" s="9">
        <f t="shared" si="0"/>
      </c>
      <c r="L7625">
        <f t="shared" si="1"/>
      </c>
      <c r="M7625">
        <f t="shared" si="2"/>
      </c>
    </row>
    <row r="7626">
      <c r="G7626" s="9">
        <f t="shared" si="0"/>
      </c>
      <c r="L7626">
        <f t="shared" si="1"/>
      </c>
      <c r="M7626">
        <f t="shared" si="2"/>
      </c>
    </row>
    <row r="7627">
      <c r="G7627" s="9">
        <f t="shared" si="0"/>
      </c>
      <c r="L7627">
        <f t="shared" si="1"/>
      </c>
      <c r="M7627">
        <f t="shared" si="2"/>
      </c>
    </row>
    <row r="7628">
      <c r="G7628" s="9">
        <f t="shared" si="0"/>
      </c>
      <c r="L7628">
        <f t="shared" si="1"/>
      </c>
      <c r="M7628">
        <f t="shared" si="2"/>
      </c>
    </row>
    <row r="7629">
      <c r="G7629" s="9">
        <f t="shared" si="0"/>
      </c>
      <c r="L7629">
        <f t="shared" si="1"/>
      </c>
      <c r="M7629">
        <f t="shared" si="2"/>
      </c>
    </row>
    <row r="7630">
      <c r="G7630" s="9">
        <f t="shared" si="0"/>
      </c>
      <c r="L7630">
        <f t="shared" si="1"/>
      </c>
      <c r="M7630">
        <f t="shared" si="2"/>
      </c>
    </row>
    <row r="7631">
      <c r="G7631" s="9">
        <f t="shared" si="0"/>
      </c>
      <c r="L7631">
        <f t="shared" si="1"/>
      </c>
      <c r="M7631">
        <f t="shared" si="2"/>
      </c>
    </row>
    <row r="7632">
      <c r="G7632" s="9">
        <f t="shared" si="0"/>
      </c>
      <c r="L7632">
        <f t="shared" si="1"/>
      </c>
      <c r="M7632">
        <f t="shared" si="2"/>
      </c>
    </row>
    <row r="7633">
      <c r="G7633" s="9">
        <f t="shared" si="0"/>
      </c>
      <c r="L7633">
        <f t="shared" si="1"/>
      </c>
      <c r="M7633">
        <f t="shared" si="2"/>
      </c>
    </row>
    <row r="7634">
      <c r="G7634" s="9">
        <f t="shared" si="0"/>
      </c>
      <c r="L7634">
        <f t="shared" si="1"/>
      </c>
      <c r="M7634">
        <f t="shared" si="2"/>
      </c>
    </row>
    <row r="7635">
      <c r="G7635" s="9">
        <f t="shared" si="0"/>
      </c>
      <c r="L7635">
        <f t="shared" si="1"/>
      </c>
      <c r="M7635">
        <f t="shared" si="2"/>
      </c>
    </row>
    <row r="7636">
      <c r="G7636" s="9">
        <f t="shared" si="0"/>
      </c>
      <c r="L7636">
        <f t="shared" si="1"/>
      </c>
      <c r="M7636">
        <f t="shared" si="2"/>
      </c>
    </row>
    <row r="7637">
      <c r="G7637" s="9">
        <f t="shared" si="0"/>
      </c>
      <c r="L7637">
        <f t="shared" si="1"/>
      </c>
      <c r="M7637">
        <f t="shared" si="2"/>
      </c>
    </row>
    <row r="7638">
      <c r="G7638" s="9">
        <f t="shared" si="0"/>
      </c>
      <c r="L7638">
        <f t="shared" si="1"/>
      </c>
      <c r="M7638">
        <f t="shared" si="2"/>
      </c>
    </row>
    <row r="7639">
      <c r="G7639" s="9">
        <f t="shared" si="0"/>
      </c>
      <c r="L7639">
        <f t="shared" si="1"/>
      </c>
      <c r="M7639">
        <f t="shared" si="2"/>
      </c>
    </row>
    <row r="7640">
      <c r="G7640" s="9">
        <f t="shared" si="0"/>
      </c>
      <c r="L7640">
        <f t="shared" si="1"/>
      </c>
      <c r="M7640">
        <f t="shared" si="2"/>
      </c>
    </row>
    <row r="7641">
      <c r="G7641" s="9">
        <f t="shared" si="0"/>
      </c>
      <c r="L7641">
        <f t="shared" si="1"/>
      </c>
      <c r="M7641">
        <f t="shared" si="2"/>
      </c>
    </row>
    <row r="7642">
      <c r="G7642" s="9">
        <f t="shared" si="0"/>
      </c>
      <c r="L7642">
        <f t="shared" si="1"/>
      </c>
      <c r="M7642">
        <f t="shared" si="2"/>
      </c>
    </row>
    <row r="7643">
      <c r="G7643" s="9">
        <f t="shared" si="0"/>
      </c>
      <c r="L7643">
        <f t="shared" si="1"/>
      </c>
      <c r="M7643">
        <f t="shared" si="2"/>
      </c>
    </row>
    <row r="7644">
      <c r="G7644" s="9">
        <f t="shared" si="0"/>
      </c>
      <c r="L7644">
        <f t="shared" si="1"/>
      </c>
      <c r="M7644">
        <f t="shared" si="2"/>
      </c>
    </row>
    <row r="7645">
      <c r="G7645" s="9">
        <f t="shared" si="0"/>
      </c>
      <c r="L7645">
        <f t="shared" si="1"/>
      </c>
      <c r="M7645">
        <f t="shared" si="2"/>
      </c>
    </row>
    <row r="7646">
      <c r="G7646" s="9">
        <f t="shared" si="0"/>
      </c>
      <c r="L7646">
        <f t="shared" si="1"/>
      </c>
      <c r="M7646">
        <f t="shared" si="2"/>
      </c>
    </row>
    <row r="7647">
      <c r="G7647" s="9">
        <f t="shared" si="0"/>
      </c>
      <c r="L7647">
        <f t="shared" si="1"/>
      </c>
      <c r="M7647">
        <f t="shared" si="2"/>
      </c>
    </row>
    <row r="7648">
      <c r="G7648" s="9">
        <f t="shared" si="0"/>
      </c>
      <c r="L7648">
        <f t="shared" si="1"/>
      </c>
      <c r="M7648">
        <f t="shared" si="2"/>
      </c>
    </row>
    <row r="7649">
      <c r="G7649" s="9">
        <f t="shared" si="0"/>
      </c>
      <c r="L7649">
        <f t="shared" si="1"/>
      </c>
      <c r="M7649">
        <f t="shared" si="2"/>
      </c>
    </row>
    <row r="7650">
      <c r="G7650" s="9">
        <f t="shared" si="0"/>
      </c>
      <c r="L7650">
        <f t="shared" si="1"/>
      </c>
      <c r="M7650">
        <f t="shared" si="2"/>
      </c>
    </row>
    <row r="7651">
      <c r="G7651" s="9">
        <f t="shared" si="0"/>
      </c>
      <c r="L7651">
        <f t="shared" si="1"/>
      </c>
      <c r="M7651">
        <f t="shared" si="2"/>
      </c>
    </row>
    <row r="7652">
      <c r="G7652" s="9">
        <f t="shared" si="0"/>
      </c>
      <c r="L7652">
        <f t="shared" si="1"/>
      </c>
      <c r="M7652">
        <f t="shared" si="2"/>
      </c>
    </row>
    <row r="7653">
      <c r="G7653" s="9">
        <f t="shared" si="0"/>
      </c>
      <c r="L7653">
        <f t="shared" si="1"/>
      </c>
      <c r="M7653">
        <f t="shared" si="2"/>
      </c>
    </row>
    <row r="7654">
      <c r="G7654" s="9">
        <f t="shared" si="0"/>
      </c>
      <c r="L7654">
        <f t="shared" si="1"/>
      </c>
      <c r="M7654">
        <f t="shared" si="2"/>
      </c>
    </row>
    <row r="7655">
      <c r="G7655" s="9">
        <f t="shared" si="0"/>
      </c>
      <c r="L7655">
        <f t="shared" si="1"/>
      </c>
      <c r="M7655">
        <f t="shared" si="2"/>
      </c>
    </row>
    <row r="7656">
      <c r="G7656" s="9">
        <f t="shared" si="0"/>
      </c>
      <c r="L7656">
        <f t="shared" si="1"/>
      </c>
      <c r="M7656">
        <f t="shared" si="2"/>
      </c>
    </row>
    <row r="7657">
      <c r="G7657" s="9">
        <f t="shared" si="0"/>
      </c>
      <c r="L7657">
        <f t="shared" si="1"/>
      </c>
      <c r="M7657">
        <f t="shared" si="2"/>
      </c>
    </row>
    <row r="7658">
      <c r="G7658" s="9">
        <f t="shared" si="0"/>
      </c>
      <c r="L7658">
        <f t="shared" si="1"/>
      </c>
      <c r="M7658">
        <f t="shared" si="2"/>
      </c>
    </row>
    <row r="7659">
      <c r="G7659" s="9">
        <f t="shared" si="0"/>
      </c>
      <c r="L7659">
        <f t="shared" si="1"/>
      </c>
      <c r="M7659">
        <f t="shared" si="2"/>
      </c>
    </row>
    <row r="7660">
      <c r="G7660" s="9">
        <f t="shared" si="0"/>
      </c>
      <c r="L7660">
        <f t="shared" si="1"/>
      </c>
      <c r="M7660">
        <f t="shared" si="2"/>
      </c>
    </row>
    <row r="7661">
      <c r="G7661" s="9">
        <f t="shared" si="0"/>
      </c>
      <c r="L7661">
        <f t="shared" si="1"/>
      </c>
      <c r="M7661">
        <f t="shared" si="2"/>
      </c>
    </row>
    <row r="7662">
      <c r="G7662" s="9">
        <f t="shared" si="0"/>
      </c>
      <c r="L7662">
        <f t="shared" si="1"/>
      </c>
      <c r="M7662">
        <f t="shared" si="2"/>
      </c>
    </row>
    <row r="7663">
      <c r="G7663" s="9">
        <f t="shared" si="0"/>
      </c>
      <c r="L7663">
        <f t="shared" si="1"/>
      </c>
      <c r="M7663">
        <f t="shared" si="2"/>
      </c>
    </row>
    <row r="7664">
      <c r="G7664" s="9">
        <f t="shared" si="0"/>
      </c>
      <c r="L7664">
        <f t="shared" si="1"/>
      </c>
      <c r="M7664">
        <f t="shared" si="2"/>
      </c>
    </row>
    <row r="7665">
      <c r="G7665" s="9">
        <f t="shared" si="0"/>
      </c>
      <c r="L7665">
        <f t="shared" si="1"/>
      </c>
      <c r="M7665">
        <f t="shared" si="2"/>
      </c>
    </row>
    <row r="7666">
      <c r="G7666" s="9">
        <f t="shared" si="0"/>
      </c>
      <c r="L7666">
        <f t="shared" si="1"/>
      </c>
      <c r="M7666">
        <f t="shared" si="2"/>
      </c>
    </row>
    <row r="7667">
      <c r="G7667" s="9">
        <f t="shared" si="0"/>
      </c>
      <c r="L7667">
        <f t="shared" si="1"/>
      </c>
      <c r="M7667">
        <f t="shared" si="2"/>
      </c>
    </row>
    <row r="7668">
      <c r="G7668" s="9">
        <f t="shared" si="0"/>
      </c>
      <c r="L7668">
        <f t="shared" si="1"/>
      </c>
      <c r="M7668">
        <f t="shared" si="2"/>
      </c>
    </row>
    <row r="7669">
      <c r="G7669" s="9">
        <f t="shared" si="0"/>
      </c>
      <c r="L7669">
        <f t="shared" si="1"/>
      </c>
      <c r="M7669">
        <f t="shared" si="2"/>
      </c>
    </row>
    <row r="7670">
      <c r="G7670" s="9">
        <f t="shared" si="0"/>
      </c>
      <c r="L7670">
        <f t="shared" si="1"/>
      </c>
      <c r="M7670">
        <f t="shared" si="2"/>
      </c>
    </row>
    <row r="7671">
      <c r="G7671" s="9">
        <f t="shared" si="0"/>
      </c>
      <c r="L7671">
        <f t="shared" si="1"/>
      </c>
      <c r="M7671">
        <f t="shared" si="2"/>
      </c>
    </row>
    <row r="7672">
      <c r="G7672" s="9">
        <f t="shared" si="0"/>
      </c>
      <c r="L7672">
        <f t="shared" si="1"/>
      </c>
      <c r="M7672">
        <f t="shared" si="2"/>
      </c>
    </row>
    <row r="7673">
      <c r="G7673" s="9">
        <f t="shared" si="0"/>
      </c>
      <c r="L7673">
        <f t="shared" si="1"/>
      </c>
      <c r="M7673">
        <f t="shared" si="2"/>
      </c>
    </row>
    <row r="7674">
      <c r="G7674" s="9">
        <f t="shared" si="0"/>
      </c>
      <c r="L7674">
        <f t="shared" si="1"/>
      </c>
      <c r="M7674">
        <f t="shared" si="2"/>
      </c>
    </row>
    <row r="7675">
      <c r="G7675" s="9">
        <f t="shared" si="0"/>
      </c>
      <c r="L7675">
        <f t="shared" si="1"/>
      </c>
      <c r="M7675">
        <f t="shared" si="2"/>
      </c>
    </row>
    <row r="7676">
      <c r="G7676" s="9">
        <f t="shared" si="0"/>
      </c>
      <c r="L7676">
        <f t="shared" si="1"/>
      </c>
      <c r="M7676">
        <f t="shared" si="2"/>
      </c>
    </row>
    <row r="7677">
      <c r="G7677" s="9">
        <f t="shared" si="0"/>
      </c>
      <c r="L7677">
        <f t="shared" si="1"/>
      </c>
      <c r="M7677">
        <f t="shared" si="2"/>
      </c>
    </row>
    <row r="7678">
      <c r="G7678" s="9">
        <f t="shared" si="0"/>
      </c>
      <c r="L7678">
        <f t="shared" si="1"/>
      </c>
      <c r="M7678">
        <f t="shared" si="2"/>
      </c>
    </row>
    <row r="7679">
      <c r="G7679" s="9">
        <f t="shared" si="0"/>
      </c>
      <c r="L7679">
        <f t="shared" si="1"/>
      </c>
      <c r="M7679">
        <f t="shared" si="2"/>
      </c>
    </row>
    <row r="7680">
      <c r="G7680" s="9">
        <f t="shared" si="0"/>
      </c>
      <c r="L7680">
        <f t="shared" si="1"/>
      </c>
      <c r="M7680">
        <f t="shared" si="2"/>
      </c>
    </row>
    <row r="7681">
      <c r="G7681" s="9">
        <f t="shared" si="0"/>
      </c>
      <c r="L7681">
        <f t="shared" si="1"/>
      </c>
      <c r="M7681">
        <f t="shared" si="2"/>
      </c>
    </row>
    <row r="7682">
      <c r="G7682" s="9">
        <f t="shared" si="0"/>
      </c>
      <c r="L7682">
        <f t="shared" si="1"/>
      </c>
      <c r="M7682">
        <f t="shared" si="2"/>
      </c>
    </row>
    <row r="7683">
      <c r="G7683" s="9">
        <f t="shared" si="0"/>
      </c>
      <c r="L7683">
        <f t="shared" si="1"/>
      </c>
      <c r="M7683">
        <f t="shared" si="2"/>
      </c>
    </row>
    <row r="7684">
      <c r="G7684" s="9">
        <f t="shared" si="0"/>
      </c>
      <c r="L7684">
        <f t="shared" si="1"/>
      </c>
      <c r="M7684">
        <f t="shared" si="2"/>
      </c>
    </row>
    <row r="7685">
      <c r="G7685" s="9">
        <f t="shared" si="0"/>
      </c>
      <c r="L7685">
        <f t="shared" si="1"/>
      </c>
      <c r="M7685">
        <f t="shared" si="2"/>
      </c>
    </row>
    <row r="7686">
      <c r="G7686" s="9">
        <f t="shared" si="0"/>
      </c>
      <c r="L7686">
        <f t="shared" si="1"/>
      </c>
      <c r="M7686">
        <f t="shared" si="2"/>
      </c>
    </row>
    <row r="7687">
      <c r="G7687" s="9">
        <f t="shared" si="0"/>
      </c>
      <c r="L7687">
        <f t="shared" si="1"/>
      </c>
      <c r="M7687">
        <f t="shared" si="2"/>
      </c>
    </row>
    <row r="7688">
      <c r="G7688" s="9">
        <f t="shared" si="0"/>
      </c>
      <c r="L7688">
        <f t="shared" si="1"/>
      </c>
      <c r="M7688">
        <f t="shared" si="2"/>
      </c>
    </row>
    <row r="7689">
      <c r="G7689" s="9">
        <f t="shared" si="0"/>
      </c>
      <c r="L7689">
        <f t="shared" si="1"/>
      </c>
      <c r="M7689">
        <f t="shared" si="2"/>
      </c>
    </row>
    <row r="7690">
      <c r="G7690" s="9">
        <f t="shared" si="0"/>
      </c>
      <c r="L7690">
        <f t="shared" si="1"/>
      </c>
      <c r="M7690">
        <f t="shared" si="2"/>
      </c>
    </row>
    <row r="7691">
      <c r="G7691" s="9">
        <f t="shared" si="0"/>
      </c>
      <c r="L7691">
        <f t="shared" si="1"/>
      </c>
      <c r="M7691">
        <f t="shared" si="2"/>
      </c>
    </row>
    <row r="7692">
      <c r="G7692" s="9">
        <f t="shared" si="0"/>
      </c>
      <c r="L7692">
        <f t="shared" si="1"/>
      </c>
      <c r="M7692">
        <f t="shared" si="2"/>
      </c>
    </row>
    <row r="7693">
      <c r="G7693" s="9">
        <f t="shared" si="0"/>
      </c>
      <c r="L7693">
        <f t="shared" si="1"/>
      </c>
      <c r="M7693">
        <f t="shared" si="2"/>
      </c>
    </row>
    <row r="7694">
      <c r="G7694" s="9">
        <f t="shared" si="0"/>
      </c>
      <c r="L7694">
        <f t="shared" si="1"/>
      </c>
      <c r="M7694">
        <f t="shared" si="2"/>
      </c>
    </row>
    <row r="7695">
      <c r="G7695" s="9">
        <f t="shared" si="0"/>
      </c>
      <c r="L7695">
        <f t="shared" si="1"/>
      </c>
      <c r="M7695">
        <f t="shared" si="2"/>
      </c>
    </row>
    <row r="7696">
      <c r="G7696" s="9">
        <f t="shared" si="0"/>
      </c>
      <c r="L7696">
        <f t="shared" si="1"/>
      </c>
      <c r="M7696">
        <f t="shared" si="2"/>
      </c>
    </row>
    <row r="7697">
      <c r="G7697" s="9">
        <f t="shared" si="0"/>
      </c>
      <c r="L7697">
        <f t="shared" si="1"/>
      </c>
      <c r="M7697">
        <f t="shared" si="2"/>
      </c>
    </row>
    <row r="7698">
      <c r="G7698" s="9">
        <f t="shared" si="0"/>
      </c>
      <c r="L7698">
        <f t="shared" si="1"/>
      </c>
      <c r="M7698">
        <f t="shared" si="2"/>
      </c>
    </row>
    <row r="7699">
      <c r="G7699" s="9">
        <f t="shared" si="0"/>
      </c>
      <c r="L7699">
        <f t="shared" si="1"/>
      </c>
      <c r="M7699">
        <f t="shared" si="2"/>
      </c>
    </row>
    <row r="7700">
      <c r="G7700" s="9">
        <f t="shared" si="0"/>
      </c>
      <c r="L7700">
        <f t="shared" si="1"/>
      </c>
      <c r="M7700">
        <f t="shared" si="2"/>
      </c>
    </row>
    <row r="7701">
      <c r="G7701" s="9">
        <f t="shared" si="0"/>
      </c>
      <c r="L7701">
        <f t="shared" si="1"/>
      </c>
      <c r="M7701">
        <f t="shared" si="2"/>
      </c>
    </row>
    <row r="7702">
      <c r="G7702" s="9">
        <f t="shared" si="0"/>
      </c>
      <c r="L7702">
        <f t="shared" si="1"/>
      </c>
      <c r="M7702">
        <f t="shared" si="2"/>
      </c>
    </row>
    <row r="7703">
      <c r="G7703" s="9">
        <f t="shared" si="0"/>
      </c>
      <c r="L7703">
        <f t="shared" si="1"/>
      </c>
      <c r="M7703">
        <f t="shared" si="2"/>
      </c>
    </row>
    <row r="7704">
      <c r="G7704" s="9">
        <f t="shared" si="0"/>
      </c>
      <c r="L7704">
        <f t="shared" si="1"/>
      </c>
      <c r="M7704">
        <f t="shared" si="2"/>
      </c>
    </row>
    <row r="7705">
      <c r="G7705" s="9">
        <f t="shared" si="0"/>
      </c>
      <c r="L7705">
        <f t="shared" si="1"/>
      </c>
      <c r="M7705">
        <f t="shared" si="2"/>
      </c>
    </row>
    <row r="7706">
      <c r="G7706" s="9">
        <f t="shared" si="0"/>
      </c>
      <c r="L7706">
        <f t="shared" si="1"/>
      </c>
      <c r="M7706">
        <f t="shared" si="2"/>
      </c>
    </row>
    <row r="7707">
      <c r="G7707" s="9">
        <f t="shared" si="0"/>
      </c>
      <c r="L7707">
        <f t="shared" si="1"/>
      </c>
      <c r="M7707">
        <f t="shared" si="2"/>
      </c>
    </row>
    <row r="7708">
      <c r="G7708" s="9">
        <f t="shared" si="0"/>
      </c>
      <c r="L7708">
        <f t="shared" si="1"/>
      </c>
      <c r="M7708">
        <f t="shared" si="2"/>
      </c>
    </row>
    <row r="7709">
      <c r="G7709" s="9">
        <f t="shared" si="0"/>
      </c>
      <c r="L7709">
        <f t="shared" si="1"/>
      </c>
      <c r="M7709">
        <f t="shared" si="2"/>
      </c>
    </row>
    <row r="7710">
      <c r="G7710" s="9">
        <f t="shared" si="0"/>
      </c>
      <c r="L7710">
        <f t="shared" si="1"/>
      </c>
      <c r="M7710">
        <f t="shared" si="2"/>
      </c>
    </row>
    <row r="7711">
      <c r="G7711" s="9">
        <f t="shared" si="0"/>
      </c>
      <c r="L7711">
        <f t="shared" si="1"/>
      </c>
      <c r="M7711">
        <f t="shared" si="2"/>
      </c>
    </row>
    <row r="7712">
      <c r="G7712" s="9">
        <f t="shared" si="0"/>
      </c>
      <c r="L7712">
        <f t="shared" si="1"/>
      </c>
      <c r="M7712">
        <f t="shared" si="2"/>
      </c>
    </row>
    <row r="7713">
      <c r="G7713" s="9">
        <f t="shared" si="0"/>
      </c>
      <c r="L7713">
        <f t="shared" si="1"/>
      </c>
      <c r="M7713">
        <f t="shared" si="2"/>
      </c>
    </row>
    <row r="7714">
      <c r="G7714" s="9">
        <f t="shared" si="0"/>
      </c>
      <c r="L7714">
        <f t="shared" si="1"/>
      </c>
      <c r="M7714">
        <f t="shared" si="2"/>
      </c>
    </row>
    <row r="7715">
      <c r="G7715" s="9">
        <f t="shared" si="0"/>
      </c>
      <c r="L7715">
        <f t="shared" si="1"/>
      </c>
      <c r="M7715">
        <f t="shared" si="2"/>
      </c>
    </row>
    <row r="7716">
      <c r="G7716" s="9">
        <f t="shared" si="0"/>
      </c>
      <c r="L7716">
        <f t="shared" si="1"/>
      </c>
      <c r="M7716">
        <f t="shared" si="2"/>
      </c>
    </row>
    <row r="7717">
      <c r="G7717" s="9">
        <f t="shared" si="0"/>
      </c>
      <c r="L7717">
        <f t="shared" si="1"/>
      </c>
      <c r="M7717">
        <f t="shared" si="2"/>
      </c>
    </row>
    <row r="7718">
      <c r="G7718" s="9">
        <f t="shared" si="0"/>
      </c>
      <c r="L7718">
        <f t="shared" si="1"/>
      </c>
      <c r="M7718">
        <f t="shared" si="2"/>
      </c>
    </row>
    <row r="7719">
      <c r="G7719" s="9">
        <f t="shared" si="0"/>
      </c>
      <c r="L7719">
        <f t="shared" si="1"/>
      </c>
      <c r="M7719">
        <f t="shared" si="2"/>
      </c>
    </row>
    <row r="7720">
      <c r="G7720" s="9">
        <f t="shared" si="0"/>
      </c>
      <c r="L7720">
        <f t="shared" si="1"/>
      </c>
      <c r="M7720">
        <f t="shared" si="2"/>
      </c>
    </row>
    <row r="7721">
      <c r="G7721" s="9">
        <f t="shared" si="0"/>
      </c>
      <c r="L7721">
        <f t="shared" si="1"/>
      </c>
      <c r="M7721">
        <f t="shared" si="2"/>
      </c>
    </row>
    <row r="7722">
      <c r="G7722" s="9">
        <f t="shared" si="0"/>
      </c>
      <c r="L7722">
        <f t="shared" si="1"/>
      </c>
      <c r="M7722">
        <f t="shared" si="2"/>
      </c>
    </row>
    <row r="7723">
      <c r="G7723" s="9">
        <f t="shared" si="0"/>
      </c>
      <c r="L7723">
        <f t="shared" si="1"/>
      </c>
      <c r="M7723">
        <f t="shared" si="2"/>
      </c>
    </row>
    <row r="7724">
      <c r="G7724" s="9">
        <f t="shared" si="0"/>
      </c>
      <c r="L7724">
        <f t="shared" si="1"/>
      </c>
      <c r="M7724">
        <f t="shared" si="2"/>
      </c>
    </row>
    <row r="7725">
      <c r="G7725" s="9">
        <f t="shared" si="0"/>
      </c>
      <c r="L7725">
        <f t="shared" si="1"/>
      </c>
      <c r="M7725">
        <f t="shared" si="2"/>
      </c>
    </row>
    <row r="7726">
      <c r="G7726" s="9">
        <f t="shared" si="0"/>
      </c>
      <c r="L7726">
        <f t="shared" si="1"/>
      </c>
      <c r="M7726">
        <f t="shared" si="2"/>
      </c>
    </row>
    <row r="7727">
      <c r="G7727" s="9">
        <f t="shared" si="0"/>
      </c>
      <c r="L7727">
        <f t="shared" si="1"/>
      </c>
      <c r="M7727">
        <f t="shared" si="2"/>
      </c>
    </row>
    <row r="7728">
      <c r="G7728" s="9">
        <f t="shared" si="0"/>
      </c>
      <c r="L7728">
        <f t="shared" si="1"/>
      </c>
      <c r="M7728">
        <f t="shared" si="2"/>
      </c>
    </row>
    <row r="7729">
      <c r="G7729" s="9">
        <f t="shared" si="0"/>
      </c>
      <c r="L7729">
        <f t="shared" si="1"/>
      </c>
      <c r="M7729">
        <f t="shared" si="2"/>
      </c>
    </row>
    <row r="7730">
      <c r="G7730" s="9">
        <f t="shared" si="0"/>
      </c>
      <c r="L7730">
        <f t="shared" si="1"/>
      </c>
      <c r="M7730">
        <f t="shared" si="2"/>
      </c>
    </row>
    <row r="7731">
      <c r="G7731" s="9">
        <f t="shared" si="0"/>
      </c>
      <c r="L7731">
        <f t="shared" si="1"/>
      </c>
      <c r="M7731">
        <f t="shared" si="2"/>
      </c>
    </row>
    <row r="7732">
      <c r="G7732" s="9">
        <f t="shared" si="0"/>
      </c>
      <c r="L7732">
        <f t="shared" si="1"/>
      </c>
      <c r="M7732">
        <f t="shared" si="2"/>
      </c>
    </row>
    <row r="7733">
      <c r="G7733" s="9">
        <f t="shared" si="0"/>
      </c>
      <c r="L7733">
        <f t="shared" si="1"/>
      </c>
      <c r="M7733">
        <f t="shared" si="2"/>
      </c>
    </row>
    <row r="7734">
      <c r="G7734" s="9">
        <f t="shared" si="0"/>
      </c>
      <c r="L7734">
        <f t="shared" si="1"/>
      </c>
      <c r="M7734">
        <f t="shared" si="2"/>
      </c>
    </row>
    <row r="7735">
      <c r="G7735" s="9">
        <f t="shared" si="0"/>
      </c>
      <c r="L7735">
        <f t="shared" si="1"/>
      </c>
      <c r="M7735">
        <f t="shared" si="2"/>
      </c>
    </row>
    <row r="7736">
      <c r="G7736" s="9">
        <f t="shared" si="0"/>
      </c>
      <c r="L7736">
        <f t="shared" si="1"/>
      </c>
      <c r="M7736">
        <f t="shared" si="2"/>
      </c>
    </row>
    <row r="7737">
      <c r="G7737" s="9">
        <f t="shared" si="0"/>
      </c>
      <c r="L7737">
        <f t="shared" si="1"/>
      </c>
      <c r="M7737">
        <f t="shared" si="2"/>
      </c>
    </row>
    <row r="7738">
      <c r="G7738" s="9">
        <f t="shared" si="0"/>
      </c>
      <c r="L7738">
        <f t="shared" si="1"/>
      </c>
      <c r="M7738">
        <f t="shared" si="2"/>
      </c>
    </row>
    <row r="7739">
      <c r="G7739" s="9">
        <f t="shared" si="0"/>
      </c>
      <c r="L7739">
        <f t="shared" si="1"/>
      </c>
      <c r="M7739">
        <f t="shared" si="2"/>
      </c>
    </row>
    <row r="7740">
      <c r="G7740" s="9">
        <f t="shared" si="0"/>
      </c>
      <c r="L7740">
        <f t="shared" si="1"/>
      </c>
      <c r="M7740">
        <f t="shared" si="2"/>
      </c>
    </row>
    <row r="7741">
      <c r="G7741" s="9">
        <f t="shared" si="0"/>
      </c>
      <c r="L7741">
        <f t="shared" si="1"/>
      </c>
      <c r="M7741">
        <f t="shared" si="2"/>
      </c>
    </row>
    <row r="7742">
      <c r="G7742" s="9">
        <f t="shared" si="0"/>
      </c>
      <c r="L7742">
        <f t="shared" si="1"/>
      </c>
      <c r="M7742">
        <f t="shared" si="2"/>
      </c>
    </row>
    <row r="7743">
      <c r="G7743" s="9">
        <f t="shared" si="0"/>
      </c>
      <c r="L7743">
        <f t="shared" si="1"/>
      </c>
      <c r="M7743">
        <f t="shared" si="2"/>
      </c>
    </row>
    <row r="7744">
      <c r="G7744" s="9">
        <f t="shared" si="0"/>
      </c>
      <c r="L7744">
        <f t="shared" si="1"/>
      </c>
      <c r="M7744">
        <f t="shared" si="2"/>
      </c>
    </row>
    <row r="7745">
      <c r="G7745" s="9">
        <f t="shared" si="0"/>
      </c>
      <c r="L7745">
        <f t="shared" si="1"/>
      </c>
      <c r="M7745">
        <f t="shared" si="2"/>
      </c>
    </row>
    <row r="7746">
      <c r="G7746" s="9">
        <f t="shared" si="0"/>
      </c>
      <c r="L7746">
        <f t="shared" si="1"/>
      </c>
      <c r="M7746">
        <f t="shared" si="2"/>
      </c>
    </row>
    <row r="7747">
      <c r="G7747" s="9">
        <f t="shared" si="0"/>
      </c>
      <c r="L7747">
        <f t="shared" si="1"/>
      </c>
      <c r="M7747">
        <f t="shared" si="2"/>
      </c>
    </row>
    <row r="7748">
      <c r="G7748" s="9">
        <f t="shared" si="0"/>
      </c>
      <c r="L7748">
        <f t="shared" si="1"/>
      </c>
      <c r="M7748">
        <f t="shared" si="2"/>
      </c>
    </row>
    <row r="7749">
      <c r="G7749" s="9">
        <f t="shared" si="0"/>
      </c>
      <c r="L7749">
        <f t="shared" si="1"/>
      </c>
      <c r="M7749">
        <f t="shared" si="2"/>
      </c>
    </row>
    <row r="7750">
      <c r="G7750" s="9">
        <f t="shared" si="0"/>
      </c>
      <c r="L7750">
        <f t="shared" si="1"/>
      </c>
      <c r="M7750">
        <f t="shared" si="2"/>
      </c>
    </row>
    <row r="7751">
      <c r="G7751" s="9">
        <f t="shared" si="0"/>
      </c>
      <c r="L7751">
        <f t="shared" si="1"/>
      </c>
      <c r="M7751">
        <f t="shared" si="2"/>
      </c>
    </row>
    <row r="7752">
      <c r="G7752" s="9">
        <f t="shared" si="0"/>
      </c>
      <c r="L7752">
        <f t="shared" si="1"/>
      </c>
      <c r="M7752">
        <f t="shared" si="2"/>
      </c>
    </row>
    <row r="7753">
      <c r="G7753" s="9">
        <f t="shared" si="0"/>
      </c>
      <c r="L7753">
        <f t="shared" si="1"/>
      </c>
      <c r="M7753">
        <f t="shared" si="2"/>
      </c>
    </row>
    <row r="7754">
      <c r="G7754" s="9">
        <f t="shared" si="0"/>
      </c>
      <c r="L7754">
        <f t="shared" si="1"/>
      </c>
      <c r="M7754">
        <f t="shared" si="2"/>
      </c>
    </row>
    <row r="7755">
      <c r="G7755" s="9">
        <f t="shared" si="0"/>
      </c>
      <c r="L7755">
        <f t="shared" si="1"/>
      </c>
      <c r="M7755">
        <f t="shared" si="2"/>
      </c>
    </row>
    <row r="7756">
      <c r="G7756" s="9">
        <f t="shared" si="0"/>
      </c>
      <c r="L7756">
        <f t="shared" si="1"/>
      </c>
      <c r="M7756">
        <f t="shared" si="2"/>
      </c>
    </row>
    <row r="7757">
      <c r="G7757" s="9">
        <f t="shared" si="0"/>
      </c>
      <c r="L7757">
        <f t="shared" si="1"/>
      </c>
      <c r="M7757">
        <f t="shared" si="2"/>
      </c>
    </row>
    <row r="7758">
      <c r="G7758" s="9">
        <f t="shared" si="0"/>
      </c>
      <c r="L7758">
        <f t="shared" si="1"/>
      </c>
      <c r="M7758">
        <f t="shared" si="2"/>
      </c>
    </row>
    <row r="7759">
      <c r="G7759" s="9">
        <f t="shared" si="0"/>
      </c>
      <c r="L7759">
        <f t="shared" si="1"/>
      </c>
      <c r="M7759">
        <f t="shared" si="2"/>
      </c>
    </row>
    <row r="7760">
      <c r="G7760" s="9">
        <f t="shared" si="0"/>
      </c>
      <c r="L7760">
        <f t="shared" si="1"/>
      </c>
      <c r="M7760">
        <f t="shared" si="2"/>
      </c>
    </row>
    <row r="7761">
      <c r="G7761" s="9">
        <f t="shared" si="0"/>
      </c>
      <c r="L7761">
        <f t="shared" si="1"/>
      </c>
      <c r="M7761">
        <f t="shared" si="2"/>
      </c>
    </row>
    <row r="7762">
      <c r="G7762" s="9">
        <f t="shared" si="0"/>
      </c>
      <c r="L7762">
        <f t="shared" si="1"/>
      </c>
      <c r="M7762">
        <f t="shared" si="2"/>
      </c>
    </row>
    <row r="7763">
      <c r="G7763" s="9">
        <f t="shared" si="0"/>
      </c>
      <c r="L7763">
        <f t="shared" si="1"/>
      </c>
      <c r="M7763">
        <f t="shared" si="2"/>
      </c>
    </row>
    <row r="7764">
      <c r="G7764" s="9">
        <f t="shared" si="0"/>
      </c>
      <c r="L7764">
        <f t="shared" si="1"/>
      </c>
      <c r="M7764">
        <f t="shared" si="2"/>
      </c>
    </row>
    <row r="7765">
      <c r="G7765" s="9">
        <f t="shared" si="0"/>
      </c>
      <c r="L7765">
        <f t="shared" si="1"/>
      </c>
      <c r="M7765">
        <f t="shared" si="2"/>
      </c>
    </row>
    <row r="7766">
      <c r="G7766" s="9">
        <f t="shared" si="0"/>
      </c>
      <c r="L7766">
        <f t="shared" si="1"/>
      </c>
      <c r="M7766">
        <f t="shared" si="2"/>
      </c>
    </row>
    <row r="7767">
      <c r="G7767" s="9">
        <f t="shared" si="0"/>
      </c>
      <c r="L7767">
        <f t="shared" si="1"/>
      </c>
      <c r="M7767">
        <f t="shared" si="2"/>
      </c>
    </row>
    <row r="7768">
      <c r="G7768" s="9">
        <f t="shared" si="0"/>
      </c>
      <c r="L7768">
        <f t="shared" si="1"/>
      </c>
      <c r="M7768">
        <f t="shared" si="2"/>
      </c>
    </row>
    <row r="7769">
      <c r="G7769" s="9">
        <f t="shared" si="0"/>
      </c>
      <c r="L7769">
        <f t="shared" si="1"/>
      </c>
      <c r="M7769">
        <f t="shared" si="2"/>
      </c>
    </row>
    <row r="7770">
      <c r="G7770" s="9">
        <f t="shared" si="0"/>
      </c>
      <c r="L7770">
        <f t="shared" si="1"/>
      </c>
      <c r="M7770">
        <f t="shared" si="2"/>
      </c>
    </row>
    <row r="7771">
      <c r="G7771" s="9">
        <f t="shared" si="0"/>
      </c>
      <c r="L7771">
        <f t="shared" si="1"/>
      </c>
      <c r="M7771">
        <f t="shared" si="2"/>
      </c>
    </row>
    <row r="7772">
      <c r="G7772" s="9">
        <f t="shared" si="0"/>
      </c>
      <c r="L7772">
        <f t="shared" si="1"/>
      </c>
      <c r="M7772">
        <f t="shared" si="2"/>
      </c>
    </row>
    <row r="7773">
      <c r="G7773" s="9">
        <f t="shared" si="0"/>
      </c>
      <c r="L7773">
        <f t="shared" si="1"/>
      </c>
      <c r="M7773">
        <f t="shared" si="2"/>
      </c>
    </row>
    <row r="7774">
      <c r="G7774" s="9">
        <f t="shared" si="0"/>
      </c>
      <c r="L7774">
        <f t="shared" si="1"/>
      </c>
      <c r="M7774">
        <f t="shared" si="2"/>
      </c>
    </row>
    <row r="7775">
      <c r="G7775" s="9">
        <f t="shared" si="0"/>
      </c>
      <c r="L7775">
        <f t="shared" si="1"/>
      </c>
      <c r="M7775">
        <f t="shared" si="2"/>
      </c>
    </row>
    <row r="7776">
      <c r="G7776" s="9">
        <f t="shared" si="0"/>
      </c>
      <c r="L7776">
        <f t="shared" si="1"/>
      </c>
      <c r="M7776">
        <f t="shared" si="2"/>
      </c>
    </row>
    <row r="7777">
      <c r="G7777" s="9">
        <f t="shared" si="0"/>
      </c>
      <c r="L7777">
        <f t="shared" si="1"/>
      </c>
      <c r="M7777">
        <f t="shared" si="2"/>
      </c>
    </row>
    <row r="7778">
      <c r="G7778" s="9">
        <f t="shared" si="0"/>
      </c>
      <c r="L7778">
        <f t="shared" si="1"/>
      </c>
      <c r="M7778">
        <f t="shared" si="2"/>
      </c>
    </row>
    <row r="7779">
      <c r="G7779" s="9">
        <f t="shared" si="0"/>
      </c>
      <c r="L7779">
        <f t="shared" si="1"/>
      </c>
      <c r="M7779">
        <f t="shared" si="2"/>
      </c>
    </row>
    <row r="7780">
      <c r="G7780" s="9">
        <f t="shared" si="0"/>
      </c>
      <c r="L7780">
        <f t="shared" si="1"/>
      </c>
      <c r="M7780">
        <f t="shared" si="2"/>
      </c>
    </row>
    <row r="7781">
      <c r="G7781" s="9">
        <f t="shared" si="0"/>
      </c>
      <c r="L7781">
        <f t="shared" si="1"/>
      </c>
      <c r="M7781">
        <f t="shared" si="2"/>
      </c>
    </row>
    <row r="7782">
      <c r="G7782" s="9">
        <f t="shared" si="0"/>
      </c>
      <c r="L7782">
        <f t="shared" si="1"/>
      </c>
      <c r="M7782">
        <f t="shared" si="2"/>
      </c>
    </row>
    <row r="7783">
      <c r="G7783" s="9">
        <f t="shared" si="0"/>
      </c>
      <c r="L7783">
        <f t="shared" si="1"/>
      </c>
      <c r="M7783">
        <f t="shared" si="2"/>
      </c>
    </row>
    <row r="7784">
      <c r="G7784" s="9">
        <f t="shared" si="0"/>
      </c>
      <c r="L7784">
        <f t="shared" si="1"/>
      </c>
      <c r="M7784">
        <f t="shared" si="2"/>
      </c>
    </row>
    <row r="7785">
      <c r="G7785" s="9">
        <f t="shared" si="0"/>
      </c>
      <c r="L7785">
        <f t="shared" si="1"/>
      </c>
      <c r="M7785">
        <f t="shared" si="2"/>
      </c>
    </row>
    <row r="7786">
      <c r="G7786" s="9">
        <f t="shared" si="0"/>
      </c>
      <c r="L7786">
        <f t="shared" si="1"/>
      </c>
      <c r="M7786">
        <f t="shared" si="2"/>
      </c>
    </row>
    <row r="7787">
      <c r="G7787" s="9">
        <f t="shared" si="0"/>
      </c>
      <c r="L7787">
        <f t="shared" si="1"/>
      </c>
      <c r="M7787">
        <f t="shared" si="2"/>
      </c>
    </row>
    <row r="7788">
      <c r="G7788" s="9">
        <f t="shared" si="0"/>
      </c>
      <c r="L7788">
        <f t="shared" si="1"/>
      </c>
      <c r="M7788">
        <f t="shared" si="2"/>
      </c>
    </row>
    <row r="7789">
      <c r="G7789" s="9">
        <f t="shared" si="0"/>
      </c>
      <c r="L7789">
        <f t="shared" si="1"/>
      </c>
      <c r="M7789">
        <f t="shared" si="2"/>
      </c>
    </row>
    <row r="7790">
      <c r="G7790" s="9">
        <f t="shared" si="0"/>
      </c>
      <c r="L7790">
        <f t="shared" si="1"/>
      </c>
      <c r="M7790">
        <f t="shared" si="2"/>
      </c>
    </row>
    <row r="7791">
      <c r="G7791" s="9">
        <f t="shared" si="0"/>
      </c>
      <c r="L7791">
        <f t="shared" si="1"/>
      </c>
      <c r="M7791">
        <f t="shared" si="2"/>
      </c>
    </row>
    <row r="7792">
      <c r="G7792" s="9">
        <f t="shared" si="0"/>
      </c>
      <c r="L7792">
        <f t="shared" si="1"/>
      </c>
      <c r="M7792">
        <f t="shared" si="2"/>
      </c>
    </row>
    <row r="7793">
      <c r="G7793" s="9">
        <f t="shared" si="0"/>
      </c>
      <c r="L7793">
        <f t="shared" si="1"/>
      </c>
      <c r="M7793">
        <f t="shared" si="2"/>
      </c>
    </row>
    <row r="7794">
      <c r="G7794" s="9">
        <f t="shared" si="0"/>
      </c>
      <c r="L7794">
        <f t="shared" si="1"/>
      </c>
      <c r="M7794">
        <f t="shared" si="2"/>
      </c>
    </row>
    <row r="7795">
      <c r="G7795" s="9">
        <f t="shared" si="0"/>
      </c>
      <c r="L7795">
        <f t="shared" si="1"/>
      </c>
      <c r="M7795">
        <f t="shared" si="2"/>
      </c>
    </row>
    <row r="7796">
      <c r="G7796" s="9">
        <f t="shared" si="0"/>
      </c>
      <c r="L7796">
        <f t="shared" si="1"/>
      </c>
      <c r="M7796">
        <f t="shared" si="2"/>
      </c>
    </row>
    <row r="7797">
      <c r="G7797" s="9">
        <f t="shared" si="0"/>
      </c>
      <c r="L7797">
        <f t="shared" si="1"/>
      </c>
      <c r="M7797">
        <f t="shared" si="2"/>
      </c>
    </row>
    <row r="7798">
      <c r="G7798" s="9">
        <f t="shared" si="0"/>
      </c>
      <c r="L7798">
        <f t="shared" si="1"/>
      </c>
      <c r="M7798">
        <f t="shared" si="2"/>
      </c>
    </row>
    <row r="7799">
      <c r="G7799" s="9">
        <f t="shared" si="0"/>
      </c>
      <c r="L7799">
        <f t="shared" si="1"/>
      </c>
      <c r="M7799">
        <f t="shared" si="2"/>
      </c>
    </row>
    <row r="7800">
      <c r="G7800" s="9">
        <f t="shared" si="0"/>
      </c>
      <c r="L7800">
        <f t="shared" si="1"/>
      </c>
      <c r="M7800">
        <f t="shared" si="2"/>
      </c>
    </row>
    <row r="7801">
      <c r="G7801" s="9">
        <f t="shared" si="0"/>
      </c>
      <c r="L7801">
        <f t="shared" si="1"/>
      </c>
      <c r="M7801">
        <f t="shared" si="2"/>
      </c>
    </row>
    <row r="7802">
      <c r="G7802" s="9">
        <f t="shared" si="0"/>
      </c>
      <c r="L7802">
        <f t="shared" si="1"/>
      </c>
      <c r="M7802">
        <f t="shared" si="2"/>
      </c>
    </row>
    <row r="7803">
      <c r="G7803" s="9">
        <f t="shared" si="0"/>
      </c>
      <c r="L7803">
        <f t="shared" si="1"/>
      </c>
      <c r="M7803">
        <f t="shared" si="2"/>
      </c>
    </row>
    <row r="7804">
      <c r="G7804" s="9">
        <f t="shared" si="0"/>
      </c>
      <c r="L7804">
        <f t="shared" si="1"/>
      </c>
      <c r="M7804">
        <f t="shared" si="2"/>
      </c>
    </row>
    <row r="7805">
      <c r="G7805" s="9">
        <f t="shared" si="0"/>
      </c>
      <c r="L7805">
        <f t="shared" si="1"/>
      </c>
      <c r="M7805">
        <f t="shared" si="2"/>
      </c>
    </row>
    <row r="7806">
      <c r="G7806" s="9">
        <f t="shared" si="0"/>
      </c>
      <c r="L7806">
        <f t="shared" si="1"/>
      </c>
      <c r="M7806">
        <f t="shared" si="2"/>
      </c>
    </row>
    <row r="7807">
      <c r="G7807" s="9">
        <f t="shared" si="0"/>
      </c>
      <c r="L7807">
        <f t="shared" si="1"/>
      </c>
      <c r="M7807">
        <f t="shared" si="2"/>
      </c>
    </row>
    <row r="7808">
      <c r="G7808" s="9">
        <f t="shared" si="0"/>
      </c>
      <c r="L7808">
        <f t="shared" si="1"/>
      </c>
      <c r="M7808">
        <f t="shared" si="2"/>
      </c>
    </row>
    <row r="7809">
      <c r="G7809" s="9">
        <f t="shared" si="0"/>
      </c>
      <c r="L7809">
        <f t="shared" si="1"/>
      </c>
      <c r="M7809">
        <f t="shared" si="2"/>
      </c>
    </row>
    <row r="7810">
      <c r="G7810" s="9">
        <f t="shared" si="0"/>
      </c>
      <c r="L7810">
        <f t="shared" si="1"/>
      </c>
      <c r="M7810">
        <f t="shared" si="2"/>
      </c>
    </row>
    <row r="7811">
      <c r="G7811" s="9">
        <f t="shared" si="0"/>
      </c>
      <c r="L7811">
        <f t="shared" si="1"/>
      </c>
      <c r="M7811">
        <f t="shared" si="2"/>
      </c>
    </row>
    <row r="7812">
      <c r="G7812" s="9">
        <f t="shared" si="0"/>
      </c>
      <c r="L7812">
        <f t="shared" si="1"/>
      </c>
      <c r="M7812">
        <f t="shared" si="2"/>
      </c>
    </row>
    <row r="7813">
      <c r="G7813" s="9">
        <f t="shared" si="0"/>
      </c>
      <c r="L7813">
        <f t="shared" si="1"/>
      </c>
      <c r="M7813">
        <f t="shared" si="2"/>
      </c>
    </row>
    <row r="7814">
      <c r="G7814" s="9">
        <f t="shared" si="0"/>
      </c>
      <c r="L7814">
        <f t="shared" si="1"/>
      </c>
      <c r="M7814">
        <f t="shared" si="2"/>
      </c>
    </row>
    <row r="7815">
      <c r="G7815" s="9">
        <f t="shared" si="0"/>
      </c>
      <c r="L7815">
        <f t="shared" si="1"/>
      </c>
      <c r="M7815">
        <f t="shared" si="2"/>
      </c>
    </row>
    <row r="7816">
      <c r="G7816" s="9">
        <f t="shared" si="0"/>
      </c>
      <c r="L7816">
        <f t="shared" si="1"/>
      </c>
      <c r="M7816">
        <f t="shared" si="2"/>
      </c>
    </row>
    <row r="7817">
      <c r="G7817" s="9">
        <f t="shared" si="0"/>
      </c>
      <c r="L7817">
        <f t="shared" si="1"/>
      </c>
      <c r="M7817">
        <f t="shared" si="2"/>
      </c>
    </row>
    <row r="7818">
      <c r="G7818" s="9">
        <f t="shared" si="0"/>
      </c>
      <c r="L7818">
        <f t="shared" si="1"/>
      </c>
      <c r="M7818">
        <f t="shared" si="2"/>
      </c>
    </row>
    <row r="7819">
      <c r="G7819" s="9">
        <f t="shared" si="0"/>
      </c>
      <c r="L7819">
        <f t="shared" si="1"/>
      </c>
      <c r="M7819">
        <f t="shared" si="2"/>
      </c>
    </row>
    <row r="7820">
      <c r="G7820" s="9">
        <f t="shared" si="0"/>
      </c>
      <c r="L7820">
        <f t="shared" si="1"/>
      </c>
      <c r="M7820">
        <f t="shared" si="2"/>
      </c>
    </row>
    <row r="7821">
      <c r="G7821" s="9">
        <f t="shared" si="0"/>
      </c>
      <c r="L7821">
        <f t="shared" si="1"/>
      </c>
      <c r="M7821">
        <f t="shared" si="2"/>
      </c>
    </row>
    <row r="7822">
      <c r="G7822" s="9">
        <f t="shared" si="0"/>
      </c>
      <c r="L7822">
        <f t="shared" si="1"/>
      </c>
      <c r="M7822">
        <f t="shared" si="2"/>
      </c>
    </row>
    <row r="7823">
      <c r="G7823" s="9">
        <f t="shared" si="0"/>
      </c>
      <c r="L7823">
        <f t="shared" si="1"/>
      </c>
      <c r="M7823">
        <f t="shared" si="2"/>
      </c>
    </row>
    <row r="7824">
      <c r="G7824" s="9">
        <f t="shared" si="0"/>
      </c>
      <c r="L7824">
        <f t="shared" si="1"/>
      </c>
      <c r="M7824">
        <f t="shared" si="2"/>
      </c>
    </row>
    <row r="7825">
      <c r="G7825" s="9">
        <f t="shared" si="0"/>
      </c>
      <c r="L7825">
        <f t="shared" si="1"/>
      </c>
      <c r="M7825">
        <f t="shared" si="2"/>
      </c>
    </row>
    <row r="7826">
      <c r="G7826" s="9">
        <f t="shared" si="0"/>
      </c>
      <c r="L7826">
        <f t="shared" si="1"/>
      </c>
      <c r="M7826">
        <f t="shared" si="2"/>
      </c>
    </row>
    <row r="7827">
      <c r="G7827" s="9">
        <f t="shared" si="0"/>
      </c>
      <c r="L7827">
        <f t="shared" si="1"/>
      </c>
      <c r="M7827">
        <f t="shared" si="2"/>
      </c>
    </row>
    <row r="7828">
      <c r="G7828" s="9">
        <f t="shared" si="0"/>
      </c>
      <c r="L7828">
        <f t="shared" si="1"/>
      </c>
      <c r="M7828">
        <f t="shared" si="2"/>
      </c>
    </row>
    <row r="7829">
      <c r="G7829" s="9">
        <f t="shared" si="0"/>
      </c>
      <c r="L7829">
        <f t="shared" si="1"/>
      </c>
      <c r="M7829">
        <f t="shared" si="2"/>
      </c>
    </row>
    <row r="7830">
      <c r="G7830" s="9">
        <f t="shared" si="0"/>
      </c>
      <c r="L7830">
        <f t="shared" si="1"/>
      </c>
      <c r="M7830">
        <f t="shared" si="2"/>
      </c>
    </row>
    <row r="7831">
      <c r="G7831" s="9">
        <f t="shared" si="0"/>
      </c>
      <c r="L7831">
        <f t="shared" si="1"/>
      </c>
      <c r="M7831">
        <f t="shared" si="2"/>
      </c>
    </row>
    <row r="7832">
      <c r="G7832" s="9">
        <f t="shared" si="0"/>
      </c>
      <c r="L7832">
        <f t="shared" si="1"/>
      </c>
      <c r="M7832">
        <f t="shared" si="2"/>
      </c>
    </row>
    <row r="7833">
      <c r="G7833" s="9">
        <f t="shared" si="0"/>
      </c>
      <c r="L7833">
        <f t="shared" si="1"/>
      </c>
      <c r="M7833">
        <f t="shared" si="2"/>
      </c>
    </row>
    <row r="7834">
      <c r="G7834" s="9">
        <f t="shared" si="0"/>
      </c>
      <c r="L7834">
        <f t="shared" si="1"/>
      </c>
      <c r="M7834">
        <f t="shared" si="2"/>
      </c>
    </row>
    <row r="7835">
      <c r="G7835" s="9">
        <f t="shared" si="0"/>
      </c>
      <c r="L7835">
        <f t="shared" si="1"/>
      </c>
      <c r="M7835">
        <f t="shared" si="2"/>
      </c>
    </row>
    <row r="7836">
      <c r="G7836" s="9">
        <f t="shared" si="0"/>
      </c>
      <c r="L7836">
        <f t="shared" si="1"/>
      </c>
      <c r="M7836">
        <f t="shared" si="2"/>
      </c>
    </row>
    <row r="7837">
      <c r="G7837" s="9">
        <f t="shared" si="0"/>
      </c>
      <c r="L7837">
        <f t="shared" si="1"/>
      </c>
      <c r="M7837">
        <f t="shared" si="2"/>
      </c>
    </row>
    <row r="7838">
      <c r="G7838" s="9">
        <f t="shared" si="0"/>
      </c>
      <c r="L7838">
        <f t="shared" si="1"/>
      </c>
      <c r="M7838">
        <f t="shared" si="2"/>
      </c>
    </row>
    <row r="7839">
      <c r="G7839" s="9">
        <f t="shared" si="0"/>
      </c>
      <c r="L7839">
        <f t="shared" si="1"/>
      </c>
      <c r="M7839">
        <f t="shared" si="2"/>
      </c>
    </row>
    <row r="7840">
      <c r="G7840" s="9">
        <f t="shared" si="0"/>
      </c>
      <c r="L7840">
        <f t="shared" si="1"/>
      </c>
      <c r="M7840">
        <f t="shared" si="2"/>
      </c>
    </row>
    <row r="7841">
      <c r="G7841" s="9">
        <f t="shared" si="0"/>
      </c>
      <c r="L7841">
        <f t="shared" si="1"/>
      </c>
      <c r="M7841">
        <f t="shared" si="2"/>
      </c>
    </row>
    <row r="7842">
      <c r="G7842" s="9">
        <f t="shared" si="0"/>
      </c>
      <c r="L7842">
        <f t="shared" si="1"/>
      </c>
      <c r="M7842">
        <f t="shared" si="2"/>
      </c>
    </row>
    <row r="7843">
      <c r="G7843" s="9">
        <f t="shared" si="0"/>
      </c>
      <c r="L7843">
        <f t="shared" si="1"/>
      </c>
      <c r="M7843">
        <f t="shared" si="2"/>
      </c>
    </row>
    <row r="7844">
      <c r="G7844" s="9">
        <f t="shared" si="0"/>
      </c>
      <c r="L7844">
        <f t="shared" si="1"/>
      </c>
      <c r="M7844">
        <f t="shared" si="2"/>
      </c>
    </row>
    <row r="7845">
      <c r="G7845" s="9">
        <f t="shared" si="0"/>
      </c>
      <c r="L7845">
        <f t="shared" si="1"/>
      </c>
      <c r="M7845">
        <f t="shared" si="2"/>
      </c>
    </row>
    <row r="7846">
      <c r="G7846" s="9">
        <f t="shared" si="0"/>
      </c>
      <c r="L7846">
        <f t="shared" si="1"/>
      </c>
      <c r="M7846">
        <f t="shared" si="2"/>
      </c>
    </row>
    <row r="7847">
      <c r="G7847" s="9">
        <f t="shared" si="0"/>
      </c>
      <c r="L7847">
        <f t="shared" si="1"/>
      </c>
      <c r="M7847">
        <f t="shared" si="2"/>
      </c>
    </row>
    <row r="7848">
      <c r="G7848" s="9">
        <f t="shared" si="0"/>
      </c>
      <c r="L7848">
        <f t="shared" si="1"/>
      </c>
      <c r="M7848">
        <f t="shared" si="2"/>
      </c>
    </row>
    <row r="7849">
      <c r="G7849" s="9">
        <f t="shared" si="0"/>
      </c>
      <c r="L7849">
        <f t="shared" si="1"/>
      </c>
      <c r="M7849">
        <f t="shared" si="2"/>
      </c>
    </row>
    <row r="7850">
      <c r="G7850" s="9">
        <f t="shared" si="0"/>
      </c>
      <c r="L7850">
        <f t="shared" si="1"/>
      </c>
      <c r="M7850">
        <f t="shared" si="2"/>
      </c>
    </row>
    <row r="7851">
      <c r="G7851" s="9">
        <f t="shared" si="0"/>
      </c>
      <c r="L7851">
        <f t="shared" si="1"/>
      </c>
      <c r="M7851">
        <f t="shared" si="2"/>
      </c>
    </row>
    <row r="7852">
      <c r="G7852" s="9">
        <f t="shared" si="0"/>
      </c>
      <c r="L7852">
        <f t="shared" si="1"/>
      </c>
      <c r="M7852">
        <f t="shared" si="2"/>
      </c>
    </row>
    <row r="7853">
      <c r="G7853" s="9">
        <f t="shared" si="0"/>
      </c>
      <c r="L7853">
        <f t="shared" si="1"/>
      </c>
      <c r="M7853">
        <f t="shared" si="2"/>
      </c>
    </row>
    <row r="7854">
      <c r="G7854" s="9">
        <f t="shared" si="0"/>
      </c>
      <c r="L7854">
        <f t="shared" si="1"/>
      </c>
      <c r="M7854">
        <f t="shared" si="2"/>
      </c>
    </row>
    <row r="7855">
      <c r="G7855" s="9">
        <f t="shared" si="0"/>
      </c>
      <c r="L7855">
        <f t="shared" si="1"/>
      </c>
      <c r="M7855">
        <f t="shared" si="2"/>
      </c>
    </row>
    <row r="7856">
      <c r="G7856" s="9">
        <f t="shared" si="0"/>
      </c>
      <c r="L7856">
        <f t="shared" si="1"/>
      </c>
      <c r="M7856">
        <f t="shared" si="2"/>
      </c>
    </row>
    <row r="7857">
      <c r="G7857" s="9">
        <f t="shared" si="0"/>
      </c>
      <c r="L7857">
        <f t="shared" si="1"/>
      </c>
      <c r="M7857">
        <f t="shared" si="2"/>
      </c>
    </row>
    <row r="7858">
      <c r="G7858" s="9">
        <f t="shared" si="0"/>
      </c>
      <c r="L7858">
        <f t="shared" si="1"/>
      </c>
      <c r="M7858">
        <f t="shared" si="2"/>
      </c>
    </row>
    <row r="7859">
      <c r="G7859" s="9">
        <f t="shared" si="0"/>
      </c>
      <c r="L7859">
        <f t="shared" si="1"/>
      </c>
      <c r="M7859">
        <f t="shared" si="2"/>
      </c>
    </row>
    <row r="7860">
      <c r="G7860" s="9">
        <f t="shared" si="0"/>
      </c>
      <c r="L7860">
        <f t="shared" si="1"/>
      </c>
      <c r="M7860">
        <f t="shared" si="2"/>
      </c>
    </row>
    <row r="7861">
      <c r="G7861" s="9">
        <f t="shared" si="0"/>
      </c>
      <c r="L7861">
        <f t="shared" si="1"/>
      </c>
      <c r="M7861">
        <f t="shared" si="2"/>
      </c>
    </row>
    <row r="7862">
      <c r="G7862" s="9">
        <f t="shared" si="0"/>
      </c>
      <c r="L7862">
        <f t="shared" si="1"/>
      </c>
      <c r="M7862">
        <f t="shared" si="2"/>
      </c>
    </row>
    <row r="7863">
      <c r="G7863" s="9">
        <f t="shared" si="0"/>
      </c>
      <c r="L7863">
        <f t="shared" si="1"/>
      </c>
      <c r="M7863">
        <f t="shared" si="2"/>
      </c>
    </row>
    <row r="7864">
      <c r="G7864" s="9">
        <f t="shared" si="0"/>
      </c>
      <c r="L7864">
        <f t="shared" si="1"/>
      </c>
      <c r="M7864">
        <f t="shared" si="2"/>
      </c>
    </row>
    <row r="7865">
      <c r="G7865" s="9">
        <f t="shared" si="0"/>
      </c>
      <c r="L7865">
        <f t="shared" si="1"/>
      </c>
      <c r="M7865">
        <f t="shared" si="2"/>
      </c>
    </row>
    <row r="7866">
      <c r="G7866" s="9">
        <f t="shared" si="0"/>
      </c>
      <c r="L7866">
        <f t="shared" si="1"/>
      </c>
      <c r="M7866">
        <f t="shared" si="2"/>
      </c>
    </row>
    <row r="7867">
      <c r="G7867" s="9">
        <f t="shared" si="0"/>
      </c>
      <c r="L7867">
        <f t="shared" si="1"/>
      </c>
      <c r="M7867">
        <f t="shared" si="2"/>
      </c>
    </row>
    <row r="7868">
      <c r="G7868" s="9">
        <f t="shared" si="0"/>
      </c>
      <c r="L7868">
        <f t="shared" si="1"/>
      </c>
      <c r="M7868">
        <f t="shared" si="2"/>
      </c>
    </row>
    <row r="7869">
      <c r="G7869" s="9">
        <f t="shared" si="0"/>
      </c>
      <c r="L7869">
        <f t="shared" si="1"/>
      </c>
      <c r="M7869">
        <f t="shared" si="2"/>
      </c>
    </row>
    <row r="7870">
      <c r="G7870" s="9">
        <f t="shared" si="0"/>
      </c>
      <c r="L7870">
        <f t="shared" si="1"/>
      </c>
      <c r="M7870">
        <f t="shared" si="2"/>
      </c>
    </row>
    <row r="7871">
      <c r="G7871" s="9">
        <f t="shared" si="0"/>
      </c>
      <c r="L7871">
        <f t="shared" si="1"/>
      </c>
      <c r="M7871">
        <f t="shared" si="2"/>
      </c>
    </row>
    <row r="7872">
      <c r="G7872" s="9">
        <f t="shared" si="0"/>
      </c>
      <c r="L7872">
        <f t="shared" si="1"/>
      </c>
      <c r="M7872">
        <f t="shared" si="2"/>
      </c>
    </row>
    <row r="7873">
      <c r="G7873" s="9">
        <f t="shared" si="0"/>
      </c>
      <c r="L7873">
        <f t="shared" si="1"/>
      </c>
      <c r="M7873">
        <f t="shared" si="2"/>
      </c>
    </row>
    <row r="7874">
      <c r="G7874" s="9">
        <f t="shared" si="0"/>
      </c>
      <c r="L7874">
        <f t="shared" si="1"/>
      </c>
      <c r="M7874">
        <f t="shared" si="2"/>
      </c>
    </row>
    <row r="7875">
      <c r="G7875" s="9">
        <f t="shared" si="0"/>
      </c>
      <c r="L7875">
        <f t="shared" si="1"/>
      </c>
      <c r="M7875">
        <f t="shared" si="2"/>
      </c>
    </row>
    <row r="7876">
      <c r="G7876" s="9">
        <f t="shared" si="0"/>
      </c>
      <c r="L7876">
        <f t="shared" si="1"/>
      </c>
      <c r="M7876">
        <f t="shared" si="2"/>
      </c>
    </row>
    <row r="7877">
      <c r="G7877" s="9">
        <f t="shared" si="0"/>
      </c>
      <c r="L7877">
        <f t="shared" si="1"/>
      </c>
      <c r="M7877">
        <f t="shared" si="2"/>
      </c>
    </row>
    <row r="7878">
      <c r="G7878" s="9">
        <f t="shared" si="0"/>
      </c>
      <c r="L7878">
        <f t="shared" si="1"/>
      </c>
      <c r="M7878">
        <f t="shared" si="2"/>
      </c>
    </row>
    <row r="7879">
      <c r="G7879" s="9">
        <f t="shared" si="0"/>
      </c>
      <c r="L7879">
        <f t="shared" si="1"/>
      </c>
      <c r="M7879">
        <f t="shared" si="2"/>
      </c>
    </row>
    <row r="7880">
      <c r="G7880" s="9">
        <f t="shared" si="0"/>
      </c>
      <c r="L7880">
        <f t="shared" si="1"/>
      </c>
      <c r="M7880">
        <f t="shared" si="2"/>
      </c>
    </row>
    <row r="7881">
      <c r="G7881" s="9">
        <f t="shared" si="0"/>
      </c>
      <c r="L7881">
        <f t="shared" si="1"/>
      </c>
      <c r="M7881">
        <f t="shared" si="2"/>
      </c>
    </row>
    <row r="7882">
      <c r="G7882" s="9">
        <f t="shared" si="0"/>
      </c>
      <c r="L7882">
        <f t="shared" si="1"/>
      </c>
      <c r="M7882">
        <f t="shared" si="2"/>
      </c>
    </row>
    <row r="7883">
      <c r="G7883" s="9">
        <f t="shared" si="0"/>
      </c>
      <c r="L7883">
        <f t="shared" si="1"/>
      </c>
      <c r="M7883">
        <f t="shared" si="2"/>
      </c>
    </row>
    <row r="7884">
      <c r="G7884" s="9">
        <f t="shared" si="0"/>
      </c>
      <c r="L7884">
        <f t="shared" si="1"/>
      </c>
      <c r="M7884">
        <f t="shared" si="2"/>
      </c>
    </row>
    <row r="7885">
      <c r="G7885" s="9">
        <f t="shared" si="0"/>
      </c>
      <c r="L7885">
        <f t="shared" si="1"/>
      </c>
      <c r="M7885">
        <f t="shared" si="2"/>
      </c>
    </row>
    <row r="7886">
      <c r="G7886" s="9">
        <f t="shared" si="0"/>
      </c>
      <c r="L7886">
        <f t="shared" si="1"/>
      </c>
      <c r="M7886">
        <f t="shared" si="2"/>
      </c>
    </row>
    <row r="7887">
      <c r="G7887" s="9">
        <f t="shared" si="0"/>
      </c>
      <c r="L7887">
        <f t="shared" si="1"/>
      </c>
      <c r="M7887">
        <f t="shared" si="2"/>
      </c>
    </row>
    <row r="7888">
      <c r="G7888" s="9">
        <f t="shared" si="0"/>
      </c>
      <c r="L7888">
        <f t="shared" si="1"/>
      </c>
      <c r="M7888">
        <f t="shared" si="2"/>
      </c>
    </row>
    <row r="7889">
      <c r="G7889" s="9">
        <f t="shared" si="0"/>
      </c>
      <c r="L7889">
        <f t="shared" si="1"/>
      </c>
      <c r="M7889">
        <f t="shared" si="2"/>
      </c>
    </row>
    <row r="7890">
      <c r="G7890" s="9">
        <f t="shared" si="0"/>
      </c>
      <c r="L7890">
        <f t="shared" si="1"/>
      </c>
      <c r="M7890">
        <f t="shared" si="2"/>
      </c>
    </row>
    <row r="7891">
      <c r="G7891" s="9">
        <f t="shared" si="0"/>
      </c>
      <c r="L7891">
        <f t="shared" si="1"/>
      </c>
      <c r="M7891">
        <f t="shared" si="2"/>
      </c>
    </row>
    <row r="7892">
      <c r="G7892" s="9">
        <f t="shared" si="0"/>
      </c>
      <c r="L7892">
        <f t="shared" si="1"/>
      </c>
      <c r="M7892">
        <f t="shared" si="2"/>
      </c>
    </row>
    <row r="7893">
      <c r="G7893" s="9">
        <f t="shared" si="0"/>
      </c>
      <c r="L7893">
        <f t="shared" si="1"/>
      </c>
      <c r="M7893">
        <f t="shared" si="2"/>
      </c>
    </row>
    <row r="7894">
      <c r="G7894" s="9">
        <f t="shared" si="0"/>
      </c>
      <c r="L7894">
        <f t="shared" si="1"/>
      </c>
      <c r="M7894">
        <f t="shared" si="2"/>
      </c>
    </row>
    <row r="7895">
      <c r="G7895" s="9">
        <f t="shared" si="0"/>
      </c>
      <c r="L7895">
        <f t="shared" si="1"/>
      </c>
      <c r="M7895">
        <f t="shared" si="2"/>
      </c>
    </row>
    <row r="7896">
      <c r="G7896" s="9">
        <f t="shared" si="0"/>
      </c>
      <c r="L7896">
        <f t="shared" si="1"/>
      </c>
      <c r="M7896">
        <f t="shared" si="2"/>
      </c>
    </row>
    <row r="7897">
      <c r="G7897" s="9">
        <f t="shared" si="0"/>
      </c>
      <c r="L7897">
        <f t="shared" si="1"/>
      </c>
      <c r="M7897">
        <f t="shared" si="2"/>
      </c>
    </row>
    <row r="7898">
      <c r="G7898" s="9">
        <f t="shared" si="0"/>
      </c>
      <c r="L7898">
        <f t="shared" si="1"/>
      </c>
      <c r="M7898">
        <f t="shared" si="2"/>
      </c>
    </row>
    <row r="7899">
      <c r="G7899" s="9">
        <f t="shared" si="0"/>
      </c>
      <c r="L7899">
        <f t="shared" si="1"/>
      </c>
      <c r="M7899">
        <f t="shared" si="2"/>
      </c>
    </row>
    <row r="7900">
      <c r="G7900" s="9">
        <f t="shared" si="0"/>
      </c>
      <c r="L7900">
        <f t="shared" si="1"/>
      </c>
      <c r="M7900">
        <f t="shared" si="2"/>
      </c>
    </row>
    <row r="7901">
      <c r="G7901" s="9">
        <f t="shared" si="0"/>
      </c>
      <c r="L7901">
        <f t="shared" si="1"/>
      </c>
      <c r="M7901">
        <f t="shared" si="2"/>
      </c>
    </row>
    <row r="7902">
      <c r="G7902" s="9">
        <f t="shared" si="0"/>
      </c>
      <c r="L7902">
        <f t="shared" si="1"/>
      </c>
      <c r="M7902">
        <f t="shared" si="2"/>
      </c>
    </row>
    <row r="7903">
      <c r="G7903" s="9">
        <f t="shared" si="0"/>
      </c>
      <c r="L7903">
        <f t="shared" si="1"/>
      </c>
      <c r="M7903">
        <f t="shared" si="2"/>
      </c>
    </row>
    <row r="7904">
      <c r="G7904" s="9">
        <f t="shared" si="0"/>
      </c>
      <c r="L7904">
        <f t="shared" si="1"/>
      </c>
      <c r="M7904">
        <f t="shared" si="2"/>
      </c>
    </row>
    <row r="7905">
      <c r="G7905" s="9">
        <f t="shared" si="0"/>
      </c>
      <c r="L7905">
        <f t="shared" si="1"/>
      </c>
      <c r="M7905">
        <f t="shared" si="2"/>
      </c>
    </row>
    <row r="7906">
      <c r="G7906" s="9">
        <f t="shared" si="0"/>
      </c>
      <c r="L7906">
        <f t="shared" si="1"/>
      </c>
      <c r="M7906">
        <f t="shared" si="2"/>
      </c>
    </row>
    <row r="7907">
      <c r="G7907" s="9">
        <f t="shared" si="0"/>
      </c>
      <c r="L7907">
        <f t="shared" si="1"/>
      </c>
      <c r="M7907">
        <f t="shared" si="2"/>
      </c>
    </row>
    <row r="7908">
      <c r="G7908" s="9">
        <f t="shared" si="0"/>
      </c>
      <c r="L7908">
        <f t="shared" si="1"/>
      </c>
      <c r="M7908">
        <f t="shared" si="2"/>
      </c>
    </row>
    <row r="7909">
      <c r="G7909" s="9">
        <f t="shared" si="0"/>
      </c>
      <c r="L7909">
        <f t="shared" si="1"/>
      </c>
      <c r="M7909">
        <f t="shared" si="2"/>
      </c>
    </row>
    <row r="7910">
      <c r="G7910" s="9">
        <f t="shared" si="0"/>
      </c>
      <c r="L7910">
        <f t="shared" si="1"/>
      </c>
      <c r="M7910">
        <f t="shared" si="2"/>
      </c>
    </row>
    <row r="7911">
      <c r="G7911" s="9">
        <f t="shared" si="0"/>
      </c>
      <c r="L7911">
        <f t="shared" si="1"/>
      </c>
      <c r="M7911">
        <f t="shared" si="2"/>
      </c>
    </row>
    <row r="7912">
      <c r="G7912" s="9">
        <f t="shared" si="0"/>
      </c>
      <c r="L7912">
        <f t="shared" si="1"/>
      </c>
      <c r="M7912">
        <f t="shared" si="2"/>
      </c>
    </row>
    <row r="7913">
      <c r="G7913" s="9">
        <f t="shared" si="0"/>
      </c>
      <c r="L7913">
        <f t="shared" si="1"/>
      </c>
      <c r="M7913">
        <f t="shared" si="2"/>
      </c>
    </row>
    <row r="7914">
      <c r="G7914" s="9">
        <f t="shared" si="0"/>
      </c>
      <c r="L7914">
        <f t="shared" si="1"/>
      </c>
      <c r="M7914">
        <f t="shared" si="2"/>
      </c>
    </row>
    <row r="7915">
      <c r="G7915" s="9">
        <f t="shared" si="0"/>
      </c>
      <c r="L7915">
        <f t="shared" si="1"/>
      </c>
      <c r="M7915">
        <f t="shared" si="2"/>
      </c>
    </row>
    <row r="7916">
      <c r="G7916" s="9">
        <f t="shared" si="0"/>
      </c>
      <c r="L7916">
        <f t="shared" si="1"/>
      </c>
      <c r="M7916">
        <f t="shared" si="2"/>
      </c>
    </row>
    <row r="7917">
      <c r="G7917" s="9">
        <f t="shared" si="0"/>
      </c>
      <c r="L7917">
        <f t="shared" si="1"/>
      </c>
      <c r="M7917">
        <f t="shared" si="2"/>
      </c>
    </row>
    <row r="7918">
      <c r="G7918" s="9">
        <f t="shared" si="0"/>
      </c>
      <c r="L7918">
        <f t="shared" si="1"/>
      </c>
      <c r="M7918">
        <f t="shared" si="2"/>
      </c>
    </row>
    <row r="7919">
      <c r="G7919" s="9">
        <f t="shared" si="0"/>
      </c>
      <c r="L7919">
        <f t="shared" si="1"/>
      </c>
      <c r="M7919">
        <f t="shared" si="2"/>
      </c>
    </row>
    <row r="7920">
      <c r="G7920" s="9">
        <f t="shared" si="0"/>
      </c>
      <c r="L7920">
        <f t="shared" si="1"/>
      </c>
      <c r="M7920">
        <f t="shared" si="2"/>
      </c>
    </row>
    <row r="7921">
      <c r="G7921" s="9">
        <f t="shared" si="0"/>
      </c>
      <c r="L7921">
        <f t="shared" si="1"/>
      </c>
      <c r="M7921">
        <f t="shared" si="2"/>
      </c>
    </row>
    <row r="7922">
      <c r="G7922" s="9">
        <f t="shared" si="0"/>
      </c>
      <c r="L7922">
        <f t="shared" si="1"/>
      </c>
      <c r="M7922">
        <f t="shared" si="2"/>
      </c>
    </row>
    <row r="7923">
      <c r="G7923" s="9">
        <f t="shared" si="0"/>
      </c>
      <c r="L7923">
        <f t="shared" si="1"/>
      </c>
      <c r="M7923">
        <f t="shared" si="2"/>
      </c>
    </row>
    <row r="7924">
      <c r="G7924" s="9">
        <f t="shared" si="0"/>
      </c>
      <c r="L7924">
        <f t="shared" si="1"/>
      </c>
      <c r="M7924">
        <f t="shared" si="2"/>
      </c>
    </row>
    <row r="7925">
      <c r="G7925" s="9">
        <f t="shared" si="0"/>
      </c>
      <c r="L7925">
        <f t="shared" si="1"/>
      </c>
      <c r="M7925">
        <f t="shared" si="2"/>
      </c>
    </row>
    <row r="7926">
      <c r="G7926" s="9">
        <f t="shared" si="0"/>
      </c>
      <c r="L7926">
        <f t="shared" si="1"/>
      </c>
      <c r="M7926">
        <f t="shared" si="2"/>
      </c>
    </row>
    <row r="7927">
      <c r="G7927" s="9">
        <f t="shared" si="0"/>
      </c>
      <c r="L7927">
        <f t="shared" si="1"/>
      </c>
      <c r="M7927">
        <f t="shared" si="2"/>
      </c>
    </row>
    <row r="7928">
      <c r="G7928" s="9">
        <f t="shared" si="0"/>
      </c>
      <c r="L7928">
        <f t="shared" si="1"/>
      </c>
      <c r="M7928">
        <f t="shared" si="2"/>
      </c>
    </row>
    <row r="7929">
      <c r="G7929" s="9">
        <f t="shared" si="0"/>
      </c>
      <c r="L7929">
        <f t="shared" si="1"/>
      </c>
      <c r="M7929">
        <f t="shared" si="2"/>
      </c>
    </row>
    <row r="7930">
      <c r="G7930" s="9">
        <f t="shared" si="0"/>
      </c>
      <c r="L7930">
        <f t="shared" si="1"/>
      </c>
      <c r="M7930">
        <f t="shared" si="2"/>
      </c>
    </row>
    <row r="7931">
      <c r="G7931" s="9">
        <f t="shared" si="0"/>
      </c>
      <c r="L7931">
        <f t="shared" si="1"/>
      </c>
      <c r="M7931">
        <f t="shared" si="2"/>
      </c>
    </row>
    <row r="7932">
      <c r="G7932" s="9">
        <f t="shared" si="0"/>
      </c>
      <c r="L7932">
        <f t="shared" si="1"/>
      </c>
      <c r="M7932">
        <f t="shared" si="2"/>
      </c>
    </row>
    <row r="7933">
      <c r="G7933" s="9">
        <f t="shared" si="0"/>
      </c>
      <c r="L7933">
        <f t="shared" si="1"/>
      </c>
      <c r="M7933">
        <f t="shared" si="2"/>
      </c>
    </row>
    <row r="7934">
      <c r="G7934" s="9">
        <f t="shared" si="0"/>
      </c>
      <c r="L7934">
        <f t="shared" si="1"/>
      </c>
      <c r="M7934">
        <f t="shared" si="2"/>
      </c>
    </row>
    <row r="7935">
      <c r="G7935" s="9">
        <f t="shared" si="0"/>
      </c>
      <c r="L7935">
        <f t="shared" si="1"/>
      </c>
      <c r="M7935">
        <f t="shared" si="2"/>
      </c>
    </row>
    <row r="7936">
      <c r="G7936" s="9">
        <f t="shared" si="0"/>
      </c>
      <c r="L7936">
        <f t="shared" si="1"/>
      </c>
      <c r="M7936">
        <f t="shared" si="2"/>
      </c>
    </row>
    <row r="7937">
      <c r="G7937" s="9">
        <f t="shared" si="0"/>
      </c>
      <c r="L7937">
        <f t="shared" si="1"/>
      </c>
      <c r="M7937">
        <f t="shared" si="2"/>
      </c>
    </row>
    <row r="7938">
      <c r="G7938" s="9">
        <f t="shared" si="0"/>
      </c>
      <c r="L7938">
        <f t="shared" si="1"/>
      </c>
      <c r="M7938">
        <f t="shared" si="2"/>
      </c>
    </row>
    <row r="7939">
      <c r="G7939" s="9">
        <f t="shared" si="0"/>
      </c>
      <c r="L7939">
        <f t="shared" si="1"/>
      </c>
      <c r="M7939">
        <f t="shared" si="2"/>
      </c>
    </row>
    <row r="7940">
      <c r="G7940" s="9">
        <f t="shared" si="0"/>
      </c>
      <c r="L7940">
        <f t="shared" si="1"/>
      </c>
      <c r="M7940">
        <f t="shared" si="2"/>
      </c>
    </row>
    <row r="7941">
      <c r="G7941" s="9">
        <f t="shared" si="0"/>
      </c>
      <c r="L7941">
        <f t="shared" si="1"/>
      </c>
      <c r="M7941">
        <f t="shared" si="2"/>
      </c>
    </row>
    <row r="7942">
      <c r="G7942" s="9">
        <f t="shared" si="0"/>
      </c>
      <c r="L7942">
        <f t="shared" si="1"/>
      </c>
      <c r="M7942">
        <f t="shared" si="2"/>
      </c>
    </row>
    <row r="7943">
      <c r="G7943" s="9">
        <f t="shared" si="0"/>
      </c>
      <c r="L7943">
        <f t="shared" si="1"/>
      </c>
      <c r="M7943">
        <f t="shared" si="2"/>
      </c>
    </row>
    <row r="7944">
      <c r="G7944" s="9">
        <f t="shared" si="0"/>
      </c>
      <c r="L7944">
        <f t="shared" si="1"/>
      </c>
      <c r="M7944">
        <f t="shared" si="2"/>
      </c>
    </row>
    <row r="7945">
      <c r="G7945" s="9">
        <f t="shared" si="0"/>
      </c>
      <c r="L7945">
        <f t="shared" si="1"/>
      </c>
      <c r="M7945">
        <f t="shared" si="2"/>
      </c>
    </row>
    <row r="7946">
      <c r="G7946" s="9">
        <f t="shared" si="0"/>
      </c>
      <c r="L7946">
        <f t="shared" si="1"/>
      </c>
      <c r="M7946">
        <f t="shared" si="2"/>
      </c>
    </row>
    <row r="7947">
      <c r="G7947" s="9">
        <f t="shared" si="0"/>
      </c>
      <c r="L7947">
        <f t="shared" si="1"/>
      </c>
      <c r="M7947">
        <f t="shared" si="2"/>
      </c>
    </row>
    <row r="7948">
      <c r="G7948" s="9">
        <f t="shared" si="0"/>
      </c>
      <c r="L7948">
        <f t="shared" si="1"/>
      </c>
      <c r="M7948">
        <f t="shared" si="2"/>
      </c>
    </row>
    <row r="7949">
      <c r="G7949" s="9">
        <f t="shared" si="0"/>
      </c>
      <c r="L7949">
        <f t="shared" si="1"/>
      </c>
      <c r="M7949">
        <f t="shared" si="2"/>
      </c>
    </row>
    <row r="7950">
      <c r="G7950" s="9">
        <f t="shared" si="0"/>
      </c>
      <c r="L7950">
        <f t="shared" si="1"/>
      </c>
      <c r="M7950">
        <f t="shared" si="2"/>
      </c>
    </row>
    <row r="7951">
      <c r="G7951" s="9">
        <f t="shared" si="0"/>
      </c>
      <c r="L7951">
        <f t="shared" si="1"/>
      </c>
      <c r="M7951">
        <f t="shared" si="2"/>
      </c>
    </row>
    <row r="7952">
      <c r="G7952" s="9">
        <f t="shared" si="0"/>
      </c>
      <c r="L7952">
        <f t="shared" si="1"/>
      </c>
      <c r="M7952">
        <f t="shared" si="2"/>
      </c>
    </row>
    <row r="7953">
      <c r="G7953" s="9">
        <f t="shared" si="0"/>
      </c>
      <c r="L7953">
        <f t="shared" si="1"/>
      </c>
      <c r="M7953">
        <f t="shared" si="2"/>
      </c>
    </row>
    <row r="7954">
      <c r="G7954" s="9">
        <f t="shared" si="0"/>
      </c>
      <c r="L7954">
        <f t="shared" si="1"/>
      </c>
      <c r="M7954">
        <f t="shared" si="2"/>
      </c>
    </row>
    <row r="7955">
      <c r="G7955" s="9">
        <f t="shared" si="0"/>
      </c>
      <c r="L7955">
        <f t="shared" si="1"/>
      </c>
      <c r="M7955">
        <f t="shared" si="2"/>
      </c>
    </row>
    <row r="7956">
      <c r="G7956" s="9">
        <f t="shared" si="0"/>
      </c>
      <c r="L7956">
        <f t="shared" si="1"/>
      </c>
      <c r="M7956">
        <f t="shared" si="2"/>
      </c>
    </row>
    <row r="7957">
      <c r="G7957" s="9">
        <f t="shared" si="0"/>
      </c>
      <c r="L7957">
        <f t="shared" si="1"/>
      </c>
      <c r="M7957">
        <f t="shared" si="2"/>
      </c>
    </row>
    <row r="7958">
      <c r="G7958" s="9">
        <f t="shared" si="0"/>
      </c>
      <c r="L7958">
        <f t="shared" si="1"/>
      </c>
      <c r="M7958">
        <f t="shared" si="2"/>
      </c>
    </row>
    <row r="7959">
      <c r="G7959" s="9">
        <f t="shared" si="0"/>
      </c>
      <c r="L7959">
        <f t="shared" si="1"/>
      </c>
      <c r="M7959">
        <f t="shared" si="2"/>
      </c>
    </row>
    <row r="7960">
      <c r="G7960" s="9">
        <f t="shared" si="0"/>
      </c>
      <c r="L7960">
        <f t="shared" si="1"/>
      </c>
      <c r="M7960">
        <f t="shared" si="2"/>
      </c>
    </row>
    <row r="7961">
      <c r="G7961" s="9">
        <f t="shared" si="0"/>
      </c>
      <c r="L7961">
        <f t="shared" si="1"/>
      </c>
      <c r="M7961">
        <f t="shared" si="2"/>
      </c>
    </row>
    <row r="7962">
      <c r="G7962" s="9">
        <f t="shared" si="0"/>
      </c>
      <c r="L7962">
        <f t="shared" si="1"/>
      </c>
      <c r="M7962">
        <f t="shared" si="2"/>
      </c>
    </row>
    <row r="7963">
      <c r="G7963" s="9">
        <f t="shared" si="0"/>
      </c>
      <c r="L7963">
        <f t="shared" si="1"/>
      </c>
      <c r="M7963">
        <f t="shared" si="2"/>
      </c>
    </row>
    <row r="7964">
      <c r="G7964" s="9">
        <f t="shared" si="0"/>
      </c>
      <c r="L7964">
        <f t="shared" si="1"/>
      </c>
      <c r="M7964">
        <f t="shared" si="2"/>
      </c>
    </row>
    <row r="7965">
      <c r="G7965" s="9">
        <f t="shared" si="0"/>
      </c>
      <c r="L7965">
        <f t="shared" si="1"/>
      </c>
      <c r="M7965">
        <f t="shared" si="2"/>
      </c>
    </row>
    <row r="7966">
      <c r="G7966" s="9">
        <f t="shared" si="0"/>
      </c>
      <c r="L7966">
        <f t="shared" si="1"/>
      </c>
      <c r="M7966">
        <f t="shared" si="2"/>
      </c>
    </row>
    <row r="7967">
      <c r="G7967" s="9">
        <f t="shared" si="0"/>
      </c>
      <c r="L7967">
        <f t="shared" si="1"/>
      </c>
      <c r="M7967">
        <f t="shared" si="2"/>
      </c>
    </row>
    <row r="7968">
      <c r="G7968" s="9">
        <f t="shared" si="0"/>
      </c>
      <c r="L7968">
        <f t="shared" si="1"/>
      </c>
      <c r="M7968">
        <f t="shared" si="2"/>
      </c>
    </row>
    <row r="7969">
      <c r="G7969" s="9">
        <f t="shared" si="0"/>
      </c>
      <c r="L7969">
        <f t="shared" si="1"/>
      </c>
      <c r="M7969">
        <f t="shared" si="2"/>
      </c>
    </row>
    <row r="7970">
      <c r="G7970" s="9">
        <f t="shared" si="0"/>
      </c>
      <c r="L7970">
        <f t="shared" si="1"/>
      </c>
      <c r="M7970">
        <f t="shared" si="2"/>
      </c>
    </row>
    <row r="7971">
      <c r="G7971" s="9">
        <f t="shared" si="0"/>
      </c>
      <c r="L7971">
        <f t="shared" si="1"/>
      </c>
      <c r="M7971">
        <f t="shared" si="2"/>
      </c>
    </row>
    <row r="7972">
      <c r="G7972" s="9">
        <f t="shared" si="0"/>
      </c>
      <c r="L7972">
        <f t="shared" si="1"/>
      </c>
      <c r="M7972">
        <f t="shared" si="2"/>
      </c>
    </row>
    <row r="7973">
      <c r="G7973" s="9">
        <f t="shared" si="0"/>
      </c>
      <c r="L7973">
        <f t="shared" si="1"/>
      </c>
      <c r="M7973">
        <f t="shared" si="2"/>
      </c>
    </row>
    <row r="7974">
      <c r="G7974" s="9">
        <f t="shared" si="0"/>
      </c>
      <c r="L7974">
        <f t="shared" si="1"/>
      </c>
      <c r="M7974">
        <f t="shared" si="2"/>
      </c>
    </row>
    <row r="7975">
      <c r="G7975" s="9">
        <f t="shared" si="0"/>
      </c>
      <c r="L7975">
        <f t="shared" si="1"/>
      </c>
      <c r="M7975">
        <f t="shared" si="2"/>
      </c>
    </row>
    <row r="7976">
      <c r="G7976" s="9">
        <f t="shared" si="0"/>
      </c>
      <c r="L7976">
        <f t="shared" si="1"/>
      </c>
      <c r="M7976">
        <f t="shared" si="2"/>
      </c>
    </row>
    <row r="7977">
      <c r="G7977" s="9">
        <f t="shared" si="0"/>
      </c>
      <c r="L7977">
        <f t="shared" si="1"/>
      </c>
      <c r="M7977">
        <f t="shared" si="2"/>
      </c>
    </row>
    <row r="7978">
      <c r="G7978" s="9">
        <f t="shared" si="0"/>
      </c>
      <c r="L7978">
        <f t="shared" si="1"/>
      </c>
      <c r="M7978">
        <f t="shared" si="2"/>
      </c>
    </row>
    <row r="7979">
      <c r="G7979" s="9">
        <f t="shared" si="0"/>
      </c>
      <c r="L7979">
        <f t="shared" si="1"/>
      </c>
      <c r="M7979">
        <f t="shared" si="2"/>
      </c>
    </row>
    <row r="7980">
      <c r="G7980" s="9">
        <f t="shared" si="0"/>
      </c>
      <c r="L7980">
        <f t="shared" si="1"/>
      </c>
      <c r="M7980">
        <f t="shared" si="2"/>
      </c>
    </row>
    <row r="7981">
      <c r="G7981" s="9">
        <f t="shared" si="0"/>
      </c>
      <c r="L7981">
        <f t="shared" si="1"/>
      </c>
      <c r="M7981">
        <f t="shared" si="2"/>
      </c>
    </row>
    <row r="7982">
      <c r="G7982" s="9">
        <f t="shared" si="0"/>
      </c>
      <c r="L7982">
        <f t="shared" si="1"/>
      </c>
      <c r="M7982">
        <f t="shared" si="2"/>
      </c>
    </row>
    <row r="7983">
      <c r="G7983" s="9">
        <f t="shared" si="0"/>
      </c>
      <c r="L7983">
        <f t="shared" si="1"/>
      </c>
      <c r="M7983">
        <f t="shared" si="2"/>
      </c>
    </row>
    <row r="7984">
      <c r="G7984" s="9">
        <f t="shared" si="0"/>
      </c>
      <c r="L7984">
        <f t="shared" si="1"/>
      </c>
      <c r="M7984">
        <f t="shared" si="2"/>
      </c>
    </row>
    <row r="7985">
      <c r="G7985" s="9">
        <f t="shared" si="0"/>
      </c>
      <c r="L7985">
        <f t="shared" si="1"/>
      </c>
      <c r="M7985">
        <f t="shared" si="2"/>
      </c>
    </row>
    <row r="7986">
      <c r="G7986" s="9">
        <f t="shared" si="0"/>
      </c>
      <c r="L7986">
        <f t="shared" si="1"/>
      </c>
      <c r="M7986">
        <f t="shared" si="2"/>
      </c>
    </row>
    <row r="7987">
      <c r="G7987" s="9">
        <f t="shared" si="0"/>
      </c>
      <c r="L7987">
        <f t="shared" si="1"/>
      </c>
      <c r="M7987">
        <f t="shared" si="2"/>
      </c>
    </row>
    <row r="7988">
      <c r="G7988" s="9">
        <f t="shared" si="0"/>
      </c>
      <c r="L7988">
        <f t="shared" si="1"/>
      </c>
      <c r="M7988">
        <f t="shared" si="2"/>
      </c>
    </row>
    <row r="7989">
      <c r="G7989" s="9">
        <f t="shared" si="0"/>
      </c>
      <c r="L7989">
        <f t="shared" si="1"/>
      </c>
      <c r="M7989">
        <f t="shared" si="2"/>
      </c>
    </row>
    <row r="7990">
      <c r="G7990" s="9">
        <f t="shared" si="0"/>
      </c>
      <c r="L7990">
        <f t="shared" si="1"/>
      </c>
      <c r="M7990">
        <f t="shared" si="2"/>
      </c>
    </row>
    <row r="7991">
      <c r="G7991" s="9">
        <f t="shared" si="0"/>
      </c>
      <c r="L7991">
        <f t="shared" si="1"/>
      </c>
      <c r="M7991">
        <f t="shared" si="2"/>
      </c>
    </row>
    <row r="7992">
      <c r="G7992" s="9">
        <f t="shared" si="0"/>
      </c>
      <c r="L7992">
        <f t="shared" si="1"/>
      </c>
      <c r="M7992">
        <f t="shared" si="2"/>
      </c>
    </row>
    <row r="7993">
      <c r="G7993" s="9">
        <f t="shared" si="0"/>
      </c>
      <c r="L7993">
        <f t="shared" si="1"/>
      </c>
      <c r="M7993">
        <f t="shared" si="2"/>
      </c>
    </row>
    <row r="7994">
      <c r="G7994" s="9">
        <f t="shared" si="0"/>
      </c>
      <c r="L7994">
        <f t="shared" si="1"/>
      </c>
      <c r="M7994">
        <f t="shared" si="2"/>
      </c>
    </row>
    <row r="7995">
      <c r="G7995" s="9">
        <f t="shared" si="0"/>
      </c>
      <c r="L7995">
        <f t="shared" si="1"/>
      </c>
      <c r="M7995">
        <f t="shared" si="2"/>
      </c>
    </row>
    <row r="7996">
      <c r="G7996" s="9">
        <f t="shared" si="0"/>
      </c>
      <c r="L7996">
        <f t="shared" si="1"/>
      </c>
      <c r="M7996">
        <f t="shared" si="2"/>
      </c>
    </row>
    <row r="7997">
      <c r="G7997" s="9">
        <f t="shared" si="0"/>
      </c>
      <c r="L7997">
        <f t="shared" si="1"/>
      </c>
      <c r="M7997">
        <f t="shared" si="2"/>
      </c>
    </row>
    <row r="7998">
      <c r="G7998" s="9">
        <f t="shared" si="0"/>
      </c>
      <c r="L7998">
        <f t="shared" si="1"/>
      </c>
      <c r="M7998">
        <f t="shared" si="2"/>
      </c>
    </row>
    <row r="7999">
      <c r="G7999" s="9">
        <f t="shared" si="0"/>
      </c>
      <c r="L7999">
        <f t="shared" si="1"/>
      </c>
      <c r="M7999">
        <f t="shared" si="2"/>
      </c>
    </row>
    <row r="8000">
      <c r="G8000" s="9">
        <f t="shared" si="0"/>
      </c>
      <c r="L8000">
        <f t="shared" si="1"/>
      </c>
      <c r="M8000">
        <f t="shared" si="2"/>
      </c>
    </row>
    <row r="8001">
      <c r="G8001" s="9">
        <f t="shared" si="0"/>
      </c>
      <c r="L8001">
        <f t="shared" si="1"/>
      </c>
      <c r="M8001">
        <f t="shared" si="2"/>
      </c>
    </row>
    <row r="8002">
      <c r="G8002" s="9">
        <f t="shared" si="0"/>
      </c>
      <c r="L8002">
        <f t="shared" si="1"/>
      </c>
      <c r="M8002">
        <f t="shared" si="2"/>
      </c>
    </row>
    <row r="8003">
      <c r="G8003" s="9">
        <f t="shared" si="0"/>
      </c>
      <c r="L8003">
        <f t="shared" si="1"/>
      </c>
      <c r="M8003">
        <f t="shared" si="2"/>
      </c>
    </row>
    <row r="8004">
      <c r="G8004" s="9">
        <f t="shared" si="0"/>
      </c>
      <c r="L8004">
        <f t="shared" si="1"/>
      </c>
      <c r="M8004">
        <f t="shared" si="2"/>
      </c>
    </row>
    <row r="8005">
      <c r="G8005" s="9">
        <f t="shared" si="0"/>
      </c>
      <c r="L8005">
        <f t="shared" si="1"/>
      </c>
      <c r="M8005">
        <f t="shared" si="2"/>
      </c>
    </row>
    <row r="8006">
      <c r="G8006" s="9">
        <f t="shared" si="0"/>
      </c>
      <c r="L8006">
        <f t="shared" si="1"/>
      </c>
      <c r="M8006">
        <f t="shared" si="2"/>
      </c>
    </row>
    <row r="8007">
      <c r="G8007" s="9">
        <f t="shared" si="0"/>
      </c>
      <c r="L8007">
        <f t="shared" si="1"/>
      </c>
      <c r="M8007">
        <f t="shared" si="2"/>
      </c>
    </row>
    <row r="8008">
      <c r="G8008" s="9">
        <f t="shared" si="0"/>
      </c>
      <c r="L8008">
        <f t="shared" si="1"/>
      </c>
      <c r="M8008">
        <f t="shared" si="2"/>
      </c>
    </row>
    <row r="8009">
      <c r="G8009" s="9">
        <f t="shared" si="0"/>
      </c>
      <c r="L8009">
        <f t="shared" si="1"/>
      </c>
      <c r="M8009">
        <f t="shared" si="2"/>
      </c>
    </row>
    <row r="8010">
      <c r="G8010" s="9">
        <f t="shared" si="0"/>
      </c>
      <c r="L8010">
        <f t="shared" si="1"/>
      </c>
      <c r="M8010">
        <f t="shared" si="2"/>
      </c>
    </row>
    <row r="8011">
      <c r="G8011" s="9">
        <f t="shared" si="0"/>
      </c>
      <c r="L8011">
        <f t="shared" si="1"/>
      </c>
      <c r="M8011">
        <f t="shared" si="2"/>
      </c>
    </row>
    <row r="8012">
      <c r="G8012" s="9">
        <f t="shared" si="0"/>
      </c>
      <c r="L8012">
        <f t="shared" si="1"/>
      </c>
      <c r="M8012">
        <f t="shared" si="2"/>
      </c>
    </row>
    <row r="8013">
      <c r="G8013" s="9">
        <f t="shared" si="0"/>
      </c>
      <c r="L8013">
        <f t="shared" si="1"/>
      </c>
      <c r="M8013">
        <f t="shared" si="2"/>
      </c>
    </row>
    <row r="8014">
      <c r="G8014" s="9">
        <f t="shared" si="0"/>
      </c>
      <c r="L8014">
        <f t="shared" si="1"/>
      </c>
      <c r="M8014">
        <f t="shared" si="2"/>
      </c>
    </row>
    <row r="8015">
      <c r="G8015" s="9">
        <f t="shared" si="0"/>
      </c>
      <c r="L8015">
        <f t="shared" si="1"/>
      </c>
      <c r="M8015">
        <f t="shared" si="2"/>
      </c>
    </row>
    <row r="8016">
      <c r="G8016" s="9">
        <f t="shared" si="0"/>
      </c>
      <c r="L8016">
        <f t="shared" si="1"/>
      </c>
      <c r="M8016">
        <f t="shared" si="2"/>
      </c>
    </row>
    <row r="8017">
      <c r="G8017" s="9">
        <f t="shared" si="0"/>
      </c>
      <c r="L8017">
        <f t="shared" si="1"/>
      </c>
      <c r="M8017">
        <f t="shared" si="2"/>
      </c>
    </row>
    <row r="8018">
      <c r="G8018" s="9">
        <f t="shared" si="0"/>
      </c>
      <c r="L8018">
        <f t="shared" si="1"/>
      </c>
      <c r="M8018">
        <f t="shared" si="2"/>
      </c>
    </row>
    <row r="8019">
      <c r="G8019" s="9">
        <f t="shared" si="0"/>
      </c>
      <c r="L8019">
        <f t="shared" si="1"/>
      </c>
      <c r="M8019">
        <f t="shared" si="2"/>
      </c>
    </row>
    <row r="8020">
      <c r="G8020" s="9">
        <f t="shared" si="0"/>
      </c>
      <c r="L8020">
        <f t="shared" si="1"/>
      </c>
      <c r="M8020">
        <f t="shared" si="2"/>
      </c>
    </row>
    <row r="8021">
      <c r="G8021" s="9">
        <f t="shared" si="0"/>
      </c>
      <c r="L8021">
        <f t="shared" si="1"/>
      </c>
      <c r="M8021">
        <f t="shared" si="2"/>
      </c>
    </row>
    <row r="8022">
      <c r="G8022" s="9">
        <f t="shared" si="0"/>
      </c>
      <c r="L8022">
        <f t="shared" si="1"/>
      </c>
      <c r="M8022">
        <f t="shared" si="2"/>
      </c>
    </row>
    <row r="8023">
      <c r="G8023" s="9">
        <f t="shared" si="0"/>
      </c>
      <c r="L8023">
        <f t="shared" si="1"/>
      </c>
      <c r="M8023">
        <f t="shared" si="2"/>
      </c>
    </row>
    <row r="8024">
      <c r="G8024" s="9">
        <f t="shared" si="0"/>
      </c>
      <c r="L8024">
        <f t="shared" si="1"/>
      </c>
      <c r="M8024">
        <f t="shared" si="2"/>
      </c>
    </row>
    <row r="8025">
      <c r="G8025" s="9">
        <f t="shared" si="0"/>
      </c>
      <c r="L8025">
        <f t="shared" si="1"/>
      </c>
      <c r="M8025">
        <f t="shared" si="2"/>
      </c>
    </row>
    <row r="8026">
      <c r="G8026" s="9">
        <f t="shared" si="0"/>
      </c>
      <c r="L8026">
        <f t="shared" si="1"/>
      </c>
      <c r="M8026">
        <f t="shared" si="2"/>
      </c>
    </row>
    <row r="8027">
      <c r="G8027" s="9">
        <f t="shared" si="0"/>
      </c>
      <c r="L8027">
        <f t="shared" si="1"/>
      </c>
      <c r="M8027">
        <f t="shared" si="2"/>
      </c>
    </row>
    <row r="8028">
      <c r="G8028" s="9">
        <f t="shared" si="0"/>
      </c>
      <c r="L8028">
        <f t="shared" si="1"/>
      </c>
      <c r="M8028">
        <f t="shared" si="2"/>
      </c>
    </row>
    <row r="8029">
      <c r="G8029" s="9">
        <f t="shared" si="0"/>
      </c>
      <c r="L8029">
        <f t="shared" si="1"/>
      </c>
      <c r="M8029">
        <f t="shared" si="2"/>
      </c>
    </row>
    <row r="8030">
      <c r="G8030" s="9">
        <f t="shared" si="0"/>
      </c>
      <c r="L8030">
        <f t="shared" si="1"/>
      </c>
      <c r="M8030">
        <f t="shared" si="2"/>
      </c>
    </row>
    <row r="8031">
      <c r="G8031" s="9">
        <f t="shared" si="0"/>
      </c>
      <c r="L8031">
        <f t="shared" si="1"/>
      </c>
      <c r="M8031">
        <f t="shared" si="2"/>
      </c>
    </row>
    <row r="8032">
      <c r="G8032" s="9">
        <f t="shared" si="0"/>
      </c>
      <c r="L8032">
        <f t="shared" si="1"/>
      </c>
      <c r="M8032">
        <f t="shared" si="2"/>
      </c>
    </row>
    <row r="8033">
      <c r="G8033" s="9">
        <f t="shared" si="0"/>
      </c>
      <c r="L8033">
        <f t="shared" si="1"/>
      </c>
      <c r="M8033">
        <f t="shared" si="2"/>
      </c>
    </row>
    <row r="8034">
      <c r="G8034" s="9">
        <f t="shared" si="0"/>
      </c>
      <c r="L8034">
        <f t="shared" si="1"/>
      </c>
      <c r="M8034">
        <f t="shared" si="2"/>
      </c>
    </row>
    <row r="8035">
      <c r="G8035" s="9">
        <f t="shared" si="0"/>
      </c>
      <c r="L8035">
        <f t="shared" si="1"/>
      </c>
      <c r="M8035">
        <f t="shared" si="2"/>
      </c>
    </row>
    <row r="8036">
      <c r="G8036" s="9">
        <f t="shared" si="0"/>
      </c>
      <c r="L8036">
        <f t="shared" si="1"/>
      </c>
      <c r="M8036">
        <f t="shared" si="2"/>
      </c>
    </row>
    <row r="8037">
      <c r="G8037" s="9">
        <f t="shared" si="0"/>
      </c>
      <c r="L8037">
        <f t="shared" si="1"/>
      </c>
      <c r="M8037">
        <f t="shared" si="2"/>
      </c>
    </row>
    <row r="8038">
      <c r="G8038" s="9">
        <f t="shared" si="0"/>
      </c>
      <c r="L8038">
        <f t="shared" si="1"/>
      </c>
      <c r="M8038">
        <f t="shared" si="2"/>
      </c>
    </row>
    <row r="8039">
      <c r="G8039" s="9">
        <f t="shared" si="0"/>
      </c>
      <c r="L8039">
        <f t="shared" si="1"/>
      </c>
      <c r="M8039">
        <f t="shared" si="2"/>
      </c>
    </row>
    <row r="8040">
      <c r="G8040" s="9">
        <f t="shared" si="0"/>
      </c>
      <c r="L8040">
        <f t="shared" si="1"/>
      </c>
      <c r="M8040">
        <f t="shared" si="2"/>
      </c>
    </row>
    <row r="8041">
      <c r="G8041" s="9">
        <f t="shared" si="0"/>
      </c>
      <c r="L8041">
        <f t="shared" si="1"/>
      </c>
      <c r="M8041">
        <f t="shared" si="2"/>
      </c>
    </row>
    <row r="8042">
      <c r="G8042" s="9">
        <f t="shared" si="0"/>
      </c>
      <c r="L8042">
        <f t="shared" si="1"/>
      </c>
      <c r="M8042">
        <f t="shared" si="2"/>
      </c>
    </row>
    <row r="8043">
      <c r="G8043" s="9">
        <f t="shared" si="0"/>
      </c>
      <c r="L8043">
        <f t="shared" si="1"/>
      </c>
      <c r="M8043">
        <f t="shared" si="2"/>
      </c>
    </row>
    <row r="8044">
      <c r="G8044" s="9">
        <f t="shared" si="0"/>
      </c>
      <c r="L8044">
        <f t="shared" si="1"/>
      </c>
      <c r="M8044">
        <f t="shared" si="2"/>
      </c>
    </row>
    <row r="8045">
      <c r="G8045" s="9">
        <f t="shared" si="0"/>
      </c>
      <c r="L8045">
        <f t="shared" si="1"/>
      </c>
      <c r="M8045">
        <f t="shared" si="2"/>
      </c>
    </row>
    <row r="8046">
      <c r="G8046" s="9">
        <f t="shared" si="0"/>
      </c>
      <c r="L8046">
        <f t="shared" si="1"/>
      </c>
      <c r="M8046">
        <f t="shared" si="2"/>
      </c>
    </row>
    <row r="8047">
      <c r="G8047" s="9">
        <f t="shared" si="0"/>
      </c>
      <c r="L8047">
        <f t="shared" si="1"/>
      </c>
      <c r="M8047">
        <f t="shared" si="2"/>
      </c>
    </row>
    <row r="8048">
      <c r="G8048" s="9">
        <f t="shared" si="0"/>
      </c>
      <c r="L8048">
        <f t="shared" si="1"/>
      </c>
      <c r="M8048">
        <f t="shared" si="2"/>
      </c>
    </row>
    <row r="8049">
      <c r="G8049" s="9">
        <f t="shared" si="0"/>
      </c>
      <c r="L8049">
        <f t="shared" si="1"/>
      </c>
      <c r="M8049">
        <f t="shared" si="2"/>
      </c>
    </row>
    <row r="8050">
      <c r="G8050" s="9">
        <f t="shared" si="0"/>
      </c>
      <c r="L8050">
        <f t="shared" si="1"/>
      </c>
      <c r="M8050">
        <f t="shared" si="2"/>
      </c>
    </row>
    <row r="8051">
      <c r="G8051" s="9">
        <f t="shared" si="0"/>
      </c>
      <c r="L8051">
        <f t="shared" si="1"/>
      </c>
      <c r="M8051">
        <f t="shared" si="2"/>
      </c>
    </row>
    <row r="8052">
      <c r="G8052" s="9">
        <f t="shared" si="0"/>
      </c>
      <c r="L8052">
        <f t="shared" si="1"/>
      </c>
      <c r="M8052">
        <f t="shared" si="2"/>
      </c>
    </row>
    <row r="8053">
      <c r="G8053" s="9">
        <f t="shared" si="0"/>
      </c>
      <c r="L8053">
        <f t="shared" si="1"/>
      </c>
      <c r="M8053">
        <f t="shared" si="2"/>
      </c>
    </row>
    <row r="8054">
      <c r="G8054" s="9">
        <f t="shared" si="0"/>
      </c>
      <c r="L8054">
        <f t="shared" si="1"/>
      </c>
      <c r="M8054">
        <f t="shared" si="2"/>
      </c>
    </row>
    <row r="8055">
      <c r="G8055" s="9">
        <f t="shared" si="0"/>
      </c>
      <c r="L8055">
        <f t="shared" si="1"/>
      </c>
      <c r="M8055">
        <f t="shared" si="2"/>
      </c>
    </row>
    <row r="8056">
      <c r="G8056" s="9">
        <f t="shared" si="0"/>
      </c>
      <c r="L8056">
        <f t="shared" si="1"/>
      </c>
      <c r="M8056">
        <f t="shared" si="2"/>
      </c>
    </row>
    <row r="8057">
      <c r="G8057" s="9">
        <f t="shared" si="0"/>
      </c>
      <c r="L8057">
        <f t="shared" si="1"/>
      </c>
      <c r="M8057">
        <f t="shared" si="2"/>
      </c>
    </row>
    <row r="8058">
      <c r="G8058" s="9">
        <f t="shared" si="0"/>
      </c>
      <c r="L8058">
        <f t="shared" si="1"/>
      </c>
      <c r="M8058">
        <f t="shared" si="2"/>
      </c>
    </row>
    <row r="8059">
      <c r="G8059" s="9">
        <f t="shared" si="0"/>
      </c>
      <c r="L8059">
        <f t="shared" si="1"/>
      </c>
      <c r="M8059">
        <f t="shared" si="2"/>
      </c>
    </row>
    <row r="8060">
      <c r="G8060" s="9">
        <f t="shared" si="0"/>
      </c>
      <c r="L8060">
        <f t="shared" si="1"/>
      </c>
      <c r="M8060">
        <f t="shared" si="2"/>
      </c>
    </row>
    <row r="8061">
      <c r="G8061" s="9">
        <f t="shared" si="0"/>
      </c>
      <c r="L8061">
        <f t="shared" si="1"/>
      </c>
      <c r="M8061">
        <f t="shared" si="2"/>
      </c>
    </row>
    <row r="8062">
      <c r="G8062" s="9">
        <f t="shared" si="0"/>
      </c>
      <c r="L8062">
        <f t="shared" si="1"/>
      </c>
      <c r="M8062">
        <f t="shared" si="2"/>
      </c>
    </row>
    <row r="8063">
      <c r="G8063" s="9">
        <f t="shared" si="0"/>
      </c>
      <c r="L8063">
        <f t="shared" si="1"/>
      </c>
      <c r="M8063">
        <f t="shared" si="2"/>
      </c>
    </row>
    <row r="8064">
      <c r="G8064" s="9">
        <f t="shared" si="0"/>
      </c>
      <c r="L8064">
        <f t="shared" si="1"/>
      </c>
      <c r="M8064">
        <f t="shared" si="2"/>
      </c>
    </row>
    <row r="8065">
      <c r="G8065" s="9">
        <f t="shared" si="0"/>
      </c>
      <c r="L8065">
        <f t="shared" si="1"/>
      </c>
      <c r="M8065">
        <f t="shared" si="2"/>
      </c>
    </row>
    <row r="8066">
      <c r="G8066" s="9">
        <f t="shared" si="0"/>
      </c>
      <c r="L8066">
        <f t="shared" si="1"/>
      </c>
      <c r="M8066">
        <f t="shared" si="2"/>
      </c>
    </row>
    <row r="8067">
      <c r="G8067" s="9">
        <f t="shared" si="0"/>
      </c>
      <c r="L8067">
        <f t="shared" si="1"/>
      </c>
      <c r="M8067">
        <f t="shared" si="2"/>
      </c>
    </row>
    <row r="8068">
      <c r="G8068" s="9">
        <f t="shared" si="0"/>
      </c>
      <c r="L8068">
        <f t="shared" si="1"/>
      </c>
      <c r="M8068">
        <f t="shared" si="2"/>
      </c>
    </row>
    <row r="8069">
      <c r="G8069" s="9">
        <f t="shared" si="0"/>
      </c>
      <c r="L8069">
        <f t="shared" si="1"/>
      </c>
      <c r="M8069">
        <f t="shared" si="2"/>
      </c>
    </row>
    <row r="8070">
      <c r="G8070" s="9">
        <f t="shared" si="0"/>
      </c>
      <c r="L8070">
        <f t="shared" si="1"/>
      </c>
      <c r="M8070">
        <f t="shared" si="2"/>
      </c>
    </row>
    <row r="8071">
      <c r="G8071" s="9">
        <f t="shared" si="0"/>
      </c>
      <c r="L8071">
        <f t="shared" si="1"/>
      </c>
      <c r="M8071">
        <f t="shared" si="2"/>
      </c>
    </row>
    <row r="8072">
      <c r="G8072" s="9">
        <f t="shared" si="0"/>
      </c>
      <c r="L8072">
        <f t="shared" si="1"/>
      </c>
      <c r="M8072">
        <f t="shared" si="2"/>
      </c>
    </row>
    <row r="8073">
      <c r="G8073" s="9">
        <f t="shared" si="0"/>
      </c>
      <c r="L8073">
        <f t="shared" si="1"/>
      </c>
      <c r="M8073">
        <f t="shared" si="2"/>
      </c>
    </row>
    <row r="8074">
      <c r="G8074" s="9">
        <f t="shared" si="0"/>
      </c>
      <c r="L8074">
        <f t="shared" si="1"/>
      </c>
      <c r="M8074">
        <f t="shared" si="2"/>
      </c>
    </row>
    <row r="8075">
      <c r="G8075" s="9">
        <f t="shared" si="0"/>
      </c>
      <c r="L8075">
        <f t="shared" si="1"/>
      </c>
      <c r="M8075">
        <f t="shared" si="2"/>
      </c>
    </row>
    <row r="8076">
      <c r="G8076" s="9">
        <f t="shared" si="0"/>
      </c>
      <c r="L8076">
        <f t="shared" si="1"/>
      </c>
      <c r="M8076">
        <f t="shared" si="2"/>
      </c>
    </row>
    <row r="8077">
      <c r="G8077" s="9">
        <f t="shared" si="0"/>
      </c>
      <c r="L8077">
        <f t="shared" si="1"/>
      </c>
      <c r="M8077">
        <f t="shared" si="2"/>
      </c>
    </row>
    <row r="8078">
      <c r="G8078" s="9">
        <f t="shared" si="0"/>
      </c>
      <c r="L8078">
        <f t="shared" si="1"/>
      </c>
      <c r="M8078">
        <f t="shared" si="2"/>
      </c>
    </row>
    <row r="8079">
      <c r="G8079" s="9">
        <f t="shared" si="0"/>
      </c>
      <c r="L8079">
        <f t="shared" si="1"/>
      </c>
      <c r="M8079">
        <f t="shared" si="2"/>
      </c>
    </row>
    <row r="8080">
      <c r="G8080" s="9">
        <f t="shared" si="0"/>
      </c>
      <c r="L8080">
        <f t="shared" si="1"/>
      </c>
      <c r="M8080">
        <f t="shared" si="2"/>
      </c>
    </row>
    <row r="8081">
      <c r="G8081" s="9">
        <f t="shared" si="0"/>
      </c>
      <c r="L8081">
        <f t="shared" si="1"/>
      </c>
      <c r="M8081">
        <f t="shared" si="2"/>
      </c>
    </row>
    <row r="8082">
      <c r="G8082" s="9">
        <f t="shared" si="0"/>
      </c>
      <c r="L8082">
        <f t="shared" si="1"/>
      </c>
      <c r="M8082">
        <f t="shared" si="2"/>
      </c>
    </row>
    <row r="8083">
      <c r="G8083" s="9">
        <f t="shared" si="0"/>
      </c>
      <c r="L8083">
        <f t="shared" si="1"/>
      </c>
      <c r="M8083">
        <f t="shared" si="2"/>
      </c>
    </row>
    <row r="8084">
      <c r="G8084" s="9">
        <f t="shared" si="0"/>
      </c>
      <c r="L8084">
        <f t="shared" si="1"/>
      </c>
      <c r="M8084">
        <f t="shared" si="2"/>
      </c>
    </row>
    <row r="8085">
      <c r="G8085" s="9">
        <f t="shared" si="0"/>
      </c>
      <c r="L8085">
        <f t="shared" si="1"/>
      </c>
      <c r="M8085">
        <f t="shared" si="2"/>
      </c>
    </row>
    <row r="8086">
      <c r="G8086" s="9">
        <f t="shared" si="0"/>
      </c>
      <c r="L8086">
        <f t="shared" si="1"/>
      </c>
      <c r="M8086">
        <f t="shared" si="2"/>
      </c>
    </row>
    <row r="8087">
      <c r="G8087" s="9">
        <f t="shared" si="0"/>
      </c>
      <c r="L8087">
        <f t="shared" si="1"/>
      </c>
      <c r="M8087">
        <f t="shared" si="2"/>
      </c>
    </row>
    <row r="8088">
      <c r="G8088" s="9">
        <f t="shared" si="0"/>
      </c>
      <c r="L8088">
        <f t="shared" si="1"/>
      </c>
      <c r="M8088">
        <f t="shared" si="2"/>
      </c>
    </row>
    <row r="8089">
      <c r="G8089" s="9">
        <f t="shared" si="0"/>
      </c>
      <c r="L8089">
        <f t="shared" si="1"/>
      </c>
      <c r="M8089">
        <f t="shared" si="2"/>
      </c>
    </row>
    <row r="8090">
      <c r="G8090" s="9">
        <f t="shared" si="0"/>
      </c>
      <c r="L8090">
        <f t="shared" si="1"/>
      </c>
      <c r="M8090">
        <f t="shared" si="2"/>
      </c>
    </row>
    <row r="8091">
      <c r="G8091" s="9">
        <f t="shared" si="0"/>
      </c>
      <c r="L8091">
        <f t="shared" si="1"/>
      </c>
      <c r="M8091">
        <f t="shared" si="2"/>
      </c>
    </row>
    <row r="8092">
      <c r="G8092" s="9">
        <f t="shared" si="0"/>
      </c>
      <c r="L8092">
        <f t="shared" si="1"/>
      </c>
      <c r="M8092">
        <f t="shared" si="2"/>
      </c>
    </row>
    <row r="8093">
      <c r="G8093" s="9">
        <f t="shared" si="0"/>
      </c>
      <c r="L8093">
        <f t="shared" si="1"/>
      </c>
      <c r="M8093">
        <f t="shared" si="2"/>
      </c>
    </row>
    <row r="8094">
      <c r="G8094" s="9">
        <f t="shared" si="0"/>
      </c>
      <c r="L8094">
        <f t="shared" si="1"/>
      </c>
      <c r="M8094">
        <f t="shared" si="2"/>
      </c>
    </row>
    <row r="8095">
      <c r="G8095" s="9">
        <f t="shared" si="0"/>
      </c>
      <c r="L8095">
        <f t="shared" si="1"/>
      </c>
      <c r="M8095">
        <f t="shared" si="2"/>
      </c>
    </row>
    <row r="8096">
      <c r="G8096" s="9">
        <f t="shared" si="0"/>
      </c>
      <c r="L8096">
        <f t="shared" si="1"/>
      </c>
      <c r="M8096">
        <f t="shared" si="2"/>
      </c>
    </row>
    <row r="8097">
      <c r="G8097" s="9">
        <f t="shared" si="0"/>
      </c>
      <c r="L8097">
        <f t="shared" si="1"/>
      </c>
      <c r="M8097">
        <f t="shared" si="2"/>
      </c>
    </row>
    <row r="8098">
      <c r="G8098" s="9">
        <f t="shared" si="0"/>
      </c>
      <c r="L8098">
        <f t="shared" si="1"/>
      </c>
      <c r="M8098">
        <f t="shared" si="2"/>
      </c>
    </row>
    <row r="8099">
      <c r="G8099" s="9">
        <f t="shared" si="0"/>
      </c>
      <c r="L8099">
        <f t="shared" si="1"/>
      </c>
      <c r="M8099">
        <f t="shared" si="2"/>
      </c>
    </row>
    <row r="8100">
      <c r="G8100" s="9">
        <f t="shared" si="0"/>
      </c>
      <c r="L8100">
        <f t="shared" si="1"/>
      </c>
      <c r="M8100">
        <f t="shared" si="2"/>
      </c>
    </row>
    <row r="8101">
      <c r="G8101" s="9">
        <f t="shared" si="0"/>
      </c>
      <c r="L8101">
        <f t="shared" si="1"/>
      </c>
      <c r="M8101">
        <f t="shared" si="2"/>
      </c>
    </row>
    <row r="8102">
      <c r="G8102" s="9">
        <f t="shared" si="0"/>
      </c>
      <c r="L8102">
        <f t="shared" si="1"/>
      </c>
      <c r="M8102">
        <f t="shared" si="2"/>
      </c>
    </row>
    <row r="8103">
      <c r="G8103" s="9">
        <f t="shared" si="0"/>
      </c>
      <c r="L8103">
        <f t="shared" si="1"/>
      </c>
      <c r="M8103">
        <f t="shared" si="2"/>
      </c>
    </row>
    <row r="8104">
      <c r="G8104" s="9">
        <f t="shared" si="0"/>
      </c>
      <c r="L8104">
        <f t="shared" si="1"/>
      </c>
      <c r="M8104">
        <f t="shared" si="2"/>
      </c>
    </row>
    <row r="8105">
      <c r="G8105" s="9">
        <f t="shared" si="0"/>
      </c>
      <c r="L8105">
        <f t="shared" si="1"/>
      </c>
      <c r="M8105">
        <f t="shared" si="2"/>
      </c>
    </row>
    <row r="8106">
      <c r="G8106" s="9">
        <f t="shared" si="0"/>
      </c>
      <c r="L8106">
        <f t="shared" si="1"/>
      </c>
      <c r="M8106">
        <f t="shared" si="2"/>
      </c>
    </row>
    <row r="8107">
      <c r="G8107" s="9">
        <f t="shared" si="0"/>
      </c>
      <c r="L8107">
        <f t="shared" si="1"/>
      </c>
      <c r="M8107">
        <f t="shared" si="2"/>
      </c>
    </row>
    <row r="8108">
      <c r="G8108" s="9">
        <f t="shared" si="0"/>
      </c>
      <c r="L8108">
        <f t="shared" si="1"/>
      </c>
      <c r="M8108">
        <f t="shared" si="2"/>
      </c>
    </row>
    <row r="8109">
      <c r="G8109" s="9">
        <f t="shared" si="0"/>
      </c>
      <c r="L8109">
        <f t="shared" si="1"/>
      </c>
      <c r="M8109">
        <f t="shared" si="2"/>
      </c>
    </row>
    <row r="8110">
      <c r="G8110" s="9">
        <f t="shared" si="0"/>
      </c>
      <c r="L8110">
        <f t="shared" si="1"/>
      </c>
      <c r="M8110">
        <f t="shared" si="2"/>
      </c>
    </row>
    <row r="8111">
      <c r="G8111" s="9">
        <f t="shared" si="0"/>
      </c>
      <c r="L8111">
        <f t="shared" si="1"/>
      </c>
      <c r="M8111">
        <f t="shared" si="2"/>
      </c>
    </row>
    <row r="8112">
      <c r="G8112" s="9">
        <f t="shared" si="0"/>
      </c>
      <c r="L8112">
        <f t="shared" si="1"/>
      </c>
      <c r="M8112">
        <f t="shared" si="2"/>
      </c>
    </row>
    <row r="8113">
      <c r="G8113" s="9">
        <f t="shared" si="0"/>
      </c>
      <c r="L8113">
        <f t="shared" si="1"/>
      </c>
      <c r="M8113">
        <f t="shared" si="2"/>
      </c>
    </row>
    <row r="8114">
      <c r="G8114" s="9">
        <f t="shared" si="0"/>
      </c>
      <c r="L8114">
        <f t="shared" si="1"/>
      </c>
      <c r="M8114">
        <f t="shared" si="2"/>
      </c>
    </row>
    <row r="8115">
      <c r="G8115" s="9">
        <f t="shared" si="0"/>
      </c>
      <c r="L8115">
        <f t="shared" si="1"/>
      </c>
      <c r="M8115">
        <f t="shared" si="2"/>
      </c>
    </row>
    <row r="8116">
      <c r="G8116" s="9">
        <f t="shared" si="0"/>
      </c>
      <c r="L8116">
        <f t="shared" si="1"/>
      </c>
      <c r="M8116">
        <f t="shared" si="2"/>
      </c>
    </row>
    <row r="8117">
      <c r="G8117" s="9">
        <f t="shared" si="0"/>
      </c>
      <c r="L8117">
        <f t="shared" si="1"/>
      </c>
      <c r="M8117">
        <f t="shared" si="2"/>
      </c>
    </row>
    <row r="8118">
      <c r="G8118" s="9">
        <f t="shared" si="0"/>
      </c>
      <c r="L8118">
        <f t="shared" si="1"/>
      </c>
      <c r="M8118">
        <f t="shared" si="2"/>
      </c>
    </row>
    <row r="8119">
      <c r="G8119" s="9">
        <f t="shared" si="0"/>
      </c>
      <c r="L8119">
        <f t="shared" si="1"/>
      </c>
      <c r="M8119">
        <f t="shared" si="2"/>
      </c>
    </row>
    <row r="8120">
      <c r="G8120" s="9">
        <f t="shared" si="0"/>
      </c>
      <c r="L8120">
        <f t="shared" si="1"/>
      </c>
      <c r="M8120">
        <f t="shared" si="2"/>
      </c>
    </row>
    <row r="8121">
      <c r="G8121" s="9">
        <f t="shared" si="0"/>
      </c>
      <c r="L8121">
        <f t="shared" si="1"/>
      </c>
      <c r="M8121">
        <f t="shared" si="2"/>
      </c>
    </row>
    <row r="8122">
      <c r="G8122" s="9">
        <f t="shared" si="0"/>
      </c>
      <c r="L8122">
        <f t="shared" si="1"/>
      </c>
      <c r="M8122">
        <f t="shared" si="2"/>
      </c>
    </row>
    <row r="8123">
      <c r="G8123" s="9">
        <f t="shared" si="0"/>
      </c>
      <c r="L8123">
        <f t="shared" si="1"/>
      </c>
      <c r="M8123">
        <f t="shared" si="2"/>
      </c>
    </row>
    <row r="8124">
      <c r="G8124" s="9">
        <f t="shared" si="0"/>
      </c>
      <c r="L8124">
        <f t="shared" si="1"/>
      </c>
      <c r="M8124">
        <f t="shared" si="2"/>
      </c>
    </row>
    <row r="8125">
      <c r="G8125" s="9">
        <f t="shared" si="0"/>
      </c>
      <c r="L8125">
        <f t="shared" si="1"/>
      </c>
      <c r="M8125">
        <f t="shared" si="2"/>
      </c>
    </row>
    <row r="8126">
      <c r="G8126" s="9">
        <f t="shared" si="0"/>
      </c>
      <c r="L8126">
        <f t="shared" si="1"/>
      </c>
      <c r="M8126">
        <f t="shared" si="2"/>
      </c>
    </row>
    <row r="8127">
      <c r="G8127" s="9">
        <f t="shared" si="0"/>
      </c>
      <c r="L8127">
        <f t="shared" si="1"/>
      </c>
      <c r="M8127">
        <f t="shared" si="2"/>
      </c>
    </row>
    <row r="8128">
      <c r="G8128" s="9">
        <f t="shared" si="0"/>
      </c>
      <c r="L8128">
        <f t="shared" si="1"/>
      </c>
      <c r="M8128">
        <f t="shared" si="2"/>
      </c>
    </row>
    <row r="8129">
      <c r="G8129" s="9">
        <f t="shared" si="0"/>
      </c>
      <c r="L8129">
        <f t="shared" si="1"/>
      </c>
      <c r="M8129">
        <f t="shared" si="2"/>
      </c>
    </row>
    <row r="8130">
      <c r="G8130" s="9">
        <f t="shared" si="0"/>
      </c>
      <c r="L8130">
        <f t="shared" si="1"/>
      </c>
      <c r="M8130">
        <f t="shared" si="2"/>
      </c>
    </row>
    <row r="8131">
      <c r="G8131" s="9">
        <f t="shared" si="0"/>
      </c>
      <c r="L8131">
        <f t="shared" si="1"/>
      </c>
      <c r="M8131">
        <f t="shared" si="2"/>
      </c>
    </row>
    <row r="8132">
      <c r="G8132" s="9">
        <f t="shared" si="0"/>
      </c>
      <c r="L8132">
        <f t="shared" si="1"/>
      </c>
      <c r="M8132">
        <f t="shared" si="2"/>
      </c>
    </row>
    <row r="8133">
      <c r="G8133" s="9">
        <f t="shared" si="0"/>
      </c>
      <c r="L8133">
        <f t="shared" si="1"/>
      </c>
      <c r="M8133">
        <f t="shared" si="2"/>
      </c>
    </row>
    <row r="8134">
      <c r="G8134" s="9">
        <f t="shared" si="0"/>
      </c>
      <c r="L8134">
        <f t="shared" si="1"/>
      </c>
      <c r="M8134">
        <f t="shared" si="2"/>
      </c>
    </row>
    <row r="8135">
      <c r="G8135" s="9">
        <f t="shared" si="0"/>
      </c>
      <c r="L8135">
        <f t="shared" si="1"/>
      </c>
      <c r="M8135">
        <f t="shared" si="2"/>
      </c>
    </row>
    <row r="8136">
      <c r="G8136" s="9">
        <f t="shared" si="0"/>
      </c>
      <c r="L8136">
        <f t="shared" si="1"/>
      </c>
      <c r="M8136">
        <f t="shared" si="2"/>
      </c>
    </row>
    <row r="8137">
      <c r="G8137" s="9">
        <f t="shared" si="0"/>
      </c>
      <c r="L8137">
        <f t="shared" si="1"/>
      </c>
      <c r="M8137">
        <f t="shared" si="2"/>
      </c>
    </row>
    <row r="8138">
      <c r="G8138" s="9">
        <f t="shared" si="0"/>
      </c>
      <c r="L8138">
        <f t="shared" si="1"/>
      </c>
      <c r="M8138">
        <f t="shared" si="2"/>
      </c>
    </row>
    <row r="8139">
      <c r="G8139" s="9">
        <f t="shared" si="0"/>
      </c>
      <c r="L8139">
        <f t="shared" si="1"/>
      </c>
      <c r="M8139">
        <f t="shared" si="2"/>
      </c>
    </row>
    <row r="8140">
      <c r="G8140" s="9">
        <f t="shared" si="0"/>
      </c>
      <c r="L8140">
        <f t="shared" si="1"/>
      </c>
      <c r="M8140">
        <f t="shared" si="2"/>
      </c>
    </row>
    <row r="8141">
      <c r="G8141" s="9">
        <f t="shared" si="0"/>
      </c>
      <c r="L8141">
        <f t="shared" si="1"/>
      </c>
      <c r="M8141">
        <f t="shared" si="2"/>
      </c>
    </row>
    <row r="8142">
      <c r="G8142" s="9">
        <f t="shared" si="0"/>
      </c>
      <c r="L8142">
        <f t="shared" si="1"/>
      </c>
      <c r="M8142">
        <f t="shared" si="2"/>
      </c>
    </row>
    <row r="8143">
      <c r="G8143" s="9">
        <f t="shared" si="0"/>
      </c>
      <c r="L8143">
        <f t="shared" si="1"/>
      </c>
      <c r="M8143">
        <f t="shared" si="2"/>
      </c>
    </row>
    <row r="8144">
      <c r="G8144" s="9">
        <f t="shared" si="0"/>
      </c>
      <c r="L8144">
        <f t="shared" si="1"/>
      </c>
      <c r="M8144">
        <f t="shared" si="2"/>
      </c>
    </row>
    <row r="8145">
      <c r="G8145" s="9">
        <f t="shared" si="0"/>
      </c>
      <c r="L8145">
        <f t="shared" si="1"/>
      </c>
      <c r="M8145">
        <f t="shared" si="2"/>
      </c>
    </row>
    <row r="8146">
      <c r="G8146" s="9">
        <f t="shared" si="0"/>
      </c>
      <c r="L8146">
        <f t="shared" si="1"/>
      </c>
      <c r="M8146">
        <f t="shared" si="2"/>
      </c>
    </row>
    <row r="8147">
      <c r="G8147" s="9">
        <f t="shared" si="0"/>
      </c>
      <c r="L8147">
        <f t="shared" si="1"/>
      </c>
      <c r="M8147">
        <f t="shared" si="2"/>
      </c>
    </row>
    <row r="8148">
      <c r="G8148" s="9">
        <f t="shared" si="0"/>
      </c>
      <c r="L8148">
        <f t="shared" si="1"/>
      </c>
      <c r="M8148">
        <f t="shared" si="2"/>
      </c>
    </row>
    <row r="8149">
      <c r="G8149" s="9">
        <f t="shared" si="0"/>
      </c>
      <c r="L8149">
        <f t="shared" si="1"/>
      </c>
      <c r="M8149">
        <f t="shared" si="2"/>
      </c>
    </row>
    <row r="8150">
      <c r="G8150" s="9">
        <f t="shared" si="0"/>
      </c>
      <c r="L8150">
        <f t="shared" si="1"/>
      </c>
      <c r="M8150">
        <f t="shared" si="2"/>
      </c>
    </row>
    <row r="8151">
      <c r="G8151" s="9">
        <f t="shared" si="0"/>
      </c>
      <c r="L8151">
        <f t="shared" si="1"/>
      </c>
      <c r="M8151">
        <f t="shared" si="2"/>
      </c>
    </row>
    <row r="8152">
      <c r="G8152" s="9">
        <f t="shared" si="0"/>
      </c>
      <c r="L8152">
        <f t="shared" si="1"/>
      </c>
      <c r="M8152">
        <f t="shared" si="2"/>
      </c>
    </row>
    <row r="8153">
      <c r="G8153" s="9">
        <f t="shared" si="0"/>
      </c>
      <c r="L8153">
        <f t="shared" si="1"/>
      </c>
      <c r="M8153">
        <f t="shared" si="2"/>
      </c>
    </row>
    <row r="8154">
      <c r="G8154" s="9">
        <f t="shared" si="0"/>
      </c>
      <c r="L8154">
        <f t="shared" si="1"/>
      </c>
      <c r="M8154">
        <f t="shared" si="2"/>
      </c>
    </row>
    <row r="8155">
      <c r="G8155" s="9">
        <f t="shared" si="0"/>
      </c>
      <c r="L8155">
        <f t="shared" si="1"/>
      </c>
      <c r="M8155">
        <f t="shared" si="2"/>
      </c>
    </row>
    <row r="8156">
      <c r="G8156" s="9">
        <f t="shared" si="0"/>
      </c>
      <c r="L8156">
        <f t="shared" si="1"/>
      </c>
      <c r="M8156">
        <f t="shared" si="2"/>
      </c>
    </row>
    <row r="8157">
      <c r="G8157" s="9">
        <f t="shared" si="0"/>
      </c>
      <c r="L8157">
        <f t="shared" si="1"/>
      </c>
      <c r="M8157">
        <f t="shared" si="2"/>
      </c>
    </row>
    <row r="8158">
      <c r="G8158" s="9">
        <f t="shared" si="0"/>
      </c>
      <c r="L8158">
        <f t="shared" si="1"/>
      </c>
      <c r="M8158">
        <f t="shared" si="2"/>
      </c>
    </row>
    <row r="8159">
      <c r="G8159" s="9">
        <f t="shared" si="0"/>
      </c>
      <c r="L8159">
        <f t="shared" si="1"/>
      </c>
      <c r="M8159">
        <f t="shared" si="2"/>
      </c>
    </row>
    <row r="8160">
      <c r="G8160" s="9">
        <f t="shared" si="0"/>
      </c>
      <c r="L8160">
        <f t="shared" si="1"/>
      </c>
      <c r="M8160">
        <f t="shared" si="2"/>
      </c>
    </row>
    <row r="8161">
      <c r="G8161" s="9">
        <f t="shared" si="0"/>
      </c>
      <c r="L8161">
        <f t="shared" si="1"/>
      </c>
      <c r="M8161">
        <f t="shared" si="2"/>
      </c>
    </row>
    <row r="8162">
      <c r="G8162" s="9">
        <f t="shared" si="0"/>
      </c>
      <c r="L8162">
        <f t="shared" si="1"/>
      </c>
      <c r="M8162">
        <f t="shared" si="2"/>
      </c>
    </row>
    <row r="8163">
      <c r="G8163" s="9">
        <f t="shared" si="0"/>
      </c>
      <c r="L8163">
        <f t="shared" si="1"/>
      </c>
      <c r="M8163">
        <f t="shared" si="2"/>
      </c>
    </row>
    <row r="8164">
      <c r="G8164" s="9">
        <f t="shared" si="0"/>
      </c>
      <c r="L8164">
        <f t="shared" si="1"/>
      </c>
      <c r="M8164">
        <f t="shared" si="2"/>
      </c>
    </row>
    <row r="8165">
      <c r="G8165" s="9">
        <f t="shared" si="0"/>
      </c>
      <c r="L8165">
        <f t="shared" si="1"/>
      </c>
      <c r="M8165">
        <f t="shared" si="2"/>
      </c>
    </row>
    <row r="8166">
      <c r="G8166" s="9">
        <f t="shared" si="0"/>
      </c>
      <c r="L8166">
        <f t="shared" si="1"/>
      </c>
      <c r="M8166">
        <f t="shared" si="2"/>
      </c>
    </row>
    <row r="8167">
      <c r="G8167" s="9">
        <f t="shared" si="0"/>
      </c>
      <c r="L8167">
        <f t="shared" si="1"/>
      </c>
      <c r="M8167">
        <f t="shared" si="2"/>
      </c>
    </row>
    <row r="8168">
      <c r="G8168" s="9">
        <f t="shared" si="0"/>
      </c>
      <c r="L8168">
        <f t="shared" si="1"/>
      </c>
      <c r="M8168">
        <f t="shared" si="2"/>
      </c>
    </row>
    <row r="8169">
      <c r="G8169" s="9">
        <f t="shared" si="0"/>
      </c>
      <c r="L8169">
        <f t="shared" si="1"/>
      </c>
      <c r="M8169">
        <f t="shared" si="2"/>
      </c>
    </row>
    <row r="8170">
      <c r="G8170" s="9">
        <f t="shared" si="0"/>
      </c>
      <c r="L8170">
        <f t="shared" si="1"/>
      </c>
      <c r="M8170">
        <f t="shared" si="2"/>
      </c>
    </row>
    <row r="8171">
      <c r="G8171" s="9">
        <f t="shared" si="0"/>
      </c>
      <c r="L8171">
        <f t="shared" si="1"/>
      </c>
      <c r="M8171">
        <f t="shared" si="2"/>
      </c>
    </row>
    <row r="8172">
      <c r="G8172" s="9">
        <f t="shared" si="0"/>
      </c>
      <c r="L8172">
        <f t="shared" si="1"/>
      </c>
      <c r="M8172">
        <f t="shared" si="2"/>
      </c>
    </row>
    <row r="8173">
      <c r="G8173" s="9">
        <f t="shared" si="0"/>
      </c>
      <c r="L8173">
        <f t="shared" si="1"/>
      </c>
      <c r="M8173">
        <f t="shared" si="2"/>
      </c>
    </row>
    <row r="8174">
      <c r="G8174" s="9">
        <f t="shared" si="0"/>
      </c>
      <c r="L8174">
        <f t="shared" si="1"/>
      </c>
      <c r="M8174">
        <f t="shared" si="2"/>
      </c>
    </row>
    <row r="8175">
      <c r="G8175" s="9">
        <f t="shared" si="0"/>
      </c>
      <c r="L8175">
        <f t="shared" si="1"/>
      </c>
      <c r="M8175">
        <f t="shared" si="2"/>
      </c>
    </row>
    <row r="8176">
      <c r="G8176" s="9">
        <f t="shared" si="0"/>
      </c>
      <c r="L8176">
        <f t="shared" si="1"/>
      </c>
      <c r="M8176">
        <f t="shared" si="2"/>
      </c>
    </row>
    <row r="8177">
      <c r="G8177" s="9">
        <f t="shared" si="0"/>
      </c>
      <c r="L8177">
        <f t="shared" si="1"/>
      </c>
      <c r="M8177">
        <f t="shared" si="2"/>
      </c>
    </row>
    <row r="8178">
      <c r="G8178" s="9">
        <f t="shared" si="0"/>
      </c>
      <c r="L8178">
        <f t="shared" si="1"/>
      </c>
      <c r="M8178">
        <f t="shared" si="2"/>
      </c>
    </row>
    <row r="8179">
      <c r="G8179" s="9">
        <f t="shared" si="0"/>
      </c>
      <c r="L8179">
        <f t="shared" si="1"/>
      </c>
      <c r="M8179">
        <f t="shared" si="2"/>
      </c>
    </row>
    <row r="8180">
      <c r="G8180" s="9">
        <f t="shared" si="0"/>
      </c>
      <c r="L8180">
        <f t="shared" si="1"/>
      </c>
      <c r="M8180">
        <f t="shared" si="2"/>
      </c>
    </row>
    <row r="8181">
      <c r="G8181" s="9">
        <f t="shared" si="0"/>
      </c>
      <c r="L8181">
        <f t="shared" si="1"/>
      </c>
      <c r="M8181">
        <f t="shared" si="2"/>
      </c>
    </row>
    <row r="8182">
      <c r="G8182" s="9">
        <f t="shared" si="0"/>
      </c>
      <c r="L8182">
        <f t="shared" si="1"/>
      </c>
      <c r="M8182">
        <f t="shared" si="2"/>
      </c>
    </row>
    <row r="8183">
      <c r="G8183" s="9">
        <f t="shared" si="0"/>
      </c>
      <c r="L8183">
        <f t="shared" si="1"/>
      </c>
      <c r="M8183">
        <f t="shared" si="2"/>
      </c>
    </row>
    <row r="8184">
      <c r="G8184" s="9">
        <f t="shared" si="0"/>
      </c>
      <c r="L8184">
        <f t="shared" si="1"/>
      </c>
      <c r="M8184">
        <f t="shared" si="2"/>
      </c>
    </row>
    <row r="8185">
      <c r="G8185" s="9">
        <f t="shared" si="0"/>
      </c>
      <c r="L8185">
        <f t="shared" si="1"/>
      </c>
      <c r="M8185">
        <f t="shared" si="2"/>
      </c>
    </row>
    <row r="8186">
      <c r="G8186" s="9">
        <f t="shared" si="0"/>
      </c>
      <c r="L8186">
        <f t="shared" si="1"/>
      </c>
      <c r="M8186">
        <f t="shared" si="2"/>
      </c>
    </row>
    <row r="8187">
      <c r="G8187" s="9">
        <f t="shared" si="0"/>
      </c>
      <c r="L8187">
        <f t="shared" si="1"/>
      </c>
      <c r="M8187">
        <f t="shared" si="2"/>
      </c>
    </row>
    <row r="8188">
      <c r="G8188" s="9">
        <f t="shared" si="0"/>
      </c>
      <c r="L8188">
        <f t="shared" si="1"/>
      </c>
      <c r="M8188">
        <f t="shared" si="2"/>
      </c>
    </row>
    <row r="8189">
      <c r="G8189" s="9">
        <f t="shared" si="0"/>
      </c>
      <c r="L8189">
        <f t="shared" si="1"/>
      </c>
      <c r="M8189">
        <f t="shared" si="2"/>
      </c>
    </row>
    <row r="8190">
      <c r="G8190" s="9">
        <f t="shared" si="0"/>
      </c>
      <c r="L8190">
        <f t="shared" si="1"/>
      </c>
      <c r="M8190">
        <f t="shared" si="2"/>
      </c>
    </row>
    <row r="8191">
      <c r="G8191" s="9">
        <f t="shared" si="0"/>
      </c>
      <c r="L8191">
        <f t="shared" si="1"/>
      </c>
      <c r="M8191">
        <f t="shared" si="2"/>
      </c>
    </row>
    <row r="8192">
      <c r="G8192" s="9">
        <f t="shared" si="0"/>
      </c>
      <c r="L8192">
        <f t="shared" si="1"/>
      </c>
      <c r="M8192">
        <f t="shared" si="2"/>
      </c>
    </row>
    <row r="8193">
      <c r="G8193" s="9">
        <f t="shared" si="0"/>
      </c>
      <c r="L8193">
        <f t="shared" si="1"/>
      </c>
      <c r="M8193">
        <f t="shared" si="2"/>
      </c>
    </row>
    <row r="8194">
      <c r="G8194" s="9">
        <f t="shared" si="0"/>
      </c>
      <c r="L8194">
        <f t="shared" si="1"/>
      </c>
      <c r="M8194">
        <f t="shared" si="2"/>
      </c>
    </row>
    <row r="8195">
      <c r="G8195" s="9">
        <f t="shared" si="0"/>
      </c>
      <c r="L8195">
        <f t="shared" si="1"/>
      </c>
      <c r="M8195">
        <f t="shared" si="2"/>
      </c>
    </row>
    <row r="8196">
      <c r="G8196" s="9">
        <f t="shared" si="0"/>
      </c>
      <c r="L8196">
        <f t="shared" si="1"/>
      </c>
      <c r="M8196">
        <f t="shared" si="2"/>
      </c>
    </row>
    <row r="8197">
      <c r="G8197" s="9">
        <f t="shared" si="0"/>
      </c>
      <c r="L8197">
        <f t="shared" si="1"/>
      </c>
      <c r="M8197">
        <f t="shared" si="2"/>
      </c>
    </row>
    <row r="8198">
      <c r="G8198" s="9">
        <f t="shared" si="0"/>
      </c>
      <c r="L8198">
        <f t="shared" si="1"/>
      </c>
      <c r="M8198">
        <f t="shared" si="2"/>
      </c>
    </row>
    <row r="8199">
      <c r="G8199" s="9">
        <f t="shared" si="0"/>
      </c>
      <c r="L8199">
        <f t="shared" si="1"/>
      </c>
      <c r="M8199">
        <f t="shared" si="2"/>
      </c>
    </row>
    <row r="8200">
      <c r="G8200" s="9">
        <f t="shared" si="0"/>
      </c>
      <c r="L8200">
        <f t="shared" si="1"/>
      </c>
      <c r="M8200">
        <f t="shared" si="2"/>
      </c>
    </row>
    <row r="8201">
      <c r="G8201" s="9">
        <f t="shared" si="0"/>
      </c>
      <c r="L8201">
        <f t="shared" si="1"/>
      </c>
      <c r="M8201">
        <f t="shared" si="2"/>
      </c>
    </row>
    <row r="8202">
      <c r="G8202" s="9">
        <f t="shared" si="0"/>
      </c>
      <c r="L8202">
        <f t="shared" si="1"/>
      </c>
      <c r="M8202">
        <f t="shared" si="2"/>
      </c>
    </row>
    <row r="8203">
      <c r="G8203" s="9">
        <f t="shared" si="0"/>
      </c>
      <c r="L8203">
        <f t="shared" si="1"/>
      </c>
      <c r="M8203">
        <f t="shared" si="2"/>
      </c>
    </row>
    <row r="8204">
      <c r="G8204" s="9">
        <f t="shared" si="0"/>
      </c>
      <c r="L8204">
        <f t="shared" si="1"/>
      </c>
      <c r="M8204">
        <f t="shared" si="2"/>
      </c>
    </row>
    <row r="8205">
      <c r="G8205" s="9">
        <f t="shared" si="0"/>
      </c>
      <c r="L8205">
        <f t="shared" si="1"/>
      </c>
      <c r="M8205">
        <f t="shared" si="2"/>
      </c>
    </row>
    <row r="8206">
      <c r="G8206" s="9">
        <f t="shared" si="0"/>
      </c>
      <c r="L8206">
        <f t="shared" si="1"/>
      </c>
      <c r="M8206">
        <f t="shared" si="2"/>
      </c>
    </row>
    <row r="8207">
      <c r="G8207" s="9">
        <f t="shared" si="0"/>
      </c>
      <c r="L8207">
        <f t="shared" si="1"/>
      </c>
      <c r="M8207">
        <f t="shared" si="2"/>
      </c>
    </row>
    <row r="8208">
      <c r="G8208" s="9">
        <f t="shared" si="0"/>
      </c>
      <c r="L8208">
        <f t="shared" si="1"/>
      </c>
      <c r="M8208">
        <f t="shared" si="2"/>
      </c>
    </row>
    <row r="8209">
      <c r="G8209" s="9">
        <f t="shared" si="0"/>
      </c>
      <c r="L8209">
        <f t="shared" si="1"/>
      </c>
      <c r="M8209">
        <f t="shared" si="2"/>
      </c>
    </row>
    <row r="8210">
      <c r="G8210" s="9">
        <f t="shared" si="0"/>
      </c>
      <c r="L8210">
        <f t="shared" si="1"/>
      </c>
      <c r="M8210">
        <f t="shared" si="2"/>
      </c>
    </row>
    <row r="8211">
      <c r="G8211" s="9">
        <f t="shared" si="0"/>
      </c>
      <c r="L8211">
        <f t="shared" si="1"/>
      </c>
      <c r="M8211">
        <f t="shared" si="2"/>
      </c>
    </row>
    <row r="8212">
      <c r="G8212" s="9">
        <f t="shared" si="0"/>
      </c>
      <c r="L8212">
        <f t="shared" si="1"/>
      </c>
      <c r="M8212">
        <f t="shared" si="2"/>
      </c>
    </row>
    <row r="8213">
      <c r="G8213" s="9">
        <f t="shared" si="0"/>
      </c>
      <c r="L8213">
        <f t="shared" si="1"/>
      </c>
      <c r="M8213">
        <f t="shared" si="2"/>
      </c>
    </row>
    <row r="8214">
      <c r="G8214" s="9">
        <f t="shared" si="0"/>
      </c>
      <c r="L8214">
        <f t="shared" si="1"/>
      </c>
      <c r="M8214">
        <f t="shared" si="2"/>
      </c>
    </row>
    <row r="8215">
      <c r="G8215" s="9">
        <f t="shared" si="0"/>
      </c>
      <c r="L8215">
        <f t="shared" si="1"/>
      </c>
      <c r="M8215">
        <f t="shared" si="2"/>
      </c>
    </row>
    <row r="8216">
      <c r="G8216" s="9">
        <f t="shared" si="0"/>
      </c>
      <c r="L8216">
        <f t="shared" si="1"/>
      </c>
      <c r="M8216">
        <f t="shared" si="2"/>
      </c>
    </row>
    <row r="8217">
      <c r="G8217" s="9">
        <f t="shared" si="0"/>
      </c>
      <c r="L8217">
        <f t="shared" si="1"/>
      </c>
      <c r="M8217">
        <f t="shared" si="2"/>
      </c>
    </row>
    <row r="8218">
      <c r="G8218" s="9">
        <f t="shared" si="0"/>
      </c>
      <c r="L8218">
        <f t="shared" si="1"/>
      </c>
      <c r="M8218">
        <f t="shared" si="2"/>
      </c>
    </row>
    <row r="8219">
      <c r="G8219" s="9">
        <f t="shared" si="0"/>
      </c>
      <c r="L8219">
        <f t="shared" si="1"/>
      </c>
      <c r="M8219">
        <f t="shared" si="2"/>
      </c>
    </row>
    <row r="8220">
      <c r="G8220" s="9">
        <f t="shared" si="0"/>
      </c>
      <c r="L8220">
        <f t="shared" si="1"/>
      </c>
      <c r="M8220">
        <f t="shared" si="2"/>
      </c>
    </row>
    <row r="8221">
      <c r="G8221" s="9">
        <f t="shared" si="0"/>
      </c>
      <c r="L8221">
        <f t="shared" si="1"/>
      </c>
      <c r="M8221">
        <f t="shared" si="2"/>
      </c>
    </row>
    <row r="8222">
      <c r="G8222" s="9">
        <f t="shared" si="0"/>
      </c>
      <c r="L8222">
        <f t="shared" si="1"/>
      </c>
      <c r="M8222">
        <f t="shared" si="2"/>
      </c>
    </row>
    <row r="8223">
      <c r="G8223" s="9">
        <f t="shared" si="0"/>
      </c>
      <c r="L8223">
        <f t="shared" si="1"/>
      </c>
      <c r="M8223">
        <f t="shared" si="2"/>
      </c>
    </row>
    <row r="8224">
      <c r="G8224" s="9">
        <f t="shared" si="0"/>
      </c>
      <c r="L8224">
        <f t="shared" si="1"/>
      </c>
      <c r="M8224">
        <f t="shared" si="2"/>
      </c>
    </row>
    <row r="8225">
      <c r="G8225" s="9">
        <f t="shared" si="0"/>
      </c>
      <c r="L8225">
        <f t="shared" si="1"/>
      </c>
      <c r="M8225">
        <f t="shared" si="2"/>
      </c>
    </row>
    <row r="8226">
      <c r="G8226" s="9">
        <f t="shared" si="0"/>
      </c>
      <c r="L8226">
        <f t="shared" si="1"/>
      </c>
      <c r="M8226">
        <f t="shared" si="2"/>
      </c>
    </row>
    <row r="8227">
      <c r="G8227" s="9">
        <f t="shared" si="0"/>
      </c>
      <c r="L8227">
        <f t="shared" si="1"/>
      </c>
      <c r="M8227">
        <f t="shared" si="2"/>
      </c>
    </row>
    <row r="8228">
      <c r="G8228" s="9">
        <f t="shared" si="0"/>
      </c>
      <c r="L8228">
        <f t="shared" si="1"/>
      </c>
      <c r="M8228">
        <f t="shared" si="2"/>
      </c>
    </row>
    <row r="8229">
      <c r="G8229" s="9">
        <f t="shared" si="0"/>
      </c>
      <c r="L8229">
        <f t="shared" si="1"/>
      </c>
      <c r="M8229">
        <f t="shared" si="2"/>
      </c>
    </row>
    <row r="8230">
      <c r="G8230" s="9">
        <f t="shared" si="0"/>
      </c>
      <c r="L8230">
        <f t="shared" si="1"/>
      </c>
      <c r="M8230">
        <f t="shared" si="2"/>
      </c>
    </row>
    <row r="8231">
      <c r="G8231" s="9">
        <f t="shared" si="0"/>
      </c>
      <c r="L8231">
        <f t="shared" si="1"/>
      </c>
      <c r="M8231">
        <f t="shared" si="2"/>
      </c>
    </row>
    <row r="8232">
      <c r="G8232" s="9">
        <f t="shared" si="0"/>
      </c>
      <c r="L8232">
        <f t="shared" si="1"/>
      </c>
      <c r="M8232">
        <f t="shared" si="2"/>
      </c>
    </row>
    <row r="8233">
      <c r="G8233" s="9">
        <f t="shared" si="0"/>
      </c>
      <c r="L8233">
        <f t="shared" si="1"/>
      </c>
      <c r="M8233">
        <f t="shared" si="2"/>
      </c>
    </row>
    <row r="8234">
      <c r="G8234" s="9">
        <f t="shared" si="0"/>
      </c>
      <c r="L8234">
        <f t="shared" si="1"/>
      </c>
      <c r="M8234">
        <f t="shared" si="2"/>
      </c>
    </row>
    <row r="8235">
      <c r="G8235" s="9">
        <f t="shared" si="0"/>
      </c>
      <c r="L8235">
        <f t="shared" si="1"/>
      </c>
      <c r="M8235">
        <f t="shared" si="2"/>
      </c>
    </row>
    <row r="8236">
      <c r="G8236" s="9">
        <f t="shared" si="0"/>
      </c>
      <c r="L8236">
        <f t="shared" si="1"/>
      </c>
      <c r="M8236">
        <f t="shared" si="2"/>
      </c>
    </row>
    <row r="8237">
      <c r="G8237" s="9">
        <f t="shared" si="0"/>
      </c>
      <c r="L8237">
        <f t="shared" si="1"/>
      </c>
      <c r="M8237">
        <f t="shared" si="2"/>
      </c>
    </row>
    <row r="8238">
      <c r="G8238" s="9">
        <f t="shared" si="0"/>
      </c>
      <c r="L8238">
        <f t="shared" si="1"/>
      </c>
      <c r="M8238">
        <f t="shared" si="2"/>
      </c>
    </row>
    <row r="8239">
      <c r="G8239" s="9">
        <f t="shared" si="0"/>
      </c>
      <c r="L8239">
        <f t="shared" si="1"/>
      </c>
      <c r="M8239">
        <f t="shared" si="2"/>
      </c>
    </row>
    <row r="8240">
      <c r="G8240" s="9">
        <f t="shared" si="0"/>
      </c>
      <c r="L8240">
        <f t="shared" si="1"/>
      </c>
      <c r="M8240">
        <f t="shared" si="2"/>
      </c>
    </row>
    <row r="8241">
      <c r="G8241" s="9">
        <f t="shared" si="0"/>
      </c>
      <c r="L8241">
        <f t="shared" si="1"/>
      </c>
      <c r="M8241">
        <f t="shared" si="2"/>
      </c>
    </row>
    <row r="8242">
      <c r="G8242" s="9">
        <f t="shared" si="0"/>
      </c>
      <c r="L8242">
        <f t="shared" si="1"/>
      </c>
      <c r="M8242">
        <f t="shared" si="2"/>
      </c>
    </row>
    <row r="8243">
      <c r="G8243" s="9">
        <f t="shared" si="0"/>
      </c>
      <c r="L8243">
        <f t="shared" si="1"/>
      </c>
      <c r="M8243">
        <f t="shared" si="2"/>
      </c>
    </row>
    <row r="8244">
      <c r="G8244" s="9">
        <f t="shared" si="0"/>
      </c>
      <c r="L8244">
        <f t="shared" si="1"/>
      </c>
      <c r="M8244">
        <f t="shared" si="2"/>
      </c>
    </row>
    <row r="8245">
      <c r="G8245" s="9">
        <f t="shared" si="0"/>
      </c>
      <c r="L8245">
        <f t="shared" si="1"/>
      </c>
      <c r="M8245">
        <f t="shared" si="2"/>
      </c>
    </row>
    <row r="8246">
      <c r="G8246" s="9">
        <f t="shared" si="0"/>
      </c>
      <c r="L8246">
        <f t="shared" si="1"/>
      </c>
      <c r="M8246">
        <f t="shared" si="2"/>
      </c>
    </row>
    <row r="8247">
      <c r="G8247" s="9">
        <f t="shared" si="0"/>
      </c>
      <c r="L8247">
        <f t="shared" si="1"/>
      </c>
      <c r="M8247">
        <f t="shared" si="2"/>
      </c>
    </row>
    <row r="8248">
      <c r="G8248" s="9">
        <f t="shared" si="0"/>
      </c>
      <c r="L8248">
        <f t="shared" si="1"/>
      </c>
      <c r="M8248">
        <f t="shared" si="2"/>
      </c>
    </row>
    <row r="8249">
      <c r="G8249" s="9">
        <f t="shared" si="0"/>
      </c>
      <c r="L8249">
        <f t="shared" si="1"/>
      </c>
      <c r="M8249">
        <f t="shared" si="2"/>
      </c>
    </row>
    <row r="8250">
      <c r="G8250" s="9">
        <f t="shared" si="0"/>
      </c>
      <c r="L8250">
        <f t="shared" si="1"/>
      </c>
      <c r="M8250">
        <f t="shared" si="2"/>
      </c>
    </row>
    <row r="8251">
      <c r="G8251" s="9">
        <f t="shared" si="0"/>
      </c>
      <c r="L8251">
        <f t="shared" si="1"/>
      </c>
      <c r="M8251">
        <f t="shared" si="2"/>
      </c>
    </row>
    <row r="8252">
      <c r="G8252" s="9">
        <f t="shared" si="0"/>
      </c>
      <c r="L8252">
        <f t="shared" si="1"/>
      </c>
      <c r="M8252">
        <f t="shared" si="2"/>
      </c>
    </row>
    <row r="8253">
      <c r="G8253" s="9">
        <f t="shared" si="0"/>
      </c>
      <c r="L8253">
        <f t="shared" si="1"/>
      </c>
      <c r="M8253">
        <f t="shared" si="2"/>
      </c>
    </row>
    <row r="8254">
      <c r="G8254" s="9">
        <f t="shared" si="0"/>
      </c>
      <c r="L8254">
        <f t="shared" si="1"/>
      </c>
      <c r="M8254">
        <f t="shared" si="2"/>
      </c>
    </row>
    <row r="8255">
      <c r="G8255" s="9">
        <f t="shared" si="0"/>
      </c>
      <c r="L8255">
        <f t="shared" si="1"/>
      </c>
      <c r="M8255">
        <f t="shared" si="2"/>
      </c>
    </row>
    <row r="8256">
      <c r="G8256" s="9">
        <f t="shared" si="0"/>
      </c>
      <c r="L8256">
        <f t="shared" si="1"/>
      </c>
      <c r="M8256">
        <f t="shared" si="2"/>
      </c>
    </row>
    <row r="8257">
      <c r="G8257" s="9">
        <f t="shared" si="0"/>
      </c>
      <c r="L8257">
        <f t="shared" si="1"/>
      </c>
      <c r="M8257">
        <f t="shared" si="2"/>
      </c>
    </row>
    <row r="8258">
      <c r="G8258" s="9">
        <f t="shared" si="0"/>
      </c>
      <c r="L8258">
        <f t="shared" si="1"/>
      </c>
      <c r="M8258">
        <f t="shared" si="2"/>
      </c>
    </row>
    <row r="8259">
      <c r="G8259" s="9">
        <f t="shared" si="0"/>
      </c>
      <c r="L8259">
        <f t="shared" si="1"/>
      </c>
      <c r="M8259">
        <f t="shared" si="2"/>
      </c>
    </row>
    <row r="8260">
      <c r="G8260" s="9">
        <f t="shared" si="0"/>
      </c>
      <c r="L8260">
        <f t="shared" si="1"/>
      </c>
      <c r="M8260">
        <f t="shared" si="2"/>
      </c>
    </row>
    <row r="8261">
      <c r="G8261" s="9">
        <f t="shared" si="0"/>
      </c>
      <c r="L8261">
        <f t="shared" si="1"/>
      </c>
      <c r="M8261">
        <f t="shared" si="2"/>
      </c>
    </row>
    <row r="8262">
      <c r="G8262" s="9">
        <f t="shared" si="0"/>
      </c>
      <c r="L8262">
        <f t="shared" si="1"/>
      </c>
      <c r="M8262">
        <f t="shared" si="2"/>
      </c>
    </row>
    <row r="8263">
      <c r="G8263" s="9">
        <f t="shared" si="0"/>
      </c>
      <c r="L8263">
        <f t="shared" si="1"/>
      </c>
      <c r="M8263">
        <f t="shared" si="2"/>
      </c>
    </row>
    <row r="8264">
      <c r="G8264" s="9">
        <f t="shared" si="0"/>
      </c>
      <c r="L8264">
        <f t="shared" si="1"/>
      </c>
      <c r="M8264">
        <f t="shared" si="2"/>
      </c>
    </row>
    <row r="8265">
      <c r="G8265" s="9">
        <f t="shared" si="0"/>
      </c>
      <c r="L8265">
        <f t="shared" si="1"/>
      </c>
      <c r="M8265">
        <f t="shared" si="2"/>
      </c>
    </row>
    <row r="8266">
      <c r="G8266" s="9">
        <f t="shared" si="0"/>
      </c>
      <c r="L8266">
        <f t="shared" si="1"/>
      </c>
      <c r="M8266">
        <f t="shared" si="2"/>
      </c>
    </row>
    <row r="8267">
      <c r="G8267" s="9">
        <f t="shared" si="0"/>
      </c>
      <c r="L8267">
        <f t="shared" si="1"/>
      </c>
      <c r="M8267">
        <f t="shared" si="2"/>
      </c>
    </row>
    <row r="8268">
      <c r="G8268" s="9">
        <f t="shared" si="0"/>
      </c>
      <c r="L8268">
        <f t="shared" si="1"/>
      </c>
      <c r="M8268">
        <f t="shared" si="2"/>
      </c>
    </row>
    <row r="8269">
      <c r="G8269" s="9">
        <f t="shared" si="0"/>
      </c>
      <c r="L8269">
        <f t="shared" si="1"/>
      </c>
      <c r="M8269">
        <f t="shared" si="2"/>
      </c>
    </row>
    <row r="8270">
      <c r="G8270" s="9">
        <f t="shared" si="0"/>
      </c>
      <c r="L8270">
        <f t="shared" si="1"/>
      </c>
      <c r="M8270">
        <f t="shared" si="2"/>
      </c>
    </row>
    <row r="8271">
      <c r="G8271" s="9">
        <f t="shared" si="0"/>
      </c>
      <c r="L8271">
        <f t="shared" si="1"/>
      </c>
      <c r="M8271">
        <f t="shared" si="2"/>
      </c>
    </row>
    <row r="8272">
      <c r="G8272" s="9">
        <f t="shared" si="0"/>
      </c>
      <c r="L8272">
        <f t="shared" si="1"/>
      </c>
      <c r="M8272">
        <f t="shared" si="2"/>
      </c>
    </row>
    <row r="8273">
      <c r="G8273" s="9">
        <f t="shared" si="0"/>
      </c>
      <c r="L8273">
        <f t="shared" si="1"/>
      </c>
      <c r="M8273">
        <f t="shared" si="2"/>
      </c>
    </row>
    <row r="8274">
      <c r="G8274" s="9">
        <f t="shared" si="0"/>
      </c>
      <c r="L8274">
        <f t="shared" si="1"/>
      </c>
      <c r="M8274">
        <f t="shared" si="2"/>
      </c>
    </row>
    <row r="8275">
      <c r="G8275" s="9">
        <f t="shared" si="0"/>
      </c>
      <c r="L8275">
        <f t="shared" si="1"/>
      </c>
      <c r="M8275">
        <f t="shared" si="2"/>
      </c>
    </row>
    <row r="8276">
      <c r="G8276" s="9">
        <f t="shared" si="0"/>
      </c>
      <c r="L8276">
        <f t="shared" si="1"/>
      </c>
      <c r="M8276">
        <f t="shared" si="2"/>
      </c>
    </row>
    <row r="8277">
      <c r="G8277" s="9">
        <f t="shared" si="0"/>
      </c>
      <c r="L8277">
        <f t="shared" si="1"/>
      </c>
      <c r="M8277">
        <f t="shared" si="2"/>
      </c>
    </row>
    <row r="8278">
      <c r="G8278" s="9">
        <f t="shared" si="0"/>
      </c>
      <c r="L8278">
        <f t="shared" si="1"/>
      </c>
      <c r="M8278">
        <f t="shared" si="2"/>
      </c>
    </row>
    <row r="8279">
      <c r="G8279" s="9">
        <f t="shared" si="0"/>
      </c>
      <c r="L8279">
        <f t="shared" si="1"/>
      </c>
      <c r="M8279">
        <f t="shared" si="2"/>
      </c>
    </row>
    <row r="8280">
      <c r="G8280" s="9">
        <f t="shared" si="0"/>
      </c>
      <c r="L8280">
        <f t="shared" si="1"/>
      </c>
      <c r="M8280">
        <f t="shared" si="2"/>
      </c>
    </row>
    <row r="8281">
      <c r="G8281" s="9">
        <f t="shared" si="0"/>
      </c>
      <c r="L8281">
        <f t="shared" si="1"/>
      </c>
      <c r="M8281">
        <f t="shared" si="2"/>
      </c>
    </row>
    <row r="8282">
      <c r="G8282" s="9">
        <f t="shared" si="0"/>
      </c>
      <c r="L8282">
        <f t="shared" si="1"/>
      </c>
      <c r="M8282">
        <f t="shared" si="2"/>
      </c>
    </row>
    <row r="8283">
      <c r="G8283" s="9">
        <f t="shared" si="0"/>
      </c>
      <c r="L8283">
        <f t="shared" si="1"/>
      </c>
      <c r="M8283">
        <f t="shared" si="2"/>
      </c>
    </row>
    <row r="8284">
      <c r="G8284" s="9">
        <f t="shared" si="0"/>
      </c>
      <c r="L8284">
        <f t="shared" si="1"/>
      </c>
      <c r="M8284">
        <f t="shared" si="2"/>
      </c>
    </row>
    <row r="8285">
      <c r="G8285" s="9">
        <f t="shared" si="0"/>
      </c>
      <c r="L8285">
        <f t="shared" si="1"/>
      </c>
      <c r="M8285">
        <f t="shared" si="2"/>
      </c>
    </row>
    <row r="8286">
      <c r="G8286" s="9">
        <f t="shared" si="0"/>
      </c>
      <c r="L8286">
        <f t="shared" si="1"/>
      </c>
      <c r="M8286">
        <f t="shared" si="2"/>
      </c>
    </row>
    <row r="8287">
      <c r="G8287" s="9">
        <f t="shared" si="0"/>
      </c>
      <c r="L8287">
        <f t="shared" si="1"/>
      </c>
      <c r="M8287">
        <f t="shared" si="2"/>
      </c>
    </row>
    <row r="8288">
      <c r="G8288" s="9">
        <f t="shared" si="0"/>
      </c>
      <c r="L8288">
        <f t="shared" si="1"/>
      </c>
      <c r="M8288">
        <f t="shared" si="2"/>
      </c>
    </row>
    <row r="8289">
      <c r="G8289" s="9">
        <f t="shared" si="0"/>
      </c>
      <c r="L8289">
        <f t="shared" si="1"/>
      </c>
      <c r="M8289">
        <f t="shared" si="2"/>
      </c>
    </row>
    <row r="8290">
      <c r="G8290" s="9">
        <f t="shared" si="0"/>
      </c>
      <c r="L8290">
        <f t="shared" si="1"/>
      </c>
      <c r="M8290">
        <f t="shared" si="2"/>
      </c>
    </row>
    <row r="8291">
      <c r="G8291" s="9">
        <f t="shared" si="0"/>
      </c>
      <c r="L8291">
        <f t="shared" si="1"/>
      </c>
      <c r="M8291">
        <f t="shared" si="2"/>
      </c>
    </row>
    <row r="8292">
      <c r="G8292" s="9">
        <f t="shared" si="0"/>
      </c>
      <c r="L8292">
        <f t="shared" si="1"/>
      </c>
      <c r="M8292">
        <f t="shared" si="2"/>
      </c>
    </row>
    <row r="8293">
      <c r="G8293" s="9">
        <f t="shared" si="0"/>
      </c>
      <c r="L8293">
        <f t="shared" si="1"/>
      </c>
      <c r="M8293">
        <f t="shared" si="2"/>
      </c>
    </row>
    <row r="8294">
      <c r="G8294" s="9">
        <f t="shared" si="0"/>
      </c>
      <c r="L8294">
        <f t="shared" si="1"/>
      </c>
      <c r="M8294">
        <f t="shared" si="2"/>
      </c>
    </row>
    <row r="8295">
      <c r="G8295" s="9">
        <f t="shared" si="0"/>
      </c>
      <c r="L8295">
        <f t="shared" si="1"/>
      </c>
      <c r="M8295">
        <f t="shared" si="2"/>
      </c>
    </row>
    <row r="8296">
      <c r="G8296" s="9">
        <f t="shared" si="0"/>
      </c>
      <c r="L8296">
        <f t="shared" si="1"/>
      </c>
      <c r="M8296">
        <f t="shared" si="2"/>
      </c>
    </row>
    <row r="8297">
      <c r="G8297" s="9">
        <f t="shared" si="0"/>
      </c>
      <c r="L8297">
        <f t="shared" si="1"/>
      </c>
      <c r="M8297">
        <f t="shared" si="2"/>
      </c>
    </row>
    <row r="8298">
      <c r="G8298" s="9">
        <f t="shared" si="0"/>
      </c>
      <c r="L8298">
        <f t="shared" si="1"/>
      </c>
      <c r="M8298">
        <f t="shared" si="2"/>
      </c>
    </row>
    <row r="8299">
      <c r="G8299" s="9">
        <f t="shared" si="0"/>
      </c>
      <c r="L8299">
        <f t="shared" si="1"/>
      </c>
      <c r="M8299">
        <f t="shared" si="2"/>
      </c>
    </row>
    <row r="8300">
      <c r="G8300" s="9">
        <f t="shared" si="0"/>
      </c>
      <c r="L8300">
        <f t="shared" si="1"/>
      </c>
      <c r="M8300">
        <f t="shared" si="2"/>
      </c>
    </row>
    <row r="8301">
      <c r="G8301" s="9">
        <f t="shared" si="0"/>
      </c>
      <c r="L8301">
        <f t="shared" si="1"/>
      </c>
      <c r="M8301">
        <f t="shared" si="2"/>
      </c>
    </row>
    <row r="8302">
      <c r="G8302" s="9">
        <f t="shared" si="0"/>
      </c>
      <c r="L8302">
        <f t="shared" si="1"/>
      </c>
      <c r="M8302">
        <f t="shared" si="2"/>
      </c>
    </row>
    <row r="8303">
      <c r="G8303" s="9">
        <f t="shared" si="0"/>
      </c>
      <c r="L8303">
        <f t="shared" si="1"/>
      </c>
      <c r="M8303">
        <f t="shared" si="2"/>
      </c>
    </row>
    <row r="8304">
      <c r="G8304" s="9">
        <f t="shared" si="0"/>
      </c>
      <c r="L8304">
        <f t="shared" si="1"/>
      </c>
      <c r="M8304">
        <f t="shared" si="2"/>
      </c>
    </row>
    <row r="8305">
      <c r="G8305" s="9">
        <f t="shared" si="0"/>
      </c>
      <c r="L8305">
        <f t="shared" si="1"/>
      </c>
      <c r="M8305">
        <f t="shared" si="2"/>
      </c>
    </row>
    <row r="8306">
      <c r="G8306" s="9">
        <f t="shared" si="0"/>
      </c>
      <c r="L8306">
        <f t="shared" si="1"/>
      </c>
      <c r="M8306">
        <f t="shared" si="2"/>
      </c>
    </row>
    <row r="8307">
      <c r="G8307" s="9">
        <f t="shared" si="0"/>
      </c>
      <c r="L8307">
        <f t="shared" si="1"/>
      </c>
      <c r="M8307">
        <f t="shared" si="2"/>
      </c>
    </row>
    <row r="8308">
      <c r="G8308" s="9">
        <f t="shared" si="0"/>
      </c>
      <c r="L8308">
        <f t="shared" si="1"/>
      </c>
      <c r="M8308">
        <f t="shared" si="2"/>
      </c>
    </row>
    <row r="8309">
      <c r="G8309" s="9">
        <f t="shared" si="0"/>
      </c>
      <c r="L8309">
        <f t="shared" si="1"/>
      </c>
      <c r="M8309">
        <f t="shared" si="2"/>
      </c>
    </row>
    <row r="8310">
      <c r="G8310" s="9">
        <f t="shared" si="0"/>
      </c>
      <c r="L8310">
        <f t="shared" si="1"/>
      </c>
      <c r="M8310">
        <f t="shared" si="2"/>
      </c>
    </row>
    <row r="8311">
      <c r="G8311" s="9">
        <f t="shared" si="0"/>
      </c>
      <c r="L8311">
        <f t="shared" si="1"/>
      </c>
      <c r="M8311">
        <f t="shared" si="2"/>
      </c>
    </row>
    <row r="8312">
      <c r="G8312" s="9">
        <f t="shared" si="0"/>
      </c>
      <c r="L8312">
        <f t="shared" si="1"/>
      </c>
      <c r="M8312">
        <f t="shared" si="2"/>
      </c>
    </row>
    <row r="8313">
      <c r="G8313" s="9">
        <f t="shared" si="0"/>
      </c>
      <c r="L8313">
        <f t="shared" si="1"/>
      </c>
      <c r="M8313">
        <f t="shared" si="2"/>
      </c>
    </row>
    <row r="8314">
      <c r="G8314" s="9">
        <f t="shared" si="0"/>
      </c>
      <c r="L8314">
        <f t="shared" si="1"/>
      </c>
      <c r="M8314">
        <f t="shared" si="2"/>
      </c>
    </row>
    <row r="8315">
      <c r="G8315" s="9">
        <f t="shared" si="0"/>
      </c>
      <c r="L8315">
        <f t="shared" si="1"/>
      </c>
      <c r="M8315">
        <f t="shared" si="2"/>
      </c>
    </row>
    <row r="8316">
      <c r="G8316" s="9">
        <f t="shared" si="0"/>
      </c>
      <c r="L8316">
        <f t="shared" si="1"/>
      </c>
      <c r="M8316">
        <f t="shared" si="2"/>
      </c>
    </row>
    <row r="8317">
      <c r="G8317" s="9">
        <f t="shared" si="0"/>
      </c>
      <c r="L8317">
        <f t="shared" si="1"/>
      </c>
      <c r="M8317">
        <f t="shared" si="2"/>
      </c>
    </row>
    <row r="8318">
      <c r="G8318" s="9">
        <f t="shared" si="0"/>
      </c>
      <c r="L8318">
        <f t="shared" si="1"/>
      </c>
      <c r="M8318">
        <f t="shared" si="2"/>
      </c>
    </row>
    <row r="8319">
      <c r="G8319" s="9">
        <f t="shared" si="0"/>
      </c>
      <c r="L8319">
        <f t="shared" si="1"/>
      </c>
      <c r="M8319">
        <f t="shared" si="2"/>
      </c>
    </row>
    <row r="8320">
      <c r="G8320" s="9">
        <f t="shared" si="0"/>
      </c>
      <c r="L8320">
        <f t="shared" si="1"/>
      </c>
      <c r="M8320">
        <f t="shared" si="2"/>
      </c>
    </row>
    <row r="8321">
      <c r="G8321" s="9">
        <f t="shared" si="0"/>
      </c>
      <c r="L8321">
        <f t="shared" si="1"/>
      </c>
      <c r="M8321">
        <f t="shared" si="2"/>
      </c>
    </row>
    <row r="8322">
      <c r="G8322" s="9">
        <f t="shared" si="0"/>
      </c>
      <c r="L8322">
        <f t="shared" si="1"/>
      </c>
      <c r="M8322">
        <f t="shared" si="2"/>
      </c>
    </row>
    <row r="8323">
      <c r="G8323" s="9">
        <f t="shared" si="0"/>
      </c>
      <c r="L8323">
        <f t="shared" si="1"/>
      </c>
      <c r="M8323">
        <f t="shared" si="2"/>
      </c>
    </row>
    <row r="8324">
      <c r="G8324" s="9">
        <f t="shared" si="0"/>
      </c>
      <c r="L8324">
        <f t="shared" si="1"/>
      </c>
      <c r="M8324">
        <f t="shared" si="2"/>
      </c>
    </row>
    <row r="8325">
      <c r="G8325" s="9">
        <f t="shared" si="0"/>
      </c>
      <c r="L8325">
        <f t="shared" si="1"/>
      </c>
      <c r="M8325">
        <f t="shared" si="2"/>
      </c>
    </row>
    <row r="8326">
      <c r="G8326" s="9">
        <f t="shared" si="0"/>
      </c>
      <c r="L8326">
        <f t="shared" si="1"/>
      </c>
      <c r="M8326">
        <f t="shared" si="2"/>
      </c>
    </row>
    <row r="8327">
      <c r="G8327" s="9">
        <f t="shared" si="0"/>
      </c>
      <c r="L8327">
        <f t="shared" si="1"/>
      </c>
      <c r="M8327">
        <f t="shared" si="2"/>
      </c>
    </row>
    <row r="8328">
      <c r="G8328" s="9">
        <f t="shared" si="0"/>
      </c>
      <c r="L8328">
        <f t="shared" si="1"/>
      </c>
      <c r="M8328">
        <f t="shared" si="2"/>
      </c>
    </row>
    <row r="8329">
      <c r="G8329" s="9">
        <f t="shared" si="0"/>
      </c>
      <c r="L8329">
        <f t="shared" si="1"/>
      </c>
      <c r="M8329">
        <f t="shared" si="2"/>
      </c>
    </row>
    <row r="8330">
      <c r="G8330" s="9">
        <f t="shared" si="0"/>
      </c>
      <c r="L8330">
        <f t="shared" si="1"/>
      </c>
      <c r="M8330">
        <f t="shared" si="2"/>
      </c>
    </row>
    <row r="8331">
      <c r="G8331" s="9">
        <f t="shared" si="0"/>
      </c>
      <c r="L8331">
        <f t="shared" si="1"/>
      </c>
      <c r="M8331">
        <f t="shared" si="2"/>
      </c>
    </row>
    <row r="8332">
      <c r="G8332" s="9">
        <f t="shared" si="0"/>
      </c>
      <c r="L8332">
        <f t="shared" si="1"/>
      </c>
      <c r="M8332">
        <f t="shared" si="2"/>
      </c>
    </row>
    <row r="8333">
      <c r="G8333" s="9">
        <f t="shared" si="0"/>
      </c>
      <c r="L8333">
        <f t="shared" si="1"/>
      </c>
      <c r="M8333">
        <f t="shared" si="2"/>
      </c>
    </row>
    <row r="8334">
      <c r="G8334" s="9">
        <f t="shared" si="0"/>
      </c>
      <c r="L8334">
        <f t="shared" si="1"/>
      </c>
      <c r="M8334">
        <f t="shared" si="2"/>
      </c>
    </row>
    <row r="8335">
      <c r="G8335" s="9">
        <f t="shared" si="0"/>
      </c>
      <c r="L8335">
        <f t="shared" si="1"/>
      </c>
      <c r="M8335">
        <f t="shared" si="2"/>
      </c>
    </row>
    <row r="8336">
      <c r="G8336" s="9">
        <f t="shared" si="0"/>
      </c>
      <c r="L8336">
        <f t="shared" si="1"/>
      </c>
      <c r="M8336">
        <f t="shared" si="2"/>
      </c>
    </row>
    <row r="8337">
      <c r="G8337" s="9">
        <f t="shared" si="0"/>
      </c>
      <c r="L8337">
        <f t="shared" si="1"/>
      </c>
      <c r="M8337">
        <f t="shared" si="2"/>
      </c>
    </row>
    <row r="8338">
      <c r="G8338" s="9">
        <f t="shared" si="0"/>
      </c>
      <c r="L8338">
        <f t="shared" si="1"/>
      </c>
      <c r="M8338">
        <f t="shared" si="2"/>
      </c>
    </row>
    <row r="8339">
      <c r="G8339" s="9">
        <f t="shared" si="0"/>
      </c>
      <c r="L8339">
        <f t="shared" si="1"/>
      </c>
      <c r="M8339">
        <f t="shared" si="2"/>
      </c>
    </row>
    <row r="8340">
      <c r="G8340" s="9">
        <f t="shared" si="0"/>
      </c>
      <c r="L8340">
        <f t="shared" si="1"/>
      </c>
      <c r="M8340">
        <f t="shared" si="2"/>
      </c>
    </row>
    <row r="8341">
      <c r="G8341" s="9">
        <f t="shared" si="0"/>
      </c>
      <c r="L8341">
        <f t="shared" si="1"/>
      </c>
      <c r="M8341">
        <f t="shared" si="2"/>
      </c>
    </row>
    <row r="8342">
      <c r="G8342" s="9">
        <f t="shared" si="0"/>
      </c>
      <c r="L8342">
        <f t="shared" si="1"/>
      </c>
      <c r="M8342">
        <f t="shared" si="2"/>
      </c>
    </row>
    <row r="8343">
      <c r="G8343" s="9">
        <f t="shared" si="0"/>
      </c>
      <c r="L8343">
        <f t="shared" si="1"/>
      </c>
      <c r="M8343">
        <f t="shared" si="2"/>
      </c>
    </row>
    <row r="8344">
      <c r="G8344" s="9">
        <f t="shared" si="0"/>
      </c>
      <c r="L8344">
        <f t="shared" si="1"/>
      </c>
      <c r="M8344">
        <f t="shared" si="2"/>
      </c>
    </row>
    <row r="8345">
      <c r="G8345" s="9">
        <f t="shared" si="0"/>
      </c>
      <c r="L8345">
        <f t="shared" si="1"/>
      </c>
      <c r="M8345">
        <f t="shared" si="2"/>
      </c>
    </row>
    <row r="8346">
      <c r="G8346" s="9">
        <f t="shared" si="0"/>
      </c>
      <c r="L8346">
        <f t="shared" si="1"/>
      </c>
      <c r="M8346">
        <f t="shared" si="2"/>
      </c>
    </row>
    <row r="8347">
      <c r="G8347" s="9">
        <f t="shared" si="0"/>
      </c>
      <c r="L8347">
        <f t="shared" si="1"/>
      </c>
      <c r="M8347">
        <f t="shared" si="2"/>
      </c>
    </row>
    <row r="8348">
      <c r="G8348" s="9">
        <f t="shared" si="0"/>
      </c>
      <c r="L8348">
        <f t="shared" si="1"/>
      </c>
      <c r="M8348">
        <f t="shared" si="2"/>
      </c>
    </row>
    <row r="8349">
      <c r="G8349" s="9">
        <f t="shared" si="0"/>
      </c>
      <c r="L8349">
        <f t="shared" si="1"/>
      </c>
      <c r="M8349">
        <f t="shared" si="2"/>
      </c>
    </row>
    <row r="8350">
      <c r="G8350" s="9">
        <f t="shared" si="0"/>
      </c>
      <c r="L8350">
        <f t="shared" si="1"/>
      </c>
      <c r="M8350">
        <f t="shared" si="2"/>
      </c>
    </row>
    <row r="8351">
      <c r="G8351" s="9">
        <f t="shared" si="0"/>
      </c>
      <c r="L8351">
        <f t="shared" si="1"/>
      </c>
      <c r="M8351">
        <f t="shared" si="2"/>
      </c>
    </row>
    <row r="8352">
      <c r="G8352" s="9">
        <f t="shared" si="0"/>
      </c>
      <c r="L8352">
        <f t="shared" si="1"/>
      </c>
      <c r="M8352">
        <f t="shared" si="2"/>
      </c>
    </row>
    <row r="8353">
      <c r="G8353" s="9">
        <f t="shared" si="0"/>
      </c>
      <c r="L8353">
        <f t="shared" si="1"/>
      </c>
      <c r="M8353">
        <f t="shared" si="2"/>
      </c>
    </row>
    <row r="8354">
      <c r="G8354" s="9">
        <f t="shared" si="0"/>
      </c>
      <c r="L8354">
        <f t="shared" si="1"/>
      </c>
      <c r="M8354">
        <f t="shared" si="2"/>
      </c>
    </row>
    <row r="8355">
      <c r="G8355" s="9">
        <f t="shared" si="0"/>
      </c>
      <c r="L8355">
        <f t="shared" si="1"/>
      </c>
      <c r="M8355">
        <f t="shared" si="2"/>
      </c>
    </row>
    <row r="8356">
      <c r="G8356" s="9">
        <f t="shared" si="0"/>
      </c>
      <c r="L8356">
        <f t="shared" si="1"/>
      </c>
      <c r="M8356">
        <f t="shared" si="2"/>
      </c>
    </row>
    <row r="8357">
      <c r="G8357" s="9">
        <f t="shared" si="0"/>
      </c>
      <c r="L8357">
        <f t="shared" si="1"/>
      </c>
      <c r="M8357">
        <f t="shared" si="2"/>
      </c>
    </row>
    <row r="8358">
      <c r="G8358" s="9">
        <f t="shared" si="0"/>
      </c>
      <c r="L8358">
        <f t="shared" si="1"/>
      </c>
      <c r="M8358">
        <f t="shared" si="2"/>
      </c>
    </row>
    <row r="8359">
      <c r="G8359" s="9">
        <f t="shared" si="0"/>
      </c>
      <c r="L8359">
        <f t="shared" si="1"/>
      </c>
      <c r="M8359">
        <f t="shared" si="2"/>
      </c>
    </row>
    <row r="8360">
      <c r="G8360" s="9">
        <f t="shared" si="0"/>
      </c>
      <c r="L8360">
        <f t="shared" si="1"/>
      </c>
      <c r="M8360">
        <f t="shared" si="2"/>
      </c>
    </row>
    <row r="8361">
      <c r="G8361" s="9">
        <f t="shared" si="0"/>
      </c>
      <c r="L8361">
        <f t="shared" si="1"/>
      </c>
      <c r="M8361">
        <f t="shared" si="2"/>
      </c>
    </row>
    <row r="8362">
      <c r="G8362" s="9">
        <f t="shared" si="0"/>
      </c>
      <c r="L8362">
        <f t="shared" si="1"/>
      </c>
      <c r="M8362">
        <f t="shared" si="2"/>
      </c>
    </row>
    <row r="8363">
      <c r="G8363" s="9">
        <f t="shared" si="0"/>
      </c>
      <c r="L8363">
        <f t="shared" si="1"/>
      </c>
      <c r="M8363">
        <f t="shared" si="2"/>
      </c>
    </row>
    <row r="8364">
      <c r="G8364" s="9">
        <f t="shared" si="0"/>
      </c>
      <c r="L8364">
        <f t="shared" si="1"/>
      </c>
      <c r="M8364">
        <f t="shared" si="2"/>
      </c>
    </row>
    <row r="8365">
      <c r="G8365" s="9">
        <f t="shared" si="0"/>
      </c>
      <c r="L8365">
        <f t="shared" si="1"/>
      </c>
      <c r="M8365">
        <f t="shared" si="2"/>
      </c>
    </row>
    <row r="8366">
      <c r="G8366" s="9">
        <f t="shared" si="0"/>
      </c>
      <c r="L8366">
        <f t="shared" si="1"/>
      </c>
      <c r="M8366">
        <f t="shared" si="2"/>
      </c>
    </row>
    <row r="8367">
      <c r="G8367" s="9">
        <f t="shared" si="0"/>
      </c>
      <c r="L8367">
        <f t="shared" si="1"/>
      </c>
      <c r="M8367">
        <f t="shared" si="2"/>
      </c>
    </row>
    <row r="8368">
      <c r="G8368" s="9">
        <f t="shared" si="0"/>
      </c>
      <c r="L8368">
        <f t="shared" si="1"/>
      </c>
      <c r="M8368">
        <f t="shared" si="2"/>
      </c>
    </row>
    <row r="8369">
      <c r="G8369" s="9">
        <f t="shared" si="0"/>
      </c>
      <c r="L8369">
        <f t="shared" si="1"/>
      </c>
      <c r="M8369">
        <f t="shared" si="2"/>
      </c>
    </row>
    <row r="8370">
      <c r="G8370" s="9">
        <f t="shared" si="0"/>
      </c>
      <c r="L8370">
        <f t="shared" si="1"/>
      </c>
      <c r="M8370">
        <f t="shared" si="2"/>
      </c>
    </row>
    <row r="8371">
      <c r="G8371" s="9">
        <f t="shared" si="0"/>
      </c>
      <c r="L8371">
        <f t="shared" si="1"/>
      </c>
      <c r="M8371">
        <f t="shared" si="2"/>
      </c>
    </row>
    <row r="8372">
      <c r="G8372" s="9">
        <f t="shared" si="0"/>
      </c>
      <c r="L8372">
        <f t="shared" si="1"/>
      </c>
      <c r="M8372">
        <f t="shared" si="2"/>
      </c>
    </row>
    <row r="8373">
      <c r="G8373" s="9">
        <f t="shared" si="0"/>
      </c>
      <c r="L8373">
        <f t="shared" si="1"/>
      </c>
      <c r="M8373">
        <f t="shared" si="2"/>
      </c>
    </row>
    <row r="8374">
      <c r="G8374" s="9">
        <f t="shared" si="0"/>
      </c>
      <c r="L8374">
        <f t="shared" si="1"/>
      </c>
      <c r="M8374">
        <f t="shared" si="2"/>
      </c>
    </row>
    <row r="8375">
      <c r="G8375" s="9">
        <f t="shared" si="0"/>
      </c>
      <c r="L8375">
        <f t="shared" si="1"/>
      </c>
      <c r="M8375">
        <f t="shared" si="2"/>
      </c>
    </row>
    <row r="8376">
      <c r="G8376" s="9">
        <f t="shared" si="0"/>
      </c>
      <c r="L8376">
        <f t="shared" si="1"/>
      </c>
      <c r="M8376">
        <f t="shared" si="2"/>
      </c>
    </row>
    <row r="8377">
      <c r="G8377" s="9">
        <f t="shared" si="0"/>
      </c>
      <c r="L8377">
        <f t="shared" si="1"/>
      </c>
      <c r="M8377">
        <f t="shared" si="2"/>
      </c>
    </row>
    <row r="8378">
      <c r="G8378" s="9">
        <f t="shared" si="0"/>
      </c>
      <c r="L8378">
        <f t="shared" si="1"/>
      </c>
      <c r="M8378">
        <f t="shared" si="2"/>
      </c>
    </row>
    <row r="8379">
      <c r="G8379" s="9">
        <f t="shared" si="0"/>
      </c>
      <c r="L8379">
        <f t="shared" si="1"/>
      </c>
      <c r="M8379">
        <f t="shared" si="2"/>
      </c>
    </row>
    <row r="8380">
      <c r="G8380" s="9">
        <f t="shared" si="0"/>
      </c>
      <c r="L8380">
        <f t="shared" si="1"/>
      </c>
      <c r="M8380">
        <f t="shared" si="2"/>
      </c>
    </row>
    <row r="8381">
      <c r="G8381" s="9">
        <f t="shared" si="0"/>
      </c>
      <c r="L8381">
        <f t="shared" si="1"/>
      </c>
      <c r="M8381">
        <f t="shared" si="2"/>
      </c>
    </row>
    <row r="8382">
      <c r="G8382" s="9">
        <f t="shared" si="0"/>
      </c>
      <c r="L8382">
        <f t="shared" si="1"/>
      </c>
      <c r="M8382">
        <f t="shared" si="2"/>
      </c>
    </row>
    <row r="8383">
      <c r="G8383" s="9">
        <f t="shared" si="0"/>
      </c>
      <c r="L8383">
        <f t="shared" si="1"/>
      </c>
      <c r="M8383">
        <f t="shared" si="2"/>
      </c>
    </row>
    <row r="8384">
      <c r="G8384" s="9">
        <f t="shared" si="0"/>
      </c>
      <c r="L8384">
        <f t="shared" si="1"/>
      </c>
      <c r="M8384">
        <f t="shared" si="2"/>
      </c>
    </row>
    <row r="8385">
      <c r="G8385" s="9">
        <f t="shared" si="0"/>
      </c>
      <c r="L8385">
        <f t="shared" si="1"/>
      </c>
      <c r="M8385">
        <f t="shared" si="2"/>
      </c>
    </row>
    <row r="8386">
      <c r="G8386" s="9">
        <f t="shared" si="0"/>
      </c>
      <c r="L8386">
        <f t="shared" si="1"/>
      </c>
      <c r="M8386">
        <f t="shared" si="2"/>
      </c>
    </row>
    <row r="8387">
      <c r="G8387" s="9">
        <f t="shared" si="0"/>
      </c>
      <c r="L8387">
        <f t="shared" si="1"/>
      </c>
      <c r="M8387">
        <f t="shared" si="2"/>
      </c>
    </row>
    <row r="8388">
      <c r="G8388" s="9">
        <f t="shared" si="0"/>
      </c>
      <c r="L8388">
        <f t="shared" si="1"/>
      </c>
      <c r="M8388">
        <f t="shared" si="2"/>
      </c>
    </row>
    <row r="8389">
      <c r="G8389" s="9">
        <f t="shared" si="0"/>
      </c>
      <c r="L8389">
        <f t="shared" si="1"/>
      </c>
      <c r="M8389">
        <f t="shared" si="2"/>
      </c>
    </row>
    <row r="8390">
      <c r="G8390" s="9">
        <f t="shared" si="0"/>
      </c>
      <c r="L8390">
        <f t="shared" si="1"/>
      </c>
      <c r="M8390">
        <f t="shared" si="2"/>
      </c>
    </row>
    <row r="8391">
      <c r="G8391" s="9">
        <f t="shared" si="0"/>
      </c>
      <c r="L8391">
        <f t="shared" si="1"/>
      </c>
      <c r="M8391">
        <f t="shared" si="2"/>
      </c>
    </row>
    <row r="8392">
      <c r="G8392" s="9">
        <f t="shared" si="0"/>
      </c>
      <c r="L8392">
        <f t="shared" si="1"/>
      </c>
      <c r="M8392">
        <f t="shared" si="2"/>
      </c>
    </row>
    <row r="8393">
      <c r="G8393" s="9">
        <f t="shared" si="0"/>
      </c>
      <c r="L8393">
        <f t="shared" si="1"/>
      </c>
      <c r="M8393">
        <f t="shared" si="2"/>
      </c>
    </row>
    <row r="8394">
      <c r="G8394" s="9">
        <f t="shared" si="0"/>
      </c>
      <c r="L8394">
        <f t="shared" si="1"/>
      </c>
      <c r="M8394">
        <f t="shared" si="2"/>
      </c>
    </row>
    <row r="8395">
      <c r="G8395" s="9">
        <f t="shared" si="0"/>
      </c>
      <c r="L8395">
        <f t="shared" si="1"/>
      </c>
      <c r="M8395">
        <f t="shared" si="2"/>
      </c>
    </row>
    <row r="8396">
      <c r="G8396" s="9">
        <f t="shared" si="0"/>
      </c>
      <c r="L8396">
        <f t="shared" si="1"/>
      </c>
      <c r="M8396">
        <f t="shared" si="2"/>
      </c>
    </row>
    <row r="8397">
      <c r="G8397" s="9">
        <f t="shared" si="0"/>
      </c>
      <c r="L8397">
        <f t="shared" si="1"/>
      </c>
      <c r="M8397">
        <f t="shared" si="2"/>
      </c>
    </row>
    <row r="8398">
      <c r="G8398" s="9">
        <f t="shared" si="0"/>
      </c>
      <c r="L8398">
        <f t="shared" si="1"/>
      </c>
      <c r="M8398">
        <f t="shared" si="2"/>
      </c>
    </row>
    <row r="8399">
      <c r="G8399" s="9">
        <f t="shared" si="0"/>
      </c>
      <c r="L8399">
        <f t="shared" si="1"/>
      </c>
      <c r="M8399">
        <f t="shared" si="2"/>
      </c>
    </row>
    <row r="8400">
      <c r="G8400" s="9">
        <f t="shared" si="0"/>
      </c>
      <c r="L8400">
        <f t="shared" si="1"/>
      </c>
      <c r="M8400">
        <f t="shared" si="2"/>
      </c>
    </row>
    <row r="8401">
      <c r="G8401" s="9">
        <f t="shared" si="0"/>
      </c>
      <c r="L8401">
        <f t="shared" si="1"/>
      </c>
      <c r="M8401">
        <f t="shared" si="2"/>
      </c>
    </row>
    <row r="8402">
      <c r="G8402" s="9">
        <f t="shared" si="0"/>
      </c>
      <c r="L8402">
        <f t="shared" si="1"/>
      </c>
      <c r="M8402">
        <f t="shared" si="2"/>
      </c>
    </row>
    <row r="8403">
      <c r="G8403" s="9">
        <f t="shared" si="0"/>
      </c>
      <c r="L8403">
        <f t="shared" si="1"/>
      </c>
      <c r="M8403">
        <f t="shared" si="2"/>
      </c>
    </row>
    <row r="8404">
      <c r="G8404" s="9">
        <f t="shared" si="0"/>
      </c>
      <c r="L8404">
        <f t="shared" si="1"/>
      </c>
      <c r="M8404">
        <f t="shared" si="2"/>
      </c>
    </row>
    <row r="8405">
      <c r="G8405" s="9">
        <f t="shared" si="0"/>
      </c>
      <c r="L8405">
        <f t="shared" si="1"/>
      </c>
      <c r="M8405">
        <f t="shared" si="2"/>
      </c>
    </row>
    <row r="8406">
      <c r="G8406" s="9">
        <f t="shared" si="0"/>
      </c>
      <c r="L8406">
        <f t="shared" si="1"/>
      </c>
      <c r="M8406">
        <f t="shared" si="2"/>
      </c>
    </row>
    <row r="8407">
      <c r="G8407" s="9">
        <f t="shared" si="0"/>
      </c>
      <c r="L8407">
        <f t="shared" si="1"/>
      </c>
      <c r="M8407">
        <f t="shared" si="2"/>
      </c>
    </row>
    <row r="8408">
      <c r="G8408" s="9">
        <f t="shared" si="0"/>
      </c>
      <c r="L8408">
        <f t="shared" si="1"/>
      </c>
      <c r="M8408">
        <f t="shared" si="2"/>
      </c>
    </row>
    <row r="8409">
      <c r="G8409" s="9">
        <f t="shared" si="0"/>
      </c>
      <c r="L8409">
        <f t="shared" si="1"/>
      </c>
      <c r="M8409">
        <f t="shared" si="2"/>
      </c>
    </row>
    <row r="8410">
      <c r="G8410" s="9">
        <f t="shared" si="0"/>
      </c>
      <c r="L8410">
        <f t="shared" si="1"/>
      </c>
      <c r="M8410">
        <f t="shared" si="2"/>
      </c>
    </row>
    <row r="8411">
      <c r="G8411" s="9">
        <f t="shared" si="0"/>
      </c>
      <c r="L8411">
        <f t="shared" si="1"/>
      </c>
      <c r="M8411">
        <f t="shared" si="2"/>
      </c>
    </row>
    <row r="8412">
      <c r="G8412" s="9">
        <f t="shared" si="0"/>
      </c>
      <c r="L8412">
        <f t="shared" si="1"/>
      </c>
      <c r="M8412">
        <f t="shared" si="2"/>
      </c>
    </row>
    <row r="8413">
      <c r="G8413" s="9">
        <f t="shared" si="0"/>
      </c>
      <c r="L8413">
        <f t="shared" si="1"/>
      </c>
      <c r="M8413">
        <f t="shared" si="2"/>
      </c>
    </row>
    <row r="8414">
      <c r="G8414" s="9">
        <f t="shared" si="0"/>
      </c>
      <c r="L8414">
        <f t="shared" si="1"/>
      </c>
      <c r="M8414">
        <f t="shared" si="2"/>
      </c>
    </row>
    <row r="8415">
      <c r="G8415" s="9">
        <f t="shared" si="0"/>
      </c>
      <c r="L8415">
        <f t="shared" si="1"/>
      </c>
      <c r="M8415">
        <f t="shared" si="2"/>
      </c>
    </row>
    <row r="8416">
      <c r="G8416" s="9">
        <f t="shared" si="0"/>
      </c>
      <c r="L8416">
        <f t="shared" si="1"/>
      </c>
      <c r="M8416">
        <f t="shared" si="2"/>
      </c>
    </row>
    <row r="8417">
      <c r="G8417" s="9">
        <f t="shared" si="0"/>
      </c>
      <c r="L8417">
        <f t="shared" si="1"/>
      </c>
      <c r="M8417">
        <f t="shared" si="2"/>
      </c>
    </row>
    <row r="8418">
      <c r="G8418" s="9">
        <f t="shared" si="0"/>
      </c>
      <c r="L8418">
        <f t="shared" si="1"/>
      </c>
      <c r="M8418">
        <f t="shared" si="2"/>
      </c>
    </row>
    <row r="8419">
      <c r="G8419" s="9">
        <f t="shared" si="0"/>
      </c>
      <c r="L8419">
        <f t="shared" si="1"/>
      </c>
      <c r="M8419">
        <f t="shared" si="2"/>
      </c>
    </row>
    <row r="8420">
      <c r="G8420" s="9">
        <f t="shared" si="0"/>
      </c>
      <c r="L8420">
        <f t="shared" si="1"/>
      </c>
      <c r="M8420">
        <f t="shared" si="2"/>
      </c>
    </row>
    <row r="8421">
      <c r="G8421" s="9">
        <f t="shared" si="0"/>
      </c>
      <c r="L8421">
        <f t="shared" si="1"/>
      </c>
      <c r="M8421">
        <f t="shared" si="2"/>
      </c>
    </row>
    <row r="8422">
      <c r="G8422" s="9">
        <f t="shared" si="0"/>
      </c>
      <c r="L8422">
        <f t="shared" si="1"/>
      </c>
      <c r="M8422">
        <f t="shared" si="2"/>
      </c>
    </row>
    <row r="8423">
      <c r="G8423" s="9">
        <f t="shared" si="0"/>
      </c>
      <c r="L8423">
        <f t="shared" si="1"/>
      </c>
      <c r="M8423">
        <f t="shared" si="2"/>
      </c>
    </row>
    <row r="8424">
      <c r="G8424" s="9">
        <f t="shared" si="0"/>
      </c>
      <c r="L8424">
        <f t="shared" si="1"/>
      </c>
      <c r="M8424">
        <f t="shared" si="2"/>
      </c>
    </row>
    <row r="8425">
      <c r="G8425" s="9">
        <f t="shared" si="0"/>
      </c>
      <c r="L8425">
        <f t="shared" si="1"/>
      </c>
      <c r="M8425">
        <f t="shared" si="2"/>
      </c>
    </row>
    <row r="8426">
      <c r="G8426" s="9">
        <f t="shared" si="0"/>
      </c>
      <c r="L8426">
        <f t="shared" si="1"/>
      </c>
      <c r="M8426">
        <f t="shared" si="2"/>
      </c>
    </row>
    <row r="8427">
      <c r="G8427" s="9">
        <f t="shared" si="0"/>
      </c>
      <c r="L8427">
        <f t="shared" si="1"/>
      </c>
      <c r="M8427">
        <f t="shared" si="2"/>
      </c>
    </row>
    <row r="8428">
      <c r="G8428" s="9">
        <f t="shared" si="0"/>
      </c>
      <c r="L8428">
        <f t="shared" si="1"/>
      </c>
      <c r="M8428">
        <f t="shared" si="2"/>
      </c>
    </row>
    <row r="8429">
      <c r="G8429" s="9">
        <f t="shared" si="0"/>
      </c>
      <c r="L8429">
        <f t="shared" si="1"/>
      </c>
      <c r="M8429">
        <f t="shared" si="2"/>
      </c>
    </row>
    <row r="8430">
      <c r="G8430" s="9">
        <f t="shared" si="0"/>
      </c>
      <c r="L8430">
        <f t="shared" si="1"/>
      </c>
      <c r="M8430">
        <f t="shared" si="2"/>
      </c>
    </row>
    <row r="8431">
      <c r="G8431" s="9">
        <f t="shared" si="0"/>
      </c>
      <c r="L8431">
        <f t="shared" si="1"/>
      </c>
      <c r="M8431">
        <f t="shared" si="2"/>
      </c>
    </row>
    <row r="8432">
      <c r="G8432" s="9">
        <f t="shared" si="0"/>
      </c>
      <c r="L8432">
        <f t="shared" si="1"/>
      </c>
      <c r="M8432">
        <f t="shared" si="2"/>
      </c>
    </row>
    <row r="8433">
      <c r="G8433" s="9">
        <f t="shared" si="0"/>
      </c>
      <c r="L8433">
        <f t="shared" si="1"/>
      </c>
      <c r="M8433">
        <f t="shared" si="2"/>
      </c>
    </row>
    <row r="8434">
      <c r="G8434" s="9">
        <f t="shared" si="0"/>
      </c>
      <c r="L8434">
        <f t="shared" si="1"/>
      </c>
      <c r="M8434">
        <f t="shared" si="2"/>
      </c>
    </row>
    <row r="8435">
      <c r="G8435" s="9">
        <f t="shared" si="0"/>
      </c>
      <c r="L8435">
        <f t="shared" si="1"/>
      </c>
      <c r="M8435">
        <f t="shared" si="2"/>
      </c>
    </row>
    <row r="8436">
      <c r="G8436" s="9">
        <f t="shared" si="0"/>
      </c>
      <c r="L8436">
        <f t="shared" si="1"/>
      </c>
      <c r="M8436">
        <f t="shared" si="2"/>
      </c>
    </row>
    <row r="8437">
      <c r="G8437" s="9">
        <f t="shared" si="0"/>
      </c>
      <c r="L8437">
        <f t="shared" si="1"/>
      </c>
      <c r="M8437">
        <f t="shared" si="2"/>
      </c>
    </row>
    <row r="8438">
      <c r="G8438" s="9">
        <f t="shared" si="0"/>
      </c>
      <c r="L8438">
        <f t="shared" si="1"/>
      </c>
      <c r="M8438">
        <f t="shared" si="2"/>
      </c>
    </row>
    <row r="8439">
      <c r="G8439" s="9">
        <f t="shared" si="0"/>
      </c>
      <c r="L8439">
        <f t="shared" si="1"/>
      </c>
      <c r="M8439">
        <f t="shared" si="2"/>
      </c>
    </row>
    <row r="8440">
      <c r="G8440" s="9">
        <f t="shared" si="0"/>
      </c>
      <c r="L8440">
        <f t="shared" si="1"/>
      </c>
      <c r="M8440">
        <f t="shared" si="2"/>
      </c>
    </row>
    <row r="8441">
      <c r="G8441" s="9">
        <f t="shared" si="0"/>
      </c>
      <c r="L8441">
        <f t="shared" si="1"/>
      </c>
      <c r="M8441">
        <f t="shared" si="2"/>
      </c>
    </row>
    <row r="8442">
      <c r="G8442" s="9">
        <f t="shared" si="0"/>
      </c>
      <c r="L8442">
        <f t="shared" si="1"/>
      </c>
      <c r="M8442">
        <f t="shared" si="2"/>
      </c>
    </row>
    <row r="8443">
      <c r="G8443" s="9">
        <f t="shared" si="0"/>
      </c>
      <c r="L8443">
        <f t="shared" si="1"/>
      </c>
      <c r="M8443">
        <f t="shared" si="2"/>
      </c>
    </row>
    <row r="8444">
      <c r="G8444" s="9">
        <f t="shared" si="0"/>
      </c>
      <c r="L8444">
        <f t="shared" si="1"/>
      </c>
      <c r="M8444">
        <f t="shared" si="2"/>
      </c>
    </row>
    <row r="8445">
      <c r="G8445" s="9">
        <f t="shared" si="0"/>
      </c>
      <c r="L8445">
        <f t="shared" si="1"/>
      </c>
      <c r="M8445">
        <f t="shared" si="2"/>
      </c>
    </row>
    <row r="8446">
      <c r="G8446" s="9">
        <f t="shared" si="0"/>
      </c>
      <c r="L8446">
        <f t="shared" si="1"/>
      </c>
      <c r="M8446">
        <f t="shared" si="2"/>
      </c>
    </row>
    <row r="8447">
      <c r="G8447" s="9">
        <f t="shared" si="0"/>
      </c>
      <c r="L8447">
        <f t="shared" si="1"/>
      </c>
      <c r="M8447">
        <f t="shared" si="2"/>
      </c>
    </row>
    <row r="8448">
      <c r="G8448" s="9">
        <f t="shared" si="0"/>
      </c>
      <c r="L8448">
        <f t="shared" si="1"/>
      </c>
      <c r="M8448">
        <f t="shared" si="2"/>
      </c>
    </row>
    <row r="8449">
      <c r="G8449" s="9">
        <f t="shared" si="0"/>
      </c>
      <c r="L8449">
        <f t="shared" si="1"/>
      </c>
      <c r="M8449">
        <f t="shared" si="2"/>
      </c>
    </row>
    <row r="8450">
      <c r="G8450" s="9">
        <f t="shared" si="0"/>
      </c>
      <c r="L8450">
        <f t="shared" si="1"/>
      </c>
      <c r="M8450">
        <f t="shared" si="2"/>
      </c>
    </row>
    <row r="8451">
      <c r="G8451" s="9">
        <f t="shared" si="0"/>
      </c>
      <c r="L8451">
        <f t="shared" si="1"/>
      </c>
      <c r="M8451">
        <f t="shared" si="2"/>
      </c>
    </row>
    <row r="8452">
      <c r="G8452" s="9">
        <f t="shared" si="0"/>
      </c>
      <c r="L8452">
        <f t="shared" si="1"/>
      </c>
      <c r="M8452">
        <f t="shared" si="2"/>
      </c>
    </row>
    <row r="8453">
      <c r="G8453" s="9">
        <f t="shared" si="0"/>
      </c>
      <c r="L8453">
        <f t="shared" si="1"/>
      </c>
      <c r="M8453">
        <f t="shared" si="2"/>
      </c>
    </row>
    <row r="8454">
      <c r="G8454" s="9">
        <f t="shared" si="0"/>
      </c>
      <c r="L8454">
        <f t="shared" si="1"/>
      </c>
      <c r="M8454">
        <f t="shared" si="2"/>
      </c>
    </row>
    <row r="8455">
      <c r="G8455" s="9">
        <f t="shared" si="0"/>
      </c>
      <c r="L8455">
        <f t="shared" si="1"/>
      </c>
      <c r="M8455">
        <f t="shared" si="2"/>
      </c>
    </row>
    <row r="8456">
      <c r="G8456" s="9">
        <f t="shared" si="0"/>
      </c>
      <c r="L8456">
        <f t="shared" si="1"/>
      </c>
      <c r="M8456">
        <f t="shared" si="2"/>
      </c>
    </row>
    <row r="8457">
      <c r="G8457" s="9">
        <f t="shared" si="0"/>
      </c>
      <c r="L8457">
        <f t="shared" si="1"/>
      </c>
      <c r="M8457">
        <f t="shared" si="2"/>
      </c>
    </row>
    <row r="8458">
      <c r="G8458" s="9">
        <f t="shared" si="0"/>
      </c>
      <c r="L8458">
        <f t="shared" si="1"/>
      </c>
      <c r="M8458">
        <f t="shared" si="2"/>
      </c>
    </row>
    <row r="8459">
      <c r="G8459" s="9">
        <f t="shared" si="0"/>
      </c>
      <c r="L8459">
        <f t="shared" si="1"/>
      </c>
      <c r="M8459">
        <f t="shared" si="2"/>
      </c>
    </row>
    <row r="8460">
      <c r="G8460" s="9">
        <f t="shared" si="0"/>
      </c>
      <c r="L8460">
        <f t="shared" si="1"/>
      </c>
      <c r="M8460">
        <f t="shared" si="2"/>
      </c>
    </row>
    <row r="8461">
      <c r="G8461" s="9">
        <f t="shared" si="0"/>
      </c>
      <c r="L8461">
        <f t="shared" si="1"/>
      </c>
      <c r="M8461">
        <f t="shared" si="2"/>
      </c>
    </row>
    <row r="8462">
      <c r="G8462" s="9">
        <f t="shared" si="0"/>
      </c>
      <c r="L8462">
        <f t="shared" si="1"/>
      </c>
      <c r="M8462">
        <f t="shared" si="2"/>
      </c>
    </row>
    <row r="8463">
      <c r="G8463" s="9">
        <f t="shared" si="0"/>
      </c>
      <c r="L8463">
        <f t="shared" si="1"/>
      </c>
      <c r="M8463">
        <f t="shared" si="2"/>
      </c>
    </row>
    <row r="8464">
      <c r="G8464" s="9">
        <f t="shared" si="0"/>
      </c>
      <c r="L8464">
        <f t="shared" si="1"/>
      </c>
      <c r="M8464">
        <f t="shared" si="2"/>
      </c>
    </row>
    <row r="8465">
      <c r="G8465" s="9">
        <f t="shared" si="0"/>
      </c>
      <c r="L8465">
        <f t="shared" si="1"/>
      </c>
      <c r="M8465">
        <f t="shared" si="2"/>
      </c>
    </row>
    <row r="8466">
      <c r="G8466" s="9">
        <f t="shared" si="0"/>
      </c>
      <c r="L8466">
        <f t="shared" si="1"/>
      </c>
      <c r="M8466">
        <f t="shared" si="2"/>
      </c>
    </row>
    <row r="8467">
      <c r="G8467" s="9">
        <f t="shared" si="0"/>
      </c>
      <c r="L8467">
        <f t="shared" si="1"/>
      </c>
      <c r="M8467">
        <f t="shared" si="2"/>
      </c>
    </row>
    <row r="8468">
      <c r="G8468" s="9">
        <f t="shared" si="0"/>
      </c>
      <c r="L8468">
        <f t="shared" si="1"/>
      </c>
      <c r="M8468">
        <f t="shared" si="2"/>
      </c>
    </row>
    <row r="8469">
      <c r="G8469" s="9">
        <f t="shared" si="0"/>
      </c>
      <c r="L8469">
        <f t="shared" si="1"/>
      </c>
      <c r="M8469">
        <f t="shared" si="2"/>
      </c>
    </row>
    <row r="8470">
      <c r="G8470" s="9">
        <f t="shared" si="0"/>
      </c>
      <c r="L8470">
        <f t="shared" si="1"/>
      </c>
      <c r="M8470">
        <f t="shared" si="2"/>
      </c>
    </row>
    <row r="8471">
      <c r="G8471" s="9">
        <f t="shared" si="0"/>
      </c>
      <c r="L8471">
        <f t="shared" si="1"/>
      </c>
      <c r="M8471">
        <f t="shared" si="2"/>
      </c>
    </row>
    <row r="8472">
      <c r="G8472" s="9">
        <f t="shared" si="0"/>
      </c>
      <c r="L8472">
        <f t="shared" si="1"/>
      </c>
      <c r="M8472">
        <f t="shared" si="2"/>
      </c>
    </row>
    <row r="8473">
      <c r="G8473" s="9">
        <f t="shared" si="0"/>
      </c>
      <c r="L8473">
        <f t="shared" si="1"/>
      </c>
      <c r="M8473">
        <f t="shared" si="2"/>
      </c>
    </row>
    <row r="8474">
      <c r="G8474" s="9">
        <f t="shared" si="0"/>
      </c>
      <c r="L8474">
        <f t="shared" si="1"/>
      </c>
      <c r="M8474">
        <f t="shared" si="2"/>
      </c>
    </row>
    <row r="8475">
      <c r="G8475" s="9">
        <f t="shared" si="0"/>
      </c>
      <c r="L8475">
        <f t="shared" si="1"/>
      </c>
      <c r="M8475">
        <f t="shared" si="2"/>
      </c>
    </row>
    <row r="8476">
      <c r="G8476" s="9">
        <f t="shared" si="0"/>
      </c>
      <c r="L8476">
        <f t="shared" si="1"/>
      </c>
      <c r="M8476">
        <f t="shared" si="2"/>
      </c>
    </row>
    <row r="8477">
      <c r="G8477" s="9">
        <f t="shared" si="0"/>
      </c>
      <c r="L8477">
        <f t="shared" si="1"/>
      </c>
      <c r="M8477">
        <f t="shared" si="2"/>
      </c>
    </row>
    <row r="8478">
      <c r="G8478" s="9">
        <f t="shared" si="0"/>
      </c>
      <c r="L8478">
        <f t="shared" si="1"/>
      </c>
      <c r="M8478">
        <f t="shared" si="2"/>
      </c>
    </row>
    <row r="8479">
      <c r="G8479" s="9">
        <f t="shared" si="0"/>
      </c>
      <c r="L8479">
        <f t="shared" si="1"/>
      </c>
      <c r="M8479">
        <f t="shared" si="2"/>
      </c>
    </row>
    <row r="8480">
      <c r="G8480" s="9">
        <f t="shared" si="0"/>
      </c>
      <c r="L8480">
        <f t="shared" si="1"/>
      </c>
      <c r="M8480">
        <f t="shared" si="2"/>
      </c>
    </row>
    <row r="8481">
      <c r="G8481" s="9">
        <f t="shared" si="0"/>
      </c>
      <c r="L8481">
        <f t="shared" si="1"/>
      </c>
      <c r="M8481">
        <f t="shared" si="2"/>
      </c>
    </row>
    <row r="8482">
      <c r="G8482" s="9">
        <f t="shared" si="0"/>
      </c>
      <c r="L8482">
        <f t="shared" si="1"/>
      </c>
      <c r="M8482">
        <f t="shared" si="2"/>
      </c>
    </row>
    <row r="8483">
      <c r="G8483" s="9">
        <f t="shared" si="0"/>
      </c>
      <c r="L8483">
        <f t="shared" si="1"/>
      </c>
      <c r="M8483">
        <f t="shared" si="2"/>
      </c>
    </row>
    <row r="8484">
      <c r="G8484" s="9">
        <f t="shared" si="0"/>
      </c>
      <c r="L8484">
        <f t="shared" si="1"/>
      </c>
      <c r="M8484">
        <f t="shared" si="2"/>
      </c>
    </row>
    <row r="8485">
      <c r="G8485" s="9">
        <f t="shared" si="0"/>
      </c>
      <c r="L8485">
        <f t="shared" si="1"/>
      </c>
      <c r="M8485">
        <f t="shared" si="2"/>
      </c>
    </row>
    <row r="8486">
      <c r="G8486" s="9">
        <f t="shared" si="0"/>
      </c>
      <c r="L8486">
        <f t="shared" si="1"/>
      </c>
      <c r="M8486">
        <f t="shared" si="2"/>
      </c>
    </row>
    <row r="8487">
      <c r="G8487" s="9">
        <f t="shared" si="0"/>
      </c>
      <c r="L8487">
        <f t="shared" si="1"/>
      </c>
      <c r="M8487">
        <f t="shared" si="2"/>
      </c>
    </row>
    <row r="8488">
      <c r="G8488" s="9">
        <f t="shared" si="0"/>
      </c>
      <c r="L8488">
        <f t="shared" si="1"/>
      </c>
      <c r="M8488">
        <f t="shared" si="2"/>
      </c>
    </row>
    <row r="8489">
      <c r="G8489" s="9">
        <f t="shared" si="0"/>
      </c>
      <c r="L8489">
        <f t="shared" si="1"/>
      </c>
      <c r="M8489">
        <f t="shared" si="2"/>
      </c>
    </row>
    <row r="8490">
      <c r="G8490" s="9">
        <f t="shared" si="0"/>
      </c>
      <c r="L8490">
        <f t="shared" si="1"/>
      </c>
      <c r="M8490">
        <f t="shared" si="2"/>
      </c>
    </row>
    <row r="8491">
      <c r="G8491" s="9">
        <f t="shared" si="0"/>
      </c>
      <c r="L8491">
        <f t="shared" si="1"/>
      </c>
      <c r="M8491">
        <f t="shared" si="2"/>
      </c>
    </row>
    <row r="8492">
      <c r="G8492" s="9">
        <f t="shared" si="0"/>
      </c>
      <c r="L8492">
        <f t="shared" si="1"/>
      </c>
      <c r="M8492">
        <f t="shared" si="2"/>
      </c>
    </row>
    <row r="8493">
      <c r="G8493" s="9">
        <f t="shared" si="0"/>
      </c>
      <c r="L8493">
        <f t="shared" si="1"/>
      </c>
      <c r="M8493">
        <f t="shared" si="2"/>
      </c>
    </row>
    <row r="8494">
      <c r="G8494" s="9">
        <f t="shared" si="0"/>
      </c>
      <c r="L8494">
        <f t="shared" si="1"/>
      </c>
      <c r="M8494">
        <f t="shared" si="2"/>
      </c>
    </row>
    <row r="8495">
      <c r="G8495" s="9">
        <f t="shared" si="0"/>
      </c>
      <c r="L8495">
        <f t="shared" si="1"/>
      </c>
      <c r="M8495">
        <f t="shared" si="2"/>
      </c>
    </row>
    <row r="8496">
      <c r="G8496" s="9">
        <f t="shared" si="0"/>
      </c>
      <c r="L8496">
        <f t="shared" si="1"/>
      </c>
      <c r="M8496">
        <f t="shared" si="2"/>
      </c>
    </row>
    <row r="8497">
      <c r="G8497" s="9">
        <f t="shared" si="0"/>
      </c>
      <c r="L8497">
        <f t="shared" si="1"/>
      </c>
      <c r="M8497">
        <f t="shared" si="2"/>
      </c>
    </row>
    <row r="8498">
      <c r="G8498" s="9">
        <f t="shared" si="0"/>
      </c>
      <c r="L8498">
        <f t="shared" si="1"/>
      </c>
      <c r="M8498">
        <f t="shared" si="2"/>
      </c>
    </row>
    <row r="8499">
      <c r="G8499" s="9">
        <f t="shared" si="0"/>
      </c>
      <c r="L8499">
        <f t="shared" si="1"/>
      </c>
      <c r="M8499">
        <f t="shared" si="2"/>
      </c>
    </row>
    <row r="8500">
      <c r="G8500" s="9">
        <f t="shared" si="0"/>
      </c>
      <c r="L8500">
        <f t="shared" si="1"/>
      </c>
      <c r="M8500">
        <f t="shared" si="2"/>
      </c>
    </row>
    <row r="8501">
      <c r="G8501" s="9">
        <f t="shared" si="0"/>
      </c>
      <c r="L8501">
        <f t="shared" si="1"/>
      </c>
      <c r="M8501">
        <f t="shared" si="2"/>
      </c>
    </row>
    <row r="8502">
      <c r="G8502" s="9">
        <f t="shared" si="0"/>
      </c>
      <c r="L8502">
        <f t="shared" si="1"/>
      </c>
      <c r="M8502">
        <f t="shared" si="2"/>
      </c>
    </row>
    <row r="8503">
      <c r="G8503" s="9">
        <f t="shared" si="0"/>
      </c>
      <c r="L8503">
        <f t="shared" si="1"/>
      </c>
      <c r="M8503">
        <f t="shared" si="2"/>
      </c>
    </row>
    <row r="8504">
      <c r="G8504" s="9">
        <f t="shared" si="0"/>
      </c>
      <c r="L8504">
        <f t="shared" si="1"/>
      </c>
      <c r="M8504">
        <f t="shared" si="2"/>
      </c>
    </row>
    <row r="8505">
      <c r="G8505" s="9">
        <f t="shared" si="0"/>
      </c>
      <c r="L8505">
        <f t="shared" si="1"/>
      </c>
      <c r="M8505">
        <f t="shared" si="2"/>
      </c>
    </row>
    <row r="8506">
      <c r="G8506" s="9">
        <f t="shared" si="0"/>
      </c>
      <c r="L8506">
        <f t="shared" si="1"/>
      </c>
      <c r="M8506">
        <f t="shared" si="2"/>
      </c>
    </row>
    <row r="8507">
      <c r="G8507" s="9">
        <f t="shared" si="0"/>
      </c>
      <c r="L8507">
        <f t="shared" si="1"/>
      </c>
      <c r="M8507">
        <f t="shared" si="2"/>
      </c>
    </row>
    <row r="8508">
      <c r="G8508" s="9">
        <f t="shared" si="0"/>
      </c>
      <c r="L8508">
        <f t="shared" si="1"/>
      </c>
      <c r="M8508">
        <f t="shared" si="2"/>
      </c>
    </row>
    <row r="8509">
      <c r="G8509" s="9">
        <f t="shared" si="0"/>
      </c>
      <c r="L8509">
        <f t="shared" si="1"/>
      </c>
      <c r="M8509">
        <f t="shared" si="2"/>
      </c>
    </row>
    <row r="8510">
      <c r="G8510" s="9">
        <f t="shared" si="0"/>
      </c>
      <c r="L8510">
        <f t="shared" si="1"/>
      </c>
      <c r="M8510">
        <f t="shared" si="2"/>
      </c>
    </row>
    <row r="8511">
      <c r="G8511" s="9">
        <f t="shared" si="0"/>
      </c>
      <c r="L8511">
        <f t="shared" si="1"/>
      </c>
      <c r="M8511">
        <f t="shared" si="2"/>
      </c>
    </row>
    <row r="8512">
      <c r="G8512" s="9">
        <f t="shared" si="0"/>
      </c>
      <c r="L8512">
        <f t="shared" si="1"/>
      </c>
      <c r="M8512">
        <f t="shared" si="2"/>
      </c>
    </row>
    <row r="8513">
      <c r="G8513" s="9">
        <f t="shared" si="0"/>
      </c>
      <c r="L8513">
        <f t="shared" si="1"/>
      </c>
      <c r="M8513">
        <f t="shared" si="2"/>
      </c>
    </row>
    <row r="8514">
      <c r="G8514" s="9">
        <f t="shared" si="0"/>
      </c>
      <c r="L8514">
        <f t="shared" si="1"/>
      </c>
      <c r="M8514">
        <f t="shared" si="2"/>
      </c>
    </row>
    <row r="8515">
      <c r="G8515" s="9">
        <f t="shared" si="0"/>
      </c>
      <c r="L8515">
        <f t="shared" si="1"/>
      </c>
      <c r="M8515">
        <f t="shared" si="2"/>
      </c>
    </row>
    <row r="8516">
      <c r="G8516" s="9">
        <f t="shared" si="0"/>
      </c>
      <c r="L8516">
        <f t="shared" si="1"/>
      </c>
      <c r="M8516">
        <f t="shared" si="2"/>
      </c>
    </row>
    <row r="8517">
      <c r="G8517" s="9">
        <f t="shared" si="0"/>
      </c>
      <c r="L8517">
        <f t="shared" si="1"/>
      </c>
      <c r="M8517">
        <f t="shared" si="2"/>
      </c>
    </row>
    <row r="8518">
      <c r="G8518" s="9">
        <f t="shared" si="0"/>
      </c>
      <c r="L8518">
        <f t="shared" si="1"/>
      </c>
      <c r="M8518">
        <f t="shared" si="2"/>
      </c>
    </row>
    <row r="8519">
      <c r="G8519" s="9">
        <f t="shared" si="0"/>
      </c>
      <c r="L8519">
        <f t="shared" si="1"/>
      </c>
      <c r="M8519">
        <f t="shared" si="2"/>
      </c>
    </row>
    <row r="8520">
      <c r="G8520" s="9">
        <f t="shared" si="0"/>
      </c>
      <c r="L8520">
        <f t="shared" si="1"/>
      </c>
      <c r="M8520">
        <f t="shared" si="2"/>
      </c>
    </row>
    <row r="8521">
      <c r="G8521" s="9">
        <f t="shared" si="0"/>
      </c>
      <c r="L8521">
        <f t="shared" si="1"/>
      </c>
      <c r="M8521">
        <f t="shared" si="2"/>
      </c>
    </row>
    <row r="8522">
      <c r="G8522" s="9">
        <f t="shared" si="0"/>
      </c>
      <c r="L8522">
        <f t="shared" si="1"/>
      </c>
      <c r="M8522">
        <f t="shared" si="2"/>
      </c>
    </row>
    <row r="8523">
      <c r="G8523" s="9">
        <f t="shared" si="0"/>
      </c>
      <c r="L8523">
        <f t="shared" si="1"/>
      </c>
      <c r="M8523">
        <f t="shared" si="2"/>
      </c>
    </row>
    <row r="8524">
      <c r="G8524" s="9">
        <f t="shared" si="0"/>
      </c>
      <c r="L8524">
        <f t="shared" si="1"/>
      </c>
      <c r="M8524">
        <f t="shared" si="2"/>
      </c>
    </row>
    <row r="8525">
      <c r="G8525" s="9">
        <f t="shared" si="0"/>
      </c>
      <c r="L8525">
        <f t="shared" si="1"/>
      </c>
      <c r="M8525">
        <f t="shared" si="2"/>
      </c>
    </row>
    <row r="8526">
      <c r="G8526" s="9">
        <f t="shared" si="0"/>
      </c>
      <c r="L8526">
        <f t="shared" si="1"/>
      </c>
      <c r="M8526">
        <f t="shared" si="2"/>
      </c>
    </row>
    <row r="8527">
      <c r="G8527" s="9">
        <f t="shared" si="0"/>
      </c>
      <c r="L8527">
        <f t="shared" si="1"/>
      </c>
      <c r="M8527">
        <f t="shared" si="2"/>
      </c>
    </row>
    <row r="8528">
      <c r="G8528" s="9">
        <f t="shared" si="0"/>
      </c>
      <c r="L8528">
        <f t="shared" si="1"/>
      </c>
      <c r="M8528">
        <f t="shared" si="2"/>
      </c>
    </row>
    <row r="8529">
      <c r="G8529" s="9">
        <f t="shared" si="0"/>
      </c>
      <c r="L8529">
        <f t="shared" si="1"/>
      </c>
      <c r="M8529">
        <f t="shared" si="2"/>
      </c>
    </row>
    <row r="8530">
      <c r="G8530" s="9">
        <f t="shared" si="0"/>
      </c>
      <c r="L8530">
        <f t="shared" si="1"/>
      </c>
      <c r="M8530">
        <f t="shared" si="2"/>
      </c>
    </row>
    <row r="8531">
      <c r="G8531" s="9">
        <f t="shared" si="0"/>
      </c>
      <c r="L8531">
        <f t="shared" si="1"/>
      </c>
      <c r="M8531">
        <f t="shared" si="2"/>
      </c>
    </row>
    <row r="8532">
      <c r="G8532" s="9">
        <f t="shared" si="0"/>
      </c>
      <c r="L8532">
        <f t="shared" si="1"/>
      </c>
      <c r="M8532">
        <f t="shared" si="2"/>
      </c>
    </row>
    <row r="8533">
      <c r="G8533" s="9">
        <f t="shared" si="0"/>
      </c>
      <c r="L8533">
        <f t="shared" si="1"/>
      </c>
      <c r="M8533">
        <f t="shared" si="2"/>
      </c>
    </row>
    <row r="8534">
      <c r="G8534" s="9">
        <f t="shared" si="0"/>
      </c>
      <c r="L8534">
        <f t="shared" si="1"/>
      </c>
      <c r="M8534">
        <f t="shared" si="2"/>
      </c>
    </row>
    <row r="8535">
      <c r="G8535" s="9">
        <f t="shared" si="0"/>
      </c>
      <c r="L8535">
        <f t="shared" si="1"/>
      </c>
      <c r="M8535">
        <f t="shared" si="2"/>
      </c>
    </row>
    <row r="8536">
      <c r="G8536" s="9">
        <f t="shared" si="0"/>
      </c>
      <c r="L8536">
        <f t="shared" si="1"/>
      </c>
      <c r="M8536">
        <f t="shared" si="2"/>
      </c>
    </row>
    <row r="8537">
      <c r="G8537" s="9">
        <f t="shared" si="0"/>
      </c>
      <c r="L8537">
        <f t="shared" si="1"/>
      </c>
      <c r="M8537">
        <f t="shared" si="2"/>
      </c>
    </row>
    <row r="8538">
      <c r="G8538" s="9">
        <f t="shared" si="0"/>
      </c>
      <c r="L8538">
        <f t="shared" si="1"/>
      </c>
      <c r="M8538">
        <f t="shared" si="2"/>
      </c>
    </row>
    <row r="8539">
      <c r="G8539" s="9">
        <f t="shared" si="0"/>
      </c>
      <c r="L8539">
        <f t="shared" si="1"/>
      </c>
      <c r="M8539">
        <f t="shared" si="2"/>
      </c>
    </row>
    <row r="8540">
      <c r="G8540" s="9">
        <f t="shared" si="0"/>
      </c>
      <c r="L8540">
        <f t="shared" si="1"/>
      </c>
      <c r="M8540">
        <f t="shared" si="2"/>
      </c>
    </row>
    <row r="8541">
      <c r="G8541" s="9">
        <f t="shared" si="0"/>
      </c>
      <c r="L8541">
        <f t="shared" si="1"/>
      </c>
      <c r="M8541">
        <f t="shared" si="2"/>
      </c>
    </row>
    <row r="8542">
      <c r="G8542" s="9">
        <f t="shared" si="0"/>
      </c>
      <c r="L8542">
        <f t="shared" si="1"/>
      </c>
      <c r="M8542">
        <f t="shared" si="2"/>
      </c>
    </row>
    <row r="8543">
      <c r="G8543" s="9">
        <f t="shared" si="0"/>
      </c>
      <c r="L8543">
        <f t="shared" si="1"/>
      </c>
      <c r="M8543">
        <f t="shared" si="2"/>
      </c>
    </row>
    <row r="8544">
      <c r="G8544" s="9">
        <f t="shared" si="0"/>
      </c>
      <c r="L8544">
        <f t="shared" si="1"/>
      </c>
      <c r="M8544">
        <f t="shared" si="2"/>
      </c>
    </row>
    <row r="8545">
      <c r="G8545" s="9">
        <f t="shared" si="0"/>
      </c>
      <c r="L8545">
        <f t="shared" si="1"/>
      </c>
      <c r="M8545">
        <f t="shared" si="2"/>
      </c>
    </row>
    <row r="8546">
      <c r="G8546" s="9">
        <f t="shared" si="0"/>
      </c>
      <c r="L8546">
        <f t="shared" si="1"/>
      </c>
      <c r="M8546">
        <f t="shared" si="2"/>
      </c>
    </row>
    <row r="8547">
      <c r="G8547" s="9">
        <f t="shared" si="0"/>
      </c>
      <c r="L8547">
        <f t="shared" si="1"/>
      </c>
      <c r="M8547">
        <f t="shared" si="2"/>
      </c>
    </row>
    <row r="8548">
      <c r="G8548" s="9">
        <f t="shared" si="0"/>
      </c>
      <c r="L8548">
        <f t="shared" si="1"/>
      </c>
      <c r="M8548">
        <f t="shared" si="2"/>
      </c>
    </row>
    <row r="8549">
      <c r="G8549" s="9">
        <f t="shared" si="0"/>
      </c>
      <c r="L8549">
        <f t="shared" si="1"/>
      </c>
      <c r="M8549">
        <f t="shared" si="2"/>
      </c>
    </row>
    <row r="8550">
      <c r="G8550" s="9">
        <f t="shared" si="0"/>
      </c>
      <c r="L8550">
        <f t="shared" si="1"/>
      </c>
      <c r="M8550">
        <f t="shared" si="2"/>
      </c>
    </row>
    <row r="8551">
      <c r="G8551" s="9">
        <f t="shared" si="0"/>
      </c>
      <c r="L8551">
        <f t="shared" si="1"/>
      </c>
      <c r="M8551">
        <f t="shared" si="2"/>
      </c>
    </row>
    <row r="8552">
      <c r="G8552" s="9">
        <f t="shared" si="0"/>
      </c>
      <c r="L8552">
        <f t="shared" si="1"/>
      </c>
      <c r="M8552">
        <f t="shared" si="2"/>
      </c>
    </row>
    <row r="8553">
      <c r="G8553" s="9">
        <f t="shared" si="0"/>
      </c>
      <c r="L8553">
        <f t="shared" si="1"/>
      </c>
      <c r="M8553">
        <f t="shared" si="2"/>
      </c>
    </row>
    <row r="8554">
      <c r="G8554" s="9">
        <f t="shared" si="0"/>
      </c>
      <c r="L8554">
        <f t="shared" si="1"/>
      </c>
      <c r="M8554">
        <f t="shared" si="2"/>
      </c>
    </row>
    <row r="8555">
      <c r="G8555" s="9">
        <f t="shared" si="0"/>
      </c>
      <c r="L8555">
        <f t="shared" si="1"/>
      </c>
      <c r="M8555">
        <f t="shared" si="2"/>
      </c>
    </row>
    <row r="8556">
      <c r="G8556" s="9">
        <f t="shared" si="0"/>
      </c>
      <c r="L8556">
        <f t="shared" si="1"/>
      </c>
      <c r="M8556">
        <f t="shared" si="2"/>
      </c>
    </row>
    <row r="8557">
      <c r="G8557" s="9">
        <f t="shared" si="0"/>
      </c>
      <c r="L8557">
        <f t="shared" si="1"/>
      </c>
      <c r="M8557">
        <f t="shared" si="2"/>
      </c>
    </row>
    <row r="8558">
      <c r="G8558" s="9">
        <f t="shared" si="0"/>
      </c>
      <c r="L8558">
        <f t="shared" si="1"/>
      </c>
      <c r="M8558">
        <f t="shared" si="2"/>
      </c>
    </row>
    <row r="8559">
      <c r="G8559" s="9">
        <f t="shared" si="0"/>
      </c>
      <c r="L8559">
        <f t="shared" si="1"/>
      </c>
      <c r="M8559">
        <f t="shared" si="2"/>
      </c>
    </row>
    <row r="8560">
      <c r="G8560" s="9">
        <f t="shared" si="0"/>
      </c>
      <c r="L8560">
        <f t="shared" si="1"/>
      </c>
      <c r="M8560">
        <f t="shared" si="2"/>
      </c>
    </row>
    <row r="8561">
      <c r="G8561" s="9">
        <f t="shared" si="0"/>
      </c>
      <c r="L8561">
        <f t="shared" si="1"/>
      </c>
      <c r="M8561">
        <f t="shared" si="2"/>
      </c>
    </row>
    <row r="8562">
      <c r="G8562" s="9">
        <f t="shared" si="0"/>
      </c>
      <c r="L8562">
        <f t="shared" si="1"/>
      </c>
      <c r="M8562">
        <f t="shared" si="2"/>
      </c>
    </row>
    <row r="8563">
      <c r="G8563" s="9">
        <f t="shared" si="0"/>
      </c>
      <c r="L8563">
        <f t="shared" si="1"/>
      </c>
      <c r="M8563">
        <f t="shared" si="2"/>
      </c>
    </row>
    <row r="8564">
      <c r="G8564" s="9">
        <f t="shared" si="0"/>
      </c>
      <c r="L8564">
        <f t="shared" si="1"/>
      </c>
      <c r="M8564">
        <f t="shared" si="2"/>
      </c>
    </row>
    <row r="8565">
      <c r="G8565" s="9">
        <f t="shared" si="0"/>
      </c>
      <c r="L8565">
        <f t="shared" si="1"/>
      </c>
      <c r="M8565">
        <f t="shared" si="2"/>
      </c>
    </row>
    <row r="8566">
      <c r="G8566" s="9">
        <f t="shared" si="0"/>
      </c>
      <c r="L8566">
        <f t="shared" si="1"/>
      </c>
      <c r="M8566">
        <f t="shared" si="2"/>
      </c>
    </row>
    <row r="8567">
      <c r="G8567" s="9">
        <f t="shared" si="0"/>
      </c>
      <c r="L8567">
        <f t="shared" si="1"/>
      </c>
      <c r="M8567">
        <f t="shared" si="2"/>
      </c>
    </row>
    <row r="8568">
      <c r="G8568" s="9">
        <f t="shared" si="0"/>
      </c>
      <c r="L8568">
        <f t="shared" si="1"/>
      </c>
      <c r="M8568">
        <f t="shared" si="2"/>
      </c>
    </row>
    <row r="8569">
      <c r="G8569" s="9">
        <f t="shared" si="0"/>
      </c>
      <c r="L8569">
        <f t="shared" si="1"/>
      </c>
      <c r="M8569">
        <f t="shared" si="2"/>
      </c>
    </row>
    <row r="8570">
      <c r="G8570" s="9">
        <f t="shared" si="0"/>
      </c>
      <c r="L8570">
        <f t="shared" si="1"/>
      </c>
      <c r="M8570">
        <f t="shared" si="2"/>
      </c>
    </row>
    <row r="8571">
      <c r="G8571" s="9">
        <f t="shared" si="0"/>
      </c>
      <c r="L8571">
        <f t="shared" si="1"/>
      </c>
      <c r="M8571">
        <f t="shared" si="2"/>
      </c>
    </row>
    <row r="8572">
      <c r="G8572" s="9">
        <f t="shared" si="0"/>
      </c>
      <c r="L8572">
        <f t="shared" si="1"/>
      </c>
      <c r="M8572">
        <f t="shared" si="2"/>
      </c>
    </row>
    <row r="8573">
      <c r="G8573" s="9">
        <f t="shared" si="0"/>
      </c>
      <c r="L8573">
        <f t="shared" si="1"/>
      </c>
      <c r="M8573">
        <f t="shared" si="2"/>
      </c>
    </row>
    <row r="8574">
      <c r="G8574" s="9">
        <f t="shared" si="0"/>
      </c>
      <c r="L8574">
        <f t="shared" si="1"/>
      </c>
      <c r="M8574">
        <f t="shared" si="2"/>
      </c>
    </row>
    <row r="8575">
      <c r="G8575" s="9">
        <f t="shared" si="0"/>
      </c>
      <c r="L8575">
        <f t="shared" si="1"/>
      </c>
      <c r="M8575">
        <f t="shared" si="2"/>
      </c>
    </row>
    <row r="8576">
      <c r="G8576" s="9">
        <f t="shared" si="0"/>
      </c>
      <c r="L8576">
        <f t="shared" si="1"/>
      </c>
      <c r="M8576">
        <f t="shared" si="2"/>
      </c>
    </row>
    <row r="8577">
      <c r="G8577" s="9">
        <f t="shared" si="0"/>
      </c>
      <c r="L8577">
        <f t="shared" si="1"/>
      </c>
      <c r="M8577">
        <f t="shared" si="2"/>
      </c>
    </row>
    <row r="8578">
      <c r="G8578" s="9">
        <f t="shared" si="0"/>
      </c>
      <c r="L8578">
        <f t="shared" si="1"/>
      </c>
      <c r="M8578">
        <f t="shared" si="2"/>
      </c>
    </row>
    <row r="8579">
      <c r="G8579" s="9">
        <f t="shared" si="0"/>
      </c>
      <c r="L8579">
        <f t="shared" si="1"/>
      </c>
      <c r="M8579">
        <f t="shared" si="2"/>
      </c>
    </row>
    <row r="8580">
      <c r="G8580" s="9">
        <f t="shared" si="0"/>
      </c>
      <c r="L8580">
        <f t="shared" si="1"/>
      </c>
      <c r="M8580">
        <f t="shared" si="2"/>
      </c>
    </row>
    <row r="8581">
      <c r="G8581" s="9">
        <f t="shared" si="0"/>
      </c>
      <c r="L8581">
        <f t="shared" si="1"/>
      </c>
      <c r="M8581">
        <f t="shared" si="2"/>
      </c>
    </row>
    <row r="8582">
      <c r="G8582" s="9">
        <f t="shared" si="0"/>
      </c>
      <c r="L8582">
        <f t="shared" si="1"/>
      </c>
      <c r="M8582">
        <f t="shared" si="2"/>
      </c>
    </row>
    <row r="8583">
      <c r="G8583" s="9">
        <f t="shared" si="0"/>
      </c>
      <c r="L8583">
        <f t="shared" si="1"/>
      </c>
      <c r="M8583">
        <f t="shared" si="2"/>
      </c>
    </row>
    <row r="8584">
      <c r="G8584" s="9">
        <f t="shared" si="0"/>
      </c>
      <c r="L8584">
        <f t="shared" si="1"/>
      </c>
      <c r="M8584">
        <f t="shared" si="2"/>
      </c>
    </row>
    <row r="8585">
      <c r="G8585" s="9">
        <f t="shared" si="0"/>
      </c>
      <c r="L8585">
        <f t="shared" si="1"/>
      </c>
      <c r="M8585">
        <f t="shared" si="2"/>
      </c>
    </row>
    <row r="8586">
      <c r="G8586" s="9">
        <f t="shared" si="0"/>
      </c>
      <c r="L8586">
        <f t="shared" si="1"/>
      </c>
      <c r="M8586">
        <f t="shared" si="2"/>
      </c>
    </row>
    <row r="8587">
      <c r="G8587" s="9">
        <f t="shared" si="0"/>
      </c>
      <c r="L8587">
        <f t="shared" si="1"/>
      </c>
      <c r="M8587">
        <f t="shared" si="2"/>
      </c>
    </row>
    <row r="8588">
      <c r="G8588" s="9">
        <f t="shared" si="0"/>
      </c>
      <c r="L8588">
        <f t="shared" si="1"/>
      </c>
      <c r="M8588">
        <f t="shared" si="2"/>
      </c>
    </row>
    <row r="8589">
      <c r="G8589" s="9">
        <f t="shared" si="0"/>
      </c>
      <c r="L8589">
        <f t="shared" si="1"/>
      </c>
      <c r="M8589">
        <f t="shared" si="2"/>
      </c>
    </row>
    <row r="8590">
      <c r="G8590" s="9">
        <f t="shared" si="0"/>
      </c>
      <c r="L8590">
        <f t="shared" si="1"/>
      </c>
      <c r="M8590">
        <f t="shared" si="2"/>
      </c>
    </row>
    <row r="8591">
      <c r="G8591" s="9">
        <f t="shared" si="0"/>
      </c>
      <c r="L8591">
        <f t="shared" si="1"/>
      </c>
      <c r="M8591">
        <f t="shared" si="2"/>
      </c>
    </row>
    <row r="8592">
      <c r="G8592" s="9">
        <f t="shared" si="0"/>
      </c>
      <c r="L8592">
        <f t="shared" si="1"/>
      </c>
      <c r="M8592">
        <f t="shared" si="2"/>
      </c>
    </row>
    <row r="8593">
      <c r="G8593" s="9">
        <f t="shared" si="0"/>
      </c>
      <c r="L8593">
        <f t="shared" si="1"/>
      </c>
      <c r="M8593">
        <f t="shared" si="2"/>
      </c>
    </row>
    <row r="8594">
      <c r="G8594" s="9">
        <f t="shared" si="0"/>
      </c>
      <c r="L8594">
        <f t="shared" si="1"/>
      </c>
      <c r="M8594">
        <f t="shared" si="2"/>
      </c>
    </row>
    <row r="8595">
      <c r="G8595" s="9">
        <f t="shared" si="0"/>
      </c>
      <c r="L8595">
        <f t="shared" si="1"/>
      </c>
      <c r="M8595">
        <f t="shared" si="2"/>
      </c>
    </row>
    <row r="8596">
      <c r="G8596" s="9">
        <f t="shared" si="0"/>
      </c>
      <c r="L8596">
        <f t="shared" si="1"/>
      </c>
      <c r="M8596">
        <f t="shared" si="2"/>
      </c>
    </row>
    <row r="8597">
      <c r="G8597" s="9">
        <f t="shared" si="0"/>
      </c>
      <c r="L8597">
        <f t="shared" si="1"/>
      </c>
      <c r="M8597">
        <f t="shared" si="2"/>
      </c>
    </row>
    <row r="8598">
      <c r="G8598" s="9">
        <f t="shared" si="0"/>
      </c>
      <c r="L8598">
        <f t="shared" si="1"/>
      </c>
      <c r="M8598">
        <f t="shared" si="2"/>
      </c>
    </row>
    <row r="8599">
      <c r="G8599" s="9">
        <f t="shared" si="0"/>
      </c>
      <c r="L8599">
        <f t="shared" si="1"/>
      </c>
      <c r="M8599">
        <f t="shared" si="2"/>
      </c>
    </row>
    <row r="8600">
      <c r="G8600" s="9">
        <f t="shared" si="0"/>
      </c>
      <c r="L8600">
        <f t="shared" si="1"/>
      </c>
      <c r="M8600">
        <f t="shared" si="2"/>
      </c>
    </row>
    <row r="8601">
      <c r="G8601" s="9">
        <f t="shared" si="0"/>
      </c>
      <c r="L8601">
        <f t="shared" si="1"/>
      </c>
      <c r="M8601">
        <f t="shared" si="2"/>
      </c>
    </row>
    <row r="8602">
      <c r="G8602" s="9">
        <f t="shared" si="0"/>
      </c>
      <c r="L8602">
        <f t="shared" si="1"/>
      </c>
      <c r="M8602">
        <f t="shared" si="2"/>
      </c>
    </row>
    <row r="8603">
      <c r="G8603" s="9">
        <f t="shared" si="0"/>
      </c>
      <c r="L8603">
        <f t="shared" si="1"/>
      </c>
      <c r="M8603">
        <f t="shared" si="2"/>
      </c>
    </row>
    <row r="8604">
      <c r="G8604" s="9">
        <f t="shared" si="0"/>
      </c>
      <c r="L8604">
        <f t="shared" si="1"/>
      </c>
      <c r="M8604">
        <f t="shared" si="2"/>
      </c>
    </row>
    <row r="8605">
      <c r="G8605" s="9">
        <f t="shared" si="0"/>
      </c>
      <c r="L8605">
        <f t="shared" si="1"/>
      </c>
      <c r="M8605">
        <f t="shared" si="2"/>
      </c>
    </row>
    <row r="8606">
      <c r="G8606" s="9">
        <f t="shared" si="0"/>
      </c>
      <c r="L8606">
        <f t="shared" si="1"/>
      </c>
      <c r="M8606">
        <f t="shared" si="2"/>
      </c>
    </row>
    <row r="8607">
      <c r="G8607" s="9">
        <f t="shared" si="0"/>
      </c>
      <c r="L8607">
        <f t="shared" si="1"/>
      </c>
      <c r="M8607">
        <f t="shared" si="2"/>
      </c>
    </row>
    <row r="8608">
      <c r="G8608" s="9">
        <f t="shared" si="0"/>
      </c>
      <c r="L8608">
        <f t="shared" si="1"/>
      </c>
      <c r="M8608">
        <f t="shared" si="2"/>
      </c>
    </row>
    <row r="8609">
      <c r="G8609" s="9">
        <f t="shared" si="0"/>
      </c>
      <c r="L8609">
        <f t="shared" si="1"/>
      </c>
      <c r="M8609">
        <f t="shared" si="2"/>
      </c>
    </row>
    <row r="8610">
      <c r="G8610" s="9">
        <f t="shared" si="0"/>
      </c>
      <c r="L8610">
        <f t="shared" si="1"/>
      </c>
      <c r="M8610">
        <f t="shared" si="2"/>
      </c>
    </row>
    <row r="8611">
      <c r="G8611" s="9">
        <f t="shared" si="0"/>
      </c>
      <c r="L8611">
        <f t="shared" si="1"/>
      </c>
      <c r="M8611">
        <f t="shared" si="2"/>
      </c>
    </row>
    <row r="8612">
      <c r="G8612" s="9">
        <f t="shared" si="0"/>
      </c>
      <c r="L8612">
        <f t="shared" si="1"/>
      </c>
      <c r="M8612">
        <f t="shared" si="2"/>
      </c>
    </row>
    <row r="8613">
      <c r="G8613" s="9">
        <f t="shared" si="0"/>
      </c>
      <c r="L8613">
        <f t="shared" si="1"/>
      </c>
      <c r="M8613">
        <f t="shared" si="2"/>
      </c>
    </row>
    <row r="8614">
      <c r="G8614" s="9">
        <f t="shared" si="0"/>
      </c>
      <c r="L8614">
        <f t="shared" si="1"/>
      </c>
      <c r="M8614">
        <f t="shared" si="2"/>
      </c>
    </row>
    <row r="8615">
      <c r="G8615" s="9">
        <f t="shared" si="0"/>
      </c>
      <c r="L8615">
        <f t="shared" si="1"/>
      </c>
      <c r="M8615">
        <f t="shared" si="2"/>
      </c>
    </row>
    <row r="8616">
      <c r="G8616" s="9">
        <f t="shared" si="0"/>
      </c>
      <c r="L8616">
        <f t="shared" si="1"/>
      </c>
      <c r="M8616">
        <f t="shared" si="2"/>
      </c>
    </row>
    <row r="8617">
      <c r="G8617" s="9">
        <f t="shared" si="0"/>
      </c>
      <c r="L8617">
        <f t="shared" si="1"/>
      </c>
      <c r="M8617">
        <f t="shared" si="2"/>
      </c>
    </row>
    <row r="8618">
      <c r="G8618" s="9">
        <f t="shared" si="0"/>
      </c>
      <c r="L8618">
        <f t="shared" si="1"/>
      </c>
      <c r="M8618">
        <f t="shared" si="2"/>
      </c>
    </row>
    <row r="8619">
      <c r="G8619" s="9">
        <f t="shared" si="0"/>
      </c>
      <c r="L8619">
        <f t="shared" si="1"/>
      </c>
      <c r="M8619">
        <f t="shared" si="2"/>
      </c>
    </row>
    <row r="8620">
      <c r="G8620" s="9">
        <f t="shared" si="0"/>
      </c>
      <c r="L8620">
        <f t="shared" si="1"/>
      </c>
      <c r="M8620">
        <f t="shared" si="2"/>
      </c>
    </row>
    <row r="8621">
      <c r="G8621" s="9">
        <f t="shared" si="0"/>
      </c>
      <c r="L8621">
        <f t="shared" si="1"/>
      </c>
      <c r="M8621">
        <f t="shared" si="2"/>
      </c>
    </row>
    <row r="8622">
      <c r="G8622" s="9">
        <f t="shared" si="0"/>
      </c>
      <c r="L8622">
        <f t="shared" si="1"/>
      </c>
      <c r="M8622">
        <f t="shared" si="2"/>
      </c>
    </row>
    <row r="8623">
      <c r="G8623" s="9">
        <f t="shared" si="0"/>
      </c>
      <c r="L8623">
        <f t="shared" si="1"/>
      </c>
      <c r="M8623">
        <f t="shared" si="2"/>
      </c>
    </row>
    <row r="8624">
      <c r="G8624" s="9">
        <f t="shared" si="0"/>
      </c>
      <c r="L8624">
        <f t="shared" si="1"/>
      </c>
      <c r="M8624">
        <f t="shared" si="2"/>
      </c>
    </row>
    <row r="8625">
      <c r="G8625" s="9">
        <f t="shared" si="0"/>
      </c>
      <c r="L8625">
        <f t="shared" si="1"/>
      </c>
      <c r="M8625">
        <f t="shared" si="2"/>
      </c>
    </row>
    <row r="8626">
      <c r="G8626" s="9">
        <f t="shared" si="0"/>
      </c>
      <c r="L8626">
        <f t="shared" si="1"/>
      </c>
      <c r="M8626">
        <f t="shared" si="2"/>
      </c>
    </row>
    <row r="8627">
      <c r="G8627" s="9">
        <f t="shared" si="0"/>
      </c>
      <c r="L8627">
        <f t="shared" si="1"/>
      </c>
      <c r="M8627">
        <f t="shared" si="2"/>
      </c>
    </row>
    <row r="8628">
      <c r="G8628" s="9">
        <f t="shared" si="0"/>
      </c>
      <c r="L8628">
        <f t="shared" si="1"/>
      </c>
      <c r="M8628">
        <f t="shared" si="2"/>
      </c>
    </row>
    <row r="8629">
      <c r="G8629" s="9">
        <f t="shared" si="0"/>
      </c>
      <c r="L8629">
        <f t="shared" si="1"/>
      </c>
      <c r="M8629">
        <f t="shared" si="2"/>
      </c>
    </row>
    <row r="8630">
      <c r="G8630" s="9">
        <f t="shared" si="0"/>
      </c>
      <c r="L8630">
        <f t="shared" si="1"/>
      </c>
      <c r="M8630">
        <f t="shared" si="2"/>
      </c>
    </row>
    <row r="8631">
      <c r="G8631" s="9">
        <f t="shared" si="0"/>
      </c>
      <c r="L8631">
        <f t="shared" si="1"/>
      </c>
      <c r="M8631">
        <f t="shared" si="2"/>
      </c>
    </row>
    <row r="8632">
      <c r="G8632" s="9">
        <f t="shared" si="0"/>
      </c>
      <c r="L8632">
        <f t="shared" si="1"/>
      </c>
      <c r="M8632">
        <f t="shared" si="2"/>
      </c>
    </row>
    <row r="8633">
      <c r="G8633" s="9">
        <f t="shared" si="0"/>
      </c>
      <c r="L8633">
        <f t="shared" si="1"/>
      </c>
      <c r="M8633">
        <f t="shared" si="2"/>
      </c>
    </row>
    <row r="8634">
      <c r="G8634" s="9">
        <f t="shared" si="0"/>
      </c>
      <c r="L8634">
        <f t="shared" si="1"/>
      </c>
      <c r="M8634">
        <f t="shared" si="2"/>
      </c>
    </row>
    <row r="8635">
      <c r="G8635" s="9">
        <f t="shared" si="0"/>
      </c>
      <c r="L8635">
        <f t="shared" si="1"/>
      </c>
      <c r="M8635">
        <f t="shared" si="2"/>
      </c>
    </row>
    <row r="8636">
      <c r="G8636" s="9">
        <f t="shared" si="0"/>
      </c>
      <c r="L8636">
        <f t="shared" si="1"/>
      </c>
      <c r="M8636">
        <f t="shared" si="2"/>
      </c>
    </row>
    <row r="8637">
      <c r="G8637" s="9">
        <f t="shared" si="0"/>
      </c>
      <c r="L8637">
        <f t="shared" si="1"/>
      </c>
      <c r="M8637">
        <f t="shared" si="2"/>
      </c>
    </row>
    <row r="8638">
      <c r="G8638" s="9">
        <f t="shared" si="0"/>
      </c>
      <c r="L8638">
        <f t="shared" si="1"/>
      </c>
      <c r="M8638">
        <f t="shared" si="2"/>
      </c>
    </row>
    <row r="8639">
      <c r="G8639" s="9">
        <f t="shared" si="0"/>
      </c>
      <c r="L8639">
        <f t="shared" si="1"/>
      </c>
      <c r="M8639">
        <f t="shared" si="2"/>
      </c>
    </row>
    <row r="8640">
      <c r="G8640" s="9">
        <f t="shared" si="0"/>
      </c>
      <c r="L8640">
        <f t="shared" si="1"/>
      </c>
      <c r="M8640">
        <f t="shared" si="2"/>
      </c>
    </row>
    <row r="8641">
      <c r="G8641" s="9">
        <f t="shared" si="0"/>
      </c>
      <c r="L8641">
        <f t="shared" si="1"/>
      </c>
      <c r="M8641">
        <f t="shared" si="2"/>
      </c>
    </row>
    <row r="8642">
      <c r="G8642" s="9">
        <f t="shared" si="0"/>
      </c>
      <c r="L8642">
        <f t="shared" si="1"/>
      </c>
      <c r="M8642">
        <f t="shared" si="2"/>
      </c>
    </row>
    <row r="8643">
      <c r="G8643" s="9">
        <f t="shared" si="0"/>
      </c>
      <c r="L8643">
        <f t="shared" si="1"/>
      </c>
      <c r="M8643">
        <f t="shared" si="2"/>
      </c>
    </row>
    <row r="8644">
      <c r="G8644" s="9">
        <f t="shared" si="0"/>
      </c>
      <c r="L8644">
        <f t="shared" si="1"/>
      </c>
      <c r="M8644">
        <f t="shared" si="2"/>
      </c>
    </row>
    <row r="8645">
      <c r="G8645" s="9">
        <f t="shared" si="0"/>
      </c>
      <c r="L8645">
        <f t="shared" si="1"/>
      </c>
      <c r="M8645">
        <f t="shared" si="2"/>
      </c>
    </row>
    <row r="8646">
      <c r="G8646" s="9">
        <f t="shared" si="0"/>
      </c>
      <c r="L8646">
        <f t="shared" si="1"/>
      </c>
      <c r="M8646">
        <f t="shared" si="2"/>
      </c>
    </row>
    <row r="8647">
      <c r="G8647" s="9">
        <f t="shared" si="0"/>
      </c>
      <c r="L8647">
        <f t="shared" si="1"/>
      </c>
      <c r="M8647">
        <f t="shared" si="2"/>
      </c>
    </row>
    <row r="8648">
      <c r="G8648" s="9">
        <f t="shared" si="0"/>
      </c>
      <c r="L8648">
        <f t="shared" si="1"/>
      </c>
      <c r="M8648">
        <f t="shared" si="2"/>
      </c>
    </row>
    <row r="8649">
      <c r="G8649" s="9">
        <f t="shared" si="0"/>
      </c>
      <c r="L8649">
        <f t="shared" si="1"/>
      </c>
      <c r="M8649">
        <f t="shared" si="2"/>
      </c>
    </row>
    <row r="8650">
      <c r="G8650" s="9">
        <f t="shared" si="0"/>
      </c>
      <c r="L8650">
        <f t="shared" si="1"/>
      </c>
      <c r="M8650">
        <f t="shared" si="2"/>
      </c>
    </row>
    <row r="8651">
      <c r="G8651" s="9">
        <f t="shared" si="0"/>
      </c>
      <c r="L8651">
        <f t="shared" si="1"/>
      </c>
      <c r="M8651">
        <f t="shared" si="2"/>
      </c>
    </row>
    <row r="8652">
      <c r="G8652" s="9">
        <f t="shared" si="0"/>
      </c>
      <c r="L8652">
        <f t="shared" si="1"/>
      </c>
      <c r="M8652">
        <f t="shared" si="2"/>
      </c>
    </row>
    <row r="8653">
      <c r="G8653" s="9">
        <f t="shared" si="0"/>
      </c>
      <c r="L8653">
        <f t="shared" si="1"/>
      </c>
      <c r="M8653">
        <f t="shared" si="2"/>
      </c>
    </row>
    <row r="8654">
      <c r="G8654" s="9">
        <f t="shared" si="0"/>
      </c>
      <c r="L8654">
        <f t="shared" si="1"/>
      </c>
      <c r="M8654">
        <f t="shared" si="2"/>
      </c>
    </row>
    <row r="8655">
      <c r="G8655" s="9">
        <f t="shared" si="0"/>
      </c>
      <c r="L8655">
        <f t="shared" si="1"/>
      </c>
      <c r="M8655">
        <f t="shared" si="2"/>
      </c>
    </row>
    <row r="8656">
      <c r="G8656" s="9">
        <f t="shared" si="0"/>
      </c>
      <c r="L8656">
        <f t="shared" si="1"/>
      </c>
      <c r="M8656">
        <f t="shared" si="2"/>
      </c>
    </row>
    <row r="8657">
      <c r="G8657" s="9">
        <f t="shared" si="0"/>
      </c>
      <c r="L8657">
        <f t="shared" si="1"/>
      </c>
      <c r="M8657">
        <f t="shared" si="2"/>
      </c>
    </row>
    <row r="8658">
      <c r="G8658" s="9">
        <f t="shared" si="0"/>
      </c>
      <c r="L8658">
        <f t="shared" si="1"/>
      </c>
      <c r="M8658">
        <f t="shared" si="2"/>
      </c>
    </row>
    <row r="8659">
      <c r="G8659" s="9">
        <f t="shared" si="0"/>
      </c>
      <c r="L8659">
        <f t="shared" si="1"/>
      </c>
      <c r="M8659">
        <f t="shared" si="2"/>
      </c>
    </row>
    <row r="8660">
      <c r="G8660" s="9">
        <f t="shared" si="0"/>
      </c>
      <c r="L8660">
        <f t="shared" si="1"/>
      </c>
      <c r="M8660">
        <f t="shared" si="2"/>
      </c>
    </row>
    <row r="8661">
      <c r="G8661" s="9">
        <f t="shared" si="0"/>
      </c>
      <c r="L8661">
        <f t="shared" si="1"/>
      </c>
      <c r="M8661">
        <f t="shared" si="2"/>
      </c>
    </row>
    <row r="8662">
      <c r="G8662" s="9">
        <f t="shared" si="0"/>
      </c>
      <c r="L8662">
        <f t="shared" si="1"/>
      </c>
      <c r="M8662">
        <f t="shared" si="2"/>
      </c>
    </row>
    <row r="8663">
      <c r="G8663" s="9">
        <f t="shared" si="0"/>
      </c>
      <c r="L8663">
        <f t="shared" si="1"/>
      </c>
      <c r="M8663">
        <f t="shared" si="2"/>
      </c>
    </row>
    <row r="8664">
      <c r="G8664" s="9">
        <f t="shared" si="0"/>
      </c>
      <c r="L8664">
        <f t="shared" si="1"/>
      </c>
      <c r="M8664">
        <f t="shared" si="2"/>
      </c>
    </row>
    <row r="8665">
      <c r="G8665" s="9">
        <f t="shared" si="0"/>
      </c>
      <c r="L8665">
        <f t="shared" si="1"/>
      </c>
      <c r="M8665">
        <f t="shared" si="2"/>
      </c>
    </row>
    <row r="8666">
      <c r="G8666" s="9">
        <f t="shared" si="0"/>
      </c>
      <c r="L8666">
        <f t="shared" si="1"/>
      </c>
      <c r="M8666">
        <f t="shared" si="2"/>
      </c>
    </row>
    <row r="8667">
      <c r="G8667" s="9">
        <f t="shared" si="0"/>
      </c>
      <c r="L8667">
        <f t="shared" si="1"/>
      </c>
      <c r="M8667">
        <f t="shared" si="2"/>
      </c>
    </row>
    <row r="8668">
      <c r="G8668" s="9">
        <f t="shared" si="0"/>
      </c>
      <c r="L8668">
        <f t="shared" si="1"/>
      </c>
      <c r="M8668">
        <f t="shared" si="2"/>
      </c>
    </row>
    <row r="8669">
      <c r="G8669" s="9">
        <f t="shared" si="0"/>
      </c>
      <c r="L8669">
        <f t="shared" si="1"/>
      </c>
      <c r="M8669">
        <f t="shared" si="2"/>
      </c>
    </row>
    <row r="8670">
      <c r="G8670" s="9">
        <f t="shared" si="0"/>
      </c>
      <c r="L8670">
        <f t="shared" si="1"/>
      </c>
      <c r="M8670">
        <f t="shared" si="2"/>
      </c>
    </row>
    <row r="8671">
      <c r="G8671" s="9">
        <f t="shared" si="0"/>
      </c>
      <c r="L8671">
        <f t="shared" si="1"/>
      </c>
      <c r="M8671">
        <f t="shared" si="2"/>
      </c>
    </row>
    <row r="8672">
      <c r="G8672" s="9">
        <f t="shared" si="0"/>
      </c>
      <c r="L8672">
        <f t="shared" si="1"/>
      </c>
      <c r="M8672">
        <f t="shared" si="2"/>
      </c>
    </row>
    <row r="8673">
      <c r="G8673" s="9">
        <f t="shared" si="0"/>
      </c>
      <c r="L8673">
        <f t="shared" si="1"/>
      </c>
      <c r="M8673">
        <f t="shared" si="2"/>
      </c>
    </row>
    <row r="8674">
      <c r="G8674" s="9">
        <f t="shared" si="0"/>
      </c>
      <c r="L8674">
        <f t="shared" si="1"/>
      </c>
      <c r="M8674">
        <f t="shared" si="2"/>
      </c>
    </row>
    <row r="8675">
      <c r="G8675" s="9">
        <f t="shared" si="0"/>
      </c>
      <c r="L8675">
        <f t="shared" si="1"/>
      </c>
      <c r="M8675">
        <f t="shared" si="2"/>
      </c>
    </row>
    <row r="8676">
      <c r="G8676" s="9">
        <f t="shared" si="0"/>
      </c>
      <c r="L8676">
        <f t="shared" si="1"/>
      </c>
      <c r="M8676">
        <f t="shared" si="2"/>
      </c>
    </row>
    <row r="8677">
      <c r="G8677" s="9">
        <f t="shared" si="0"/>
      </c>
      <c r="L8677">
        <f t="shared" si="1"/>
      </c>
      <c r="M8677">
        <f t="shared" si="2"/>
      </c>
    </row>
    <row r="8678">
      <c r="G8678" s="9">
        <f t="shared" si="0"/>
      </c>
      <c r="L8678">
        <f t="shared" si="1"/>
      </c>
      <c r="M8678">
        <f t="shared" si="2"/>
      </c>
    </row>
    <row r="8679">
      <c r="G8679" s="9">
        <f t="shared" si="0"/>
      </c>
      <c r="L8679">
        <f t="shared" si="1"/>
      </c>
      <c r="M8679">
        <f t="shared" si="2"/>
      </c>
    </row>
    <row r="8680">
      <c r="G8680" s="9">
        <f t="shared" si="0"/>
      </c>
      <c r="L8680">
        <f t="shared" si="1"/>
      </c>
      <c r="M8680">
        <f t="shared" si="2"/>
      </c>
    </row>
    <row r="8681">
      <c r="G8681" s="9">
        <f t="shared" si="0"/>
      </c>
      <c r="L8681">
        <f t="shared" si="1"/>
      </c>
      <c r="M8681">
        <f t="shared" si="2"/>
      </c>
    </row>
    <row r="8682">
      <c r="G8682" s="9">
        <f t="shared" si="0"/>
      </c>
      <c r="L8682">
        <f t="shared" si="1"/>
      </c>
      <c r="M8682">
        <f t="shared" si="2"/>
      </c>
    </row>
    <row r="8683">
      <c r="G8683" s="9">
        <f t="shared" si="0"/>
      </c>
      <c r="L8683">
        <f t="shared" si="1"/>
      </c>
      <c r="M8683">
        <f t="shared" si="2"/>
      </c>
    </row>
    <row r="8684">
      <c r="G8684" s="9">
        <f t="shared" si="0"/>
      </c>
      <c r="L8684">
        <f t="shared" si="1"/>
      </c>
      <c r="M8684">
        <f t="shared" si="2"/>
      </c>
    </row>
    <row r="8685">
      <c r="G8685" s="9">
        <f t="shared" si="0"/>
      </c>
      <c r="L8685">
        <f t="shared" si="1"/>
      </c>
      <c r="M8685">
        <f t="shared" si="2"/>
      </c>
    </row>
    <row r="8686">
      <c r="G8686" s="9">
        <f t="shared" si="0"/>
      </c>
      <c r="L8686">
        <f t="shared" si="1"/>
      </c>
      <c r="M8686">
        <f t="shared" si="2"/>
      </c>
    </row>
    <row r="8687">
      <c r="G8687" s="9">
        <f t="shared" si="0"/>
      </c>
      <c r="L8687">
        <f t="shared" si="1"/>
      </c>
      <c r="M8687">
        <f t="shared" si="2"/>
      </c>
    </row>
    <row r="8688">
      <c r="G8688" s="9">
        <f t="shared" si="0"/>
      </c>
      <c r="L8688">
        <f t="shared" si="1"/>
      </c>
      <c r="M8688">
        <f t="shared" si="2"/>
      </c>
    </row>
    <row r="8689">
      <c r="G8689" s="9">
        <f t="shared" si="0"/>
      </c>
      <c r="L8689">
        <f t="shared" si="1"/>
      </c>
      <c r="M8689">
        <f t="shared" si="2"/>
      </c>
    </row>
    <row r="8690">
      <c r="G8690" s="9">
        <f t="shared" si="0"/>
      </c>
      <c r="L8690">
        <f t="shared" si="1"/>
      </c>
      <c r="M8690">
        <f t="shared" si="2"/>
      </c>
    </row>
    <row r="8691">
      <c r="G8691" s="9">
        <f t="shared" si="0"/>
      </c>
      <c r="L8691">
        <f t="shared" si="1"/>
      </c>
      <c r="M8691">
        <f t="shared" si="2"/>
      </c>
    </row>
    <row r="8692">
      <c r="G8692" s="9">
        <f t="shared" si="0"/>
      </c>
      <c r="L8692">
        <f t="shared" si="1"/>
      </c>
      <c r="M8692">
        <f t="shared" si="2"/>
      </c>
    </row>
    <row r="8693">
      <c r="G8693" s="9">
        <f t="shared" si="0"/>
      </c>
      <c r="L8693">
        <f t="shared" si="1"/>
      </c>
      <c r="M8693">
        <f t="shared" si="2"/>
      </c>
    </row>
    <row r="8694">
      <c r="G8694" s="9">
        <f t="shared" si="0"/>
      </c>
      <c r="L8694">
        <f t="shared" si="1"/>
      </c>
      <c r="M8694">
        <f t="shared" si="2"/>
      </c>
    </row>
    <row r="8695">
      <c r="G8695" s="9">
        <f t="shared" si="0"/>
      </c>
      <c r="L8695">
        <f t="shared" si="1"/>
      </c>
      <c r="M8695">
        <f t="shared" si="2"/>
      </c>
    </row>
    <row r="8696">
      <c r="G8696" s="9">
        <f t="shared" si="0"/>
      </c>
      <c r="L8696">
        <f t="shared" si="1"/>
      </c>
      <c r="M8696">
        <f t="shared" si="2"/>
      </c>
    </row>
    <row r="8697">
      <c r="G8697" s="9">
        <f t="shared" si="0"/>
      </c>
      <c r="L8697">
        <f t="shared" si="1"/>
      </c>
      <c r="M8697">
        <f t="shared" si="2"/>
      </c>
    </row>
    <row r="8698">
      <c r="G8698" s="9">
        <f t="shared" si="0"/>
      </c>
      <c r="L8698">
        <f t="shared" si="1"/>
      </c>
      <c r="M8698">
        <f t="shared" si="2"/>
      </c>
    </row>
    <row r="8699">
      <c r="G8699" s="9">
        <f t="shared" si="0"/>
      </c>
      <c r="L8699">
        <f t="shared" si="1"/>
      </c>
      <c r="M8699">
        <f t="shared" si="2"/>
      </c>
    </row>
    <row r="8700">
      <c r="G8700" s="9">
        <f t="shared" si="0"/>
      </c>
      <c r="L8700">
        <f t="shared" si="1"/>
      </c>
      <c r="M8700">
        <f t="shared" si="2"/>
      </c>
    </row>
    <row r="8701">
      <c r="G8701" s="9">
        <f t="shared" si="0"/>
      </c>
      <c r="L8701">
        <f t="shared" si="1"/>
      </c>
      <c r="M8701">
        <f t="shared" si="2"/>
      </c>
    </row>
    <row r="8702">
      <c r="G8702" s="9">
        <f t="shared" si="0"/>
      </c>
      <c r="L8702">
        <f t="shared" si="1"/>
      </c>
      <c r="M8702">
        <f t="shared" si="2"/>
      </c>
    </row>
    <row r="8703">
      <c r="G8703" s="9">
        <f t="shared" si="0"/>
      </c>
      <c r="L8703">
        <f t="shared" si="1"/>
      </c>
      <c r="M8703">
        <f t="shared" si="2"/>
      </c>
    </row>
    <row r="8704">
      <c r="G8704" s="9">
        <f t="shared" si="0"/>
      </c>
      <c r="L8704">
        <f t="shared" si="1"/>
      </c>
      <c r="M8704">
        <f t="shared" si="2"/>
      </c>
    </row>
    <row r="8705">
      <c r="G8705" s="9">
        <f t="shared" si="0"/>
      </c>
      <c r="L8705">
        <f t="shared" si="1"/>
      </c>
      <c r="M8705">
        <f t="shared" si="2"/>
      </c>
    </row>
    <row r="8706">
      <c r="G8706" s="9">
        <f t="shared" si="0"/>
      </c>
      <c r="L8706">
        <f t="shared" si="1"/>
      </c>
      <c r="M8706">
        <f t="shared" si="2"/>
      </c>
    </row>
    <row r="8707">
      <c r="G8707" s="9">
        <f t="shared" si="0"/>
      </c>
      <c r="L8707">
        <f t="shared" si="1"/>
      </c>
      <c r="M8707">
        <f t="shared" si="2"/>
      </c>
    </row>
    <row r="8708">
      <c r="G8708" s="9">
        <f t="shared" si="0"/>
      </c>
      <c r="L8708">
        <f t="shared" si="1"/>
      </c>
      <c r="M8708">
        <f t="shared" si="2"/>
      </c>
    </row>
    <row r="8709">
      <c r="G8709" s="9">
        <f t="shared" si="0"/>
      </c>
      <c r="L8709">
        <f t="shared" si="1"/>
      </c>
      <c r="M8709">
        <f t="shared" si="2"/>
      </c>
    </row>
    <row r="8710">
      <c r="G8710" s="9">
        <f t="shared" si="0"/>
      </c>
      <c r="L8710">
        <f t="shared" si="1"/>
      </c>
      <c r="M8710">
        <f t="shared" si="2"/>
      </c>
    </row>
    <row r="8711">
      <c r="G8711" s="9">
        <f t="shared" si="0"/>
      </c>
      <c r="L8711">
        <f t="shared" si="1"/>
      </c>
      <c r="M8711">
        <f t="shared" si="2"/>
      </c>
    </row>
    <row r="8712">
      <c r="G8712" s="9">
        <f t="shared" si="0"/>
      </c>
      <c r="L8712">
        <f t="shared" si="1"/>
      </c>
      <c r="M8712">
        <f t="shared" si="2"/>
      </c>
    </row>
    <row r="8713">
      <c r="G8713" s="9">
        <f t="shared" si="0"/>
      </c>
      <c r="L8713">
        <f t="shared" si="1"/>
      </c>
      <c r="M8713">
        <f t="shared" si="2"/>
      </c>
    </row>
    <row r="8714">
      <c r="G8714" s="9">
        <f t="shared" si="0"/>
      </c>
      <c r="L8714">
        <f t="shared" si="1"/>
      </c>
      <c r="M8714">
        <f t="shared" si="2"/>
      </c>
    </row>
    <row r="8715">
      <c r="G8715" s="9">
        <f t="shared" si="0"/>
      </c>
      <c r="L8715">
        <f t="shared" si="1"/>
      </c>
      <c r="M8715">
        <f t="shared" si="2"/>
      </c>
    </row>
    <row r="8716">
      <c r="G8716" s="9">
        <f t="shared" si="0"/>
      </c>
      <c r="L8716">
        <f t="shared" si="1"/>
      </c>
      <c r="M8716">
        <f t="shared" si="2"/>
      </c>
    </row>
    <row r="8717">
      <c r="G8717" s="9">
        <f t="shared" si="0"/>
      </c>
      <c r="L8717">
        <f t="shared" si="1"/>
      </c>
      <c r="M8717">
        <f t="shared" si="2"/>
      </c>
    </row>
    <row r="8718">
      <c r="G8718" s="9">
        <f t="shared" si="0"/>
      </c>
      <c r="L8718">
        <f t="shared" si="1"/>
      </c>
      <c r="M8718">
        <f t="shared" si="2"/>
      </c>
    </row>
    <row r="8719">
      <c r="G8719" s="9">
        <f t="shared" si="0"/>
      </c>
      <c r="L8719">
        <f t="shared" si="1"/>
      </c>
      <c r="M8719">
        <f t="shared" si="2"/>
      </c>
    </row>
    <row r="8720">
      <c r="G8720" s="9">
        <f t="shared" si="0"/>
      </c>
      <c r="L8720">
        <f t="shared" si="1"/>
      </c>
      <c r="M8720">
        <f t="shared" si="2"/>
      </c>
    </row>
    <row r="8721">
      <c r="G8721" s="9">
        <f t="shared" si="0"/>
      </c>
      <c r="L8721">
        <f t="shared" si="1"/>
      </c>
      <c r="M8721">
        <f t="shared" si="2"/>
      </c>
    </row>
    <row r="8722">
      <c r="G8722" s="9">
        <f t="shared" si="0"/>
      </c>
      <c r="L8722">
        <f t="shared" si="1"/>
      </c>
      <c r="M8722">
        <f t="shared" si="2"/>
      </c>
    </row>
    <row r="8723">
      <c r="G8723" s="9">
        <f t="shared" si="0"/>
      </c>
      <c r="L8723">
        <f t="shared" si="1"/>
      </c>
      <c r="M8723">
        <f t="shared" si="2"/>
      </c>
    </row>
    <row r="8724">
      <c r="G8724" s="9">
        <f t="shared" si="0"/>
      </c>
      <c r="L8724">
        <f t="shared" si="1"/>
      </c>
      <c r="M8724">
        <f t="shared" si="2"/>
      </c>
    </row>
    <row r="8725">
      <c r="G8725" s="9">
        <f t="shared" si="0"/>
      </c>
      <c r="L8725">
        <f t="shared" si="1"/>
      </c>
      <c r="M8725">
        <f t="shared" si="2"/>
      </c>
    </row>
    <row r="8726">
      <c r="G8726" s="9">
        <f t="shared" si="0"/>
      </c>
      <c r="L8726">
        <f t="shared" si="1"/>
      </c>
      <c r="M8726">
        <f t="shared" si="2"/>
      </c>
    </row>
    <row r="8727">
      <c r="G8727" s="9">
        <f t="shared" si="0"/>
      </c>
      <c r="L8727">
        <f t="shared" si="1"/>
      </c>
      <c r="M8727">
        <f t="shared" si="2"/>
      </c>
    </row>
    <row r="8728">
      <c r="G8728" s="9">
        <f t="shared" si="0"/>
      </c>
      <c r="L8728">
        <f t="shared" si="1"/>
      </c>
      <c r="M8728">
        <f t="shared" si="2"/>
      </c>
    </row>
    <row r="8729">
      <c r="G8729" s="9">
        <f t="shared" si="0"/>
      </c>
      <c r="L8729">
        <f t="shared" si="1"/>
      </c>
      <c r="M8729">
        <f t="shared" si="2"/>
      </c>
    </row>
    <row r="8730">
      <c r="G8730" s="9">
        <f t="shared" si="0"/>
      </c>
      <c r="L8730">
        <f t="shared" si="1"/>
      </c>
      <c r="M8730">
        <f t="shared" si="2"/>
      </c>
    </row>
    <row r="8731">
      <c r="G8731" s="9">
        <f t="shared" si="0"/>
      </c>
      <c r="L8731">
        <f t="shared" si="1"/>
      </c>
      <c r="M8731">
        <f t="shared" si="2"/>
      </c>
    </row>
    <row r="8732">
      <c r="G8732" s="9">
        <f t="shared" si="0"/>
      </c>
      <c r="L8732">
        <f t="shared" si="1"/>
      </c>
      <c r="M8732">
        <f t="shared" si="2"/>
      </c>
    </row>
    <row r="8733">
      <c r="G8733" s="9">
        <f t="shared" si="0"/>
      </c>
      <c r="L8733">
        <f t="shared" si="1"/>
      </c>
      <c r="M8733">
        <f t="shared" si="2"/>
      </c>
    </row>
    <row r="8734">
      <c r="G8734" s="9">
        <f t="shared" si="0"/>
      </c>
      <c r="L8734">
        <f t="shared" si="1"/>
      </c>
      <c r="M8734">
        <f t="shared" si="2"/>
      </c>
    </row>
    <row r="8735">
      <c r="G8735" s="9">
        <f t="shared" si="0"/>
      </c>
      <c r="L8735">
        <f t="shared" si="1"/>
      </c>
      <c r="M8735">
        <f t="shared" si="2"/>
      </c>
    </row>
    <row r="8736">
      <c r="G8736" s="9">
        <f t="shared" si="0"/>
      </c>
      <c r="L8736">
        <f t="shared" si="1"/>
      </c>
      <c r="M8736">
        <f t="shared" si="2"/>
      </c>
    </row>
    <row r="8737">
      <c r="G8737" s="9">
        <f t="shared" si="0"/>
      </c>
      <c r="L8737">
        <f t="shared" si="1"/>
      </c>
      <c r="M8737">
        <f t="shared" si="2"/>
      </c>
    </row>
    <row r="8738">
      <c r="G8738" s="9">
        <f t="shared" si="0"/>
      </c>
      <c r="L8738">
        <f t="shared" si="1"/>
      </c>
      <c r="M8738">
        <f t="shared" si="2"/>
      </c>
    </row>
    <row r="8739">
      <c r="G8739" s="9">
        <f t="shared" si="0"/>
      </c>
      <c r="L8739">
        <f t="shared" si="1"/>
      </c>
      <c r="M8739">
        <f t="shared" si="2"/>
      </c>
    </row>
    <row r="8740">
      <c r="G8740" s="9">
        <f t="shared" si="0"/>
      </c>
      <c r="L8740">
        <f t="shared" si="1"/>
      </c>
      <c r="M8740">
        <f t="shared" si="2"/>
      </c>
    </row>
    <row r="8741">
      <c r="G8741" s="9">
        <f t="shared" si="0"/>
      </c>
      <c r="L8741">
        <f t="shared" si="1"/>
      </c>
      <c r="M8741">
        <f t="shared" si="2"/>
      </c>
    </row>
    <row r="8742">
      <c r="G8742" s="9">
        <f t="shared" si="0"/>
      </c>
      <c r="L8742">
        <f t="shared" si="1"/>
      </c>
      <c r="M8742">
        <f t="shared" si="2"/>
      </c>
    </row>
    <row r="8743">
      <c r="G8743" s="9">
        <f t="shared" si="0"/>
      </c>
      <c r="L8743">
        <f t="shared" si="1"/>
      </c>
      <c r="M8743">
        <f t="shared" si="2"/>
      </c>
    </row>
    <row r="8744">
      <c r="G8744" s="9">
        <f t="shared" si="0"/>
      </c>
      <c r="L8744">
        <f t="shared" si="1"/>
      </c>
      <c r="M8744">
        <f t="shared" si="2"/>
      </c>
    </row>
    <row r="8745">
      <c r="G8745" s="9">
        <f t="shared" si="0"/>
      </c>
      <c r="L8745">
        <f t="shared" si="1"/>
      </c>
      <c r="M8745">
        <f t="shared" si="2"/>
      </c>
    </row>
    <row r="8746">
      <c r="G8746" s="9">
        <f t="shared" si="0"/>
      </c>
      <c r="L8746">
        <f t="shared" si="1"/>
      </c>
      <c r="M8746">
        <f t="shared" si="2"/>
      </c>
    </row>
    <row r="8747">
      <c r="G8747" s="9">
        <f t="shared" si="0"/>
      </c>
      <c r="L8747">
        <f t="shared" si="1"/>
      </c>
      <c r="M8747">
        <f t="shared" si="2"/>
      </c>
    </row>
    <row r="8748">
      <c r="G8748" s="9">
        <f t="shared" si="0"/>
      </c>
      <c r="L8748">
        <f t="shared" si="1"/>
      </c>
      <c r="M8748">
        <f t="shared" si="2"/>
      </c>
    </row>
    <row r="8749">
      <c r="G8749" s="9">
        <f t="shared" si="0"/>
      </c>
      <c r="L8749">
        <f t="shared" si="1"/>
      </c>
      <c r="M8749">
        <f t="shared" si="2"/>
      </c>
    </row>
    <row r="8750">
      <c r="G8750" s="9">
        <f t="shared" si="0"/>
      </c>
      <c r="L8750">
        <f t="shared" si="1"/>
      </c>
      <c r="M8750">
        <f t="shared" si="2"/>
      </c>
    </row>
    <row r="8751">
      <c r="G8751" s="9">
        <f t="shared" si="0"/>
      </c>
      <c r="L8751">
        <f t="shared" si="1"/>
      </c>
      <c r="M8751">
        <f t="shared" si="2"/>
      </c>
    </row>
    <row r="8752">
      <c r="G8752" s="9">
        <f t="shared" si="0"/>
      </c>
      <c r="L8752">
        <f t="shared" si="1"/>
      </c>
      <c r="M8752">
        <f t="shared" si="2"/>
      </c>
    </row>
    <row r="8753">
      <c r="G8753" s="9">
        <f t="shared" si="0"/>
      </c>
      <c r="L8753">
        <f t="shared" si="1"/>
      </c>
      <c r="M8753">
        <f t="shared" si="2"/>
      </c>
    </row>
    <row r="8754">
      <c r="G8754" s="9">
        <f t="shared" si="0"/>
      </c>
      <c r="L8754">
        <f t="shared" si="1"/>
      </c>
      <c r="M8754">
        <f t="shared" si="2"/>
      </c>
    </row>
    <row r="8755">
      <c r="G8755" s="9">
        <f t="shared" si="0"/>
      </c>
      <c r="L8755">
        <f t="shared" si="1"/>
      </c>
      <c r="M8755">
        <f t="shared" si="2"/>
      </c>
    </row>
    <row r="8756">
      <c r="G8756" s="9">
        <f t="shared" si="0"/>
      </c>
      <c r="L8756">
        <f t="shared" si="1"/>
      </c>
      <c r="M8756">
        <f t="shared" si="2"/>
      </c>
    </row>
    <row r="8757">
      <c r="G8757" s="9">
        <f t="shared" si="0"/>
      </c>
      <c r="L8757">
        <f t="shared" si="1"/>
      </c>
      <c r="M8757">
        <f t="shared" si="2"/>
      </c>
    </row>
    <row r="8758">
      <c r="G8758" s="9">
        <f t="shared" si="0"/>
      </c>
      <c r="L8758">
        <f t="shared" si="1"/>
      </c>
      <c r="M8758">
        <f t="shared" si="2"/>
      </c>
    </row>
    <row r="8759">
      <c r="G8759" s="9">
        <f t="shared" si="0"/>
      </c>
      <c r="L8759">
        <f t="shared" si="1"/>
      </c>
      <c r="M8759">
        <f t="shared" si="2"/>
      </c>
    </row>
    <row r="8760">
      <c r="G8760" s="9">
        <f t="shared" si="0"/>
      </c>
      <c r="L8760">
        <f t="shared" si="1"/>
      </c>
      <c r="M8760">
        <f t="shared" si="2"/>
      </c>
    </row>
    <row r="8761">
      <c r="G8761" s="9">
        <f t="shared" si="0"/>
      </c>
      <c r="L8761">
        <f t="shared" si="1"/>
      </c>
      <c r="M8761">
        <f t="shared" si="2"/>
      </c>
    </row>
    <row r="8762">
      <c r="G8762" s="9">
        <f t="shared" si="0"/>
      </c>
      <c r="L8762">
        <f t="shared" si="1"/>
      </c>
      <c r="M8762">
        <f t="shared" si="2"/>
      </c>
    </row>
    <row r="8763">
      <c r="G8763" s="9">
        <f t="shared" si="0"/>
      </c>
      <c r="L8763">
        <f t="shared" si="1"/>
      </c>
      <c r="M8763">
        <f t="shared" si="2"/>
      </c>
    </row>
    <row r="8764">
      <c r="G8764" s="9">
        <f t="shared" si="0"/>
      </c>
      <c r="L8764">
        <f t="shared" si="1"/>
      </c>
      <c r="M8764">
        <f t="shared" si="2"/>
      </c>
    </row>
    <row r="8765">
      <c r="G8765" s="9">
        <f t="shared" si="0"/>
      </c>
      <c r="L8765">
        <f t="shared" si="1"/>
      </c>
      <c r="M8765">
        <f t="shared" si="2"/>
      </c>
    </row>
    <row r="8766">
      <c r="G8766" s="9">
        <f t="shared" si="0"/>
      </c>
      <c r="L8766">
        <f t="shared" si="1"/>
      </c>
      <c r="M8766">
        <f t="shared" si="2"/>
      </c>
    </row>
    <row r="8767">
      <c r="G8767" s="9">
        <f t="shared" si="0"/>
      </c>
      <c r="L8767">
        <f t="shared" si="1"/>
      </c>
      <c r="M8767">
        <f t="shared" si="2"/>
      </c>
    </row>
    <row r="8768">
      <c r="G8768" s="9">
        <f t="shared" si="0"/>
      </c>
      <c r="L8768">
        <f t="shared" si="1"/>
      </c>
      <c r="M8768">
        <f t="shared" si="2"/>
      </c>
    </row>
    <row r="8769">
      <c r="G8769" s="9">
        <f t="shared" si="0"/>
      </c>
      <c r="L8769">
        <f t="shared" si="1"/>
      </c>
      <c r="M8769">
        <f t="shared" si="2"/>
      </c>
    </row>
    <row r="8770">
      <c r="G8770" s="9">
        <f t="shared" si="0"/>
      </c>
      <c r="L8770">
        <f t="shared" si="1"/>
      </c>
      <c r="M8770">
        <f t="shared" si="2"/>
      </c>
    </row>
    <row r="8771">
      <c r="G8771" s="9">
        <f t="shared" si="0"/>
      </c>
      <c r="L8771">
        <f t="shared" si="1"/>
      </c>
      <c r="M8771">
        <f t="shared" si="2"/>
      </c>
    </row>
    <row r="8772">
      <c r="G8772" s="9">
        <f t="shared" si="0"/>
      </c>
      <c r="L8772">
        <f t="shared" si="1"/>
      </c>
      <c r="M8772">
        <f t="shared" si="2"/>
      </c>
    </row>
    <row r="8773">
      <c r="G8773" s="9">
        <f t="shared" si="0"/>
      </c>
      <c r="L8773">
        <f t="shared" si="1"/>
      </c>
      <c r="M8773">
        <f t="shared" si="2"/>
      </c>
    </row>
    <row r="8774">
      <c r="G8774" s="9">
        <f t="shared" si="0"/>
      </c>
      <c r="L8774">
        <f t="shared" si="1"/>
      </c>
      <c r="M8774">
        <f t="shared" si="2"/>
      </c>
    </row>
    <row r="8775">
      <c r="G8775" s="9">
        <f t="shared" si="0"/>
      </c>
      <c r="L8775">
        <f t="shared" si="1"/>
      </c>
      <c r="M8775">
        <f t="shared" si="2"/>
      </c>
    </row>
    <row r="8776">
      <c r="G8776" s="9">
        <f t="shared" si="0"/>
      </c>
      <c r="L8776">
        <f t="shared" si="1"/>
      </c>
      <c r="M8776">
        <f t="shared" si="2"/>
      </c>
    </row>
    <row r="8777">
      <c r="G8777" s="9">
        <f t="shared" si="0"/>
      </c>
      <c r="L8777">
        <f t="shared" si="1"/>
      </c>
      <c r="M8777">
        <f t="shared" si="2"/>
      </c>
    </row>
    <row r="8778">
      <c r="G8778" s="9">
        <f t="shared" si="0"/>
      </c>
      <c r="L8778">
        <f t="shared" si="1"/>
      </c>
      <c r="M8778">
        <f t="shared" si="2"/>
      </c>
    </row>
    <row r="8779">
      <c r="G8779" s="9">
        <f t="shared" si="0"/>
      </c>
      <c r="L8779">
        <f t="shared" si="1"/>
      </c>
      <c r="M8779">
        <f t="shared" si="2"/>
      </c>
    </row>
    <row r="8780">
      <c r="G8780" s="9">
        <f t="shared" si="0"/>
      </c>
      <c r="L8780">
        <f t="shared" si="1"/>
      </c>
      <c r="M8780">
        <f t="shared" si="2"/>
      </c>
    </row>
    <row r="8781">
      <c r="G8781" s="9">
        <f t="shared" si="0"/>
      </c>
      <c r="L8781">
        <f t="shared" si="1"/>
      </c>
      <c r="M8781">
        <f t="shared" si="2"/>
      </c>
    </row>
    <row r="8782">
      <c r="G8782" s="9">
        <f t="shared" si="0"/>
      </c>
      <c r="L8782">
        <f t="shared" si="1"/>
      </c>
      <c r="M8782">
        <f t="shared" si="2"/>
      </c>
    </row>
    <row r="8783">
      <c r="G8783" s="9">
        <f t="shared" si="0"/>
      </c>
      <c r="L8783">
        <f t="shared" si="1"/>
      </c>
      <c r="M8783">
        <f t="shared" si="2"/>
      </c>
    </row>
    <row r="8784">
      <c r="G8784" s="9">
        <f t="shared" si="0"/>
      </c>
      <c r="L8784">
        <f t="shared" si="1"/>
      </c>
      <c r="M8784">
        <f t="shared" si="2"/>
      </c>
    </row>
    <row r="8785">
      <c r="G8785" s="9">
        <f t="shared" si="0"/>
      </c>
      <c r="L8785">
        <f t="shared" si="1"/>
      </c>
      <c r="M8785">
        <f t="shared" si="2"/>
      </c>
    </row>
    <row r="8786">
      <c r="G8786" s="9">
        <f t="shared" si="0"/>
      </c>
      <c r="L8786">
        <f t="shared" si="1"/>
      </c>
      <c r="M8786">
        <f t="shared" si="2"/>
      </c>
    </row>
    <row r="8787">
      <c r="G8787" s="9">
        <f t="shared" si="0"/>
      </c>
      <c r="L8787">
        <f t="shared" si="1"/>
      </c>
      <c r="M8787">
        <f t="shared" si="2"/>
      </c>
    </row>
    <row r="8788">
      <c r="G8788" s="9">
        <f t="shared" si="0"/>
      </c>
      <c r="L8788">
        <f t="shared" si="1"/>
      </c>
      <c r="M8788">
        <f t="shared" si="2"/>
      </c>
    </row>
    <row r="8789">
      <c r="G8789" s="9">
        <f t="shared" si="0"/>
      </c>
      <c r="L8789">
        <f t="shared" si="1"/>
      </c>
      <c r="M8789">
        <f t="shared" si="2"/>
      </c>
    </row>
    <row r="8790">
      <c r="G8790" s="9">
        <f t="shared" si="0"/>
      </c>
      <c r="L8790">
        <f t="shared" si="1"/>
      </c>
      <c r="M8790">
        <f t="shared" si="2"/>
      </c>
    </row>
    <row r="8791">
      <c r="G8791" s="9">
        <f t="shared" si="0"/>
      </c>
      <c r="L8791">
        <f t="shared" si="1"/>
      </c>
      <c r="M8791">
        <f t="shared" si="2"/>
      </c>
    </row>
    <row r="8792">
      <c r="G8792" s="9">
        <f t="shared" si="0"/>
      </c>
      <c r="L8792">
        <f t="shared" si="1"/>
      </c>
      <c r="M8792">
        <f t="shared" si="2"/>
      </c>
    </row>
    <row r="8793">
      <c r="G8793" s="9">
        <f t="shared" si="0"/>
      </c>
      <c r="L8793">
        <f t="shared" si="1"/>
      </c>
      <c r="M8793">
        <f t="shared" si="2"/>
      </c>
    </row>
    <row r="8794">
      <c r="G8794" s="9">
        <f t="shared" si="0"/>
      </c>
      <c r="L8794">
        <f t="shared" si="1"/>
      </c>
      <c r="M8794">
        <f t="shared" si="2"/>
      </c>
    </row>
    <row r="8795">
      <c r="G8795" s="9">
        <f t="shared" si="0"/>
      </c>
      <c r="L8795">
        <f t="shared" si="1"/>
      </c>
      <c r="M8795">
        <f t="shared" si="2"/>
      </c>
    </row>
    <row r="8796">
      <c r="G8796" s="9">
        <f t="shared" si="0"/>
      </c>
      <c r="L8796">
        <f t="shared" si="1"/>
      </c>
      <c r="M8796">
        <f t="shared" si="2"/>
      </c>
    </row>
    <row r="8797">
      <c r="G8797" s="9">
        <f t="shared" si="0"/>
      </c>
      <c r="L8797">
        <f t="shared" si="1"/>
      </c>
      <c r="M8797">
        <f t="shared" si="2"/>
      </c>
    </row>
    <row r="8798">
      <c r="G8798" s="9">
        <f t="shared" si="0"/>
      </c>
      <c r="L8798">
        <f t="shared" si="1"/>
      </c>
      <c r="M8798">
        <f t="shared" si="2"/>
      </c>
    </row>
    <row r="8799">
      <c r="G8799" s="9">
        <f t="shared" si="0"/>
      </c>
      <c r="L8799">
        <f t="shared" si="1"/>
      </c>
      <c r="M8799">
        <f t="shared" si="2"/>
      </c>
    </row>
    <row r="8800">
      <c r="G8800" s="9">
        <f t="shared" si="0"/>
      </c>
      <c r="L8800">
        <f t="shared" si="1"/>
      </c>
      <c r="M8800">
        <f t="shared" si="2"/>
      </c>
    </row>
    <row r="8801">
      <c r="G8801" s="9">
        <f t="shared" si="0"/>
      </c>
      <c r="L8801">
        <f t="shared" si="1"/>
      </c>
      <c r="M8801">
        <f t="shared" si="2"/>
      </c>
    </row>
    <row r="8802">
      <c r="G8802" s="9">
        <f t="shared" si="0"/>
      </c>
      <c r="L8802">
        <f t="shared" si="1"/>
      </c>
      <c r="M8802">
        <f t="shared" si="2"/>
      </c>
    </row>
    <row r="8803">
      <c r="G8803" s="9">
        <f t="shared" si="0"/>
      </c>
      <c r="L8803">
        <f t="shared" si="1"/>
      </c>
      <c r="M8803">
        <f t="shared" si="2"/>
      </c>
    </row>
    <row r="8804">
      <c r="G8804" s="9">
        <f t="shared" si="0"/>
      </c>
      <c r="L8804">
        <f t="shared" si="1"/>
      </c>
      <c r="M8804">
        <f t="shared" si="2"/>
      </c>
    </row>
    <row r="8805">
      <c r="G8805" s="9">
        <f t="shared" si="0"/>
      </c>
      <c r="L8805">
        <f t="shared" si="1"/>
      </c>
      <c r="M8805">
        <f t="shared" si="2"/>
      </c>
    </row>
    <row r="8806">
      <c r="G8806" s="9">
        <f t="shared" si="0"/>
      </c>
      <c r="L8806">
        <f t="shared" si="1"/>
      </c>
      <c r="M8806">
        <f t="shared" si="2"/>
      </c>
    </row>
    <row r="8807">
      <c r="G8807" s="9">
        <f t="shared" si="0"/>
      </c>
      <c r="L8807">
        <f t="shared" si="1"/>
      </c>
      <c r="M8807">
        <f t="shared" si="2"/>
      </c>
    </row>
    <row r="8808">
      <c r="G8808" s="9">
        <f t="shared" si="0"/>
      </c>
      <c r="L8808">
        <f t="shared" si="1"/>
      </c>
      <c r="M8808">
        <f t="shared" si="2"/>
      </c>
    </row>
    <row r="8809">
      <c r="G8809" s="9">
        <f t="shared" si="0"/>
      </c>
      <c r="L8809">
        <f t="shared" si="1"/>
      </c>
      <c r="M8809">
        <f t="shared" si="2"/>
      </c>
    </row>
    <row r="8810">
      <c r="G8810" s="9">
        <f t="shared" si="0"/>
      </c>
      <c r="L8810">
        <f t="shared" si="1"/>
      </c>
      <c r="M8810">
        <f t="shared" si="2"/>
      </c>
    </row>
    <row r="8811">
      <c r="G8811" s="9">
        <f t="shared" si="0"/>
      </c>
      <c r="L8811">
        <f t="shared" si="1"/>
      </c>
      <c r="M8811">
        <f t="shared" si="2"/>
      </c>
    </row>
    <row r="8812">
      <c r="G8812" s="9">
        <f t="shared" si="0"/>
      </c>
      <c r="L8812">
        <f t="shared" si="1"/>
      </c>
      <c r="M8812">
        <f t="shared" si="2"/>
      </c>
    </row>
    <row r="8813">
      <c r="G8813" s="9">
        <f t="shared" si="0"/>
      </c>
      <c r="L8813">
        <f t="shared" si="1"/>
      </c>
      <c r="M8813">
        <f t="shared" si="2"/>
      </c>
    </row>
    <row r="8814">
      <c r="G8814" s="9">
        <f t="shared" si="0"/>
      </c>
      <c r="L8814">
        <f t="shared" si="1"/>
      </c>
      <c r="M8814">
        <f t="shared" si="2"/>
      </c>
    </row>
    <row r="8815">
      <c r="G8815" s="9">
        <f t="shared" si="0"/>
      </c>
      <c r="L8815">
        <f t="shared" si="1"/>
      </c>
      <c r="M8815">
        <f t="shared" si="2"/>
      </c>
    </row>
    <row r="8816">
      <c r="G8816" s="9">
        <f t="shared" si="0"/>
      </c>
      <c r="L8816">
        <f t="shared" si="1"/>
      </c>
      <c r="M8816">
        <f t="shared" si="2"/>
      </c>
    </row>
    <row r="8817">
      <c r="G8817" s="9">
        <f t="shared" si="0"/>
      </c>
      <c r="L8817">
        <f t="shared" si="1"/>
      </c>
      <c r="M8817">
        <f t="shared" si="2"/>
      </c>
    </row>
    <row r="8818">
      <c r="G8818" s="9">
        <f t="shared" si="0"/>
      </c>
      <c r="L8818">
        <f t="shared" si="1"/>
      </c>
      <c r="M8818">
        <f t="shared" si="2"/>
      </c>
    </row>
    <row r="8819">
      <c r="G8819" s="9">
        <f t="shared" si="0"/>
      </c>
      <c r="L8819">
        <f t="shared" si="1"/>
      </c>
      <c r="M8819">
        <f t="shared" si="2"/>
      </c>
    </row>
    <row r="8820">
      <c r="G8820" s="9">
        <f t="shared" si="0"/>
      </c>
      <c r="L8820">
        <f t="shared" si="1"/>
      </c>
      <c r="M8820">
        <f t="shared" si="2"/>
      </c>
    </row>
    <row r="8821">
      <c r="G8821" s="9">
        <f t="shared" si="0"/>
      </c>
      <c r="L8821">
        <f t="shared" si="1"/>
      </c>
      <c r="M8821">
        <f t="shared" si="2"/>
      </c>
    </row>
    <row r="8822">
      <c r="G8822" s="9">
        <f t="shared" si="0"/>
      </c>
      <c r="L8822">
        <f t="shared" si="1"/>
      </c>
      <c r="M8822">
        <f t="shared" si="2"/>
      </c>
    </row>
    <row r="8823">
      <c r="G8823" s="9">
        <f t="shared" si="0"/>
      </c>
      <c r="L8823">
        <f t="shared" si="1"/>
      </c>
      <c r="M8823">
        <f t="shared" si="2"/>
      </c>
    </row>
    <row r="8824">
      <c r="G8824" s="9">
        <f t="shared" si="0"/>
      </c>
      <c r="L8824">
        <f t="shared" si="1"/>
      </c>
      <c r="M8824">
        <f t="shared" si="2"/>
      </c>
    </row>
    <row r="8825">
      <c r="G8825" s="9">
        <f t="shared" si="0"/>
      </c>
      <c r="L8825">
        <f t="shared" si="1"/>
      </c>
      <c r="M8825">
        <f t="shared" si="2"/>
      </c>
    </row>
    <row r="8826">
      <c r="G8826" s="9">
        <f t="shared" si="0"/>
      </c>
      <c r="L8826">
        <f t="shared" si="1"/>
      </c>
      <c r="M8826">
        <f t="shared" si="2"/>
      </c>
    </row>
    <row r="8827">
      <c r="G8827" s="9">
        <f t="shared" si="0"/>
      </c>
      <c r="L8827">
        <f t="shared" si="1"/>
      </c>
      <c r="M8827">
        <f t="shared" si="2"/>
      </c>
    </row>
    <row r="8828">
      <c r="G8828" s="9">
        <f t="shared" si="0"/>
      </c>
      <c r="L8828">
        <f t="shared" si="1"/>
      </c>
      <c r="M8828">
        <f t="shared" si="2"/>
      </c>
    </row>
    <row r="8829">
      <c r="G8829" s="9">
        <f t="shared" si="0"/>
      </c>
      <c r="L8829">
        <f t="shared" si="1"/>
      </c>
      <c r="M8829">
        <f t="shared" si="2"/>
      </c>
    </row>
    <row r="8830">
      <c r="G8830" s="9">
        <f t="shared" si="0"/>
      </c>
      <c r="L8830">
        <f t="shared" si="1"/>
      </c>
      <c r="M8830">
        <f t="shared" si="2"/>
      </c>
    </row>
    <row r="8831">
      <c r="G8831" s="9">
        <f t="shared" si="0"/>
      </c>
      <c r="L8831">
        <f t="shared" si="1"/>
      </c>
      <c r="M8831">
        <f t="shared" si="2"/>
      </c>
    </row>
    <row r="8832">
      <c r="G8832" s="9">
        <f t="shared" si="0"/>
      </c>
      <c r="L8832">
        <f t="shared" si="1"/>
      </c>
      <c r="M8832">
        <f t="shared" si="2"/>
      </c>
    </row>
    <row r="8833">
      <c r="G8833" s="9">
        <f t="shared" si="0"/>
      </c>
      <c r="L8833">
        <f t="shared" si="1"/>
      </c>
      <c r="M8833">
        <f t="shared" si="2"/>
      </c>
    </row>
    <row r="8834">
      <c r="G8834" s="9">
        <f t="shared" si="0"/>
      </c>
      <c r="L8834">
        <f t="shared" si="1"/>
      </c>
      <c r="M8834">
        <f t="shared" si="2"/>
      </c>
    </row>
    <row r="8835">
      <c r="G8835" s="9">
        <f t="shared" si="0"/>
      </c>
      <c r="L8835">
        <f t="shared" si="1"/>
      </c>
      <c r="M8835">
        <f t="shared" si="2"/>
      </c>
    </row>
    <row r="8836">
      <c r="G8836" s="9">
        <f t="shared" si="0"/>
      </c>
      <c r="L8836">
        <f t="shared" si="1"/>
      </c>
      <c r="M8836">
        <f t="shared" si="2"/>
      </c>
    </row>
    <row r="8837">
      <c r="G8837" s="9">
        <f t="shared" si="0"/>
      </c>
      <c r="L8837">
        <f t="shared" si="1"/>
      </c>
      <c r="M8837">
        <f t="shared" si="2"/>
      </c>
    </row>
    <row r="8838">
      <c r="G8838" s="9">
        <f t="shared" si="0"/>
      </c>
      <c r="L8838">
        <f t="shared" si="1"/>
      </c>
      <c r="M8838">
        <f t="shared" si="2"/>
      </c>
    </row>
    <row r="8839">
      <c r="G8839" s="9">
        <f t="shared" si="0"/>
      </c>
      <c r="L8839">
        <f t="shared" si="1"/>
      </c>
      <c r="M8839">
        <f t="shared" si="2"/>
      </c>
    </row>
    <row r="8840">
      <c r="G8840" s="9">
        <f t="shared" si="0"/>
      </c>
      <c r="L8840">
        <f t="shared" si="1"/>
      </c>
      <c r="M8840">
        <f t="shared" si="2"/>
      </c>
    </row>
    <row r="8841">
      <c r="G8841" s="9">
        <f t="shared" si="0"/>
      </c>
      <c r="L8841">
        <f t="shared" si="1"/>
      </c>
      <c r="M8841">
        <f t="shared" si="2"/>
      </c>
    </row>
    <row r="8842">
      <c r="G8842" s="9">
        <f t="shared" si="0"/>
      </c>
      <c r="L8842">
        <f t="shared" si="1"/>
      </c>
      <c r="M8842">
        <f t="shared" si="2"/>
      </c>
    </row>
    <row r="8843">
      <c r="G8843" s="9">
        <f t="shared" si="0"/>
      </c>
      <c r="L8843">
        <f t="shared" si="1"/>
      </c>
      <c r="M8843">
        <f t="shared" si="2"/>
      </c>
    </row>
    <row r="8844">
      <c r="G8844" s="9">
        <f t="shared" si="0"/>
      </c>
      <c r="L8844">
        <f t="shared" si="1"/>
      </c>
      <c r="M8844">
        <f t="shared" si="2"/>
      </c>
    </row>
    <row r="8845">
      <c r="G8845" s="9">
        <f t="shared" si="0"/>
      </c>
      <c r="L8845">
        <f t="shared" si="1"/>
      </c>
      <c r="M8845">
        <f t="shared" si="2"/>
      </c>
    </row>
    <row r="8846">
      <c r="G8846" s="9">
        <f t="shared" si="0"/>
      </c>
      <c r="L8846">
        <f t="shared" si="1"/>
      </c>
      <c r="M8846">
        <f t="shared" si="2"/>
      </c>
    </row>
    <row r="8847">
      <c r="G8847" s="9">
        <f t="shared" si="0"/>
      </c>
      <c r="L8847">
        <f t="shared" si="1"/>
      </c>
      <c r="M8847">
        <f t="shared" si="2"/>
      </c>
    </row>
    <row r="8848">
      <c r="G8848" s="9">
        <f t="shared" si="0"/>
      </c>
      <c r="L8848">
        <f t="shared" si="1"/>
      </c>
      <c r="M8848">
        <f t="shared" si="2"/>
      </c>
    </row>
    <row r="8849">
      <c r="G8849" s="9">
        <f t="shared" si="0"/>
      </c>
      <c r="L8849">
        <f t="shared" si="1"/>
      </c>
      <c r="M8849">
        <f t="shared" si="2"/>
      </c>
    </row>
    <row r="8850">
      <c r="G8850" s="9">
        <f t="shared" si="0"/>
      </c>
      <c r="L8850">
        <f t="shared" si="1"/>
      </c>
      <c r="M8850">
        <f t="shared" si="2"/>
      </c>
    </row>
    <row r="8851">
      <c r="G8851" s="9">
        <f t="shared" si="0"/>
      </c>
      <c r="L8851">
        <f t="shared" si="1"/>
      </c>
      <c r="M8851">
        <f t="shared" si="2"/>
      </c>
    </row>
    <row r="8852">
      <c r="G8852" s="9">
        <f t="shared" si="0"/>
      </c>
      <c r="L8852">
        <f t="shared" si="1"/>
      </c>
      <c r="M8852">
        <f t="shared" si="2"/>
      </c>
    </row>
    <row r="8853">
      <c r="G8853" s="9">
        <f t="shared" si="0"/>
      </c>
      <c r="L8853">
        <f t="shared" si="1"/>
      </c>
      <c r="M8853">
        <f t="shared" si="2"/>
      </c>
    </row>
    <row r="8854">
      <c r="G8854" s="9">
        <f t="shared" si="0"/>
      </c>
      <c r="L8854">
        <f t="shared" si="1"/>
      </c>
      <c r="M8854">
        <f t="shared" si="2"/>
      </c>
    </row>
    <row r="8855">
      <c r="G8855" s="9">
        <f t="shared" si="0"/>
      </c>
      <c r="L8855">
        <f t="shared" si="1"/>
      </c>
      <c r="M8855">
        <f t="shared" si="2"/>
      </c>
    </row>
    <row r="8856">
      <c r="G8856" s="9">
        <f t="shared" si="0"/>
      </c>
      <c r="L8856">
        <f t="shared" si="1"/>
      </c>
      <c r="M8856">
        <f t="shared" si="2"/>
      </c>
    </row>
    <row r="8857">
      <c r="G8857" s="9">
        <f t="shared" si="0"/>
      </c>
      <c r="L8857">
        <f t="shared" si="1"/>
      </c>
      <c r="M8857">
        <f t="shared" si="2"/>
      </c>
    </row>
    <row r="8858">
      <c r="G8858" s="9">
        <f t="shared" si="0"/>
      </c>
      <c r="L8858">
        <f t="shared" si="1"/>
      </c>
      <c r="M8858">
        <f t="shared" si="2"/>
      </c>
    </row>
    <row r="8859">
      <c r="G8859" s="9">
        <f t="shared" si="0"/>
      </c>
      <c r="L8859">
        <f t="shared" si="1"/>
      </c>
      <c r="M8859">
        <f t="shared" si="2"/>
      </c>
    </row>
    <row r="8860">
      <c r="G8860" s="9">
        <f t="shared" si="0"/>
      </c>
      <c r="L8860">
        <f t="shared" si="1"/>
      </c>
      <c r="M8860">
        <f t="shared" si="2"/>
      </c>
    </row>
    <row r="8861">
      <c r="G8861" s="9">
        <f t="shared" si="0"/>
      </c>
      <c r="L8861">
        <f t="shared" si="1"/>
      </c>
      <c r="M8861">
        <f t="shared" si="2"/>
      </c>
    </row>
    <row r="8862">
      <c r="G8862" s="9">
        <f t="shared" si="0"/>
      </c>
      <c r="L8862">
        <f t="shared" si="1"/>
      </c>
      <c r="M8862">
        <f t="shared" si="2"/>
      </c>
    </row>
    <row r="8863">
      <c r="G8863" s="9">
        <f t="shared" si="0"/>
      </c>
      <c r="L8863">
        <f t="shared" si="1"/>
      </c>
      <c r="M8863">
        <f t="shared" si="2"/>
      </c>
    </row>
    <row r="8864">
      <c r="G8864" s="9">
        <f t="shared" si="0"/>
      </c>
      <c r="L8864">
        <f t="shared" si="1"/>
      </c>
      <c r="M8864">
        <f t="shared" si="2"/>
      </c>
    </row>
    <row r="8865">
      <c r="G8865" s="9">
        <f t="shared" si="0"/>
      </c>
      <c r="L8865">
        <f t="shared" si="1"/>
      </c>
      <c r="M8865">
        <f t="shared" si="2"/>
      </c>
    </row>
    <row r="8866">
      <c r="G8866" s="9">
        <f t="shared" si="0"/>
      </c>
      <c r="L8866">
        <f t="shared" si="1"/>
      </c>
      <c r="M8866">
        <f t="shared" si="2"/>
      </c>
    </row>
    <row r="8867">
      <c r="G8867" s="9">
        <f t="shared" si="0"/>
      </c>
      <c r="L8867">
        <f t="shared" si="1"/>
      </c>
      <c r="M8867">
        <f t="shared" si="2"/>
      </c>
    </row>
    <row r="8868">
      <c r="G8868" s="9">
        <f t="shared" si="0"/>
      </c>
      <c r="L8868">
        <f t="shared" si="1"/>
      </c>
      <c r="M8868">
        <f t="shared" si="2"/>
      </c>
    </row>
    <row r="8869">
      <c r="G8869" s="9">
        <f t="shared" si="0"/>
      </c>
      <c r="L8869">
        <f t="shared" si="1"/>
      </c>
      <c r="M8869">
        <f t="shared" si="2"/>
      </c>
    </row>
    <row r="8870">
      <c r="G8870" s="9">
        <f t="shared" si="0"/>
      </c>
      <c r="L8870">
        <f t="shared" si="1"/>
      </c>
      <c r="M8870">
        <f t="shared" si="2"/>
      </c>
    </row>
    <row r="8871">
      <c r="G8871" s="9">
        <f t="shared" si="0"/>
      </c>
      <c r="L8871">
        <f t="shared" si="1"/>
      </c>
      <c r="M8871">
        <f t="shared" si="2"/>
      </c>
    </row>
    <row r="8872">
      <c r="G8872" s="9">
        <f t="shared" si="0"/>
      </c>
      <c r="L8872">
        <f t="shared" si="1"/>
      </c>
      <c r="M8872">
        <f t="shared" si="2"/>
      </c>
    </row>
    <row r="8873">
      <c r="G8873" s="9">
        <f t="shared" si="0"/>
      </c>
      <c r="L8873">
        <f t="shared" si="1"/>
      </c>
      <c r="M8873">
        <f t="shared" si="2"/>
      </c>
    </row>
    <row r="8874">
      <c r="G8874" s="9">
        <f t="shared" si="0"/>
      </c>
      <c r="L8874">
        <f t="shared" si="1"/>
      </c>
      <c r="M8874">
        <f t="shared" si="2"/>
      </c>
    </row>
    <row r="8875">
      <c r="G8875" s="9">
        <f t="shared" si="0"/>
      </c>
      <c r="L8875">
        <f t="shared" si="1"/>
      </c>
      <c r="M8875">
        <f t="shared" si="2"/>
      </c>
    </row>
    <row r="8876">
      <c r="G8876" s="9">
        <f t="shared" si="0"/>
      </c>
      <c r="L8876">
        <f t="shared" si="1"/>
      </c>
      <c r="M8876">
        <f t="shared" si="2"/>
      </c>
    </row>
    <row r="8877">
      <c r="G8877" s="9">
        <f t="shared" si="0"/>
      </c>
      <c r="L8877">
        <f t="shared" si="1"/>
      </c>
      <c r="M8877">
        <f t="shared" si="2"/>
      </c>
    </row>
    <row r="8878">
      <c r="G8878" s="9">
        <f t="shared" si="0"/>
      </c>
      <c r="L8878">
        <f t="shared" si="1"/>
      </c>
      <c r="M8878">
        <f t="shared" si="2"/>
      </c>
    </row>
    <row r="8879">
      <c r="G8879" s="9">
        <f t="shared" si="0"/>
      </c>
      <c r="L8879">
        <f t="shared" si="1"/>
      </c>
      <c r="M8879">
        <f t="shared" si="2"/>
      </c>
    </row>
    <row r="8880">
      <c r="G8880" s="9">
        <f t="shared" si="0"/>
      </c>
      <c r="L8880">
        <f t="shared" si="1"/>
      </c>
      <c r="M8880">
        <f t="shared" si="2"/>
      </c>
    </row>
    <row r="8881">
      <c r="G8881" s="9">
        <f t="shared" si="0"/>
      </c>
      <c r="L8881">
        <f t="shared" si="1"/>
      </c>
      <c r="M8881">
        <f t="shared" si="2"/>
      </c>
    </row>
    <row r="8882">
      <c r="G8882" s="9">
        <f t="shared" si="0"/>
      </c>
      <c r="L8882">
        <f t="shared" si="1"/>
      </c>
      <c r="M8882">
        <f t="shared" si="2"/>
      </c>
    </row>
    <row r="8883">
      <c r="G8883" s="9">
        <f t="shared" si="0"/>
      </c>
      <c r="L8883">
        <f t="shared" si="1"/>
      </c>
      <c r="M8883">
        <f t="shared" si="2"/>
      </c>
    </row>
    <row r="8884">
      <c r="G8884" s="9">
        <f t="shared" si="0"/>
      </c>
      <c r="L8884">
        <f t="shared" si="1"/>
      </c>
      <c r="M8884">
        <f t="shared" si="2"/>
      </c>
    </row>
    <row r="8885">
      <c r="G8885" s="9">
        <f t="shared" si="0"/>
      </c>
      <c r="L8885">
        <f t="shared" si="1"/>
      </c>
      <c r="M8885">
        <f t="shared" si="2"/>
      </c>
    </row>
    <row r="8886">
      <c r="G8886" s="9">
        <f t="shared" si="0"/>
      </c>
      <c r="L8886">
        <f t="shared" si="1"/>
      </c>
      <c r="M8886">
        <f t="shared" si="2"/>
      </c>
    </row>
    <row r="8887">
      <c r="G8887" s="9">
        <f t="shared" si="0"/>
      </c>
      <c r="L8887">
        <f t="shared" si="1"/>
      </c>
      <c r="M8887">
        <f t="shared" si="2"/>
      </c>
    </row>
    <row r="8888">
      <c r="G8888" s="9">
        <f t="shared" si="0"/>
      </c>
      <c r="L8888">
        <f t="shared" si="1"/>
      </c>
      <c r="M8888">
        <f t="shared" si="2"/>
      </c>
    </row>
    <row r="8889">
      <c r="G8889" s="9">
        <f t="shared" si="0"/>
      </c>
      <c r="L8889">
        <f t="shared" si="1"/>
      </c>
      <c r="M8889">
        <f t="shared" si="2"/>
      </c>
    </row>
    <row r="8890">
      <c r="G8890" s="9">
        <f t="shared" si="0"/>
      </c>
      <c r="L8890">
        <f t="shared" si="1"/>
      </c>
      <c r="M8890">
        <f t="shared" si="2"/>
      </c>
    </row>
    <row r="8891">
      <c r="G8891" s="9">
        <f t="shared" si="0"/>
      </c>
      <c r="L8891">
        <f t="shared" si="1"/>
      </c>
      <c r="M8891">
        <f t="shared" si="2"/>
      </c>
    </row>
    <row r="8892">
      <c r="G8892" s="9">
        <f t="shared" si="0"/>
      </c>
      <c r="L8892">
        <f t="shared" si="1"/>
      </c>
      <c r="M8892">
        <f t="shared" si="2"/>
      </c>
    </row>
    <row r="8893">
      <c r="G8893" s="9">
        <f t="shared" si="0"/>
      </c>
      <c r="L8893">
        <f t="shared" si="1"/>
      </c>
      <c r="M8893">
        <f t="shared" si="2"/>
      </c>
    </row>
    <row r="8894">
      <c r="G8894" s="9">
        <f t="shared" si="0"/>
      </c>
      <c r="L8894">
        <f t="shared" si="1"/>
      </c>
      <c r="M8894">
        <f t="shared" si="2"/>
      </c>
    </row>
    <row r="8895">
      <c r="G8895" s="9">
        <f t="shared" si="0"/>
      </c>
      <c r="L8895">
        <f t="shared" si="1"/>
      </c>
      <c r="M8895">
        <f t="shared" si="2"/>
      </c>
    </row>
    <row r="8896">
      <c r="G8896" s="9">
        <f t="shared" si="0"/>
      </c>
      <c r="L8896">
        <f t="shared" si="1"/>
      </c>
      <c r="M8896">
        <f t="shared" si="2"/>
      </c>
    </row>
    <row r="8897">
      <c r="G8897" s="9">
        <f t="shared" si="0"/>
      </c>
      <c r="L8897">
        <f t="shared" si="1"/>
      </c>
      <c r="M8897">
        <f t="shared" si="2"/>
      </c>
    </row>
    <row r="8898">
      <c r="G8898" s="9">
        <f t="shared" si="0"/>
      </c>
      <c r="L8898">
        <f t="shared" si="1"/>
      </c>
      <c r="M8898">
        <f t="shared" si="2"/>
      </c>
    </row>
    <row r="8899">
      <c r="G8899" s="9">
        <f t="shared" si="0"/>
      </c>
      <c r="L8899">
        <f t="shared" si="1"/>
      </c>
      <c r="M8899">
        <f t="shared" si="2"/>
      </c>
    </row>
    <row r="8900">
      <c r="G8900" s="9">
        <f t="shared" si="0"/>
      </c>
      <c r="L8900">
        <f t="shared" si="1"/>
      </c>
      <c r="M8900">
        <f t="shared" si="2"/>
      </c>
    </row>
    <row r="8901">
      <c r="G8901" s="9">
        <f t="shared" si="0"/>
      </c>
      <c r="L8901">
        <f t="shared" si="1"/>
      </c>
      <c r="M8901">
        <f t="shared" si="2"/>
      </c>
    </row>
    <row r="8902">
      <c r="G8902" s="9">
        <f t="shared" si="0"/>
      </c>
      <c r="L8902">
        <f t="shared" si="1"/>
      </c>
      <c r="M8902">
        <f t="shared" si="2"/>
      </c>
    </row>
    <row r="8903">
      <c r="G8903" s="9">
        <f t="shared" si="0"/>
      </c>
      <c r="L8903">
        <f t="shared" si="1"/>
      </c>
      <c r="M8903">
        <f t="shared" si="2"/>
      </c>
    </row>
    <row r="8904">
      <c r="G8904" s="9">
        <f t="shared" si="0"/>
      </c>
      <c r="L8904">
        <f t="shared" si="1"/>
      </c>
      <c r="M8904">
        <f t="shared" si="2"/>
      </c>
    </row>
    <row r="8905">
      <c r="G8905" s="9">
        <f t="shared" si="0"/>
      </c>
      <c r="L8905">
        <f t="shared" si="1"/>
      </c>
      <c r="M8905">
        <f t="shared" si="2"/>
      </c>
    </row>
    <row r="8906">
      <c r="G8906" s="9">
        <f t="shared" si="0"/>
      </c>
      <c r="L8906">
        <f t="shared" si="1"/>
      </c>
      <c r="M8906">
        <f t="shared" si="2"/>
      </c>
    </row>
    <row r="8907">
      <c r="G8907" s="9">
        <f t="shared" si="0"/>
      </c>
      <c r="L8907">
        <f t="shared" si="1"/>
      </c>
      <c r="M8907">
        <f t="shared" si="2"/>
      </c>
    </row>
    <row r="8908">
      <c r="G8908" s="9">
        <f t="shared" si="0"/>
      </c>
      <c r="L8908">
        <f t="shared" si="1"/>
      </c>
      <c r="M8908">
        <f t="shared" si="2"/>
      </c>
    </row>
    <row r="8909">
      <c r="G8909" s="9">
        <f t="shared" si="0"/>
      </c>
      <c r="L8909">
        <f t="shared" si="1"/>
      </c>
      <c r="M8909">
        <f t="shared" si="2"/>
      </c>
    </row>
    <row r="8910">
      <c r="G8910" s="9">
        <f t="shared" si="0"/>
      </c>
      <c r="L8910">
        <f t="shared" si="1"/>
      </c>
      <c r="M8910">
        <f t="shared" si="2"/>
      </c>
    </row>
    <row r="8911">
      <c r="G8911" s="9">
        <f t="shared" si="0"/>
      </c>
      <c r="L8911">
        <f t="shared" si="1"/>
      </c>
      <c r="M8911">
        <f t="shared" si="2"/>
      </c>
    </row>
    <row r="8912">
      <c r="G8912" s="9">
        <f t="shared" si="0"/>
      </c>
      <c r="L8912">
        <f t="shared" si="1"/>
      </c>
      <c r="M8912">
        <f t="shared" si="2"/>
      </c>
    </row>
    <row r="8913">
      <c r="G8913" s="9">
        <f t="shared" si="0"/>
      </c>
      <c r="L8913">
        <f t="shared" si="1"/>
      </c>
      <c r="M8913">
        <f t="shared" si="2"/>
      </c>
    </row>
    <row r="8914">
      <c r="G8914" s="9">
        <f t="shared" si="0"/>
      </c>
      <c r="L8914">
        <f t="shared" si="1"/>
      </c>
      <c r="M8914">
        <f t="shared" si="2"/>
      </c>
    </row>
    <row r="8915">
      <c r="G8915" s="9">
        <f t="shared" si="0"/>
      </c>
      <c r="L8915">
        <f t="shared" si="1"/>
      </c>
      <c r="M8915">
        <f t="shared" si="2"/>
      </c>
    </row>
    <row r="8916">
      <c r="G8916" s="9">
        <f t="shared" si="0"/>
      </c>
      <c r="L8916">
        <f t="shared" si="1"/>
      </c>
      <c r="M8916">
        <f t="shared" si="2"/>
      </c>
    </row>
    <row r="8917">
      <c r="G8917" s="9">
        <f t="shared" si="0"/>
      </c>
      <c r="L8917">
        <f t="shared" si="1"/>
      </c>
      <c r="M8917">
        <f t="shared" si="2"/>
      </c>
    </row>
    <row r="8918">
      <c r="G8918" s="9">
        <f t="shared" si="0"/>
      </c>
      <c r="L8918">
        <f t="shared" si="1"/>
      </c>
      <c r="M8918">
        <f t="shared" si="2"/>
      </c>
    </row>
    <row r="8919">
      <c r="G8919" s="9">
        <f t="shared" si="0"/>
      </c>
      <c r="L8919">
        <f t="shared" si="1"/>
      </c>
      <c r="M8919">
        <f t="shared" si="2"/>
      </c>
    </row>
    <row r="8920">
      <c r="G8920" s="9">
        <f t="shared" si="0"/>
      </c>
      <c r="L8920">
        <f t="shared" si="1"/>
      </c>
      <c r="M8920">
        <f t="shared" si="2"/>
      </c>
    </row>
    <row r="8921">
      <c r="G8921" s="9">
        <f t="shared" si="0"/>
      </c>
      <c r="L8921">
        <f t="shared" si="1"/>
      </c>
      <c r="M8921">
        <f t="shared" si="2"/>
      </c>
    </row>
    <row r="8922">
      <c r="G8922" s="9">
        <f t="shared" si="0"/>
      </c>
      <c r="L8922">
        <f t="shared" si="1"/>
      </c>
      <c r="M8922">
        <f t="shared" si="2"/>
      </c>
    </row>
    <row r="8923">
      <c r="G8923" s="9">
        <f t="shared" si="0"/>
      </c>
      <c r="L8923">
        <f t="shared" si="1"/>
      </c>
      <c r="M8923">
        <f t="shared" si="2"/>
      </c>
    </row>
    <row r="8924">
      <c r="G8924" s="9">
        <f t="shared" si="0"/>
      </c>
      <c r="L8924">
        <f t="shared" si="1"/>
      </c>
      <c r="M8924">
        <f t="shared" si="2"/>
      </c>
    </row>
    <row r="8925">
      <c r="G8925" s="9">
        <f t="shared" si="0"/>
      </c>
      <c r="L8925">
        <f t="shared" si="1"/>
      </c>
      <c r="M8925">
        <f t="shared" si="2"/>
      </c>
    </row>
    <row r="8926">
      <c r="G8926" s="9">
        <f t="shared" si="0"/>
      </c>
      <c r="L8926">
        <f t="shared" si="1"/>
      </c>
      <c r="M8926">
        <f t="shared" si="2"/>
      </c>
    </row>
    <row r="8927">
      <c r="G8927" s="9">
        <f t="shared" si="0"/>
      </c>
      <c r="L8927">
        <f t="shared" si="1"/>
      </c>
      <c r="M8927">
        <f t="shared" si="2"/>
      </c>
    </row>
    <row r="8928">
      <c r="G8928" s="9">
        <f t="shared" si="0"/>
      </c>
      <c r="L8928">
        <f t="shared" si="1"/>
      </c>
      <c r="M8928">
        <f t="shared" si="2"/>
      </c>
    </row>
    <row r="8929">
      <c r="G8929" s="9">
        <f t="shared" si="0"/>
      </c>
      <c r="L8929">
        <f t="shared" si="1"/>
      </c>
      <c r="M8929">
        <f t="shared" si="2"/>
      </c>
    </row>
    <row r="8930">
      <c r="G8930" s="9">
        <f t="shared" si="0"/>
      </c>
      <c r="L8930">
        <f t="shared" si="1"/>
      </c>
      <c r="M8930">
        <f t="shared" si="2"/>
      </c>
    </row>
    <row r="8931">
      <c r="G8931" s="9">
        <f t="shared" si="0"/>
      </c>
      <c r="L8931">
        <f t="shared" si="1"/>
      </c>
      <c r="M8931">
        <f t="shared" si="2"/>
      </c>
    </row>
    <row r="8932">
      <c r="G8932" s="9">
        <f t="shared" si="0"/>
      </c>
      <c r="L8932">
        <f t="shared" si="1"/>
      </c>
      <c r="M8932">
        <f t="shared" si="2"/>
      </c>
    </row>
    <row r="8933">
      <c r="G8933" s="9">
        <f t="shared" si="0"/>
      </c>
      <c r="L8933">
        <f t="shared" si="1"/>
      </c>
      <c r="M8933">
        <f t="shared" si="2"/>
      </c>
    </row>
    <row r="8934">
      <c r="G8934" s="9">
        <f t="shared" si="0"/>
      </c>
      <c r="L8934">
        <f t="shared" si="1"/>
      </c>
      <c r="M8934">
        <f t="shared" si="2"/>
      </c>
    </row>
    <row r="8935">
      <c r="G8935" s="9">
        <f t="shared" si="0"/>
      </c>
      <c r="L8935">
        <f t="shared" si="1"/>
      </c>
      <c r="M8935">
        <f t="shared" si="2"/>
      </c>
    </row>
    <row r="8936">
      <c r="G8936" s="9">
        <f t="shared" si="0"/>
      </c>
      <c r="L8936">
        <f t="shared" si="1"/>
      </c>
      <c r="M8936">
        <f t="shared" si="2"/>
      </c>
    </row>
    <row r="8937">
      <c r="G8937" s="9">
        <f t="shared" si="0"/>
      </c>
      <c r="L8937">
        <f t="shared" si="1"/>
      </c>
      <c r="M8937">
        <f t="shared" si="2"/>
      </c>
    </row>
    <row r="8938">
      <c r="G8938" s="9">
        <f t="shared" si="0"/>
      </c>
      <c r="L8938">
        <f t="shared" si="1"/>
      </c>
      <c r="M8938">
        <f t="shared" si="2"/>
      </c>
    </row>
    <row r="8939">
      <c r="G8939" s="9">
        <f t="shared" si="0"/>
      </c>
      <c r="L8939">
        <f t="shared" si="1"/>
      </c>
      <c r="M8939">
        <f t="shared" si="2"/>
      </c>
    </row>
    <row r="8940">
      <c r="G8940" s="9">
        <f t="shared" si="0"/>
      </c>
      <c r="L8940">
        <f t="shared" si="1"/>
      </c>
      <c r="M8940">
        <f t="shared" si="2"/>
      </c>
    </row>
    <row r="8941">
      <c r="G8941" s="9">
        <f t="shared" si="0"/>
      </c>
      <c r="L8941">
        <f t="shared" si="1"/>
      </c>
      <c r="M8941">
        <f t="shared" si="2"/>
      </c>
    </row>
    <row r="8942">
      <c r="G8942" s="9">
        <f t="shared" si="0"/>
      </c>
      <c r="L8942">
        <f t="shared" si="1"/>
      </c>
      <c r="M8942">
        <f t="shared" si="2"/>
      </c>
    </row>
    <row r="8943">
      <c r="G8943" s="9">
        <f t="shared" si="0"/>
      </c>
      <c r="L8943">
        <f t="shared" si="1"/>
      </c>
      <c r="M8943">
        <f t="shared" si="2"/>
      </c>
    </row>
    <row r="8944">
      <c r="G8944" s="9">
        <f t="shared" si="0"/>
      </c>
      <c r="L8944">
        <f t="shared" si="1"/>
      </c>
      <c r="M8944">
        <f t="shared" si="2"/>
      </c>
    </row>
    <row r="8945">
      <c r="G8945" s="9">
        <f t="shared" si="0"/>
      </c>
      <c r="L8945">
        <f t="shared" si="1"/>
      </c>
      <c r="M8945">
        <f t="shared" si="2"/>
      </c>
    </row>
    <row r="8946">
      <c r="G8946" s="9">
        <f t="shared" si="0"/>
      </c>
      <c r="L8946">
        <f t="shared" si="1"/>
      </c>
      <c r="M8946">
        <f t="shared" si="2"/>
      </c>
    </row>
    <row r="8947">
      <c r="G8947" s="9">
        <f t="shared" si="0"/>
      </c>
      <c r="L8947">
        <f t="shared" si="1"/>
      </c>
      <c r="M8947">
        <f t="shared" si="2"/>
      </c>
    </row>
    <row r="8948">
      <c r="G8948" s="9">
        <f t="shared" si="0"/>
      </c>
      <c r="L8948">
        <f t="shared" si="1"/>
      </c>
      <c r="M8948">
        <f t="shared" si="2"/>
      </c>
    </row>
    <row r="8949">
      <c r="G8949" s="9">
        <f t="shared" si="0"/>
      </c>
      <c r="L8949">
        <f t="shared" si="1"/>
      </c>
      <c r="M8949">
        <f t="shared" si="2"/>
      </c>
    </row>
    <row r="8950">
      <c r="G8950" s="9">
        <f t="shared" si="0"/>
      </c>
      <c r="L8950">
        <f t="shared" si="1"/>
      </c>
      <c r="M8950">
        <f t="shared" si="2"/>
      </c>
    </row>
    <row r="8951">
      <c r="G8951" s="9">
        <f t="shared" si="0"/>
      </c>
      <c r="L8951">
        <f t="shared" si="1"/>
      </c>
      <c r="M8951">
        <f t="shared" si="2"/>
      </c>
    </row>
    <row r="8952">
      <c r="G8952" s="9">
        <f t="shared" si="0"/>
      </c>
      <c r="L8952">
        <f t="shared" si="1"/>
      </c>
      <c r="M8952">
        <f t="shared" si="2"/>
      </c>
    </row>
    <row r="8953">
      <c r="G8953" s="9">
        <f t="shared" si="0"/>
      </c>
      <c r="L8953">
        <f t="shared" si="1"/>
      </c>
      <c r="M8953">
        <f t="shared" si="2"/>
      </c>
    </row>
    <row r="8954">
      <c r="G8954" s="9">
        <f t="shared" si="0"/>
      </c>
      <c r="L8954">
        <f t="shared" si="1"/>
      </c>
      <c r="M8954">
        <f t="shared" si="2"/>
      </c>
    </row>
    <row r="8955">
      <c r="G8955" s="9">
        <f t="shared" si="0"/>
      </c>
      <c r="L8955">
        <f t="shared" si="1"/>
      </c>
      <c r="M8955">
        <f t="shared" si="2"/>
      </c>
    </row>
    <row r="8956">
      <c r="G8956" s="9">
        <f t="shared" si="0"/>
      </c>
      <c r="L8956">
        <f t="shared" si="1"/>
      </c>
      <c r="M8956">
        <f t="shared" si="2"/>
      </c>
    </row>
    <row r="8957">
      <c r="G8957" s="9">
        <f t="shared" si="0"/>
      </c>
      <c r="L8957">
        <f t="shared" si="1"/>
      </c>
      <c r="M8957">
        <f t="shared" si="2"/>
      </c>
    </row>
    <row r="8958">
      <c r="G8958" s="9">
        <f t="shared" si="0"/>
      </c>
      <c r="L8958">
        <f t="shared" si="1"/>
      </c>
      <c r="M8958">
        <f t="shared" si="2"/>
      </c>
    </row>
    <row r="8959">
      <c r="G8959" s="9">
        <f t="shared" si="0"/>
      </c>
      <c r="L8959">
        <f t="shared" si="1"/>
      </c>
      <c r="M8959">
        <f t="shared" si="2"/>
      </c>
    </row>
    <row r="8960">
      <c r="G8960" s="9">
        <f t="shared" si="0"/>
      </c>
      <c r="L8960">
        <f t="shared" si="1"/>
      </c>
      <c r="M8960">
        <f t="shared" si="2"/>
      </c>
    </row>
    <row r="8961">
      <c r="G8961" s="9">
        <f t="shared" si="0"/>
      </c>
      <c r="L8961">
        <f t="shared" si="1"/>
      </c>
      <c r="M8961">
        <f t="shared" si="2"/>
      </c>
    </row>
    <row r="8962">
      <c r="G8962" s="9">
        <f t="shared" si="0"/>
      </c>
      <c r="L8962">
        <f t="shared" si="1"/>
      </c>
      <c r="M8962">
        <f t="shared" si="2"/>
      </c>
    </row>
    <row r="8963">
      <c r="G8963" s="9">
        <f t="shared" si="0"/>
      </c>
      <c r="L8963">
        <f t="shared" si="1"/>
      </c>
      <c r="M8963">
        <f t="shared" si="2"/>
      </c>
    </row>
    <row r="8964">
      <c r="G8964" s="9">
        <f t="shared" si="0"/>
      </c>
      <c r="L8964">
        <f t="shared" si="1"/>
      </c>
      <c r="M8964">
        <f t="shared" si="2"/>
      </c>
    </row>
    <row r="8965">
      <c r="G8965" s="9">
        <f t="shared" si="0"/>
      </c>
      <c r="L8965">
        <f t="shared" si="1"/>
      </c>
      <c r="M8965">
        <f t="shared" si="2"/>
      </c>
    </row>
    <row r="8966">
      <c r="G8966" s="9">
        <f t="shared" si="0"/>
      </c>
      <c r="L8966">
        <f t="shared" si="1"/>
      </c>
      <c r="M8966">
        <f t="shared" si="2"/>
      </c>
    </row>
    <row r="8967">
      <c r="G8967" s="9">
        <f t="shared" si="0"/>
      </c>
      <c r="L8967">
        <f t="shared" si="1"/>
      </c>
      <c r="M8967">
        <f t="shared" si="2"/>
      </c>
    </row>
    <row r="8968">
      <c r="G8968" s="9">
        <f t="shared" si="0"/>
      </c>
      <c r="L8968">
        <f t="shared" si="1"/>
      </c>
      <c r="M8968">
        <f t="shared" si="2"/>
      </c>
    </row>
    <row r="8969">
      <c r="G8969" s="9">
        <f t="shared" si="0"/>
      </c>
      <c r="L8969">
        <f t="shared" si="1"/>
      </c>
      <c r="M8969">
        <f t="shared" si="2"/>
      </c>
    </row>
    <row r="8970">
      <c r="G8970" s="9">
        <f t="shared" si="0"/>
      </c>
      <c r="L8970">
        <f t="shared" si="1"/>
      </c>
      <c r="M8970">
        <f t="shared" si="2"/>
      </c>
    </row>
    <row r="8971">
      <c r="G8971" s="9">
        <f t="shared" si="0"/>
      </c>
      <c r="L8971">
        <f t="shared" si="1"/>
      </c>
      <c r="M8971">
        <f t="shared" si="2"/>
      </c>
    </row>
    <row r="8972">
      <c r="G8972" s="9">
        <f t="shared" si="0"/>
      </c>
      <c r="L8972">
        <f t="shared" si="1"/>
      </c>
      <c r="M8972">
        <f t="shared" si="2"/>
      </c>
    </row>
    <row r="8973">
      <c r="G8973" s="9">
        <f t="shared" si="0"/>
      </c>
      <c r="L8973">
        <f t="shared" si="1"/>
      </c>
      <c r="M8973">
        <f t="shared" si="2"/>
      </c>
    </row>
    <row r="8974">
      <c r="G8974" s="9">
        <f t="shared" si="0"/>
      </c>
      <c r="L8974">
        <f t="shared" si="1"/>
      </c>
      <c r="M8974">
        <f t="shared" si="2"/>
      </c>
    </row>
    <row r="8975">
      <c r="G8975" s="9">
        <f t="shared" si="0"/>
      </c>
      <c r="L8975">
        <f t="shared" si="1"/>
      </c>
      <c r="M8975">
        <f t="shared" si="2"/>
      </c>
    </row>
    <row r="8976">
      <c r="G8976" s="9">
        <f t="shared" si="0"/>
      </c>
      <c r="L8976">
        <f t="shared" si="1"/>
      </c>
      <c r="M8976">
        <f t="shared" si="2"/>
      </c>
    </row>
    <row r="8977">
      <c r="G8977" s="9">
        <f t="shared" si="0"/>
      </c>
      <c r="L8977">
        <f t="shared" si="1"/>
      </c>
      <c r="M8977">
        <f t="shared" si="2"/>
      </c>
    </row>
    <row r="8978">
      <c r="G8978" s="9">
        <f t="shared" si="0"/>
      </c>
      <c r="L8978">
        <f t="shared" si="1"/>
      </c>
      <c r="M8978">
        <f t="shared" si="2"/>
      </c>
    </row>
    <row r="8979">
      <c r="G8979" s="9">
        <f t="shared" si="0"/>
      </c>
      <c r="L8979">
        <f t="shared" si="1"/>
      </c>
      <c r="M8979">
        <f t="shared" si="2"/>
      </c>
    </row>
    <row r="8980">
      <c r="G8980" s="9">
        <f t="shared" si="0"/>
      </c>
      <c r="L8980">
        <f t="shared" si="1"/>
      </c>
      <c r="M8980">
        <f t="shared" si="2"/>
      </c>
    </row>
    <row r="8981">
      <c r="G8981" s="9">
        <f t="shared" si="0"/>
      </c>
      <c r="L8981">
        <f t="shared" si="1"/>
      </c>
      <c r="M8981">
        <f t="shared" si="2"/>
      </c>
    </row>
    <row r="8982">
      <c r="G8982" s="9">
        <f t="shared" si="0"/>
      </c>
      <c r="L8982">
        <f t="shared" si="1"/>
      </c>
      <c r="M8982">
        <f t="shared" si="2"/>
      </c>
    </row>
    <row r="8983">
      <c r="G8983" s="9">
        <f t="shared" si="0"/>
      </c>
      <c r="L8983">
        <f t="shared" si="1"/>
      </c>
      <c r="M8983">
        <f t="shared" si="2"/>
      </c>
    </row>
    <row r="8984">
      <c r="G8984" s="9">
        <f t="shared" si="0"/>
      </c>
      <c r="L8984">
        <f t="shared" si="1"/>
      </c>
      <c r="M8984">
        <f t="shared" si="2"/>
      </c>
    </row>
    <row r="8985">
      <c r="G8985" s="9">
        <f t="shared" si="0"/>
      </c>
      <c r="L8985">
        <f t="shared" si="1"/>
      </c>
      <c r="M8985">
        <f t="shared" si="2"/>
      </c>
    </row>
    <row r="8986">
      <c r="G8986" s="9">
        <f t="shared" si="0"/>
      </c>
      <c r="L8986">
        <f t="shared" si="1"/>
      </c>
      <c r="M8986">
        <f t="shared" si="2"/>
      </c>
    </row>
    <row r="8987">
      <c r="G8987" s="9">
        <f t="shared" si="0"/>
      </c>
      <c r="L8987">
        <f t="shared" si="1"/>
      </c>
      <c r="M8987">
        <f t="shared" si="2"/>
      </c>
    </row>
    <row r="8988">
      <c r="G8988" s="9">
        <f t="shared" si="0"/>
      </c>
      <c r="L8988">
        <f t="shared" si="1"/>
      </c>
      <c r="M8988">
        <f t="shared" si="2"/>
      </c>
    </row>
    <row r="8989">
      <c r="G8989" s="9">
        <f t="shared" si="0"/>
      </c>
      <c r="L8989">
        <f t="shared" si="1"/>
      </c>
      <c r="M8989">
        <f t="shared" si="2"/>
      </c>
    </row>
    <row r="8990">
      <c r="G8990" s="9">
        <f t="shared" si="0"/>
      </c>
      <c r="L8990">
        <f t="shared" si="1"/>
      </c>
      <c r="M8990">
        <f t="shared" si="2"/>
      </c>
    </row>
    <row r="8991">
      <c r="G8991" s="9">
        <f t="shared" si="0"/>
      </c>
      <c r="L8991">
        <f t="shared" si="1"/>
      </c>
      <c r="M8991">
        <f t="shared" si="2"/>
      </c>
    </row>
    <row r="8992">
      <c r="G8992" s="9">
        <f t="shared" si="0"/>
      </c>
      <c r="L8992">
        <f t="shared" si="1"/>
      </c>
      <c r="M8992">
        <f t="shared" si="2"/>
      </c>
    </row>
    <row r="8993">
      <c r="G8993" s="9">
        <f t="shared" si="0"/>
      </c>
      <c r="L8993">
        <f t="shared" si="1"/>
      </c>
      <c r="M8993">
        <f t="shared" si="2"/>
      </c>
    </row>
    <row r="8994">
      <c r="G8994" s="9">
        <f t="shared" si="0"/>
      </c>
      <c r="L8994">
        <f t="shared" si="1"/>
      </c>
      <c r="M8994">
        <f t="shared" si="2"/>
      </c>
    </row>
    <row r="8995">
      <c r="G8995" s="9">
        <f t="shared" si="0"/>
      </c>
      <c r="L8995">
        <f t="shared" si="1"/>
      </c>
      <c r="M8995">
        <f t="shared" si="2"/>
      </c>
    </row>
    <row r="8996">
      <c r="G8996" s="9">
        <f t="shared" si="0"/>
      </c>
      <c r="L8996">
        <f t="shared" si="1"/>
      </c>
      <c r="M8996">
        <f t="shared" si="2"/>
      </c>
    </row>
    <row r="8997">
      <c r="G8997" s="9">
        <f t="shared" si="0"/>
      </c>
      <c r="L8997">
        <f t="shared" si="1"/>
      </c>
      <c r="M8997">
        <f t="shared" si="2"/>
      </c>
    </row>
    <row r="8998">
      <c r="G8998" s="9">
        <f t="shared" si="0"/>
      </c>
      <c r="L8998">
        <f t="shared" si="1"/>
      </c>
      <c r="M8998">
        <f t="shared" si="2"/>
      </c>
    </row>
    <row r="8999">
      <c r="G8999" s="9">
        <f t="shared" si="0"/>
      </c>
      <c r="L8999">
        <f t="shared" si="1"/>
      </c>
      <c r="M8999">
        <f t="shared" si="2"/>
      </c>
    </row>
    <row r="9000">
      <c r="G9000" s="9">
        <f t="shared" si="0"/>
      </c>
      <c r="L9000">
        <f t="shared" si="1"/>
      </c>
      <c r="M9000">
        <f t="shared" si="2"/>
      </c>
    </row>
    <row r="9001">
      <c r="G9001" s="9">
        <f t="shared" si="0"/>
      </c>
      <c r="L9001">
        <f t="shared" si="1"/>
      </c>
      <c r="M9001">
        <f t="shared" si="2"/>
      </c>
    </row>
    <row r="9002">
      <c r="G9002" s="9">
        <f t="shared" si="0"/>
      </c>
      <c r="L9002">
        <f t="shared" si="1"/>
      </c>
      <c r="M9002">
        <f t="shared" si="2"/>
      </c>
    </row>
    <row r="9003">
      <c r="G9003" s="9">
        <f t="shared" si="0"/>
      </c>
      <c r="L9003">
        <f t="shared" si="1"/>
      </c>
      <c r="M9003">
        <f t="shared" si="2"/>
      </c>
    </row>
    <row r="9004">
      <c r="G9004" s="9">
        <f t="shared" si="0"/>
      </c>
      <c r="L9004">
        <f t="shared" si="1"/>
      </c>
      <c r="M9004">
        <f t="shared" si="2"/>
      </c>
    </row>
    <row r="9005">
      <c r="G9005" s="9">
        <f t="shared" si="0"/>
      </c>
      <c r="L9005">
        <f t="shared" si="1"/>
      </c>
      <c r="M9005">
        <f t="shared" si="2"/>
      </c>
    </row>
    <row r="9006">
      <c r="G9006" s="9">
        <f t="shared" si="0"/>
      </c>
      <c r="L9006">
        <f t="shared" si="1"/>
      </c>
      <c r="M9006">
        <f t="shared" si="2"/>
      </c>
    </row>
    <row r="9007">
      <c r="G9007" s="9">
        <f t="shared" si="0"/>
      </c>
      <c r="L9007">
        <f t="shared" si="1"/>
      </c>
      <c r="M9007">
        <f t="shared" si="2"/>
      </c>
    </row>
    <row r="9008">
      <c r="G9008" s="9">
        <f t="shared" si="0"/>
      </c>
      <c r="L9008">
        <f t="shared" si="1"/>
      </c>
      <c r="M9008">
        <f t="shared" si="2"/>
      </c>
    </row>
    <row r="9009">
      <c r="G9009" s="9">
        <f t="shared" si="0"/>
      </c>
      <c r="L9009">
        <f t="shared" si="1"/>
      </c>
      <c r="M9009">
        <f t="shared" si="2"/>
      </c>
    </row>
    <row r="9010">
      <c r="G9010" s="9">
        <f t="shared" si="0"/>
      </c>
      <c r="L9010">
        <f t="shared" si="1"/>
      </c>
      <c r="M9010">
        <f t="shared" si="2"/>
      </c>
    </row>
    <row r="9011">
      <c r="G9011" s="9">
        <f t="shared" si="0"/>
      </c>
      <c r="L9011">
        <f t="shared" si="1"/>
      </c>
      <c r="M9011">
        <f t="shared" si="2"/>
      </c>
    </row>
    <row r="9012">
      <c r="G9012" s="9">
        <f t="shared" si="0"/>
      </c>
      <c r="L9012">
        <f t="shared" si="1"/>
      </c>
      <c r="M9012">
        <f t="shared" si="2"/>
      </c>
    </row>
    <row r="9013">
      <c r="G9013" s="9">
        <f t="shared" si="0"/>
      </c>
      <c r="L9013">
        <f t="shared" si="1"/>
      </c>
      <c r="M9013">
        <f t="shared" si="2"/>
      </c>
    </row>
    <row r="9014">
      <c r="G9014" s="9">
        <f t="shared" si="0"/>
      </c>
      <c r="L9014">
        <f t="shared" si="1"/>
      </c>
      <c r="M9014">
        <f t="shared" si="2"/>
      </c>
    </row>
    <row r="9015">
      <c r="G9015" s="9">
        <f t="shared" si="0"/>
      </c>
      <c r="L9015">
        <f t="shared" si="1"/>
      </c>
      <c r="M9015">
        <f t="shared" si="2"/>
      </c>
    </row>
    <row r="9016">
      <c r="G9016" s="9">
        <f t="shared" si="0"/>
      </c>
      <c r="L9016">
        <f t="shared" si="1"/>
      </c>
      <c r="M9016">
        <f t="shared" si="2"/>
      </c>
    </row>
    <row r="9017">
      <c r="G9017" s="9">
        <f t="shared" si="0"/>
      </c>
      <c r="L9017">
        <f t="shared" si="1"/>
      </c>
      <c r="M9017">
        <f t="shared" si="2"/>
      </c>
    </row>
    <row r="9018">
      <c r="G9018" s="9">
        <f t="shared" si="0"/>
      </c>
      <c r="L9018">
        <f t="shared" si="1"/>
      </c>
      <c r="M9018">
        <f t="shared" si="2"/>
      </c>
    </row>
    <row r="9019">
      <c r="G9019" s="9">
        <f t="shared" si="0"/>
      </c>
      <c r="L9019">
        <f t="shared" si="1"/>
      </c>
      <c r="M9019">
        <f t="shared" si="2"/>
      </c>
    </row>
    <row r="9020">
      <c r="G9020" s="9">
        <f t="shared" si="0"/>
      </c>
      <c r="L9020">
        <f t="shared" si="1"/>
      </c>
      <c r="M9020">
        <f t="shared" si="2"/>
      </c>
    </row>
    <row r="9021">
      <c r="G9021" s="9">
        <f t="shared" si="0"/>
      </c>
      <c r="L9021">
        <f t="shared" si="1"/>
      </c>
      <c r="M9021">
        <f t="shared" si="2"/>
      </c>
    </row>
    <row r="9022">
      <c r="G9022" s="9">
        <f t="shared" si="0"/>
      </c>
      <c r="L9022">
        <f t="shared" si="1"/>
      </c>
      <c r="M9022">
        <f t="shared" si="2"/>
      </c>
    </row>
    <row r="9023">
      <c r="G9023" s="9">
        <f t="shared" si="0"/>
      </c>
      <c r="L9023">
        <f t="shared" si="1"/>
      </c>
      <c r="M9023">
        <f t="shared" si="2"/>
      </c>
    </row>
    <row r="9024">
      <c r="G9024" s="9">
        <f t="shared" si="0"/>
      </c>
      <c r="L9024">
        <f t="shared" si="1"/>
      </c>
      <c r="M9024">
        <f t="shared" si="2"/>
      </c>
    </row>
    <row r="9025">
      <c r="G9025" s="9">
        <f t="shared" si="0"/>
      </c>
      <c r="L9025">
        <f t="shared" si="1"/>
      </c>
      <c r="M9025">
        <f t="shared" si="2"/>
      </c>
    </row>
    <row r="9026">
      <c r="G9026" s="9">
        <f t="shared" si="0"/>
      </c>
      <c r="L9026">
        <f t="shared" si="1"/>
      </c>
      <c r="M9026">
        <f t="shared" si="2"/>
      </c>
    </row>
    <row r="9027">
      <c r="G9027" s="9">
        <f t="shared" si="0"/>
      </c>
      <c r="L9027">
        <f t="shared" si="1"/>
      </c>
      <c r="M9027">
        <f t="shared" si="2"/>
      </c>
    </row>
    <row r="9028">
      <c r="G9028" s="9">
        <f t="shared" si="0"/>
      </c>
      <c r="L9028">
        <f t="shared" si="1"/>
      </c>
      <c r="M9028">
        <f t="shared" si="2"/>
      </c>
    </row>
    <row r="9029">
      <c r="G9029" s="9">
        <f t="shared" si="0"/>
      </c>
      <c r="L9029">
        <f t="shared" si="1"/>
      </c>
      <c r="M9029">
        <f t="shared" si="2"/>
      </c>
    </row>
    <row r="9030">
      <c r="G9030" s="9">
        <f t="shared" si="0"/>
      </c>
      <c r="L9030">
        <f t="shared" si="1"/>
      </c>
      <c r="M9030">
        <f t="shared" si="2"/>
      </c>
    </row>
    <row r="9031">
      <c r="G9031" s="9">
        <f t="shared" si="0"/>
      </c>
      <c r="L9031">
        <f t="shared" si="1"/>
      </c>
      <c r="M9031">
        <f t="shared" si="2"/>
      </c>
    </row>
    <row r="9032">
      <c r="G9032" s="9">
        <f t="shared" si="0"/>
      </c>
      <c r="L9032">
        <f t="shared" si="1"/>
      </c>
      <c r="M9032">
        <f t="shared" si="2"/>
      </c>
    </row>
    <row r="9033">
      <c r="G9033" s="9">
        <f t="shared" si="0"/>
      </c>
      <c r="L9033">
        <f t="shared" si="1"/>
      </c>
      <c r="M9033">
        <f t="shared" si="2"/>
      </c>
    </row>
    <row r="9034">
      <c r="G9034" s="9">
        <f t="shared" si="0"/>
      </c>
      <c r="L9034">
        <f t="shared" si="1"/>
      </c>
      <c r="M9034">
        <f t="shared" si="2"/>
      </c>
    </row>
    <row r="9035">
      <c r="G9035" s="9">
        <f t="shared" si="0"/>
      </c>
      <c r="L9035">
        <f t="shared" si="1"/>
      </c>
      <c r="M9035">
        <f t="shared" si="2"/>
      </c>
    </row>
    <row r="9036">
      <c r="G9036" s="9">
        <f t="shared" si="0"/>
      </c>
      <c r="L9036">
        <f t="shared" si="1"/>
      </c>
      <c r="M9036">
        <f t="shared" si="2"/>
      </c>
    </row>
    <row r="9037">
      <c r="G9037" s="9">
        <f t="shared" si="0"/>
      </c>
      <c r="L9037">
        <f t="shared" si="1"/>
      </c>
      <c r="M9037">
        <f t="shared" si="2"/>
      </c>
    </row>
    <row r="9038">
      <c r="G9038" s="9">
        <f t="shared" si="0"/>
      </c>
      <c r="L9038">
        <f t="shared" si="1"/>
      </c>
      <c r="M9038">
        <f t="shared" si="2"/>
      </c>
    </row>
    <row r="9039">
      <c r="G9039" s="9">
        <f t="shared" si="0"/>
      </c>
      <c r="L9039">
        <f t="shared" si="1"/>
      </c>
      <c r="M9039">
        <f t="shared" si="2"/>
      </c>
    </row>
    <row r="9040">
      <c r="G9040" s="9">
        <f t="shared" si="0"/>
      </c>
      <c r="L9040">
        <f t="shared" si="1"/>
      </c>
      <c r="M9040">
        <f t="shared" si="2"/>
      </c>
    </row>
    <row r="9041">
      <c r="G9041" s="9">
        <f t="shared" si="0"/>
      </c>
      <c r="L9041">
        <f t="shared" si="1"/>
      </c>
      <c r="M9041">
        <f t="shared" si="2"/>
      </c>
    </row>
    <row r="9042">
      <c r="G9042" s="9">
        <f t="shared" si="0"/>
      </c>
      <c r="L9042">
        <f t="shared" si="1"/>
      </c>
      <c r="M9042">
        <f t="shared" si="2"/>
      </c>
    </row>
    <row r="9043">
      <c r="G9043" s="9">
        <f t="shared" si="0"/>
      </c>
      <c r="L9043">
        <f t="shared" si="1"/>
      </c>
      <c r="M9043">
        <f t="shared" si="2"/>
      </c>
    </row>
    <row r="9044">
      <c r="G9044" s="9">
        <f t="shared" si="0"/>
      </c>
      <c r="L9044">
        <f t="shared" si="1"/>
      </c>
      <c r="M9044">
        <f t="shared" si="2"/>
      </c>
    </row>
    <row r="9045">
      <c r="G9045" s="9">
        <f t="shared" si="0"/>
      </c>
      <c r="L9045">
        <f t="shared" si="1"/>
      </c>
      <c r="M9045">
        <f t="shared" si="2"/>
      </c>
    </row>
    <row r="9046">
      <c r="G9046" s="9">
        <f t="shared" si="0"/>
      </c>
      <c r="L9046">
        <f t="shared" si="1"/>
      </c>
      <c r="M9046">
        <f t="shared" si="2"/>
      </c>
    </row>
    <row r="9047">
      <c r="G9047" s="9">
        <f t="shared" si="0"/>
      </c>
      <c r="L9047">
        <f t="shared" si="1"/>
      </c>
      <c r="M9047">
        <f t="shared" si="2"/>
      </c>
    </row>
    <row r="9048">
      <c r="G9048" s="9">
        <f t="shared" si="0"/>
      </c>
      <c r="L9048">
        <f t="shared" si="1"/>
      </c>
      <c r="M9048">
        <f t="shared" si="2"/>
      </c>
    </row>
    <row r="9049">
      <c r="G9049" s="9">
        <f t="shared" si="0"/>
      </c>
      <c r="L9049">
        <f t="shared" si="1"/>
      </c>
      <c r="M9049">
        <f t="shared" si="2"/>
      </c>
    </row>
    <row r="9050">
      <c r="G9050" s="9">
        <f t="shared" si="0"/>
      </c>
      <c r="L9050">
        <f t="shared" si="1"/>
      </c>
      <c r="M9050">
        <f t="shared" si="2"/>
      </c>
    </row>
    <row r="9051">
      <c r="G9051" s="9">
        <f t="shared" si="0"/>
      </c>
      <c r="L9051">
        <f t="shared" si="1"/>
      </c>
      <c r="M9051">
        <f t="shared" si="2"/>
      </c>
    </row>
    <row r="9052">
      <c r="G9052" s="9">
        <f t="shared" si="0"/>
      </c>
      <c r="L9052">
        <f t="shared" si="1"/>
      </c>
      <c r="M9052">
        <f t="shared" si="2"/>
      </c>
    </row>
    <row r="9053">
      <c r="G9053" s="9">
        <f t="shared" si="0"/>
      </c>
      <c r="L9053">
        <f t="shared" si="1"/>
      </c>
      <c r="M9053">
        <f t="shared" si="2"/>
      </c>
    </row>
    <row r="9054">
      <c r="G9054" s="9">
        <f t="shared" si="0"/>
      </c>
      <c r="L9054">
        <f t="shared" si="1"/>
      </c>
      <c r="M9054">
        <f t="shared" si="2"/>
      </c>
    </row>
    <row r="9055">
      <c r="G9055" s="9">
        <f t="shared" si="0"/>
      </c>
      <c r="L9055">
        <f t="shared" si="1"/>
      </c>
      <c r="M9055">
        <f t="shared" si="2"/>
      </c>
    </row>
    <row r="9056">
      <c r="G9056" s="9">
        <f t="shared" si="0"/>
      </c>
      <c r="L9056">
        <f t="shared" si="1"/>
      </c>
      <c r="M9056">
        <f t="shared" si="2"/>
      </c>
    </row>
    <row r="9057">
      <c r="G9057" s="9">
        <f t="shared" si="0"/>
      </c>
      <c r="L9057">
        <f t="shared" si="1"/>
      </c>
      <c r="M9057">
        <f t="shared" si="2"/>
      </c>
    </row>
    <row r="9058">
      <c r="G9058" s="9">
        <f t="shared" si="0"/>
      </c>
      <c r="L9058">
        <f t="shared" si="1"/>
      </c>
      <c r="M9058">
        <f t="shared" si="2"/>
      </c>
    </row>
    <row r="9059">
      <c r="G9059" s="9">
        <f t="shared" si="0"/>
      </c>
      <c r="L9059">
        <f t="shared" si="1"/>
      </c>
      <c r="M9059">
        <f t="shared" si="2"/>
      </c>
    </row>
    <row r="9060">
      <c r="G9060" s="9">
        <f t="shared" si="0"/>
      </c>
      <c r="L9060">
        <f t="shared" si="1"/>
      </c>
      <c r="M9060">
        <f t="shared" si="2"/>
      </c>
    </row>
    <row r="9061">
      <c r="G9061" s="9">
        <f t="shared" si="0"/>
      </c>
      <c r="L9061">
        <f t="shared" si="1"/>
      </c>
      <c r="M9061">
        <f t="shared" si="2"/>
      </c>
    </row>
    <row r="9062">
      <c r="G9062" s="9">
        <f t="shared" si="0"/>
      </c>
      <c r="L9062">
        <f t="shared" si="1"/>
      </c>
      <c r="M9062">
        <f t="shared" si="2"/>
      </c>
    </row>
    <row r="9063">
      <c r="G9063" s="9">
        <f t="shared" si="0"/>
      </c>
      <c r="L9063">
        <f t="shared" si="1"/>
      </c>
      <c r="M9063">
        <f t="shared" si="2"/>
      </c>
    </row>
    <row r="9064">
      <c r="G9064" s="9">
        <f t="shared" si="0"/>
      </c>
      <c r="L9064">
        <f t="shared" si="1"/>
      </c>
      <c r="M9064">
        <f t="shared" si="2"/>
      </c>
    </row>
    <row r="9065">
      <c r="G9065" s="9">
        <f t="shared" si="0"/>
      </c>
      <c r="L9065">
        <f t="shared" si="1"/>
      </c>
      <c r="M9065">
        <f t="shared" si="2"/>
      </c>
    </row>
    <row r="9066">
      <c r="G9066" s="9">
        <f t="shared" si="0"/>
      </c>
      <c r="L9066">
        <f t="shared" si="1"/>
      </c>
      <c r="M9066">
        <f t="shared" si="2"/>
      </c>
    </row>
    <row r="9067">
      <c r="G9067" s="9">
        <f t="shared" si="0"/>
      </c>
      <c r="L9067">
        <f t="shared" si="1"/>
      </c>
      <c r="M9067">
        <f t="shared" si="2"/>
      </c>
    </row>
    <row r="9068">
      <c r="G9068" s="9">
        <f t="shared" si="0"/>
      </c>
      <c r="L9068">
        <f t="shared" si="1"/>
      </c>
      <c r="M9068">
        <f t="shared" si="2"/>
      </c>
    </row>
    <row r="9069">
      <c r="G9069" s="9">
        <f t="shared" si="0"/>
      </c>
      <c r="L9069">
        <f t="shared" si="1"/>
      </c>
      <c r="M9069">
        <f t="shared" si="2"/>
      </c>
    </row>
    <row r="9070">
      <c r="G9070" s="9">
        <f t="shared" si="0"/>
      </c>
      <c r="L9070">
        <f t="shared" si="1"/>
      </c>
      <c r="M9070">
        <f t="shared" si="2"/>
      </c>
    </row>
    <row r="9071">
      <c r="G9071" s="9">
        <f t="shared" si="0"/>
      </c>
      <c r="L9071">
        <f t="shared" si="1"/>
      </c>
      <c r="M9071">
        <f t="shared" si="2"/>
      </c>
    </row>
    <row r="9072">
      <c r="G9072" s="9">
        <f t="shared" si="0"/>
      </c>
      <c r="L9072">
        <f t="shared" si="1"/>
      </c>
      <c r="M9072">
        <f t="shared" si="2"/>
      </c>
    </row>
    <row r="9073">
      <c r="G9073" s="9">
        <f t="shared" si="0"/>
      </c>
      <c r="L9073">
        <f t="shared" si="1"/>
      </c>
      <c r="M9073">
        <f t="shared" si="2"/>
      </c>
    </row>
    <row r="9074">
      <c r="G9074" s="9">
        <f t="shared" si="0"/>
      </c>
      <c r="L9074">
        <f t="shared" si="1"/>
      </c>
      <c r="M9074">
        <f t="shared" si="2"/>
      </c>
    </row>
    <row r="9075">
      <c r="G9075" s="9">
        <f t="shared" si="0"/>
      </c>
      <c r="L9075">
        <f t="shared" si="1"/>
      </c>
      <c r="M9075">
        <f t="shared" si="2"/>
      </c>
    </row>
    <row r="9076">
      <c r="G9076" s="9">
        <f t="shared" si="0"/>
      </c>
      <c r="L9076">
        <f t="shared" si="1"/>
      </c>
      <c r="M9076">
        <f t="shared" si="2"/>
      </c>
    </row>
    <row r="9077">
      <c r="G9077" s="9">
        <f t="shared" si="0"/>
      </c>
      <c r="L9077">
        <f t="shared" si="1"/>
      </c>
      <c r="M9077">
        <f t="shared" si="2"/>
      </c>
    </row>
    <row r="9078">
      <c r="G9078" s="9">
        <f t="shared" si="0"/>
      </c>
      <c r="L9078">
        <f t="shared" si="1"/>
      </c>
      <c r="M9078">
        <f t="shared" si="2"/>
      </c>
    </row>
    <row r="9079">
      <c r="G9079" s="9">
        <f t="shared" si="0"/>
      </c>
      <c r="L9079">
        <f t="shared" si="1"/>
      </c>
      <c r="M9079">
        <f t="shared" si="2"/>
      </c>
    </row>
    <row r="9080">
      <c r="G9080" s="9">
        <f t="shared" si="0"/>
      </c>
      <c r="L9080">
        <f t="shared" si="1"/>
      </c>
      <c r="M9080">
        <f t="shared" si="2"/>
      </c>
    </row>
    <row r="9081">
      <c r="G9081" s="9">
        <f t="shared" si="0"/>
      </c>
      <c r="L9081">
        <f t="shared" si="1"/>
      </c>
      <c r="M9081">
        <f t="shared" si="2"/>
      </c>
    </row>
    <row r="9082">
      <c r="G9082" s="9">
        <f t="shared" si="0"/>
      </c>
      <c r="L9082">
        <f t="shared" si="1"/>
      </c>
      <c r="M9082">
        <f t="shared" si="2"/>
      </c>
    </row>
    <row r="9083">
      <c r="G9083" s="9">
        <f t="shared" si="0"/>
      </c>
      <c r="L9083">
        <f t="shared" si="1"/>
      </c>
      <c r="M9083">
        <f t="shared" si="2"/>
      </c>
    </row>
    <row r="9084">
      <c r="G9084" s="9">
        <f t="shared" si="0"/>
      </c>
      <c r="L9084">
        <f t="shared" si="1"/>
      </c>
      <c r="M9084">
        <f t="shared" si="2"/>
      </c>
    </row>
    <row r="9085">
      <c r="G9085" s="9">
        <f t="shared" si="0"/>
      </c>
      <c r="L9085">
        <f t="shared" si="1"/>
      </c>
      <c r="M9085">
        <f t="shared" si="2"/>
      </c>
    </row>
    <row r="9086">
      <c r="G9086" s="9">
        <f t="shared" si="0"/>
      </c>
      <c r="L9086">
        <f t="shared" si="1"/>
      </c>
      <c r="M9086">
        <f t="shared" si="2"/>
      </c>
    </row>
    <row r="9087">
      <c r="G9087" s="9">
        <f t="shared" si="0"/>
      </c>
      <c r="L9087">
        <f t="shared" si="1"/>
      </c>
      <c r="M9087">
        <f t="shared" si="2"/>
      </c>
    </row>
    <row r="9088">
      <c r="G9088" s="9">
        <f t="shared" si="0"/>
      </c>
      <c r="L9088">
        <f t="shared" si="1"/>
      </c>
      <c r="M9088">
        <f t="shared" si="2"/>
      </c>
    </row>
    <row r="9089">
      <c r="G9089" s="9">
        <f t="shared" si="0"/>
      </c>
      <c r="L9089">
        <f t="shared" si="1"/>
      </c>
      <c r="M9089">
        <f t="shared" si="2"/>
      </c>
    </row>
    <row r="9090">
      <c r="G9090" s="9">
        <f t="shared" si="0"/>
      </c>
      <c r="L9090">
        <f t="shared" si="1"/>
      </c>
      <c r="M9090">
        <f t="shared" si="2"/>
      </c>
    </row>
    <row r="9091">
      <c r="G9091" s="9">
        <f t="shared" si="0"/>
      </c>
      <c r="L9091">
        <f t="shared" si="1"/>
      </c>
      <c r="M9091">
        <f t="shared" si="2"/>
      </c>
    </row>
    <row r="9092">
      <c r="G9092" s="9">
        <f t="shared" si="0"/>
      </c>
      <c r="L9092">
        <f t="shared" si="1"/>
      </c>
      <c r="M9092">
        <f t="shared" si="2"/>
      </c>
    </row>
    <row r="9093">
      <c r="G9093" s="9">
        <f t="shared" si="0"/>
      </c>
      <c r="L9093">
        <f t="shared" si="1"/>
      </c>
      <c r="M9093">
        <f t="shared" si="2"/>
      </c>
    </row>
    <row r="9094">
      <c r="G9094" s="9">
        <f t="shared" si="0"/>
      </c>
      <c r="L9094">
        <f t="shared" si="1"/>
      </c>
      <c r="M9094">
        <f t="shared" si="2"/>
      </c>
    </row>
    <row r="9095">
      <c r="G9095" s="9">
        <f t="shared" si="0"/>
      </c>
      <c r="L9095">
        <f t="shared" si="1"/>
      </c>
      <c r="M9095">
        <f t="shared" si="2"/>
      </c>
    </row>
    <row r="9096">
      <c r="G9096" s="9">
        <f t="shared" si="0"/>
      </c>
      <c r="L9096">
        <f t="shared" si="1"/>
      </c>
      <c r="M9096">
        <f t="shared" si="2"/>
      </c>
    </row>
    <row r="9097">
      <c r="G9097" s="9">
        <f t="shared" si="0"/>
      </c>
      <c r="L9097">
        <f t="shared" si="1"/>
      </c>
      <c r="M9097">
        <f t="shared" si="2"/>
      </c>
    </row>
    <row r="9098">
      <c r="G9098" s="9">
        <f t="shared" si="0"/>
      </c>
      <c r="L9098">
        <f t="shared" si="1"/>
      </c>
      <c r="M9098">
        <f t="shared" si="2"/>
      </c>
    </row>
    <row r="9099">
      <c r="G9099" s="9">
        <f t="shared" si="0"/>
      </c>
      <c r="L9099">
        <f t="shared" si="1"/>
      </c>
      <c r="M9099">
        <f t="shared" si="2"/>
      </c>
    </row>
    <row r="9100">
      <c r="G9100" s="9">
        <f t="shared" si="0"/>
      </c>
      <c r="L9100">
        <f t="shared" si="1"/>
      </c>
      <c r="M9100">
        <f t="shared" si="2"/>
      </c>
    </row>
    <row r="9101">
      <c r="G9101" s="9">
        <f t="shared" si="0"/>
      </c>
      <c r="L9101">
        <f t="shared" si="1"/>
      </c>
      <c r="M9101">
        <f t="shared" si="2"/>
      </c>
    </row>
    <row r="9102">
      <c r="G9102" s="9">
        <f t="shared" si="0"/>
      </c>
      <c r="L9102">
        <f t="shared" si="1"/>
      </c>
      <c r="M9102">
        <f t="shared" si="2"/>
      </c>
    </row>
    <row r="9103">
      <c r="G9103" s="9">
        <f t="shared" si="0"/>
      </c>
      <c r="L9103">
        <f t="shared" si="1"/>
      </c>
      <c r="M9103">
        <f t="shared" si="2"/>
      </c>
    </row>
    <row r="9104">
      <c r="G9104" s="9">
        <f t="shared" si="0"/>
      </c>
      <c r="L9104">
        <f t="shared" si="1"/>
      </c>
      <c r="M9104">
        <f t="shared" si="2"/>
      </c>
    </row>
    <row r="9105">
      <c r="G9105" s="9">
        <f t="shared" si="0"/>
      </c>
      <c r="L9105">
        <f t="shared" si="1"/>
      </c>
      <c r="M9105">
        <f t="shared" si="2"/>
      </c>
    </row>
    <row r="9106">
      <c r="G9106" s="9">
        <f t="shared" si="0"/>
      </c>
      <c r="L9106">
        <f t="shared" si="1"/>
      </c>
      <c r="M9106">
        <f t="shared" si="2"/>
      </c>
    </row>
    <row r="9107">
      <c r="G9107" s="9">
        <f t="shared" si="0"/>
      </c>
      <c r="L9107">
        <f t="shared" si="1"/>
      </c>
      <c r="M9107">
        <f t="shared" si="2"/>
      </c>
    </row>
    <row r="9108">
      <c r="G9108" s="9">
        <f t="shared" si="0"/>
      </c>
      <c r="L9108">
        <f t="shared" si="1"/>
      </c>
      <c r="M9108">
        <f t="shared" si="2"/>
      </c>
    </row>
    <row r="9109">
      <c r="G9109" s="9">
        <f t="shared" si="0"/>
      </c>
      <c r="L9109">
        <f t="shared" si="1"/>
      </c>
      <c r="M9109">
        <f t="shared" si="2"/>
      </c>
    </row>
    <row r="9110">
      <c r="G9110" s="9">
        <f t="shared" si="0"/>
      </c>
      <c r="L9110">
        <f t="shared" si="1"/>
      </c>
      <c r="M9110">
        <f t="shared" si="2"/>
      </c>
    </row>
    <row r="9111">
      <c r="G9111" s="9">
        <f t="shared" si="0"/>
      </c>
      <c r="L9111">
        <f t="shared" si="1"/>
      </c>
      <c r="M9111">
        <f t="shared" si="2"/>
      </c>
    </row>
    <row r="9112">
      <c r="G9112" s="9">
        <f t="shared" si="0"/>
      </c>
      <c r="L9112">
        <f t="shared" si="1"/>
      </c>
      <c r="M9112">
        <f t="shared" si="2"/>
      </c>
    </row>
    <row r="9113">
      <c r="G9113" s="9">
        <f t="shared" si="0"/>
      </c>
      <c r="L9113">
        <f t="shared" si="1"/>
      </c>
      <c r="M9113">
        <f t="shared" si="2"/>
      </c>
    </row>
    <row r="9114">
      <c r="G9114" s="9">
        <f t="shared" si="0"/>
      </c>
      <c r="L9114">
        <f t="shared" si="1"/>
      </c>
      <c r="M9114">
        <f t="shared" si="2"/>
      </c>
    </row>
    <row r="9115">
      <c r="G9115" s="9">
        <f t="shared" si="0"/>
      </c>
      <c r="L9115">
        <f t="shared" si="1"/>
      </c>
      <c r="M9115">
        <f t="shared" si="2"/>
      </c>
    </row>
    <row r="9116">
      <c r="G9116" s="9">
        <f t="shared" si="0"/>
      </c>
      <c r="L9116">
        <f t="shared" si="1"/>
      </c>
      <c r="M9116">
        <f t="shared" si="2"/>
      </c>
    </row>
    <row r="9117">
      <c r="G9117" s="9">
        <f t="shared" si="0"/>
      </c>
      <c r="L9117">
        <f t="shared" si="1"/>
      </c>
      <c r="M9117">
        <f t="shared" si="2"/>
      </c>
    </row>
    <row r="9118">
      <c r="G9118" s="9">
        <f t="shared" si="0"/>
      </c>
      <c r="L9118">
        <f t="shared" si="1"/>
      </c>
      <c r="M9118">
        <f t="shared" si="2"/>
      </c>
    </row>
    <row r="9119">
      <c r="G9119" s="9">
        <f t="shared" si="0"/>
      </c>
      <c r="L9119">
        <f t="shared" si="1"/>
      </c>
      <c r="M9119">
        <f t="shared" si="2"/>
      </c>
    </row>
    <row r="9120">
      <c r="G9120" s="9">
        <f t="shared" si="0"/>
      </c>
      <c r="L9120">
        <f t="shared" si="1"/>
      </c>
      <c r="M9120">
        <f t="shared" si="2"/>
      </c>
    </row>
    <row r="9121">
      <c r="G9121" s="9">
        <f t="shared" si="0"/>
      </c>
      <c r="L9121">
        <f t="shared" si="1"/>
      </c>
      <c r="M9121">
        <f t="shared" si="2"/>
      </c>
    </row>
    <row r="9122">
      <c r="G9122" s="9">
        <f t="shared" si="0"/>
      </c>
      <c r="L9122">
        <f t="shared" si="1"/>
      </c>
      <c r="M9122">
        <f t="shared" si="2"/>
      </c>
    </row>
    <row r="9123">
      <c r="G9123" s="9">
        <f t="shared" si="0"/>
      </c>
      <c r="L9123">
        <f t="shared" si="1"/>
      </c>
      <c r="M9123">
        <f t="shared" si="2"/>
      </c>
    </row>
    <row r="9124">
      <c r="G9124" s="9">
        <f t="shared" si="0"/>
      </c>
      <c r="L9124">
        <f t="shared" si="1"/>
      </c>
      <c r="M9124">
        <f t="shared" si="2"/>
      </c>
    </row>
    <row r="9125">
      <c r="G9125" s="9">
        <f t="shared" si="0"/>
      </c>
      <c r="L9125">
        <f t="shared" si="1"/>
      </c>
      <c r="M9125">
        <f t="shared" si="2"/>
      </c>
    </row>
    <row r="9126">
      <c r="G9126" s="9">
        <f t="shared" si="0"/>
      </c>
      <c r="L9126">
        <f t="shared" si="1"/>
      </c>
      <c r="M9126">
        <f t="shared" si="2"/>
      </c>
    </row>
    <row r="9127">
      <c r="G9127" s="9">
        <f t="shared" si="0"/>
      </c>
      <c r="L9127">
        <f t="shared" si="1"/>
      </c>
      <c r="M9127">
        <f t="shared" si="2"/>
      </c>
    </row>
    <row r="9128">
      <c r="G9128" s="9">
        <f t="shared" si="0"/>
      </c>
      <c r="L9128">
        <f t="shared" si="1"/>
      </c>
      <c r="M9128">
        <f t="shared" si="2"/>
      </c>
    </row>
    <row r="9129">
      <c r="G9129" s="9">
        <f t="shared" si="0"/>
      </c>
      <c r="L9129">
        <f t="shared" si="1"/>
      </c>
      <c r="M9129">
        <f t="shared" si="2"/>
      </c>
    </row>
    <row r="9130">
      <c r="G9130" s="9">
        <f t="shared" si="0"/>
      </c>
      <c r="L9130">
        <f t="shared" si="1"/>
      </c>
      <c r="M9130">
        <f t="shared" si="2"/>
      </c>
    </row>
    <row r="9131">
      <c r="G9131" s="9">
        <f t="shared" si="0"/>
      </c>
      <c r="L9131">
        <f t="shared" si="1"/>
      </c>
      <c r="M9131">
        <f t="shared" si="2"/>
      </c>
    </row>
    <row r="9132">
      <c r="G9132" s="9">
        <f t="shared" si="0"/>
      </c>
      <c r="L9132">
        <f t="shared" si="1"/>
      </c>
      <c r="M9132">
        <f t="shared" si="2"/>
      </c>
    </row>
    <row r="9133">
      <c r="G9133" s="9">
        <f t="shared" si="0"/>
      </c>
      <c r="L9133">
        <f t="shared" si="1"/>
      </c>
      <c r="M9133">
        <f t="shared" si="2"/>
      </c>
    </row>
    <row r="9134">
      <c r="G9134" s="9">
        <f t="shared" si="0"/>
      </c>
      <c r="L9134">
        <f t="shared" si="1"/>
      </c>
      <c r="M9134">
        <f t="shared" si="2"/>
      </c>
    </row>
    <row r="9135">
      <c r="G9135" s="9">
        <f t="shared" si="0"/>
      </c>
      <c r="L9135">
        <f t="shared" si="1"/>
      </c>
      <c r="M9135">
        <f t="shared" si="2"/>
      </c>
    </row>
    <row r="9136">
      <c r="G9136" s="9">
        <f t="shared" si="0"/>
      </c>
      <c r="L9136">
        <f t="shared" si="1"/>
      </c>
      <c r="M9136">
        <f t="shared" si="2"/>
      </c>
    </row>
    <row r="9137">
      <c r="G9137" s="9">
        <f t="shared" si="0"/>
      </c>
      <c r="L9137">
        <f t="shared" si="1"/>
      </c>
      <c r="M9137">
        <f t="shared" si="2"/>
      </c>
    </row>
    <row r="9138">
      <c r="G9138" s="9">
        <f t="shared" si="0"/>
      </c>
      <c r="L9138">
        <f t="shared" si="1"/>
      </c>
      <c r="M9138">
        <f t="shared" si="2"/>
      </c>
    </row>
    <row r="9139">
      <c r="G9139" s="9">
        <f t="shared" si="0"/>
      </c>
      <c r="L9139">
        <f t="shared" si="1"/>
      </c>
      <c r="M9139">
        <f t="shared" si="2"/>
      </c>
    </row>
    <row r="9140">
      <c r="G9140" s="9">
        <f t="shared" si="0"/>
      </c>
      <c r="L9140">
        <f t="shared" si="1"/>
      </c>
      <c r="M9140">
        <f t="shared" si="2"/>
      </c>
    </row>
    <row r="9141">
      <c r="G9141" s="9">
        <f t="shared" si="0"/>
      </c>
      <c r="L9141">
        <f t="shared" si="1"/>
      </c>
      <c r="M9141">
        <f t="shared" si="2"/>
      </c>
    </row>
    <row r="9142">
      <c r="G9142" s="9">
        <f t="shared" si="0"/>
      </c>
      <c r="L9142">
        <f t="shared" si="1"/>
      </c>
      <c r="M9142">
        <f t="shared" si="2"/>
      </c>
    </row>
    <row r="9143">
      <c r="G9143" s="9">
        <f t="shared" si="0"/>
      </c>
      <c r="L9143">
        <f t="shared" si="1"/>
      </c>
      <c r="M9143">
        <f t="shared" si="2"/>
      </c>
    </row>
    <row r="9144">
      <c r="G9144" s="9">
        <f t="shared" si="0"/>
      </c>
      <c r="L9144">
        <f t="shared" si="1"/>
      </c>
      <c r="M9144">
        <f t="shared" si="2"/>
      </c>
    </row>
    <row r="9145">
      <c r="G9145" s="9">
        <f t="shared" si="0"/>
      </c>
      <c r="L9145">
        <f t="shared" si="1"/>
      </c>
      <c r="M9145">
        <f t="shared" si="2"/>
      </c>
    </row>
    <row r="9146">
      <c r="G9146" s="9">
        <f t="shared" si="0"/>
      </c>
      <c r="L9146">
        <f t="shared" si="1"/>
      </c>
      <c r="M9146">
        <f t="shared" si="2"/>
      </c>
    </row>
    <row r="9147">
      <c r="G9147" s="9">
        <f t="shared" si="0"/>
      </c>
      <c r="L9147">
        <f t="shared" si="1"/>
      </c>
      <c r="M9147">
        <f t="shared" si="2"/>
      </c>
    </row>
    <row r="9148">
      <c r="G9148" s="9">
        <f t="shared" si="0"/>
      </c>
      <c r="L9148">
        <f t="shared" si="1"/>
      </c>
      <c r="M9148">
        <f t="shared" si="2"/>
      </c>
    </row>
    <row r="9149">
      <c r="G9149" s="9">
        <f t="shared" si="0"/>
      </c>
      <c r="L9149">
        <f t="shared" si="1"/>
      </c>
      <c r="M9149">
        <f t="shared" si="2"/>
      </c>
    </row>
    <row r="9150">
      <c r="G9150" s="9">
        <f t="shared" si="0"/>
      </c>
      <c r="L9150">
        <f t="shared" si="1"/>
      </c>
      <c r="M9150">
        <f t="shared" si="2"/>
      </c>
    </row>
    <row r="9151">
      <c r="G9151" s="9">
        <f t="shared" si="0"/>
      </c>
      <c r="L9151">
        <f t="shared" si="1"/>
      </c>
      <c r="M9151">
        <f t="shared" si="2"/>
      </c>
    </row>
    <row r="9152">
      <c r="G9152" s="9">
        <f t="shared" si="0"/>
      </c>
      <c r="L9152">
        <f t="shared" si="1"/>
      </c>
      <c r="M9152">
        <f t="shared" si="2"/>
      </c>
    </row>
    <row r="9153">
      <c r="G9153" s="9">
        <f t="shared" si="0"/>
      </c>
      <c r="L9153">
        <f t="shared" si="1"/>
      </c>
      <c r="M9153">
        <f t="shared" si="2"/>
      </c>
    </row>
    <row r="9154">
      <c r="G9154" s="9">
        <f t="shared" si="0"/>
      </c>
      <c r="L9154">
        <f t="shared" si="1"/>
      </c>
      <c r="M9154">
        <f t="shared" si="2"/>
      </c>
    </row>
    <row r="9155">
      <c r="G9155" s="9">
        <f t="shared" si="0"/>
      </c>
      <c r="L9155">
        <f t="shared" si="1"/>
      </c>
      <c r="M9155">
        <f t="shared" si="2"/>
      </c>
    </row>
    <row r="9156">
      <c r="G9156" s="9">
        <f t="shared" si="0"/>
      </c>
      <c r="L9156">
        <f t="shared" si="1"/>
      </c>
      <c r="M9156">
        <f t="shared" si="2"/>
      </c>
    </row>
    <row r="9157">
      <c r="G9157" s="9">
        <f t="shared" si="0"/>
      </c>
      <c r="L9157">
        <f t="shared" si="1"/>
      </c>
      <c r="M9157">
        <f t="shared" si="2"/>
      </c>
    </row>
    <row r="9158">
      <c r="G9158" s="9">
        <f t="shared" si="0"/>
      </c>
      <c r="L9158">
        <f t="shared" si="1"/>
      </c>
      <c r="M9158">
        <f t="shared" si="2"/>
      </c>
    </row>
    <row r="9159">
      <c r="G9159" s="9">
        <f t="shared" si="0"/>
      </c>
      <c r="L9159">
        <f t="shared" si="1"/>
      </c>
      <c r="M9159">
        <f t="shared" si="2"/>
      </c>
    </row>
    <row r="9160">
      <c r="G9160" s="9">
        <f t="shared" si="0"/>
      </c>
      <c r="L9160">
        <f t="shared" si="1"/>
      </c>
      <c r="M9160">
        <f t="shared" si="2"/>
      </c>
    </row>
    <row r="9161">
      <c r="G9161" s="9">
        <f t="shared" si="0"/>
      </c>
      <c r="L9161">
        <f t="shared" si="1"/>
      </c>
      <c r="M9161">
        <f t="shared" si="2"/>
      </c>
    </row>
    <row r="9162">
      <c r="G9162" s="9">
        <f t="shared" si="0"/>
      </c>
      <c r="L9162">
        <f t="shared" si="1"/>
      </c>
      <c r="M9162">
        <f t="shared" si="2"/>
      </c>
    </row>
    <row r="9163">
      <c r="G9163" s="9">
        <f t="shared" si="0"/>
      </c>
      <c r="L9163">
        <f t="shared" si="1"/>
      </c>
      <c r="M9163">
        <f t="shared" si="2"/>
      </c>
    </row>
    <row r="9164">
      <c r="G9164" s="9">
        <f t="shared" si="0"/>
      </c>
      <c r="L9164">
        <f t="shared" si="1"/>
      </c>
      <c r="M9164">
        <f t="shared" si="2"/>
      </c>
    </row>
    <row r="9165">
      <c r="G9165" s="9">
        <f t="shared" si="0"/>
      </c>
      <c r="L9165">
        <f t="shared" si="1"/>
      </c>
      <c r="M9165">
        <f t="shared" si="2"/>
      </c>
    </row>
    <row r="9166">
      <c r="G9166" s="9">
        <f t="shared" si="0"/>
      </c>
      <c r="L9166">
        <f t="shared" si="1"/>
      </c>
      <c r="M9166">
        <f t="shared" si="2"/>
      </c>
    </row>
    <row r="9167">
      <c r="G9167" s="9">
        <f t="shared" si="0"/>
      </c>
      <c r="L9167">
        <f t="shared" si="1"/>
      </c>
      <c r="M9167">
        <f t="shared" si="2"/>
      </c>
    </row>
    <row r="9168">
      <c r="G9168" s="9">
        <f t="shared" si="0"/>
      </c>
      <c r="L9168">
        <f t="shared" si="1"/>
      </c>
      <c r="M9168">
        <f t="shared" si="2"/>
      </c>
    </row>
    <row r="9169">
      <c r="G9169" s="9">
        <f t="shared" si="0"/>
      </c>
      <c r="L9169">
        <f t="shared" si="1"/>
      </c>
      <c r="M9169">
        <f t="shared" si="2"/>
      </c>
    </row>
    <row r="9170">
      <c r="G9170" s="9">
        <f t="shared" si="0"/>
      </c>
      <c r="L9170">
        <f t="shared" si="1"/>
      </c>
      <c r="M9170">
        <f t="shared" si="2"/>
      </c>
    </row>
    <row r="9171">
      <c r="G9171" s="9">
        <f t="shared" si="0"/>
      </c>
      <c r="L9171">
        <f t="shared" si="1"/>
      </c>
      <c r="M9171">
        <f t="shared" si="2"/>
      </c>
    </row>
    <row r="9172">
      <c r="G9172" s="9">
        <f t="shared" si="0"/>
      </c>
      <c r="L9172">
        <f t="shared" si="1"/>
      </c>
      <c r="M9172">
        <f t="shared" si="2"/>
      </c>
    </row>
    <row r="9173">
      <c r="G9173" s="9">
        <f t="shared" si="0"/>
      </c>
      <c r="L9173">
        <f t="shared" si="1"/>
      </c>
      <c r="M9173">
        <f t="shared" si="2"/>
      </c>
    </row>
    <row r="9174">
      <c r="G9174" s="9">
        <f t="shared" si="0"/>
      </c>
      <c r="L9174">
        <f t="shared" si="1"/>
      </c>
      <c r="M9174">
        <f t="shared" si="2"/>
      </c>
    </row>
    <row r="9175">
      <c r="G9175" s="9">
        <f t="shared" si="0"/>
      </c>
      <c r="L9175">
        <f t="shared" si="1"/>
      </c>
      <c r="M9175">
        <f t="shared" si="2"/>
      </c>
    </row>
    <row r="9176">
      <c r="G9176" s="9">
        <f t="shared" si="0"/>
      </c>
      <c r="L9176">
        <f t="shared" si="1"/>
      </c>
      <c r="M9176">
        <f t="shared" si="2"/>
      </c>
    </row>
    <row r="9177">
      <c r="G9177" s="9">
        <f t="shared" si="0"/>
      </c>
      <c r="L9177">
        <f t="shared" si="1"/>
      </c>
      <c r="M9177">
        <f t="shared" si="2"/>
      </c>
    </row>
    <row r="9178">
      <c r="G9178" s="9">
        <f t="shared" si="0"/>
      </c>
      <c r="L9178">
        <f t="shared" si="1"/>
      </c>
      <c r="M9178">
        <f t="shared" si="2"/>
      </c>
    </row>
    <row r="9179">
      <c r="G9179" s="9">
        <f t="shared" si="0"/>
      </c>
      <c r="L9179">
        <f t="shared" si="1"/>
      </c>
      <c r="M9179">
        <f t="shared" si="2"/>
      </c>
    </row>
    <row r="9180">
      <c r="G9180" s="9">
        <f t="shared" si="0"/>
      </c>
      <c r="L9180">
        <f t="shared" si="1"/>
      </c>
      <c r="M9180">
        <f t="shared" si="2"/>
      </c>
    </row>
    <row r="9181">
      <c r="G9181" s="9">
        <f t="shared" si="0"/>
      </c>
      <c r="L9181">
        <f t="shared" si="1"/>
      </c>
      <c r="M9181">
        <f t="shared" si="2"/>
      </c>
    </row>
    <row r="9182">
      <c r="G9182" s="9">
        <f t="shared" si="0"/>
      </c>
      <c r="L9182">
        <f t="shared" si="1"/>
      </c>
      <c r="M9182">
        <f t="shared" si="2"/>
      </c>
    </row>
    <row r="9183">
      <c r="G9183" s="9">
        <f t="shared" si="0"/>
      </c>
      <c r="L9183">
        <f t="shared" si="1"/>
      </c>
      <c r="M9183">
        <f t="shared" si="2"/>
      </c>
    </row>
    <row r="9184">
      <c r="G9184" s="9">
        <f t="shared" si="0"/>
      </c>
      <c r="L9184">
        <f t="shared" si="1"/>
      </c>
      <c r="M9184">
        <f t="shared" si="2"/>
      </c>
    </row>
    <row r="9185">
      <c r="G9185" s="9">
        <f t="shared" si="0"/>
      </c>
      <c r="L9185">
        <f t="shared" si="1"/>
      </c>
      <c r="M9185">
        <f t="shared" si="2"/>
      </c>
    </row>
    <row r="9186">
      <c r="G9186" s="9">
        <f t="shared" si="0"/>
      </c>
      <c r="L9186">
        <f t="shared" si="1"/>
      </c>
      <c r="M9186">
        <f t="shared" si="2"/>
      </c>
    </row>
    <row r="9187">
      <c r="G9187" s="9">
        <f t="shared" si="0"/>
      </c>
      <c r="L9187">
        <f t="shared" si="1"/>
      </c>
      <c r="M9187">
        <f t="shared" si="2"/>
      </c>
    </row>
    <row r="9188">
      <c r="G9188" s="9">
        <f t="shared" si="0"/>
      </c>
      <c r="L9188">
        <f t="shared" si="1"/>
      </c>
      <c r="M9188">
        <f t="shared" si="2"/>
      </c>
    </row>
    <row r="9189">
      <c r="G9189" s="9">
        <f t="shared" si="0"/>
      </c>
      <c r="L9189">
        <f t="shared" si="1"/>
      </c>
      <c r="M9189">
        <f t="shared" si="2"/>
      </c>
    </row>
    <row r="9190">
      <c r="G9190" s="9">
        <f t="shared" si="0"/>
      </c>
      <c r="L9190">
        <f t="shared" si="1"/>
      </c>
      <c r="M9190">
        <f t="shared" si="2"/>
      </c>
    </row>
    <row r="9191">
      <c r="G9191" s="9">
        <f t="shared" si="0"/>
      </c>
      <c r="L9191">
        <f t="shared" si="1"/>
      </c>
      <c r="M9191">
        <f t="shared" si="2"/>
      </c>
    </row>
    <row r="9192">
      <c r="G9192" s="9">
        <f t="shared" si="0"/>
      </c>
      <c r="L9192">
        <f t="shared" si="1"/>
      </c>
      <c r="M9192">
        <f t="shared" si="2"/>
      </c>
    </row>
    <row r="9193">
      <c r="G9193" s="9">
        <f t="shared" si="0"/>
      </c>
      <c r="L9193">
        <f t="shared" si="1"/>
      </c>
      <c r="M9193">
        <f t="shared" si="2"/>
      </c>
    </row>
    <row r="9194">
      <c r="G9194" s="9">
        <f t="shared" si="0"/>
      </c>
      <c r="L9194">
        <f t="shared" si="1"/>
      </c>
      <c r="M9194">
        <f t="shared" si="2"/>
      </c>
    </row>
    <row r="9195">
      <c r="G9195" s="9">
        <f t="shared" si="0"/>
      </c>
      <c r="L9195">
        <f t="shared" si="1"/>
      </c>
      <c r="M9195">
        <f t="shared" si="2"/>
      </c>
    </row>
    <row r="9196">
      <c r="G9196" s="9">
        <f t="shared" si="0"/>
      </c>
      <c r="L9196">
        <f t="shared" si="1"/>
      </c>
      <c r="M9196">
        <f t="shared" si="2"/>
      </c>
    </row>
    <row r="9197">
      <c r="G9197" s="9">
        <f t="shared" si="0"/>
      </c>
      <c r="L9197">
        <f t="shared" si="1"/>
      </c>
      <c r="M9197">
        <f t="shared" si="2"/>
      </c>
    </row>
    <row r="9198">
      <c r="G9198" s="9">
        <f t="shared" si="0"/>
      </c>
      <c r="L9198">
        <f t="shared" si="1"/>
      </c>
      <c r="M9198">
        <f t="shared" si="2"/>
      </c>
    </row>
    <row r="9199">
      <c r="G9199" s="9">
        <f t="shared" si="0"/>
      </c>
      <c r="L9199">
        <f t="shared" si="1"/>
      </c>
      <c r="M9199">
        <f t="shared" si="2"/>
      </c>
    </row>
    <row r="9200">
      <c r="G9200" s="9">
        <f t="shared" si="0"/>
      </c>
      <c r="L9200">
        <f t="shared" si="1"/>
      </c>
      <c r="M9200">
        <f t="shared" si="2"/>
      </c>
    </row>
    <row r="9201">
      <c r="G9201" s="9">
        <f t="shared" si="0"/>
      </c>
      <c r="L9201">
        <f t="shared" si="1"/>
      </c>
      <c r="M9201">
        <f t="shared" si="2"/>
      </c>
    </row>
    <row r="9202">
      <c r="G9202" s="9">
        <f t="shared" si="0"/>
      </c>
      <c r="L9202">
        <f t="shared" si="1"/>
      </c>
      <c r="M9202">
        <f t="shared" si="2"/>
      </c>
    </row>
    <row r="9203">
      <c r="G9203" s="9">
        <f t="shared" si="0"/>
      </c>
      <c r="L9203">
        <f t="shared" si="1"/>
      </c>
      <c r="M9203">
        <f t="shared" si="2"/>
      </c>
    </row>
    <row r="9204">
      <c r="G9204" s="9">
        <f t="shared" si="0"/>
      </c>
      <c r="L9204">
        <f t="shared" si="1"/>
      </c>
      <c r="M9204">
        <f t="shared" si="2"/>
      </c>
    </row>
    <row r="9205">
      <c r="G9205" s="9">
        <f t="shared" si="0"/>
      </c>
      <c r="L9205">
        <f t="shared" si="1"/>
      </c>
      <c r="M9205">
        <f t="shared" si="2"/>
      </c>
    </row>
    <row r="9206">
      <c r="G9206" s="9">
        <f t="shared" si="0"/>
      </c>
      <c r="L9206">
        <f t="shared" si="1"/>
      </c>
      <c r="M9206">
        <f t="shared" si="2"/>
      </c>
    </row>
    <row r="9207">
      <c r="G9207" s="9">
        <f t="shared" si="0"/>
      </c>
      <c r="L9207">
        <f t="shared" si="1"/>
      </c>
      <c r="M9207">
        <f t="shared" si="2"/>
      </c>
    </row>
    <row r="9208">
      <c r="G9208" s="9">
        <f t="shared" si="0"/>
      </c>
      <c r="L9208">
        <f t="shared" si="1"/>
      </c>
      <c r="M9208">
        <f t="shared" si="2"/>
      </c>
    </row>
    <row r="9209">
      <c r="G9209" s="9">
        <f t="shared" si="0"/>
      </c>
      <c r="L9209">
        <f t="shared" si="1"/>
      </c>
      <c r="M9209">
        <f t="shared" si="2"/>
      </c>
    </row>
    <row r="9210">
      <c r="G9210" s="9">
        <f t="shared" si="0"/>
      </c>
      <c r="L9210">
        <f t="shared" si="1"/>
      </c>
      <c r="M9210">
        <f t="shared" si="2"/>
      </c>
    </row>
    <row r="9211">
      <c r="G9211" s="9">
        <f t="shared" si="0"/>
      </c>
      <c r="L9211">
        <f t="shared" si="1"/>
      </c>
      <c r="M9211">
        <f t="shared" si="2"/>
      </c>
    </row>
    <row r="9212">
      <c r="G9212" s="9">
        <f t="shared" si="0"/>
      </c>
      <c r="L9212">
        <f t="shared" si="1"/>
      </c>
      <c r="M9212">
        <f t="shared" si="2"/>
      </c>
    </row>
    <row r="9213">
      <c r="G9213" s="9">
        <f t="shared" si="0"/>
      </c>
      <c r="L9213">
        <f t="shared" si="1"/>
      </c>
      <c r="M9213">
        <f t="shared" si="2"/>
      </c>
    </row>
    <row r="9214">
      <c r="G9214" s="9">
        <f t="shared" si="0"/>
      </c>
      <c r="L9214">
        <f t="shared" si="1"/>
      </c>
      <c r="M9214">
        <f t="shared" si="2"/>
      </c>
    </row>
    <row r="9215">
      <c r="G9215" s="9">
        <f t="shared" si="0"/>
      </c>
      <c r="L9215">
        <f t="shared" si="1"/>
      </c>
      <c r="M9215">
        <f t="shared" si="2"/>
      </c>
    </row>
    <row r="9216">
      <c r="G9216" s="9">
        <f t="shared" si="0"/>
      </c>
      <c r="L9216">
        <f t="shared" si="1"/>
      </c>
      <c r="M9216">
        <f t="shared" si="2"/>
      </c>
    </row>
    <row r="9217">
      <c r="G9217" s="9">
        <f t="shared" si="0"/>
      </c>
      <c r="L9217">
        <f t="shared" si="1"/>
      </c>
      <c r="M9217">
        <f t="shared" si="2"/>
      </c>
    </row>
    <row r="9218">
      <c r="G9218" s="9">
        <f t="shared" si="0"/>
      </c>
      <c r="L9218">
        <f t="shared" si="1"/>
      </c>
      <c r="M9218">
        <f t="shared" si="2"/>
      </c>
    </row>
    <row r="9219">
      <c r="G9219" s="9">
        <f t="shared" si="0"/>
      </c>
      <c r="L9219">
        <f t="shared" si="1"/>
      </c>
      <c r="M9219">
        <f t="shared" si="2"/>
      </c>
    </row>
    <row r="9220">
      <c r="G9220" s="9">
        <f t="shared" si="0"/>
      </c>
      <c r="L9220">
        <f t="shared" si="1"/>
      </c>
      <c r="M9220">
        <f t="shared" si="2"/>
      </c>
    </row>
    <row r="9221">
      <c r="G9221" s="9">
        <f t="shared" si="0"/>
      </c>
      <c r="L9221">
        <f t="shared" si="1"/>
      </c>
      <c r="M9221">
        <f t="shared" si="2"/>
      </c>
    </row>
    <row r="9222">
      <c r="G9222" s="9">
        <f t="shared" si="0"/>
      </c>
      <c r="L9222">
        <f t="shared" si="1"/>
      </c>
      <c r="M9222">
        <f t="shared" si="2"/>
      </c>
    </row>
    <row r="9223">
      <c r="G9223" s="9">
        <f t="shared" si="0"/>
      </c>
      <c r="L9223">
        <f t="shared" si="1"/>
      </c>
      <c r="M9223">
        <f t="shared" si="2"/>
      </c>
    </row>
    <row r="9224">
      <c r="G9224" s="9">
        <f t="shared" si="0"/>
      </c>
      <c r="L9224">
        <f t="shared" si="1"/>
      </c>
      <c r="M9224">
        <f t="shared" si="2"/>
      </c>
    </row>
    <row r="9225">
      <c r="G9225" s="9">
        <f t="shared" si="0"/>
      </c>
      <c r="L9225">
        <f t="shared" si="1"/>
      </c>
      <c r="M9225">
        <f t="shared" si="2"/>
      </c>
    </row>
    <row r="9226">
      <c r="G9226" s="9">
        <f t="shared" si="0"/>
      </c>
      <c r="L9226">
        <f t="shared" si="1"/>
      </c>
      <c r="M9226">
        <f t="shared" si="2"/>
      </c>
    </row>
    <row r="9227">
      <c r="G9227" s="9">
        <f t="shared" si="0"/>
      </c>
      <c r="L9227">
        <f t="shared" si="1"/>
      </c>
      <c r="M9227">
        <f t="shared" si="2"/>
      </c>
    </row>
    <row r="9228">
      <c r="G9228" s="9">
        <f t="shared" si="0"/>
      </c>
      <c r="L9228">
        <f t="shared" si="1"/>
      </c>
      <c r="M9228">
        <f t="shared" si="2"/>
      </c>
    </row>
    <row r="9229">
      <c r="G9229" s="9">
        <f t="shared" si="0"/>
      </c>
      <c r="L9229">
        <f t="shared" si="1"/>
      </c>
      <c r="M9229">
        <f t="shared" si="2"/>
      </c>
    </row>
    <row r="9230">
      <c r="G9230" s="9">
        <f t="shared" si="0"/>
      </c>
      <c r="L9230">
        <f t="shared" si="1"/>
      </c>
      <c r="M9230">
        <f t="shared" si="2"/>
      </c>
    </row>
    <row r="9231">
      <c r="G9231" s="9">
        <f t="shared" si="0"/>
      </c>
      <c r="L9231">
        <f t="shared" si="1"/>
      </c>
      <c r="M9231">
        <f t="shared" si="2"/>
      </c>
    </row>
    <row r="9232">
      <c r="G9232" s="9">
        <f t="shared" si="0"/>
      </c>
      <c r="L9232">
        <f t="shared" si="1"/>
      </c>
      <c r="M9232">
        <f t="shared" si="2"/>
      </c>
    </row>
    <row r="9233">
      <c r="G9233" s="9">
        <f t="shared" si="0"/>
      </c>
      <c r="L9233">
        <f t="shared" si="1"/>
      </c>
      <c r="M9233">
        <f t="shared" si="2"/>
      </c>
    </row>
    <row r="9234">
      <c r="G9234" s="9">
        <f t="shared" si="0"/>
      </c>
      <c r="L9234">
        <f t="shared" si="1"/>
      </c>
      <c r="M9234">
        <f t="shared" si="2"/>
      </c>
    </row>
    <row r="9235">
      <c r="G9235" s="9">
        <f t="shared" si="0"/>
      </c>
      <c r="L9235">
        <f t="shared" si="1"/>
      </c>
      <c r="M9235">
        <f t="shared" si="2"/>
      </c>
    </row>
    <row r="9236">
      <c r="G9236" s="9">
        <f t="shared" si="0"/>
      </c>
      <c r="L9236">
        <f t="shared" si="1"/>
      </c>
      <c r="M9236">
        <f t="shared" si="2"/>
      </c>
    </row>
    <row r="9237">
      <c r="G9237" s="9">
        <f t="shared" si="0"/>
      </c>
      <c r="L9237">
        <f t="shared" si="1"/>
      </c>
      <c r="M9237">
        <f t="shared" si="2"/>
      </c>
    </row>
    <row r="9238">
      <c r="G9238" s="9">
        <f t="shared" si="0"/>
      </c>
      <c r="L9238">
        <f t="shared" si="1"/>
      </c>
      <c r="M9238">
        <f t="shared" si="2"/>
      </c>
    </row>
    <row r="9239">
      <c r="G9239" s="9">
        <f t="shared" si="0"/>
      </c>
      <c r="L9239">
        <f t="shared" si="1"/>
      </c>
      <c r="M9239">
        <f t="shared" si="2"/>
      </c>
    </row>
    <row r="9240">
      <c r="G9240" s="9">
        <f t="shared" si="0"/>
      </c>
      <c r="L9240">
        <f t="shared" si="1"/>
      </c>
      <c r="M9240">
        <f t="shared" si="2"/>
      </c>
    </row>
    <row r="9241">
      <c r="G9241" s="9">
        <f t="shared" si="0"/>
      </c>
      <c r="L9241">
        <f t="shared" si="1"/>
      </c>
      <c r="M9241">
        <f t="shared" si="2"/>
      </c>
    </row>
    <row r="9242">
      <c r="G9242" s="9">
        <f t="shared" si="0"/>
      </c>
      <c r="L9242">
        <f t="shared" si="1"/>
      </c>
      <c r="M9242">
        <f t="shared" si="2"/>
      </c>
    </row>
    <row r="9243">
      <c r="G9243" s="9">
        <f t="shared" si="0"/>
      </c>
      <c r="L9243">
        <f t="shared" si="1"/>
      </c>
      <c r="M9243">
        <f t="shared" si="2"/>
      </c>
    </row>
    <row r="9244">
      <c r="G9244" s="9">
        <f t="shared" si="0"/>
      </c>
      <c r="L9244">
        <f t="shared" si="1"/>
      </c>
      <c r="M9244">
        <f t="shared" si="2"/>
      </c>
    </row>
    <row r="9245">
      <c r="G9245" s="9">
        <f t="shared" si="0"/>
      </c>
      <c r="L9245">
        <f t="shared" si="1"/>
      </c>
      <c r="M9245">
        <f t="shared" si="2"/>
      </c>
    </row>
    <row r="9246">
      <c r="G9246" s="9">
        <f t="shared" si="0"/>
      </c>
      <c r="L9246">
        <f t="shared" si="1"/>
      </c>
      <c r="M9246">
        <f t="shared" si="2"/>
      </c>
    </row>
    <row r="9247">
      <c r="G9247" s="9">
        <f t="shared" si="0"/>
      </c>
      <c r="L9247">
        <f t="shared" si="1"/>
      </c>
      <c r="M9247">
        <f t="shared" si="2"/>
      </c>
    </row>
    <row r="9248">
      <c r="G9248" s="9">
        <f t="shared" si="0"/>
      </c>
      <c r="L9248">
        <f t="shared" si="1"/>
      </c>
      <c r="M9248">
        <f t="shared" si="2"/>
      </c>
    </row>
    <row r="9249">
      <c r="G9249" s="9">
        <f t="shared" si="0"/>
      </c>
      <c r="L9249">
        <f t="shared" si="1"/>
      </c>
      <c r="M9249">
        <f t="shared" si="2"/>
      </c>
    </row>
    <row r="9250">
      <c r="G9250" s="9">
        <f t="shared" si="0"/>
      </c>
      <c r="L9250">
        <f t="shared" si="1"/>
      </c>
      <c r="M9250">
        <f t="shared" si="2"/>
      </c>
    </row>
    <row r="9251">
      <c r="G9251" s="9">
        <f t="shared" si="0"/>
      </c>
      <c r="L9251">
        <f t="shared" si="1"/>
      </c>
      <c r="M9251">
        <f t="shared" si="2"/>
      </c>
    </row>
    <row r="9252">
      <c r="G9252" s="9">
        <f t="shared" si="0"/>
      </c>
      <c r="L9252">
        <f t="shared" si="1"/>
      </c>
      <c r="M9252">
        <f t="shared" si="2"/>
      </c>
    </row>
    <row r="9253">
      <c r="G9253" s="9">
        <f t="shared" si="0"/>
      </c>
      <c r="L9253">
        <f t="shared" si="1"/>
      </c>
      <c r="M9253">
        <f t="shared" si="2"/>
      </c>
    </row>
    <row r="9254">
      <c r="G9254" s="9">
        <f t="shared" si="0"/>
      </c>
      <c r="L9254">
        <f t="shared" si="1"/>
      </c>
      <c r="M9254">
        <f t="shared" si="2"/>
      </c>
    </row>
    <row r="9255">
      <c r="G9255" s="9">
        <f t="shared" si="0"/>
      </c>
      <c r="L9255">
        <f t="shared" si="1"/>
      </c>
      <c r="M9255">
        <f t="shared" si="2"/>
      </c>
    </row>
    <row r="9256">
      <c r="G9256" s="9">
        <f t="shared" si="0"/>
      </c>
      <c r="L9256">
        <f t="shared" si="1"/>
      </c>
      <c r="M9256">
        <f t="shared" si="2"/>
      </c>
    </row>
    <row r="9257">
      <c r="G9257" s="9">
        <f t="shared" si="0"/>
      </c>
      <c r="L9257">
        <f t="shared" si="1"/>
      </c>
      <c r="M9257">
        <f t="shared" si="2"/>
      </c>
    </row>
    <row r="9258">
      <c r="G9258" s="9">
        <f t="shared" si="0"/>
      </c>
      <c r="L9258">
        <f t="shared" si="1"/>
      </c>
      <c r="M9258">
        <f t="shared" si="2"/>
      </c>
    </row>
    <row r="9259">
      <c r="G9259" s="9">
        <f t="shared" si="0"/>
      </c>
      <c r="L9259">
        <f t="shared" si="1"/>
      </c>
      <c r="M9259">
        <f t="shared" si="2"/>
      </c>
    </row>
    <row r="9260">
      <c r="G9260" s="9">
        <f t="shared" si="0"/>
      </c>
      <c r="L9260">
        <f t="shared" si="1"/>
      </c>
      <c r="M9260">
        <f t="shared" si="2"/>
      </c>
    </row>
    <row r="9261">
      <c r="G9261" s="9">
        <f t="shared" si="0"/>
      </c>
      <c r="L9261">
        <f t="shared" si="1"/>
      </c>
      <c r="M9261">
        <f t="shared" si="2"/>
      </c>
    </row>
    <row r="9262">
      <c r="G9262" s="9">
        <f t="shared" si="0"/>
      </c>
      <c r="L9262">
        <f t="shared" si="1"/>
      </c>
      <c r="M9262">
        <f t="shared" si="2"/>
      </c>
    </row>
    <row r="9263">
      <c r="G9263" s="9">
        <f t="shared" si="0"/>
      </c>
      <c r="L9263">
        <f t="shared" si="1"/>
      </c>
      <c r="M9263">
        <f t="shared" si="2"/>
      </c>
    </row>
    <row r="9264">
      <c r="G9264" s="9">
        <f t="shared" si="0"/>
      </c>
      <c r="L9264">
        <f t="shared" si="1"/>
      </c>
      <c r="M9264">
        <f t="shared" si="2"/>
      </c>
    </row>
    <row r="9265">
      <c r="G9265" s="9">
        <f t="shared" si="0"/>
      </c>
      <c r="L9265">
        <f t="shared" si="1"/>
      </c>
      <c r="M9265">
        <f t="shared" si="2"/>
      </c>
    </row>
    <row r="9266">
      <c r="G9266" s="9">
        <f t="shared" si="0"/>
      </c>
      <c r="L9266">
        <f t="shared" si="1"/>
      </c>
      <c r="M9266">
        <f t="shared" si="2"/>
      </c>
    </row>
    <row r="9267">
      <c r="G9267" s="9">
        <f t="shared" si="0"/>
      </c>
      <c r="L9267">
        <f t="shared" si="1"/>
      </c>
      <c r="M9267">
        <f t="shared" si="2"/>
      </c>
    </row>
    <row r="9268">
      <c r="G9268" s="9">
        <f t="shared" si="0"/>
      </c>
      <c r="L9268">
        <f t="shared" si="1"/>
      </c>
      <c r="M9268">
        <f t="shared" si="2"/>
      </c>
    </row>
    <row r="9269">
      <c r="G9269" s="9">
        <f t="shared" si="0"/>
      </c>
      <c r="L9269">
        <f t="shared" si="1"/>
      </c>
      <c r="M9269">
        <f t="shared" si="2"/>
      </c>
    </row>
    <row r="9270">
      <c r="G9270" s="9">
        <f t="shared" si="0"/>
      </c>
      <c r="L9270">
        <f t="shared" si="1"/>
      </c>
      <c r="M9270">
        <f t="shared" si="2"/>
      </c>
    </row>
    <row r="9271">
      <c r="G9271" s="9">
        <f t="shared" si="0"/>
      </c>
      <c r="L9271">
        <f t="shared" si="1"/>
      </c>
      <c r="M9271">
        <f t="shared" si="2"/>
      </c>
    </row>
    <row r="9272">
      <c r="G9272" s="9">
        <f t="shared" si="0"/>
      </c>
      <c r="L9272">
        <f t="shared" si="1"/>
      </c>
      <c r="M9272">
        <f t="shared" si="2"/>
      </c>
    </row>
    <row r="9273">
      <c r="G9273" s="9">
        <f t="shared" si="0"/>
      </c>
      <c r="L9273">
        <f t="shared" si="1"/>
      </c>
      <c r="M9273">
        <f t="shared" si="2"/>
      </c>
    </row>
    <row r="9274">
      <c r="G9274" s="9">
        <f t="shared" si="0"/>
      </c>
      <c r="L9274">
        <f t="shared" si="1"/>
      </c>
      <c r="M9274">
        <f t="shared" si="2"/>
      </c>
    </row>
    <row r="9275">
      <c r="G9275" s="9">
        <f t="shared" si="0"/>
      </c>
      <c r="L9275">
        <f t="shared" si="1"/>
      </c>
      <c r="M9275">
        <f t="shared" si="2"/>
      </c>
    </row>
    <row r="9276">
      <c r="G9276" s="9">
        <f t="shared" si="0"/>
      </c>
      <c r="L9276">
        <f t="shared" si="1"/>
      </c>
      <c r="M9276">
        <f t="shared" si="2"/>
      </c>
    </row>
    <row r="9277">
      <c r="G9277" s="9">
        <f t="shared" si="0"/>
      </c>
      <c r="L9277">
        <f t="shared" si="1"/>
      </c>
      <c r="M9277">
        <f t="shared" si="2"/>
      </c>
    </row>
    <row r="9278">
      <c r="G9278" s="9">
        <f t="shared" si="0"/>
      </c>
      <c r="L9278">
        <f t="shared" si="1"/>
      </c>
      <c r="M9278">
        <f t="shared" si="2"/>
      </c>
    </row>
    <row r="9279">
      <c r="G9279" s="9">
        <f t="shared" si="0"/>
      </c>
      <c r="L9279">
        <f t="shared" si="1"/>
      </c>
      <c r="M9279">
        <f t="shared" si="2"/>
      </c>
    </row>
    <row r="9280">
      <c r="G9280" s="9">
        <f t="shared" si="0"/>
      </c>
      <c r="L9280">
        <f t="shared" si="1"/>
      </c>
      <c r="M9280">
        <f t="shared" si="2"/>
      </c>
    </row>
    <row r="9281">
      <c r="G9281" s="9">
        <f t="shared" si="0"/>
      </c>
      <c r="L9281">
        <f t="shared" si="1"/>
      </c>
      <c r="M9281">
        <f t="shared" si="2"/>
      </c>
    </row>
    <row r="9282">
      <c r="G9282" s="9">
        <f t="shared" si="0"/>
      </c>
      <c r="L9282">
        <f t="shared" si="1"/>
      </c>
      <c r="M9282">
        <f t="shared" si="2"/>
      </c>
    </row>
    <row r="9283">
      <c r="G9283" s="9">
        <f t="shared" si="0"/>
      </c>
      <c r="L9283">
        <f t="shared" si="1"/>
      </c>
      <c r="M9283">
        <f t="shared" si="2"/>
      </c>
    </row>
    <row r="9284">
      <c r="G9284" s="9">
        <f t="shared" si="0"/>
      </c>
      <c r="L9284">
        <f t="shared" si="1"/>
      </c>
      <c r="M9284">
        <f t="shared" si="2"/>
      </c>
    </row>
    <row r="9285">
      <c r="G9285" s="9">
        <f t="shared" si="0"/>
      </c>
      <c r="L9285">
        <f t="shared" si="1"/>
      </c>
      <c r="M9285">
        <f t="shared" si="2"/>
      </c>
    </row>
    <row r="9286">
      <c r="G9286" s="9">
        <f t="shared" si="0"/>
      </c>
      <c r="L9286">
        <f t="shared" si="1"/>
      </c>
      <c r="M9286">
        <f t="shared" si="2"/>
      </c>
    </row>
    <row r="9287">
      <c r="G9287" s="9">
        <f t="shared" si="0"/>
      </c>
      <c r="L9287">
        <f t="shared" si="1"/>
      </c>
      <c r="M9287">
        <f t="shared" si="2"/>
      </c>
    </row>
    <row r="9288">
      <c r="G9288" s="9">
        <f t="shared" si="0"/>
      </c>
      <c r="L9288">
        <f t="shared" si="1"/>
      </c>
      <c r="M9288">
        <f t="shared" si="2"/>
      </c>
    </row>
    <row r="9289">
      <c r="G9289" s="9">
        <f t="shared" si="0"/>
      </c>
      <c r="L9289">
        <f t="shared" si="1"/>
      </c>
      <c r="M9289">
        <f t="shared" si="2"/>
      </c>
    </row>
    <row r="9290">
      <c r="G9290" s="9">
        <f t="shared" si="0"/>
      </c>
      <c r="L9290">
        <f t="shared" si="1"/>
      </c>
      <c r="M9290">
        <f t="shared" si="2"/>
      </c>
    </row>
    <row r="9291">
      <c r="G9291" s="9">
        <f t="shared" si="0"/>
      </c>
      <c r="L9291">
        <f t="shared" si="1"/>
      </c>
      <c r="M9291">
        <f t="shared" si="2"/>
      </c>
    </row>
    <row r="9292">
      <c r="G9292" s="9">
        <f t="shared" si="0"/>
      </c>
      <c r="L9292">
        <f t="shared" si="1"/>
      </c>
      <c r="M9292">
        <f t="shared" si="2"/>
      </c>
    </row>
    <row r="9293">
      <c r="G9293" s="9">
        <f t="shared" si="0"/>
      </c>
      <c r="L9293">
        <f t="shared" si="1"/>
      </c>
      <c r="M9293">
        <f t="shared" si="2"/>
      </c>
    </row>
    <row r="9294">
      <c r="G9294" s="9">
        <f t="shared" si="0"/>
      </c>
      <c r="L9294">
        <f t="shared" si="1"/>
      </c>
      <c r="M9294">
        <f t="shared" si="2"/>
      </c>
    </row>
    <row r="9295">
      <c r="G9295" s="9">
        <f t="shared" si="0"/>
      </c>
      <c r="L9295">
        <f t="shared" si="1"/>
      </c>
      <c r="M9295">
        <f t="shared" si="2"/>
      </c>
    </row>
    <row r="9296">
      <c r="G9296" s="9">
        <f t="shared" si="0"/>
      </c>
      <c r="L9296">
        <f t="shared" si="1"/>
      </c>
      <c r="M9296">
        <f t="shared" si="2"/>
      </c>
    </row>
    <row r="9297">
      <c r="G9297" s="9">
        <f t="shared" si="0"/>
      </c>
      <c r="L9297">
        <f t="shared" si="1"/>
      </c>
      <c r="M9297">
        <f t="shared" si="2"/>
      </c>
    </row>
    <row r="9298">
      <c r="G9298" s="9">
        <f t="shared" si="0"/>
      </c>
      <c r="L9298">
        <f t="shared" si="1"/>
      </c>
      <c r="M9298">
        <f t="shared" si="2"/>
      </c>
    </row>
    <row r="9299">
      <c r="G9299" s="9">
        <f t="shared" si="0"/>
      </c>
      <c r="L9299">
        <f t="shared" si="1"/>
      </c>
      <c r="M9299">
        <f t="shared" si="2"/>
      </c>
    </row>
    <row r="9300">
      <c r="G9300" s="9">
        <f t="shared" si="0"/>
      </c>
      <c r="L9300">
        <f t="shared" si="1"/>
      </c>
      <c r="M9300">
        <f t="shared" si="2"/>
      </c>
    </row>
    <row r="9301">
      <c r="G9301" s="9">
        <f t="shared" si="0"/>
      </c>
      <c r="L9301">
        <f t="shared" si="1"/>
      </c>
      <c r="M9301">
        <f t="shared" si="2"/>
      </c>
    </row>
    <row r="9302">
      <c r="G9302" s="9">
        <f t="shared" si="0"/>
      </c>
      <c r="L9302">
        <f t="shared" si="1"/>
      </c>
      <c r="M9302">
        <f t="shared" si="2"/>
      </c>
    </row>
    <row r="9303">
      <c r="G9303" s="9">
        <f t="shared" si="0"/>
      </c>
      <c r="L9303">
        <f t="shared" si="1"/>
      </c>
      <c r="M9303">
        <f t="shared" si="2"/>
      </c>
    </row>
    <row r="9304">
      <c r="G9304" s="9">
        <f t="shared" si="0"/>
      </c>
      <c r="L9304">
        <f t="shared" si="1"/>
      </c>
      <c r="M9304">
        <f t="shared" si="2"/>
      </c>
    </row>
    <row r="9305">
      <c r="G9305" s="9">
        <f t="shared" si="0"/>
      </c>
      <c r="L9305">
        <f t="shared" si="1"/>
      </c>
      <c r="M9305">
        <f t="shared" si="2"/>
      </c>
    </row>
    <row r="9306">
      <c r="G9306" s="9">
        <f t="shared" si="0"/>
      </c>
      <c r="L9306">
        <f t="shared" si="1"/>
      </c>
      <c r="M9306">
        <f t="shared" si="2"/>
      </c>
    </row>
    <row r="9307">
      <c r="G9307" s="9">
        <f t="shared" si="0"/>
      </c>
      <c r="L9307">
        <f t="shared" si="1"/>
      </c>
      <c r="M9307">
        <f t="shared" si="2"/>
      </c>
    </row>
    <row r="9308">
      <c r="G9308" s="9">
        <f t="shared" si="0"/>
      </c>
      <c r="L9308">
        <f t="shared" si="1"/>
      </c>
      <c r="M9308">
        <f t="shared" si="2"/>
      </c>
    </row>
    <row r="9309">
      <c r="G9309" s="9">
        <f t="shared" si="0"/>
      </c>
      <c r="L9309">
        <f t="shared" si="1"/>
      </c>
      <c r="M9309">
        <f t="shared" si="2"/>
      </c>
    </row>
    <row r="9310">
      <c r="G9310" s="9">
        <f t="shared" si="0"/>
      </c>
      <c r="L9310">
        <f t="shared" si="1"/>
      </c>
      <c r="M9310">
        <f t="shared" si="2"/>
      </c>
    </row>
    <row r="9311">
      <c r="G9311" s="9">
        <f t="shared" si="0"/>
      </c>
      <c r="L9311">
        <f t="shared" si="1"/>
      </c>
      <c r="M9311">
        <f t="shared" si="2"/>
      </c>
    </row>
    <row r="9312">
      <c r="G9312" s="9">
        <f t="shared" si="0"/>
      </c>
      <c r="L9312">
        <f t="shared" si="1"/>
      </c>
      <c r="M9312">
        <f t="shared" si="2"/>
      </c>
    </row>
    <row r="9313">
      <c r="G9313" s="9">
        <f t="shared" si="0"/>
      </c>
      <c r="L9313">
        <f t="shared" si="1"/>
      </c>
      <c r="M9313">
        <f t="shared" si="2"/>
      </c>
    </row>
    <row r="9314">
      <c r="G9314" s="9">
        <f t="shared" si="0"/>
      </c>
      <c r="L9314">
        <f t="shared" si="1"/>
      </c>
      <c r="M9314">
        <f t="shared" si="2"/>
      </c>
    </row>
    <row r="9315">
      <c r="G9315" s="9">
        <f t="shared" si="0"/>
      </c>
      <c r="L9315">
        <f t="shared" si="1"/>
      </c>
      <c r="M9315">
        <f t="shared" si="2"/>
      </c>
    </row>
    <row r="9316">
      <c r="G9316" s="9">
        <f t="shared" si="0"/>
      </c>
      <c r="L9316">
        <f t="shared" si="1"/>
      </c>
      <c r="M9316">
        <f t="shared" si="2"/>
      </c>
    </row>
    <row r="9317">
      <c r="G9317" s="9">
        <f t="shared" si="0"/>
      </c>
      <c r="L9317">
        <f t="shared" si="1"/>
      </c>
      <c r="M9317">
        <f t="shared" si="2"/>
      </c>
    </row>
    <row r="9318">
      <c r="G9318" s="9">
        <f t="shared" si="0"/>
      </c>
      <c r="L9318">
        <f t="shared" si="1"/>
      </c>
      <c r="M9318">
        <f t="shared" si="2"/>
      </c>
    </row>
    <row r="9319">
      <c r="G9319" s="9">
        <f t="shared" si="0"/>
      </c>
      <c r="L9319">
        <f t="shared" si="1"/>
      </c>
      <c r="M9319">
        <f t="shared" si="2"/>
      </c>
    </row>
    <row r="9320">
      <c r="G9320" s="9">
        <f t="shared" si="0"/>
      </c>
      <c r="L9320">
        <f t="shared" si="1"/>
      </c>
      <c r="M9320">
        <f t="shared" si="2"/>
      </c>
    </row>
    <row r="9321">
      <c r="G9321" s="9">
        <f t="shared" si="0"/>
      </c>
      <c r="L9321">
        <f t="shared" si="1"/>
      </c>
      <c r="M9321">
        <f t="shared" si="2"/>
      </c>
    </row>
    <row r="9322">
      <c r="G9322" s="9">
        <f t="shared" si="0"/>
      </c>
      <c r="L9322">
        <f t="shared" si="1"/>
      </c>
      <c r="M9322">
        <f t="shared" si="2"/>
      </c>
    </row>
    <row r="9323">
      <c r="G9323" s="9">
        <f t="shared" si="0"/>
      </c>
      <c r="L9323">
        <f t="shared" si="1"/>
      </c>
      <c r="M9323">
        <f t="shared" si="2"/>
      </c>
    </row>
    <row r="9324">
      <c r="G9324" s="9">
        <f t="shared" si="0"/>
      </c>
      <c r="L9324">
        <f t="shared" si="1"/>
      </c>
      <c r="M9324">
        <f t="shared" si="2"/>
      </c>
    </row>
    <row r="9325">
      <c r="G9325" s="9">
        <f t="shared" si="0"/>
      </c>
      <c r="L9325">
        <f t="shared" si="1"/>
      </c>
      <c r="M9325">
        <f t="shared" si="2"/>
      </c>
    </row>
    <row r="9326">
      <c r="G9326" s="9">
        <f t="shared" si="0"/>
      </c>
      <c r="L9326">
        <f t="shared" si="1"/>
      </c>
      <c r="M9326">
        <f t="shared" si="2"/>
      </c>
    </row>
    <row r="9327">
      <c r="G9327" s="9">
        <f t="shared" si="0"/>
      </c>
      <c r="L9327">
        <f t="shared" si="1"/>
      </c>
      <c r="M9327">
        <f t="shared" si="2"/>
      </c>
    </row>
    <row r="9328">
      <c r="G9328" s="9">
        <f t="shared" si="0"/>
      </c>
      <c r="L9328">
        <f t="shared" si="1"/>
      </c>
      <c r="M9328">
        <f t="shared" si="2"/>
      </c>
    </row>
    <row r="9329">
      <c r="G9329" s="9">
        <f t="shared" si="0"/>
      </c>
      <c r="L9329">
        <f t="shared" si="1"/>
      </c>
      <c r="M9329">
        <f t="shared" si="2"/>
      </c>
    </row>
    <row r="9330">
      <c r="G9330" s="9">
        <f t="shared" si="0"/>
      </c>
      <c r="L9330">
        <f t="shared" si="1"/>
      </c>
      <c r="M9330">
        <f t="shared" si="2"/>
      </c>
    </row>
    <row r="9331">
      <c r="G9331" s="9">
        <f t="shared" si="0"/>
      </c>
      <c r="L9331">
        <f t="shared" si="1"/>
      </c>
      <c r="M9331">
        <f t="shared" si="2"/>
      </c>
    </row>
    <row r="9332">
      <c r="G9332" s="9">
        <f t="shared" si="0"/>
      </c>
      <c r="L9332">
        <f t="shared" si="1"/>
      </c>
      <c r="M9332">
        <f t="shared" si="2"/>
      </c>
    </row>
    <row r="9333">
      <c r="G9333" s="9">
        <f t="shared" si="0"/>
      </c>
      <c r="L9333">
        <f t="shared" si="1"/>
      </c>
      <c r="M9333">
        <f t="shared" si="2"/>
      </c>
    </row>
    <row r="9334">
      <c r="G9334" s="9">
        <f t="shared" si="0"/>
      </c>
      <c r="L9334">
        <f t="shared" si="1"/>
      </c>
      <c r="M9334">
        <f t="shared" si="2"/>
      </c>
    </row>
    <row r="9335">
      <c r="G9335" s="9">
        <f t="shared" si="0"/>
      </c>
      <c r="L9335">
        <f t="shared" si="1"/>
      </c>
      <c r="M9335">
        <f t="shared" si="2"/>
      </c>
    </row>
    <row r="9336">
      <c r="G9336" s="9">
        <f t="shared" si="0"/>
      </c>
      <c r="L9336">
        <f t="shared" si="1"/>
      </c>
      <c r="M9336">
        <f t="shared" si="2"/>
      </c>
    </row>
    <row r="9337">
      <c r="G9337" s="9">
        <f t="shared" si="0"/>
      </c>
      <c r="L9337">
        <f t="shared" si="1"/>
      </c>
      <c r="M9337">
        <f t="shared" si="2"/>
      </c>
    </row>
    <row r="9338">
      <c r="G9338" s="9">
        <f t="shared" si="0"/>
      </c>
      <c r="L9338">
        <f t="shared" si="1"/>
      </c>
      <c r="M9338">
        <f t="shared" si="2"/>
      </c>
    </row>
    <row r="9339">
      <c r="G9339" s="9">
        <f t="shared" si="0"/>
      </c>
      <c r="L9339">
        <f t="shared" si="1"/>
      </c>
      <c r="M9339">
        <f t="shared" si="2"/>
      </c>
    </row>
    <row r="9340">
      <c r="G9340" s="9">
        <f t="shared" si="0"/>
      </c>
      <c r="L9340">
        <f t="shared" si="1"/>
      </c>
      <c r="M9340">
        <f t="shared" si="2"/>
      </c>
    </row>
    <row r="9341">
      <c r="G9341" s="9">
        <f t="shared" si="0"/>
      </c>
      <c r="L9341">
        <f t="shared" si="1"/>
      </c>
      <c r="M9341">
        <f t="shared" si="2"/>
      </c>
    </row>
    <row r="9342">
      <c r="G9342" s="9">
        <f t="shared" si="0"/>
      </c>
      <c r="L9342">
        <f t="shared" si="1"/>
      </c>
      <c r="M9342">
        <f t="shared" si="2"/>
      </c>
    </row>
    <row r="9343">
      <c r="G9343" s="9">
        <f t="shared" si="0"/>
      </c>
      <c r="L9343">
        <f t="shared" si="1"/>
      </c>
      <c r="M9343">
        <f t="shared" si="2"/>
      </c>
    </row>
    <row r="9344">
      <c r="G9344" s="9">
        <f t="shared" si="0"/>
      </c>
      <c r="L9344">
        <f t="shared" si="1"/>
      </c>
      <c r="M9344">
        <f t="shared" si="2"/>
      </c>
    </row>
    <row r="9345">
      <c r="G9345" s="9">
        <f t="shared" si="0"/>
      </c>
      <c r="L9345">
        <f t="shared" si="1"/>
      </c>
      <c r="M9345">
        <f t="shared" si="2"/>
      </c>
    </row>
    <row r="9346">
      <c r="G9346" s="9">
        <f t="shared" si="0"/>
      </c>
      <c r="L9346">
        <f t="shared" si="1"/>
      </c>
      <c r="M9346">
        <f t="shared" si="2"/>
      </c>
    </row>
    <row r="9347">
      <c r="G9347" s="9">
        <f t="shared" si="0"/>
      </c>
      <c r="L9347">
        <f t="shared" si="1"/>
      </c>
      <c r="M9347">
        <f t="shared" si="2"/>
      </c>
    </row>
    <row r="9348">
      <c r="G9348" s="9">
        <f t="shared" si="0"/>
      </c>
      <c r="L9348">
        <f t="shared" si="1"/>
      </c>
      <c r="M9348">
        <f t="shared" si="2"/>
      </c>
    </row>
    <row r="9349">
      <c r="G9349" s="9">
        <f t="shared" si="0"/>
      </c>
      <c r="L9349">
        <f t="shared" si="1"/>
      </c>
      <c r="M9349">
        <f t="shared" si="2"/>
      </c>
    </row>
    <row r="9350">
      <c r="G9350" s="9">
        <f t="shared" si="0"/>
      </c>
      <c r="L9350">
        <f t="shared" si="1"/>
      </c>
      <c r="M9350">
        <f t="shared" si="2"/>
      </c>
    </row>
    <row r="9351">
      <c r="G9351" s="9">
        <f t="shared" si="0"/>
      </c>
      <c r="L9351">
        <f t="shared" si="1"/>
      </c>
      <c r="M9351">
        <f t="shared" si="2"/>
      </c>
    </row>
    <row r="9352">
      <c r="G9352" s="9">
        <f t="shared" si="0"/>
      </c>
      <c r="L9352">
        <f t="shared" si="1"/>
      </c>
      <c r="M9352">
        <f t="shared" si="2"/>
      </c>
    </row>
    <row r="9353">
      <c r="G9353" s="9">
        <f t="shared" si="0"/>
      </c>
      <c r="L9353">
        <f t="shared" si="1"/>
      </c>
      <c r="M9353">
        <f t="shared" si="2"/>
      </c>
    </row>
    <row r="9354">
      <c r="G9354" s="9">
        <f t="shared" si="0"/>
      </c>
      <c r="L9354">
        <f t="shared" si="1"/>
      </c>
      <c r="M9354">
        <f t="shared" si="2"/>
      </c>
    </row>
    <row r="9355">
      <c r="G9355" s="9">
        <f t="shared" si="0"/>
      </c>
      <c r="L9355">
        <f t="shared" si="1"/>
      </c>
      <c r="M9355">
        <f t="shared" si="2"/>
      </c>
    </row>
    <row r="9356">
      <c r="G9356" s="9">
        <f t="shared" si="0"/>
      </c>
      <c r="L9356">
        <f t="shared" si="1"/>
      </c>
      <c r="M9356">
        <f t="shared" si="2"/>
      </c>
    </row>
    <row r="9357">
      <c r="G9357" s="9">
        <f t="shared" si="0"/>
      </c>
      <c r="L9357">
        <f t="shared" si="1"/>
      </c>
      <c r="M9357">
        <f t="shared" si="2"/>
      </c>
    </row>
    <row r="9358">
      <c r="G9358" s="9">
        <f t="shared" si="0"/>
      </c>
      <c r="L9358">
        <f t="shared" si="1"/>
      </c>
      <c r="M9358">
        <f t="shared" si="2"/>
      </c>
    </row>
    <row r="9359">
      <c r="G9359" s="9">
        <f t="shared" si="0"/>
      </c>
      <c r="L9359">
        <f t="shared" si="1"/>
      </c>
      <c r="M9359">
        <f t="shared" si="2"/>
      </c>
    </row>
    <row r="9360">
      <c r="G9360" s="9">
        <f t="shared" si="0"/>
      </c>
      <c r="L9360">
        <f t="shared" si="1"/>
      </c>
      <c r="M9360">
        <f t="shared" si="2"/>
      </c>
    </row>
    <row r="9361">
      <c r="G9361" s="9">
        <f t="shared" si="0"/>
      </c>
      <c r="L9361">
        <f t="shared" si="1"/>
      </c>
      <c r="M9361">
        <f t="shared" si="2"/>
      </c>
    </row>
    <row r="9362">
      <c r="G9362" s="9">
        <f t="shared" si="0"/>
      </c>
      <c r="L9362">
        <f t="shared" si="1"/>
      </c>
      <c r="M9362">
        <f t="shared" si="2"/>
      </c>
    </row>
    <row r="9363">
      <c r="G9363" s="9">
        <f t="shared" si="0"/>
      </c>
      <c r="L9363">
        <f t="shared" si="1"/>
      </c>
      <c r="M9363">
        <f t="shared" si="2"/>
      </c>
    </row>
    <row r="9364">
      <c r="G9364" s="9">
        <f t="shared" si="0"/>
      </c>
      <c r="L9364">
        <f t="shared" si="1"/>
      </c>
      <c r="M9364">
        <f t="shared" si="2"/>
      </c>
    </row>
    <row r="9365">
      <c r="G9365" s="9">
        <f t="shared" si="0"/>
      </c>
      <c r="L9365">
        <f t="shared" si="1"/>
      </c>
      <c r="M9365">
        <f t="shared" si="2"/>
      </c>
    </row>
    <row r="9366">
      <c r="G9366" s="9">
        <f t="shared" si="0"/>
      </c>
      <c r="L9366">
        <f t="shared" si="1"/>
      </c>
      <c r="M9366">
        <f t="shared" si="2"/>
      </c>
    </row>
    <row r="9367">
      <c r="G9367" s="9">
        <f t="shared" si="0"/>
      </c>
      <c r="L9367">
        <f t="shared" si="1"/>
      </c>
      <c r="M9367">
        <f t="shared" si="2"/>
      </c>
    </row>
    <row r="9368">
      <c r="G9368" s="9">
        <f t="shared" si="0"/>
      </c>
      <c r="L9368">
        <f t="shared" si="1"/>
      </c>
      <c r="M9368">
        <f t="shared" si="2"/>
      </c>
    </row>
    <row r="9369">
      <c r="G9369" s="9">
        <f t="shared" si="0"/>
      </c>
      <c r="L9369">
        <f t="shared" si="1"/>
      </c>
      <c r="M9369">
        <f t="shared" si="2"/>
      </c>
    </row>
    <row r="9370">
      <c r="G9370" s="9">
        <f t="shared" si="0"/>
      </c>
      <c r="L9370">
        <f t="shared" si="1"/>
      </c>
      <c r="M9370">
        <f t="shared" si="2"/>
      </c>
    </row>
    <row r="9371">
      <c r="G9371" s="9">
        <f t="shared" si="0"/>
      </c>
      <c r="L9371">
        <f t="shared" si="1"/>
      </c>
      <c r="M9371">
        <f t="shared" si="2"/>
      </c>
    </row>
    <row r="9372">
      <c r="G9372" s="9">
        <f t="shared" si="0"/>
      </c>
      <c r="L9372">
        <f t="shared" si="1"/>
      </c>
      <c r="M9372">
        <f t="shared" si="2"/>
      </c>
    </row>
    <row r="9373">
      <c r="G9373" s="9">
        <f t="shared" si="0"/>
      </c>
      <c r="L9373">
        <f t="shared" si="1"/>
      </c>
      <c r="M9373">
        <f t="shared" si="2"/>
      </c>
    </row>
    <row r="9374">
      <c r="G9374" s="9">
        <f t="shared" si="0"/>
      </c>
      <c r="L9374">
        <f t="shared" si="1"/>
      </c>
      <c r="M9374">
        <f t="shared" si="2"/>
      </c>
    </row>
    <row r="9375">
      <c r="G9375" s="9">
        <f t="shared" si="0"/>
      </c>
      <c r="L9375">
        <f t="shared" si="1"/>
      </c>
      <c r="M9375">
        <f t="shared" si="2"/>
      </c>
    </row>
    <row r="9376">
      <c r="G9376" s="9">
        <f t="shared" si="0"/>
      </c>
      <c r="L9376">
        <f t="shared" si="1"/>
      </c>
      <c r="M9376">
        <f t="shared" si="2"/>
      </c>
    </row>
    <row r="9377">
      <c r="G9377" s="9">
        <f t="shared" si="0"/>
      </c>
      <c r="L9377">
        <f t="shared" si="1"/>
      </c>
      <c r="M9377">
        <f t="shared" si="2"/>
      </c>
    </row>
    <row r="9378">
      <c r="G9378" s="9">
        <f t="shared" si="0"/>
      </c>
      <c r="L9378">
        <f t="shared" si="1"/>
      </c>
      <c r="M9378">
        <f t="shared" si="2"/>
      </c>
    </row>
    <row r="9379">
      <c r="G9379" s="9">
        <f t="shared" si="0"/>
      </c>
      <c r="L9379">
        <f t="shared" si="1"/>
      </c>
      <c r="M9379">
        <f t="shared" si="2"/>
      </c>
    </row>
    <row r="9380">
      <c r="G9380" s="9">
        <f t="shared" si="0"/>
      </c>
      <c r="L9380">
        <f t="shared" si="1"/>
      </c>
      <c r="M9380">
        <f t="shared" si="2"/>
      </c>
    </row>
    <row r="9381">
      <c r="G9381" s="9">
        <f t="shared" si="0"/>
      </c>
      <c r="L9381">
        <f t="shared" si="1"/>
      </c>
      <c r="M9381">
        <f t="shared" si="2"/>
      </c>
    </row>
    <row r="9382">
      <c r="G9382" s="9">
        <f t="shared" si="0"/>
      </c>
      <c r="L9382">
        <f t="shared" si="1"/>
      </c>
      <c r="M9382">
        <f t="shared" si="2"/>
      </c>
    </row>
    <row r="9383">
      <c r="G9383" s="9">
        <f t="shared" si="0"/>
      </c>
      <c r="L9383">
        <f t="shared" si="1"/>
      </c>
      <c r="M9383">
        <f t="shared" si="2"/>
      </c>
    </row>
    <row r="9384">
      <c r="G9384" s="9">
        <f t="shared" si="0"/>
      </c>
      <c r="L9384">
        <f t="shared" si="1"/>
      </c>
      <c r="M9384">
        <f t="shared" si="2"/>
      </c>
    </row>
    <row r="9385">
      <c r="G9385" s="9">
        <f t="shared" si="0"/>
      </c>
      <c r="L9385">
        <f t="shared" si="1"/>
      </c>
      <c r="M9385">
        <f t="shared" si="2"/>
      </c>
    </row>
    <row r="9386">
      <c r="G9386" s="9">
        <f t="shared" si="0"/>
      </c>
      <c r="L9386">
        <f t="shared" si="1"/>
      </c>
      <c r="M9386">
        <f t="shared" si="2"/>
      </c>
    </row>
    <row r="9387">
      <c r="G9387" s="9">
        <f t="shared" si="0"/>
      </c>
      <c r="L9387">
        <f t="shared" si="1"/>
      </c>
      <c r="M9387">
        <f t="shared" si="2"/>
      </c>
    </row>
    <row r="9388">
      <c r="G9388" s="9">
        <f t="shared" si="0"/>
      </c>
      <c r="L9388">
        <f t="shared" si="1"/>
      </c>
      <c r="M9388">
        <f t="shared" si="2"/>
      </c>
    </row>
    <row r="9389">
      <c r="G9389" s="9">
        <f t="shared" si="0"/>
      </c>
      <c r="L9389">
        <f t="shared" si="1"/>
      </c>
      <c r="M9389">
        <f t="shared" si="2"/>
      </c>
    </row>
    <row r="9390">
      <c r="G9390" s="9">
        <f t="shared" si="0"/>
      </c>
      <c r="L9390">
        <f t="shared" si="1"/>
      </c>
      <c r="M9390">
        <f t="shared" si="2"/>
      </c>
    </row>
    <row r="9391">
      <c r="G9391" s="9">
        <f t="shared" si="0"/>
      </c>
      <c r="L9391">
        <f t="shared" si="1"/>
      </c>
      <c r="M9391">
        <f t="shared" si="2"/>
      </c>
    </row>
    <row r="9392">
      <c r="G9392" s="9">
        <f t="shared" si="0"/>
      </c>
      <c r="L9392">
        <f t="shared" si="1"/>
      </c>
      <c r="M9392">
        <f t="shared" si="2"/>
      </c>
    </row>
    <row r="9393">
      <c r="G9393" s="9">
        <f t="shared" si="0"/>
      </c>
      <c r="L9393">
        <f t="shared" si="1"/>
      </c>
      <c r="M9393">
        <f t="shared" si="2"/>
      </c>
    </row>
    <row r="9394">
      <c r="G9394" s="9">
        <f t="shared" si="0"/>
      </c>
      <c r="L9394">
        <f t="shared" si="1"/>
      </c>
      <c r="M9394">
        <f t="shared" si="2"/>
      </c>
    </row>
    <row r="9395">
      <c r="G9395" s="9">
        <f t="shared" si="0"/>
      </c>
      <c r="L9395">
        <f t="shared" si="1"/>
      </c>
      <c r="M9395">
        <f t="shared" si="2"/>
      </c>
    </row>
    <row r="9396">
      <c r="G9396" s="9">
        <f t="shared" si="0"/>
      </c>
      <c r="L9396">
        <f t="shared" si="1"/>
      </c>
      <c r="M9396">
        <f t="shared" si="2"/>
      </c>
    </row>
    <row r="9397">
      <c r="G9397" s="9">
        <f t="shared" si="0"/>
      </c>
      <c r="L9397">
        <f t="shared" si="1"/>
      </c>
      <c r="M9397">
        <f t="shared" si="2"/>
      </c>
    </row>
    <row r="9398">
      <c r="G9398" s="9">
        <f t="shared" si="0"/>
      </c>
      <c r="L9398">
        <f t="shared" si="1"/>
      </c>
      <c r="M9398">
        <f t="shared" si="2"/>
      </c>
    </row>
    <row r="9399">
      <c r="G9399" s="9">
        <f t="shared" si="0"/>
      </c>
      <c r="L9399">
        <f t="shared" si="1"/>
      </c>
      <c r="M9399">
        <f t="shared" si="2"/>
      </c>
    </row>
    <row r="9400">
      <c r="G9400" s="9">
        <f t="shared" si="0"/>
      </c>
      <c r="L9400">
        <f t="shared" si="1"/>
      </c>
      <c r="M9400">
        <f t="shared" si="2"/>
      </c>
    </row>
    <row r="9401">
      <c r="G9401" s="9">
        <f t="shared" si="0"/>
      </c>
      <c r="L9401">
        <f t="shared" si="1"/>
      </c>
      <c r="M9401">
        <f t="shared" si="2"/>
      </c>
    </row>
    <row r="9402">
      <c r="G9402" s="9">
        <f t="shared" si="0"/>
      </c>
      <c r="L9402">
        <f t="shared" si="1"/>
      </c>
      <c r="M9402">
        <f t="shared" si="2"/>
      </c>
    </row>
    <row r="9403">
      <c r="G9403" s="9">
        <f t="shared" si="0"/>
      </c>
      <c r="L9403">
        <f t="shared" si="1"/>
      </c>
      <c r="M9403">
        <f t="shared" si="2"/>
      </c>
    </row>
    <row r="9404">
      <c r="G9404" s="9">
        <f t="shared" si="0"/>
      </c>
      <c r="L9404">
        <f t="shared" si="1"/>
      </c>
      <c r="M9404">
        <f t="shared" si="2"/>
      </c>
    </row>
    <row r="9405">
      <c r="G9405" s="9">
        <f t="shared" si="0"/>
      </c>
      <c r="L9405">
        <f t="shared" si="1"/>
      </c>
      <c r="M9405">
        <f t="shared" si="2"/>
      </c>
    </row>
    <row r="9406">
      <c r="G9406" s="9">
        <f t="shared" si="0"/>
      </c>
      <c r="L9406">
        <f t="shared" si="1"/>
      </c>
      <c r="M9406">
        <f t="shared" si="2"/>
      </c>
    </row>
    <row r="9407">
      <c r="G9407" s="9">
        <f t="shared" si="0"/>
      </c>
      <c r="L9407">
        <f t="shared" si="1"/>
      </c>
      <c r="M9407">
        <f t="shared" si="2"/>
      </c>
    </row>
    <row r="9408">
      <c r="G9408" s="9">
        <f t="shared" si="0"/>
      </c>
      <c r="L9408">
        <f t="shared" si="1"/>
      </c>
      <c r="M9408">
        <f t="shared" si="2"/>
      </c>
    </row>
    <row r="9409">
      <c r="G9409" s="9">
        <f t="shared" si="0"/>
      </c>
      <c r="L9409">
        <f t="shared" si="1"/>
      </c>
      <c r="M9409">
        <f t="shared" si="2"/>
      </c>
    </row>
    <row r="9410">
      <c r="G9410" s="9">
        <f t="shared" si="0"/>
      </c>
      <c r="L9410">
        <f t="shared" si="1"/>
      </c>
      <c r="M9410">
        <f t="shared" si="2"/>
      </c>
    </row>
    <row r="9411">
      <c r="G9411" s="9">
        <f t="shared" si="0"/>
      </c>
      <c r="L9411">
        <f t="shared" si="1"/>
      </c>
      <c r="M9411">
        <f t="shared" si="2"/>
      </c>
    </row>
    <row r="9412">
      <c r="G9412" s="9">
        <f t="shared" si="0"/>
      </c>
      <c r="L9412">
        <f t="shared" si="1"/>
      </c>
      <c r="M9412">
        <f t="shared" si="2"/>
      </c>
    </row>
    <row r="9413">
      <c r="G9413" s="9">
        <f t="shared" si="0"/>
      </c>
      <c r="L9413">
        <f t="shared" si="1"/>
      </c>
      <c r="M9413">
        <f t="shared" si="2"/>
      </c>
    </row>
    <row r="9414">
      <c r="G9414" s="9">
        <f t="shared" si="0"/>
      </c>
      <c r="L9414">
        <f t="shared" si="1"/>
      </c>
      <c r="M9414">
        <f t="shared" si="2"/>
      </c>
    </row>
    <row r="9415">
      <c r="G9415" s="9">
        <f t="shared" si="0"/>
      </c>
      <c r="L9415">
        <f t="shared" si="1"/>
      </c>
      <c r="M9415">
        <f t="shared" si="2"/>
      </c>
    </row>
    <row r="9416">
      <c r="G9416" s="9">
        <f t="shared" si="0"/>
      </c>
      <c r="L9416">
        <f t="shared" si="1"/>
      </c>
      <c r="M9416">
        <f t="shared" si="2"/>
      </c>
    </row>
    <row r="9417">
      <c r="G9417" s="9">
        <f t="shared" si="0"/>
      </c>
      <c r="L9417">
        <f t="shared" si="1"/>
      </c>
      <c r="M9417">
        <f t="shared" si="2"/>
      </c>
    </row>
    <row r="9418">
      <c r="G9418" s="9">
        <f t="shared" si="0"/>
      </c>
      <c r="L9418">
        <f t="shared" si="1"/>
      </c>
      <c r="M9418">
        <f t="shared" si="2"/>
      </c>
    </row>
    <row r="9419">
      <c r="G9419" s="9">
        <f t="shared" si="0"/>
      </c>
      <c r="L9419">
        <f t="shared" si="1"/>
      </c>
      <c r="M9419">
        <f t="shared" si="2"/>
      </c>
    </row>
    <row r="9420">
      <c r="G9420" s="9">
        <f t="shared" si="0"/>
      </c>
      <c r="L9420">
        <f t="shared" si="1"/>
      </c>
      <c r="M9420">
        <f t="shared" si="2"/>
      </c>
    </row>
    <row r="9421">
      <c r="G9421" s="9">
        <f t="shared" si="0"/>
      </c>
      <c r="L9421">
        <f t="shared" si="1"/>
      </c>
      <c r="M9421">
        <f t="shared" si="2"/>
      </c>
    </row>
    <row r="9422">
      <c r="G9422" s="9">
        <f t="shared" si="0"/>
      </c>
      <c r="L9422">
        <f t="shared" si="1"/>
      </c>
      <c r="M9422">
        <f t="shared" si="2"/>
      </c>
    </row>
    <row r="9423">
      <c r="G9423" s="9">
        <f t="shared" si="0"/>
      </c>
      <c r="L9423">
        <f t="shared" si="1"/>
      </c>
      <c r="M9423">
        <f t="shared" si="2"/>
      </c>
    </row>
    <row r="9424">
      <c r="G9424" s="9">
        <f t="shared" si="0"/>
      </c>
      <c r="L9424">
        <f t="shared" si="1"/>
      </c>
      <c r="M9424">
        <f t="shared" si="2"/>
      </c>
    </row>
    <row r="9425">
      <c r="G9425" s="9">
        <f t="shared" si="0"/>
      </c>
      <c r="L9425">
        <f t="shared" si="1"/>
      </c>
      <c r="M9425">
        <f t="shared" si="2"/>
      </c>
    </row>
    <row r="9426">
      <c r="G9426" s="9">
        <f t="shared" si="0"/>
      </c>
      <c r="L9426">
        <f t="shared" si="1"/>
      </c>
      <c r="M9426">
        <f t="shared" si="2"/>
      </c>
    </row>
    <row r="9427">
      <c r="G9427" s="9">
        <f t="shared" si="0"/>
      </c>
      <c r="L9427">
        <f t="shared" si="1"/>
      </c>
      <c r="M9427">
        <f t="shared" si="2"/>
      </c>
    </row>
    <row r="9428">
      <c r="G9428" s="9">
        <f t="shared" si="0"/>
      </c>
      <c r="L9428">
        <f t="shared" si="1"/>
      </c>
      <c r="M9428">
        <f t="shared" si="2"/>
      </c>
    </row>
    <row r="9429">
      <c r="G9429" s="9">
        <f t="shared" si="0"/>
      </c>
      <c r="L9429">
        <f t="shared" si="1"/>
      </c>
      <c r="M9429">
        <f t="shared" si="2"/>
      </c>
    </row>
    <row r="9430">
      <c r="G9430" s="9">
        <f t="shared" si="0"/>
      </c>
      <c r="L9430">
        <f t="shared" si="1"/>
      </c>
      <c r="M9430">
        <f t="shared" si="2"/>
      </c>
    </row>
    <row r="9431">
      <c r="G9431" s="9">
        <f t="shared" si="0"/>
      </c>
      <c r="L9431">
        <f t="shared" si="1"/>
      </c>
      <c r="M9431">
        <f t="shared" si="2"/>
      </c>
    </row>
    <row r="9432">
      <c r="G9432" s="9">
        <f t="shared" si="0"/>
      </c>
      <c r="L9432">
        <f t="shared" si="1"/>
      </c>
      <c r="M9432">
        <f t="shared" si="2"/>
      </c>
    </row>
    <row r="9433">
      <c r="G9433" s="9">
        <f t="shared" si="0"/>
      </c>
      <c r="L9433">
        <f t="shared" si="1"/>
      </c>
      <c r="M9433">
        <f t="shared" si="2"/>
      </c>
    </row>
    <row r="9434">
      <c r="G9434" s="9">
        <f t="shared" si="0"/>
      </c>
      <c r="L9434">
        <f t="shared" si="1"/>
      </c>
      <c r="M9434">
        <f t="shared" si="2"/>
      </c>
    </row>
    <row r="9435">
      <c r="G9435" s="9">
        <f t="shared" si="0"/>
      </c>
      <c r="L9435">
        <f t="shared" si="1"/>
      </c>
      <c r="M9435">
        <f t="shared" si="2"/>
      </c>
    </row>
    <row r="9436">
      <c r="G9436" s="9">
        <f t="shared" si="0"/>
      </c>
      <c r="L9436">
        <f t="shared" si="1"/>
      </c>
      <c r="M9436">
        <f t="shared" si="2"/>
      </c>
    </row>
    <row r="9437">
      <c r="G9437" s="9">
        <f t="shared" si="0"/>
      </c>
      <c r="L9437">
        <f t="shared" si="1"/>
      </c>
      <c r="M9437">
        <f t="shared" si="2"/>
      </c>
    </row>
    <row r="9438">
      <c r="G9438" s="9">
        <f t="shared" si="0"/>
      </c>
      <c r="L9438">
        <f t="shared" si="1"/>
      </c>
      <c r="M9438">
        <f t="shared" si="2"/>
      </c>
    </row>
    <row r="9439">
      <c r="G9439" s="9">
        <f t="shared" si="0"/>
      </c>
      <c r="L9439">
        <f t="shared" si="1"/>
      </c>
      <c r="M9439">
        <f t="shared" si="2"/>
      </c>
    </row>
    <row r="9440">
      <c r="G9440" s="9">
        <f t="shared" si="0"/>
      </c>
      <c r="L9440">
        <f t="shared" si="1"/>
      </c>
      <c r="M9440">
        <f t="shared" si="2"/>
      </c>
    </row>
    <row r="9441">
      <c r="G9441" s="9">
        <f t="shared" si="0"/>
      </c>
      <c r="L9441">
        <f t="shared" si="1"/>
      </c>
      <c r="M9441">
        <f t="shared" si="2"/>
      </c>
    </row>
    <row r="9442">
      <c r="G9442" s="9">
        <f t="shared" si="0"/>
      </c>
      <c r="L9442">
        <f t="shared" si="1"/>
      </c>
      <c r="M9442">
        <f t="shared" si="2"/>
      </c>
    </row>
    <row r="9443">
      <c r="G9443" s="9">
        <f t="shared" si="0"/>
      </c>
      <c r="L9443">
        <f t="shared" si="1"/>
      </c>
      <c r="M9443">
        <f t="shared" si="2"/>
      </c>
    </row>
    <row r="9444">
      <c r="G9444" s="9">
        <f t="shared" si="0"/>
      </c>
      <c r="L9444">
        <f t="shared" si="1"/>
      </c>
      <c r="M9444">
        <f t="shared" si="2"/>
      </c>
    </row>
    <row r="9445">
      <c r="G9445" s="9">
        <f t="shared" si="0"/>
      </c>
      <c r="L9445">
        <f t="shared" si="1"/>
      </c>
      <c r="M9445">
        <f t="shared" si="2"/>
      </c>
    </row>
    <row r="9446">
      <c r="G9446" s="9">
        <f t="shared" si="0"/>
      </c>
      <c r="L9446">
        <f t="shared" si="1"/>
      </c>
      <c r="M9446">
        <f t="shared" si="2"/>
      </c>
    </row>
    <row r="9447">
      <c r="G9447" s="9">
        <f t="shared" si="0"/>
      </c>
      <c r="L9447">
        <f t="shared" si="1"/>
      </c>
      <c r="M9447">
        <f t="shared" si="2"/>
      </c>
    </row>
    <row r="9448">
      <c r="G9448" s="9">
        <f t="shared" si="0"/>
      </c>
      <c r="L9448">
        <f t="shared" si="1"/>
      </c>
      <c r="M9448">
        <f t="shared" si="2"/>
      </c>
    </row>
    <row r="9449">
      <c r="G9449" s="9">
        <f t="shared" si="0"/>
      </c>
      <c r="L9449">
        <f t="shared" si="1"/>
      </c>
      <c r="M9449">
        <f t="shared" si="2"/>
      </c>
    </row>
    <row r="9450">
      <c r="G9450" s="9">
        <f t="shared" si="0"/>
      </c>
      <c r="L9450">
        <f t="shared" si="1"/>
      </c>
      <c r="M9450">
        <f t="shared" si="2"/>
      </c>
    </row>
    <row r="9451">
      <c r="G9451" s="9">
        <f t="shared" si="0"/>
      </c>
      <c r="L9451">
        <f t="shared" si="1"/>
      </c>
      <c r="M9451">
        <f t="shared" si="2"/>
      </c>
    </row>
    <row r="9452">
      <c r="G9452" s="9">
        <f t="shared" si="0"/>
      </c>
      <c r="L9452">
        <f t="shared" si="1"/>
      </c>
      <c r="M9452">
        <f t="shared" si="2"/>
      </c>
    </row>
    <row r="9453">
      <c r="G9453" s="9">
        <f t="shared" si="0"/>
      </c>
      <c r="L9453">
        <f t="shared" si="1"/>
      </c>
      <c r="M9453">
        <f t="shared" si="2"/>
      </c>
    </row>
    <row r="9454">
      <c r="G9454" s="9">
        <f t="shared" si="0"/>
      </c>
      <c r="L9454">
        <f t="shared" si="1"/>
      </c>
      <c r="M9454">
        <f t="shared" si="2"/>
      </c>
    </row>
    <row r="9455">
      <c r="G9455" s="9">
        <f t="shared" si="0"/>
      </c>
      <c r="L9455">
        <f t="shared" si="1"/>
      </c>
      <c r="M9455">
        <f t="shared" si="2"/>
      </c>
    </row>
    <row r="9456">
      <c r="G9456" s="9">
        <f t="shared" si="0"/>
      </c>
      <c r="L9456">
        <f t="shared" si="1"/>
      </c>
      <c r="M9456">
        <f t="shared" si="2"/>
      </c>
    </row>
    <row r="9457">
      <c r="G9457" s="9">
        <f t="shared" si="0"/>
      </c>
      <c r="L9457">
        <f t="shared" si="1"/>
      </c>
      <c r="M9457">
        <f t="shared" si="2"/>
      </c>
    </row>
    <row r="9458">
      <c r="G9458" s="9">
        <f t="shared" si="0"/>
      </c>
      <c r="L9458">
        <f t="shared" si="1"/>
      </c>
      <c r="M9458">
        <f t="shared" si="2"/>
      </c>
    </row>
    <row r="9459">
      <c r="G9459" s="9">
        <f t="shared" si="0"/>
      </c>
      <c r="L9459">
        <f t="shared" si="1"/>
      </c>
      <c r="M9459">
        <f t="shared" si="2"/>
      </c>
    </row>
    <row r="9460">
      <c r="G9460" s="9">
        <f t="shared" si="0"/>
      </c>
      <c r="L9460">
        <f t="shared" si="1"/>
      </c>
      <c r="M9460">
        <f t="shared" si="2"/>
      </c>
    </row>
    <row r="9461">
      <c r="G9461" s="9">
        <f t="shared" si="0"/>
      </c>
      <c r="L9461">
        <f t="shared" si="1"/>
      </c>
      <c r="M9461">
        <f t="shared" si="2"/>
      </c>
    </row>
    <row r="9462">
      <c r="G9462" s="9">
        <f t="shared" si="0"/>
      </c>
      <c r="L9462">
        <f t="shared" si="1"/>
      </c>
      <c r="M9462">
        <f t="shared" si="2"/>
      </c>
    </row>
    <row r="9463">
      <c r="G9463" s="9">
        <f t="shared" si="0"/>
      </c>
      <c r="L9463">
        <f t="shared" si="1"/>
      </c>
      <c r="M9463">
        <f t="shared" si="2"/>
      </c>
    </row>
    <row r="9464">
      <c r="G9464" s="9">
        <f t="shared" si="0"/>
      </c>
      <c r="L9464">
        <f t="shared" si="1"/>
      </c>
      <c r="M9464">
        <f t="shared" si="2"/>
      </c>
    </row>
    <row r="9465">
      <c r="G9465" s="9">
        <f t="shared" si="0"/>
      </c>
      <c r="L9465">
        <f t="shared" si="1"/>
      </c>
      <c r="M9465">
        <f t="shared" si="2"/>
      </c>
    </row>
    <row r="9466">
      <c r="G9466" s="9">
        <f t="shared" si="0"/>
      </c>
      <c r="L9466">
        <f t="shared" si="1"/>
      </c>
      <c r="M9466">
        <f t="shared" si="2"/>
      </c>
    </row>
    <row r="9467">
      <c r="G9467" s="9">
        <f t="shared" si="0"/>
      </c>
      <c r="L9467">
        <f t="shared" si="1"/>
      </c>
      <c r="M9467">
        <f t="shared" si="2"/>
      </c>
    </row>
    <row r="9468">
      <c r="G9468" s="9">
        <f t="shared" si="0"/>
      </c>
      <c r="L9468">
        <f t="shared" si="1"/>
      </c>
      <c r="M9468">
        <f t="shared" si="2"/>
      </c>
    </row>
    <row r="9469">
      <c r="G9469" s="9">
        <f t="shared" si="0"/>
      </c>
      <c r="L9469">
        <f t="shared" si="1"/>
      </c>
      <c r="M9469">
        <f t="shared" si="2"/>
      </c>
    </row>
    <row r="9470">
      <c r="G9470" s="9">
        <f t="shared" si="0"/>
      </c>
      <c r="L9470">
        <f t="shared" si="1"/>
      </c>
      <c r="M9470">
        <f t="shared" si="2"/>
      </c>
    </row>
    <row r="9471">
      <c r="G9471" s="9">
        <f t="shared" si="0"/>
      </c>
      <c r="L9471">
        <f t="shared" si="1"/>
      </c>
      <c r="M9471">
        <f t="shared" si="2"/>
      </c>
    </row>
    <row r="9472">
      <c r="G9472" s="9">
        <f t="shared" si="0"/>
      </c>
      <c r="L9472">
        <f t="shared" si="1"/>
      </c>
      <c r="M9472">
        <f t="shared" si="2"/>
      </c>
    </row>
    <row r="9473">
      <c r="G9473" s="9">
        <f t="shared" si="0"/>
      </c>
      <c r="L9473">
        <f t="shared" si="1"/>
      </c>
      <c r="M9473">
        <f t="shared" si="2"/>
      </c>
    </row>
    <row r="9474">
      <c r="G9474" s="9">
        <f t="shared" si="0"/>
      </c>
      <c r="L9474">
        <f t="shared" si="1"/>
      </c>
      <c r="M9474">
        <f t="shared" si="2"/>
      </c>
    </row>
    <row r="9475">
      <c r="G9475" s="9">
        <f t="shared" si="0"/>
      </c>
      <c r="L9475">
        <f t="shared" si="1"/>
      </c>
      <c r="M9475">
        <f t="shared" si="2"/>
      </c>
    </row>
    <row r="9476">
      <c r="G9476" s="9">
        <f t="shared" si="0"/>
      </c>
      <c r="L9476">
        <f t="shared" si="1"/>
      </c>
      <c r="M9476">
        <f t="shared" si="2"/>
      </c>
    </row>
    <row r="9477">
      <c r="G9477" s="9">
        <f t="shared" si="0"/>
      </c>
      <c r="L9477">
        <f t="shared" si="1"/>
      </c>
      <c r="M9477">
        <f t="shared" si="2"/>
      </c>
    </row>
    <row r="9478">
      <c r="G9478" s="9">
        <f t="shared" si="0"/>
      </c>
      <c r="L9478">
        <f t="shared" si="1"/>
      </c>
      <c r="M9478">
        <f t="shared" si="2"/>
      </c>
    </row>
    <row r="9479">
      <c r="G9479" s="9">
        <f t="shared" si="0"/>
      </c>
      <c r="L9479">
        <f t="shared" si="1"/>
      </c>
      <c r="M9479">
        <f t="shared" si="2"/>
      </c>
    </row>
    <row r="9480">
      <c r="G9480" s="9">
        <f t="shared" si="0"/>
      </c>
      <c r="L9480">
        <f t="shared" si="1"/>
      </c>
      <c r="M9480">
        <f t="shared" si="2"/>
      </c>
    </row>
    <row r="9481">
      <c r="G9481" s="9">
        <f t="shared" si="0"/>
      </c>
      <c r="L9481">
        <f t="shared" si="1"/>
      </c>
      <c r="M9481">
        <f t="shared" si="2"/>
      </c>
    </row>
    <row r="9482">
      <c r="G9482" s="9">
        <f t="shared" si="0"/>
      </c>
      <c r="L9482">
        <f t="shared" si="1"/>
      </c>
      <c r="M9482">
        <f t="shared" si="2"/>
      </c>
    </row>
    <row r="9483">
      <c r="G9483" s="9">
        <f t="shared" si="0"/>
      </c>
      <c r="L9483">
        <f t="shared" si="1"/>
      </c>
      <c r="M9483">
        <f t="shared" si="2"/>
      </c>
    </row>
    <row r="9484">
      <c r="G9484" s="9">
        <f t="shared" si="0"/>
      </c>
      <c r="L9484">
        <f t="shared" si="1"/>
      </c>
      <c r="M9484">
        <f t="shared" si="2"/>
      </c>
    </row>
    <row r="9485">
      <c r="G9485" s="9">
        <f t="shared" si="0"/>
      </c>
      <c r="L9485">
        <f t="shared" si="1"/>
      </c>
      <c r="M9485">
        <f t="shared" si="2"/>
      </c>
    </row>
    <row r="9486">
      <c r="G9486" s="9">
        <f t="shared" si="0"/>
      </c>
      <c r="L9486">
        <f t="shared" si="1"/>
      </c>
      <c r="M9486">
        <f t="shared" si="2"/>
      </c>
    </row>
    <row r="9487">
      <c r="G9487" s="9">
        <f t="shared" si="0"/>
      </c>
      <c r="L9487">
        <f t="shared" si="1"/>
      </c>
      <c r="M9487">
        <f t="shared" si="2"/>
      </c>
    </row>
    <row r="9488">
      <c r="G9488" s="9">
        <f t="shared" si="0"/>
      </c>
      <c r="L9488">
        <f t="shared" si="1"/>
      </c>
      <c r="M9488">
        <f t="shared" si="2"/>
      </c>
    </row>
    <row r="9489">
      <c r="G9489" s="9">
        <f t="shared" si="0"/>
      </c>
      <c r="L9489">
        <f t="shared" si="1"/>
      </c>
      <c r="M9489">
        <f t="shared" si="2"/>
      </c>
    </row>
    <row r="9490">
      <c r="G9490" s="9">
        <f t="shared" si="0"/>
      </c>
      <c r="L9490">
        <f t="shared" si="1"/>
      </c>
      <c r="M9490">
        <f t="shared" si="2"/>
      </c>
    </row>
    <row r="9491">
      <c r="G9491" s="9">
        <f t="shared" si="0"/>
      </c>
      <c r="L9491">
        <f t="shared" si="1"/>
      </c>
      <c r="M9491">
        <f t="shared" si="2"/>
      </c>
    </row>
    <row r="9492">
      <c r="G9492" s="9">
        <f t="shared" si="0"/>
      </c>
      <c r="L9492">
        <f t="shared" si="1"/>
      </c>
      <c r="M9492">
        <f t="shared" si="2"/>
      </c>
    </row>
    <row r="9493">
      <c r="G9493" s="9">
        <f t="shared" si="0"/>
      </c>
      <c r="L9493">
        <f t="shared" si="1"/>
      </c>
      <c r="M9493">
        <f t="shared" si="2"/>
      </c>
    </row>
    <row r="9494">
      <c r="G9494" s="9">
        <f t="shared" si="0"/>
      </c>
      <c r="L9494">
        <f t="shared" si="1"/>
      </c>
      <c r="M9494">
        <f t="shared" si="2"/>
      </c>
    </row>
    <row r="9495">
      <c r="G9495" s="9">
        <f t="shared" si="0"/>
      </c>
      <c r="L9495">
        <f t="shared" si="1"/>
      </c>
      <c r="M9495">
        <f t="shared" si="2"/>
      </c>
    </row>
    <row r="9496">
      <c r="G9496" s="9">
        <f t="shared" si="0"/>
      </c>
      <c r="L9496">
        <f t="shared" si="1"/>
      </c>
      <c r="M9496">
        <f t="shared" si="2"/>
      </c>
    </row>
    <row r="9497">
      <c r="G9497" s="9">
        <f t="shared" si="0"/>
      </c>
      <c r="L9497">
        <f t="shared" si="1"/>
      </c>
      <c r="M9497">
        <f t="shared" si="2"/>
      </c>
    </row>
    <row r="9498">
      <c r="G9498" s="9">
        <f t="shared" si="0"/>
      </c>
      <c r="L9498">
        <f t="shared" si="1"/>
      </c>
      <c r="M9498">
        <f t="shared" si="2"/>
      </c>
    </row>
    <row r="9499">
      <c r="G9499" s="9">
        <f t="shared" si="0"/>
      </c>
      <c r="L9499">
        <f t="shared" si="1"/>
      </c>
      <c r="M9499">
        <f t="shared" si="2"/>
      </c>
    </row>
    <row r="9500">
      <c r="G9500" s="9">
        <f t="shared" si="0"/>
      </c>
      <c r="L9500">
        <f t="shared" si="1"/>
      </c>
      <c r="M9500">
        <f t="shared" si="2"/>
      </c>
    </row>
    <row r="9501">
      <c r="G9501" s="9">
        <f t="shared" si="0"/>
      </c>
      <c r="L9501">
        <f t="shared" si="1"/>
      </c>
      <c r="M9501">
        <f t="shared" si="2"/>
      </c>
    </row>
    <row r="9502">
      <c r="G9502" s="9">
        <f t="shared" si="0"/>
      </c>
      <c r="L9502">
        <f t="shared" si="1"/>
      </c>
      <c r="M9502">
        <f t="shared" si="2"/>
      </c>
    </row>
    <row r="9503">
      <c r="G9503" s="9">
        <f t="shared" si="0"/>
      </c>
      <c r="L9503">
        <f t="shared" si="1"/>
      </c>
      <c r="M9503">
        <f t="shared" si="2"/>
      </c>
    </row>
    <row r="9504">
      <c r="G9504" s="9">
        <f t="shared" si="0"/>
      </c>
      <c r="L9504">
        <f t="shared" si="1"/>
      </c>
      <c r="M9504">
        <f t="shared" si="2"/>
      </c>
    </row>
    <row r="9505">
      <c r="G9505" s="9">
        <f t="shared" si="0"/>
      </c>
      <c r="L9505">
        <f t="shared" si="1"/>
      </c>
      <c r="M9505">
        <f t="shared" si="2"/>
      </c>
    </row>
    <row r="9506">
      <c r="G9506" s="9">
        <f t="shared" si="0"/>
      </c>
      <c r="L9506">
        <f t="shared" si="1"/>
      </c>
      <c r="M9506">
        <f t="shared" si="2"/>
      </c>
    </row>
    <row r="9507">
      <c r="G9507" s="9">
        <f t="shared" si="0"/>
      </c>
      <c r="L9507">
        <f t="shared" si="1"/>
      </c>
      <c r="M9507">
        <f t="shared" si="2"/>
      </c>
    </row>
    <row r="9508">
      <c r="G9508" s="9">
        <f t="shared" si="0"/>
      </c>
      <c r="L9508">
        <f t="shared" si="1"/>
      </c>
      <c r="M9508">
        <f t="shared" si="2"/>
      </c>
    </row>
    <row r="9509">
      <c r="G9509" s="9">
        <f t="shared" si="0"/>
      </c>
      <c r="L9509">
        <f t="shared" si="1"/>
      </c>
      <c r="M9509">
        <f t="shared" si="2"/>
      </c>
    </row>
    <row r="9510">
      <c r="G9510" s="9">
        <f t="shared" si="0"/>
      </c>
      <c r="L9510">
        <f t="shared" si="1"/>
      </c>
      <c r="M9510">
        <f t="shared" si="2"/>
      </c>
    </row>
    <row r="9511">
      <c r="G9511" s="9">
        <f t="shared" si="0"/>
      </c>
      <c r="L9511">
        <f t="shared" si="1"/>
      </c>
      <c r="M9511">
        <f t="shared" si="2"/>
      </c>
    </row>
    <row r="9512">
      <c r="G9512" s="9">
        <f t="shared" si="0"/>
      </c>
      <c r="L9512">
        <f t="shared" si="1"/>
      </c>
      <c r="M9512">
        <f t="shared" si="2"/>
      </c>
    </row>
    <row r="9513">
      <c r="G9513" s="9">
        <f t="shared" si="0"/>
      </c>
      <c r="L9513">
        <f t="shared" si="1"/>
      </c>
      <c r="M9513">
        <f t="shared" si="2"/>
      </c>
    </row>
    <row r="9514">
      <c r="G9514" s="9">
        <f t="shared" si="0"/>
      </c>
      <c r="L9514">
        <f t="shared" si="1"/>
      </c>
      <c r="M9514">
        <f t="shared" si="2"/>
      </c>
    </row>
    <row r="9515">
      <c r="G9515" s="9">
        <f t="shared" si="0"/>
      </c>
      <c r="L9515">
        <f t="shared" si="1"/>
      </c>
      <c r="M9515">
        <f t="shared" si="2"/>
      </c>
    </row>
    <row r="9516">
      <c r="G9516" s="9">
        <f t="shared" si="0"/>
      </c>
      <c r="L9516">
        <f t="shared" si="1"/>
      </c>
      <c r="M9516">
        <f t="shared" si="2"/>
      </c>
    </row>
    <row r="9517">
      <c r="G9517" s="9">
        <f t="shared" si="0"/>
      </c>
      <c r="L9517">
        <f t="shared" si="1"/>
      </c>
      <c r="M9517">
        <f t="shared" si="2"/>
      </c>
    </row>
    <row r="9518">
      <c r="G9518" s="9">
        <f t="shared" si="0"/>
      </c>
      <c r="L9518">
        <f t="shared" si="1"/>
      </c>
      <c r="M9518">
        <f t="shared" si="2"/>
      </c>
    </row>
    <row r="9519">
      <c r="G9519" s="9">
        <f t="shared" si="0"/>
      </c>
      <c r="L9519">
        <f t="shared" si="1"/>
      </c>
      <c r="M9519">
        <f t="shared" si="2"/>
      </c>
    </row>
    <row r="9520">
      <c r="G9520" s="9">
        <f t="shared" si="0"/>
      </c>
      <c r="L9520">
        <f t="shared" si="1"/>
      </c>
      <c r="M9520">
        <f t="shared" si="2"/>
      </c>
    </row>
    <row r="9521">
      <c r="G9521" s="9">
        <f t="shared" si="0"/>
      </c>
      <c r="L9521">
        <f t="shared" si="1"/>
      </c>
      <c r="M9521">
        <f t="shared" si="2"/>
      </c>
    </row>
    <row r="9522">
      <c r="G9522" s="9">
        <f t="shared" si="0"/>
      </c>
      <c r="L9522">
        <f t="shared" si="1"/>
      </c>
      <c r="M9522">
        <f t="shared" si="2"/>
      </c>
    </row>
    <row r="9523">
      <c r="G9523" s="9">
        <f t="shared" si="0"/>
      </c>
      <c r="L9523">
        <f t="shared" si="1"/>
      </c>
      <c r="M9523">
        <f t="shared" si="2"/>
      </c>
    </row>
    <row r="9524">
      <c r="G9524" s="9">
        <f t="shared" si="0"/>
      </c>
      <c r="L9524">
        <f t="shared" si="1"/>
      </c>
      <c r="M9524">
        <f t="shared" si="2"/>
      </c>
    </row>
    <row r="9525">
      <c r="G9525" s="9">
        <f t="shared" si="0"/>
      </c>
      <c r="L9525">
        <f t="shared" si="1"/>
      </c>
      <c r="M9525">
        <f t="shared" si="2"/>
      </c>
    </row>
    <row r="9526">
      <c r="G9526" s="9">
        <f t="shared" si="0"/>
      </c>
      <c r="L9526">
        <f t="shared" si="1"/>
      </c>
      <c r="M9526">
        <f t="shared" si="2"/>
      </c>
    </row>
    <row r="9527">
      <c r="G9527" s="9">
        <f t="shared" si="0"/>
      </c>
      <c r="L9527">
        <f t="shared" si="1"/>
      </c>
      <c r="M9527">
        <f t="shared" si="2"/>
      </c>
    </row>
    <row r="9528">
      <c r="G9528" s="9">
        <f t="shared" si="0"/>
      </c>
      <c r="L9528">
        <f t="shared" si="1"/>
      </c>
      <c r="M9528">
        <f t="shared" si="2"/>
      </c>
    </row>
    <row r="9529">
      <c r="G9529" s="9">
        <f t="shared" si="0"/>
      </c>
      <c r="L9529">
        <f t="shared" si="1"/>
      </c>
      <c r="M9529">
        <f t="shared" si="2"/>
      </c>
    </row>
    <row r="9530">
      <c r="G9530" s="9">
        <f t="shared" si="0"/>
      </c>
      <c r="L9530">
        <f t="shared" si="1"/>
      </c>
      <c r="M9530">
        <f t="shared" si="2"/>
      </c>
    </row>
    <row r="9531">
      <c r="G9531" s="9">
        <f t="shared" si="0"/>
      </c>
      <c r="L9531">
        <f t="shared" si="1"/>
      </c>
      <c r="M9531">
        <f t="shared" si="2"/>
      </c>
    </row>
    <row r="9532">
      <c r="G9532" s="9">
        <f t="shared" si="0"/>
      </c>
      <c r="L9532">
        <f t="shared" si="1"/>
      </c>
      <c r="M9532">
        <f t="shared" si="2"/>
      </c>
    </row>
    <row r="9533">
      <c r="G9533" s="9">
        <f t="shared" si="0"/>
      </c>
      <c r="L9533">
        <f t="shared" si="1"/>
      </c>
      <c r="M9533">
        <f t="shared" si="2"/>
      </c>
    </row>
    <row r="9534">
      <c r="G9534" s="9">
        <f t="shared" si="0"/>
      </c>
      <c r="L9534">
        <f t="shared" si="1"/>
      </c>
      <c r="M9534">
        <f t="shared" si="2"/>
      </c>
    </row>
    <row r="9535">
      <c r="G9535" s="9">
        <f t="shared" si="0"/>
      </c>
      <c r="L9535">
        <f t="shared" si="1"/>
      </c>
      <c r="M9535">
        <f t="shared" si="2"/>
      </c>
    </row>
    <row r="9536">
      <c r="G9536" s="9">
        <f t="shared" si="0"/>
      </c>
      <c r="L9536">
        <f t="shared" si="1"/>
      </c>
      <c r="M9536">
        <f t="shared" si="2"/>
      </c>
    </row>
    <row r="9537">
      <c r="G9537" s="9">
        <f t="shared" si="0"/>
      </c>
      <c r="L9537">
        <f t="shared" si="1"/>
      </c>
      <c r="M9537">
        <f t="shared" si="2"/>
      </c>
    </row>
    <row r="9538">
      <c r="G9538" s="9">
        <f t="shared" si="0"/>
      </c>
      <c r="L9538">
        <f t="shared" si="1"/>
      </c>
      <c r="M9538">
        <f t="shared" si="2"/>
      </c>
    </row>
    <row r="9539">
      <c r="G9539" s="9">
        <f t="shared" si="0"/>
      </c>
      <c r="L9539">
        <f t="shared" si="1"/>
      </c>
      <c r="M9539">
        <f t="shared" si="2"/>
      </c>
    </row>
    <row r="9540">
      <c r="G9540" s="9">
        <f t="shared" si="0"/>
      </c>
      <c r="L9540">
        <f t="shared" si="1"/>
      </c>
      <c r="M9540">
        <f t="shared" si="2"/>
      </c>
    </row>
    <row r="9541">
      <c r="G9541" s="9">
        <f t="shared" si="0"/>
      </c>
      <c r="L9541">
        <f t="shared" si="1"/>
      </c>
      <c r="M9541">
        <f t="shared" si="2"/>
      </c>
    </row>
    <row r="9542">
      <c r="G9542" s="9">
        <f t="shared" si="0"/>
      </c>
      <c r="L9542">
        <f t="shared" si="1"/>
      </c>
      <c r="M9542">
        <f t="shared" si="2"/>
      </c>
    </row>
    <row r="9543">
      <c r="G9543" s="9">
        <f t="shared" si="0"/>
      </c>
      <c r="L9543">
        <f t="shared" si="1"/>
      </c>
      <c r="M9543">
        <f t="shared" si="2"/>
      </c>
    </row>
    <row r="9544">
      <c r="G9544" s="9">
        <f t="shared" si="0"/>
      </c>
      <c r="L9544">
        <f t="shared" si="1"/>
      </c>
      <c r="M9544">
        <f t="shared" si="2"/>
      </c>
    </row>
    <row r="9545">
      <c r="G9545" s="9">
        <f t="shared" si="0"/>
      </c>
      <c r="L9545">
        <f t="shared" si="1"/>
      </c>
      <c r="M9545">
        <f t="shared" si="2"/>
      </c>
    </row>
    <row r="9546">
      <c r="G9546" s="9">
        <f t="shared" si="0"/>
      </c>
      <c r="L9546">
        <f t="shared" si="1"/>
      </c>
      <c r="M9546">
        <f t="shared" si="2"/>
      </c>
    </row>
    <row r="9547">
      <c r="G9547" s="9">
        <f t="shared" si="0"/>
      </c>
      <c r="L9547">
        <f t="shared" si="1"/>
      </c>
      <c r="M9547">
        <f t="shared" si="2"/>
      </c>
    </row>
    <row r="9548">
      <c r="G9548" s="9">
        <f t="shared" si="0"/>
      </c>
      <c r="L9548">
        <f t="shared" si="1"/>
      </c>
      <c r="M9548">
        <f t="shared" si="2"/>
      </c>
    </row>
    <row r="9549">
      <c r="G9549" s="9">
        <f t="shared" si="0"/>
      </c>
      <c r="L9549">
        <f t="shared" si="1"/>
      </c>
      <c r="M9549">
        <f t="shared" si="2"/>
      </c>
    </row>
    <row r="9550">
      <c r="G9550" s="9">
        <f t="shared" si="0"/>
      </c>
      <c r="L9550">
        <f t="shared" si="1"/>
      </c>
      <c r="M9550">
        <f t="shared" si="2"/>
      </c>
    </row>
    <row r="9551">
      <c r="G9551" s="9">
        <f t="shared" si="0"/>
      </c>
      <c r="L9551">
        <f t="shared" si="1"/>
      </c>
      <c r="M9551">
        <f t="shared" si="2"/>
      </c>
    </row>
    <row r="9552">
      <c r="G9552" s="9">
        <f t="shared" si="0"/>
      </c>
      <c r="L9552">
        <f t="shared" si="1"/>
      </c>
      <c r="M9552">
        <f t="shared" si="2"/>
      </c>
    </row>
    <row r="9553">
      <c r="G9553" s="9">
        <f t="shared" si="0"/>
      </c>
      <c r="L9553">
        <f t="shared" si="1"/>
      </c>
      <c r="M9553">
        <f t="shared" si="2"/>
      </c>
    </row>
    <row r="9554">
      <c r="G9554" s="9">
        <f t="shared" si="0"/>
      </c>
      <c r="L9554">
        <f t="shared" si="1"/>
      </c>
      <c r="M9554">
        <f t="shared" si="2"/>
      </c>
    </row>
    <row r="9555">
      <c r="G9555" s="9">
        <f t="shared" si="0"/>
      </c>
      <c r="L9555">
        <f t="shared" si="1"/>
      </c>
      <c r="M9555">
        <f t="shared" si="2"/>
      </c>
    </row>
    <row r="9556">
      <c r="G9556" s="9">
        <f t="shared" si="0"/>
      </c>
      <c r="L9556">
        <f t="shared" si="1"/>
      </c>
      <c r="M9556">
        <f t="shared" si="2"/>
      </c>
    </row>
    <row r="9557">
      <c r="G9557" s="9">
        <f t="shared" si="0"/>
      </c>
      <c r="L9557">
        <f t="shared" si="1"/>
      </c>
      <c r="M9557">
        <f t="shared" si="2"/>
      </c>
    </row>
    <row r="9558">
      <c r="G9558" s="9">
        <f t="shared" si="0"/>
      </c>
      <c r="L9558">
        <f t="shared" si="1"/>
      </c>
      <c r="M9558">
        <f t="shared" si="2"/>
      </c>
    </row>
    <row r="9559">
      <c r="G9559" s="9">
        <f t="shared" si="0"/>
      </c>
      <c r="L9559">
        <f t="shared" si="1"/>
      </c>
      <c r="M9559">
        <f t="shared" si="2"/>
      </c>
    </row>
    <row r="9560">
      <c r="G9560" s="9">
        <f t="shared" si="0"/>
      </c>
      <c r="L9560">
        <f t="shared" si="1"/>
      </c>
      <c r="M9560">
        <f t="shared" si="2"/>
      </c>
    </row>
    <row r="9561">
      <c r="G9561" s="9">
        <f t="shared" si="0"/>
      </c>
      <c r="L9561">
        <f t="shared" si="1"/>
      </c>
      <c r="M9561">
        <f t="shared" si="2"/>
      </c>
    </row>
    <row r="9562">
      <c r="G9562" s="9">
        <f t="shared" si="0"/>
      </c>
      <c r="L9562">
        <f t="shared" si="1"/>
      </c>
      <c r="M9562">
        <f t="shared" si="2"/>
      </c>
    </row>
    <row r="9563">
      <c r="G9563" s="9">
        <f t="shared" si="0"/>
      </c>
      <c r="L9563">
        <f t="shared" si="1"/>
      </c>
      <c r="M9563">
        <f t="shared" si="2"/>
      </c>
    </row>
    <row r="9564">
      <c r="G9564" s="9">
        <f t="shared" si="0"/>
      </c>
      <c r="L9564">
        <f t="shared" si="1"/>
      </c>
      <c r="M9564">
        <f t="shared" si="2"/>
      </c>
    </row>
    <row r="9565">
      <c r="G9565" s="9">
        <f t="shared" si="0"/>
      </c>
      <c r="L9565">
        <f t="shared" si="1"/>
      </c>
      <c r="M9565">
        <f t="shared" si="2"/>
      </c>
    </row>
    <row r="9566">
      <c r="G9566" s="9">
        <f t="shared" si="0"/>
      </c>
      <c r="L9566">
        <f t="shared" si="1"/>
      </c>
      <c r="M9566">
        <f t="shared" si="2"/>
      </c>
    </row>
    <row r="9567">
      <c r="G9567" s="9">
        <f t="shared" si="0"/>
      </c>
      <c r="L9567">
        <f t="shared" si="1"/>
      </c>
      <c r="M9567">
        <f t="shared" si="2"/>
      </c>
    </row>
    <row r="9568">
      <c r="G9568" s="9">
        <f t="shared" si="0"/>
      </c>
      <c r="L9568">
        <f t="shared" si="1"/>
      </c>
      <c r="M9568">
        <f t="shared" si="2"/>
      </c>
    </row>
    <row r="9569">
      <c r="G9569" s="9">
        <f t="shared" si="0"/>
      </c>
      <c r="L9569">
        <f t="shared" si="1"/>
      </c>
      <c r="M9569">
        <f t="shared" si="2"/>
      </c>
    </row>
    <row r="9570">
      <c r="G9570" s="9">
        <f t="shared" si="0"/>
      </c>
      <c r="L9570">
        <f t="shared" si="1"/>
      </c>
      <c r="M9570">
        <f t="shared" si="2"/>
      </c>
    </row>
    <row r="9571">
      <c r="G9571" s="9">
        <f t="shared" si="0"/>
      </c>
      <c r="L9571">
        <f t="shared" si="1"/>
      </c>
      <c r="M9571">
        <f t="shared" si="2"/>
      </c>
    </row>
    <row r="9572">
      <c r="G9572" s="9">
        <f t="shared" si="0"/>
      </c>
      <c r="L9572">
        <f t="shared" si="1"/>
      </c>
      <c r="M9572">
        <f t="shared" si="2"/>
      </c>
    </row>
    <row r="9573">
      <c r="G9573" s="9">
        <f t="shared" si="0"/>
      </c>
      <c r="L9573">
        <f t="shared" si="1"/>
      </c>
      <c r="M9573">
        <f t="shared" si="2"/>
      </c>
    </row>
    <row r="9574">
      <c r="G9574" s="9">
        <f t="shared" si="0"/>
      </c>
      <c r="L9574">
        <f t="shared" si="1"/>
      </c>
      <c r="M9574">
        <f t="shared" si="2"/>
      </c>
    </row>
    <row r="9575">
      <c r="G9575" s="9">
        <f t="shared" si="0"/>
      </c>
      <c r="L9575">
        <f t="shared" si="1"/>
      </c>
      <c r="M9575">
        <f t="shared" si="2"/>
      </c>
    </row>
    <row r="9576">
      <c r="G9576" s="9">
        <f t="shared" si="0"/>
      </c>
      <c r="L9576">
        <f t="shared" si="1"/>
      </c>
      <c r="M9576">
        <f t="shared" si="2"/>
      </c>
    </row>
    <row r="9577">
      <c r="G9577" s="9">
        <f t="shared" si="0"/>
      </c>
      <c r="L9577">
        <f t="shared" si="1"/>
      </c>
      <c r="M9577">
        <f t="shared" si="2"/>
      </c>
    </row>
    <row r="9578">
      <c r="G9578" s="9">
        <f t="shared" si="0"/>
      </c>
      <c r="L9578">
        <f t="shared" si="1"/>
      </c>
      <c r="M9578">
        <f t="shared" si="2"/>
      </c>
    </row>
    <row r="9579">
      <c r="G9579" s="9">
        <f t="shared" si="0"/>
      </c>
      <c r="L9579">
        <f t="shared" si="1"/>
      </c>
      <c r="M9579">
        <f t="shared" si="2"/>
      </c>
    </row>
    <row r="9580">
      <c r="G9580" s="9">
        <f t="shared" si="0"/>
      </c>
      <c r="L9580">
        <f t="shared" si="1"/>
      </c>
      <c r="M9580">
        <f t="shared" si="2"/>
      </c>
    </row>
    <row r="9581">
      <c r="G9581" s="9">
        <f t="shared" si="0"/>
      </c>
      <c r="L9581">
        <f t="shared" si="1"/>
      </c>
      <c r="M9581">
        <f t="shared" si="2"/>
      </c>
    </row>
    <row r="9582">
      <c r="G9582" s="9">
        <f t="shared" si="0"/>
      </c>
      <c r="L9582">
        <f t="shared" si="1"/>
      </c>
      <c r="M9582">
        <f t="shared" si="2"/>
      </c>
    </row>
    <row r="9583">
      <c r="G9583" s="9">
        <f t="shared" si="0"/>
      </c>
      <c r="L9583">
        <f t="shared" si="1"/>
      </c>
      <c r="M9583">
        <f t="shared" si="2"/>
      </c>
    </row>
    <row r="9584">
      <c r="G9584" s="9">
        <f t="shared" si="0"/>
      </c>
      <c r="L9584">
        <f t="shared" si="1"/>
      </c>
      <c r="M9584">
        <f t="shared" si="2"/>
      </c>
    </row>
    <row r="9585">
      <c r="G9585" s="9">
        <f t="shared" si="0"/>
      </c>
      <c r="L9585">
        <f t="shared" si="1"/>
      </c>
      <c r="M9585">
        <f t="shared" si="2"/>
      </c>
    </row>
    <row r="9586">
      <c r="G9586" s="9">
        <f t="shared" si="0"/>
      </c>
      <c r="L9586">
        <f t="shared" si="1"/>
      </c>
      <c r="M9586">
        <f t="shared" si="2"/>
      </c>
    </row>
    <row r="9587">
      <c r="G9587" s="9">
        <f t="shared" si="0"/>
      </c>
      <c r="L9587">
        <f t="shared" si="1"/>
      </c>
      <c r="M9587">
        <f t="shared" si="2"/>
      </c>
    </row>
    <row r="9588">
      <c r="G9588" s="9">
        <f t="shared" si="0"/>
      </c>
      <c r="L9588">
        <f t="shared" si="1"/>
      </c>
      <c r="M9588">
        <f t="shared" si="2"/>
      </c>
    </row>
    <row r="9589">
      <c r="G9589" s="9">
        <f t="shared" si="0"/>
      </c>
      <c r="L9589">
        <f t="shared" si="1"/>
      </c>
      <c r="M9589">
        <f t="shared" si="2"/>
      </c>
    </row>
    <row r="9590">
      <c r="G9590" s="9">
        <f t="shared" si="0"/>
      </c>
      <c r="L9590">
        <f t="shared" si="1"/>
      </c>
      <c r="M9590">
        <f t="shared" si="2"/>
      </c>
    </row>
    <row r="9591">
      <c r="G9591" s="9">
        <f t="shared" si="0"/>
      </c>
      <c r="L9591">
        <f t="shared" si="1"/>
      </c>
      <c r="M9591">
        <f t="shared" si="2"/>
      </c>
    </row>
    <row r="9592">
      <c r="G9592" s="9">
        <f t="shared" si="0"/>
      </c>
      <c r="L9592">
        <f t="shared" si="1"/>
      </c>
      <c r="M9592">
        <f t="shared" si="2"/>
      </c>
    </row>
    <row r="9593">
      <c r="G9593" s="9">
        <f t="shared" si="0"/>
      </c>
      <c r="L9593">
        <f t="shared" si="1"/>
      </c>
      <c r="M9593">
        <f t="shared" si="2"/>
      </c>
    </row>
    <row r="9594">
      <c r="G9594" s="9">
        <f t="shared" si="0"/>
      </c>
      <c r="L9594">
        <f t="shared" si="1"/>
      </c>
      <c r="M9594">
        <f t="shared" si="2"/>
      </c>
    </row>
    <row r="9595">
      <c r="G9595" s="9">
        <f t="shared" si="0"/>
      </c>
      <c r="L9595">
        <f t="shared" si="1"/>
      </c>
      <c r="M9595">
        <f t="shared" si="2"/>
      </c>
    </row>
    <row r="9596">
      <c r="G9596" s="9">
        <f t="shared" si="0"/>
      </c>
      <c r="L9596">
        <f t="shared" si="1"/>
      </c>
      <c r="M9596">
        <f t="shared" si="2"/>
      </c>
    </row>
    <row r="9597">
      <c r="G9597" s="9">
        <f t="shared" si="0"/>
      </c>
      <c r="L9597">
        <f t="shared" si="1"/>
      </c>
      <c r="M9597">
        <f t="shared" si="2"/>
      </c>
    </row>
    <row r="9598">
      <c r="G9598" s="9">
        <f t="shared" si="0"/>
      </c>
      <c r="L9598">
        <f t="shared" si="1"/>
      </c>
      <c r="M9598">
        <f t="shared" si="2"/>
      </c>
    </row>
    <row r="9599">
      <c r="G9599" s="9">
        <f t="shared" si="0"/>
      </c>
      <c r="L9599">
        <f t="shared" si="1"/>
      </c>
      <c r="M9599">
        <f t="shared" si="2"/>
      </c>
    </row>
    <row r="9600">
      <c r="G9600" s="9">
        <f t="shared" si="0"/>
      </c>
      <c r="L9600">
        <f t="shared" si="1"/>
      </c>
      <c r="M9600">
        <f t="shared" si="2"/>
      </c>
    </row>
    <row r="9601">
      <c r="G9601" s="9">
        <f t="shared" si="0"/>
      </c>
      <c r="L9601">
        <f t="shared" si="1"/>
      </c>
      <c r="M9601">
        <f t="shared" si="2"/>
      </c>
    </row>
    <row r="9602">
      <c r="G9602" s="9">
        <f t="shared" si="0"/>
      </c>
      <c r="L9602">
        <f t="shared" si="1"/>
      </c>
      <c r="M9602">
        <f t="shared" si="2"/>
      </c>
    </row>
    <row r="9603">
      <c r="G9603" s="9">
        <f t="shared" si="0"/>
      </c>
      <c r="L9603">
        <f t="shared" si="1"/>
      </c>
      <c r="M9603">
        <f t="shared" si="2"/>
      </c>
    </row>
    <row r="9604">
      <c r="G9604" s="9">
        <f t="shared" si="0"/>
      </c>
      <c r="L9604">
        <f t="shared" si="1"/>
      </c>
      <c r="M9604">
        <f t="shared" si="2"/>
      </c>
    </row>
    <row r="9605">
      <c r="G9605" s="9">
        <f t="shared" si="0"/>
      </c>
      <c r="L9605">
        <f t="shared" si="1"/>
      </c>
      <c r="M9605">
        <f t="shared" si="2"/>
      </c>
    </row>
    <row r="9606">
      <c r="G9606" s="9">
        <f t="shared" si="0"/>
      </c>
      <c r="L9606">
        <f t="shared" si="1"/>
      </c>
      <c r="M9606">
        <f t="shared" si="2"/>
      </c>
    </row>
    <row r="9607">
      <c r="G9607" s="9">
        <f t="shared" si="0"/>
      </c>
      <c r="L9607">
        <f t="shared" si="1"/>
      </c>
      <c r="M9607">
        <f t="shared" si="2"/>
      </c>
    </row>
    <row r="9608">
      <c r="G9608" s="9">
        <f t="shared" si="0"/>
      </c>
      <c r="L9608">
        <f t="shared" si="1"/>
      </c>
      <c r="M9608">
        <f t="shared" si="2"/>
      </c>
    </row>
    <row r="9609">
      <c r="G9609" s="9">
        <f t="shared" si="0"/>
      </c>
      <c r="L9609">
        <f t="shared" si="1"/>
      </c>
      <c r="M9609">
        <f t="shared" si="2"/>
      </c>
    </row>
    <row r="9610">
      <c r="G9610" s="9">
        <f t="shared" si="0"/>
      </c>
      <c r="L9610">
        <f t="shared" si="1"/>
      </c>
      <c r="M9610">
        <f t="shared" si="2"/>
      </c>
    </row>
    <row r="9611">
      <c r="G9611" s="9">
        <f t="shared" si="0"/>
      </c>
      <c r="L9611">
        <f t="shared" si="1"/>
      </c>
      <c r="M9611">
        <f t="shared" si="2"/>
      </c>
    </row>
    <row r="9612">
      <c r="G9612" s="9">
        <f t="shared" si="0"/>
      </c>
      <c r="L9612">
        <f t="shared" si="1"/>
      </c>
      <c r="M9612">
        <f t="shared" si="2"/>
      </c>
    </row>
    <row r="9613">
      <c r="G9613" s="9">
        <f t="shared" si="0"/>
      </c>
      <c r="L9613">
        <f t="shared" si="1"/>
      </c>
      <c r="M9613">
        <f t="shared" si="2"/>
      </c>
    </row>
    <row r="9614">
      <c r="G9614" s="9">
        <f t="shared" si="0"/>
      </c>
      <c r="L9614">
        <f t="shared" si="1"/>
      </c>
      <c r="M9614">
        <f t="shared" si="2"/>
      </c>
    </row>
    <row r="9615">
      <c r="G9615" s="9">
        <f t="shared" si="0"/>
      </c>
      <c r="L9615">
        <f t="shared" si="1"/>
      </c>
      <c r="M9615">
        <f t="shared" si="2"/>
      </c>
    </row>
    <row r="9616">
      <c r="G9616" s="9">
        <f t="shared" si="0"/>
      </c>
      <c r="L9616">
        <f t="shared" si="1"/>
      </c>
      <c r="M9616">
        <f t="shared" si="2"/>
      </c>
    </row>
    <row r="9617">
      <c r="G9617" s="9">
        <f t="shared" si="0"/>
      </c>
      <c r="L9617">
        <f t="shared" si="1"/>
      </c>
      <c r="M9617">
        <f t="shared" si="2"/>
      </c>
    </row>
    <row r="9618">
      <c r="G9618" s="9">
        <f t="shared" si="0"/>
      </c>
      <c r="L9618">
        <f t="shared" si="1"/>
      </c>
      <c r="M9618">
        <f t="shared" si="2"/>
      </c>
    </row>
    <row r="9619">
      <c r="G9619" s="9">
        <f t="shared" si="0"/>
      </c>
      <c r="L9619">
        <f t="shared" si="1"/>
      </c>
      <c r="M9619">
        <f t="shared" si="2"/>
      </c>
    </row>
    <row r="9620">
      <c r="G9620" s="9">
        <f t="shared" si="0"/>
      </c>
      <c r="L9620">
        <f t="shared" si="1"/>
      </c>
      <c r="M9620">
        <f t="shared" si="2"/>
      </c>
    </row>
    <row r="9621">
      <c r="G9621" s="9">
        <f t="shared" si="0"/>
      </c>
      <c r="L9621">
        <f t="shared" si="1"/>
      </c>
      <c r="M9621">
        <f t="shared" si="2"/>
      </c>
    </row>
    <row r="9622">
      <c r="G9622" s="9">
        <f t="shared" si="0"/>
      </c>
      <c r="L9622">
        <f t="shared" si="1"/>
      </c>
      <c r="M9622">
        <f t="shared" si="2"/>
      </c>
    </row>
    <row r="9623">
      <c r="G9623" s="9">
        <f t="shared" si="0"/>
      </c>
      <c r="L9623">
        <f t="shared" si="1"/>
      </c>
      <c r="M9623">
        <f t="shared" si="2"/>
      </c>
    </row>
    <row r="9624">
      <c r="G9624" s="9">
        <f t="shared" si="0"/>
      </c>
      <c r="L9624">
        <f t="shared" si="1"/>
      </c>
      <c r="M9624">
        <f t="shared" si="2"/>
      </c>
    </row>
    <row r="9625">
      <c r="G9625" s="9">
        <f t="shared" si="0"/>
      </c>
      <c r="L9625">
        <f t="shared" si="1"/>
      </c>
      <c r="M9625">
        <f t="shared" si="2"/>
      </c>
    </row>
    <row r="9626">
      <c r="G9626" s="9">
        <f t="shared" si="0"/>
      </c>
      <c r="L9626">
        <f t="shared" si="1"/>
      </c>
      <c r="M9626">
        <f t="shared" si="2"/>
      </c>
    </row>
    <row r="9627">
      <c r="G9627" s="9">
        <f t="shared" si="0"/>
      </c>
      <c r="L9627">
        <f t="shared" si="1"/>
      </c>
      <c r="M9627">
        <f t="shared" si="2"/>
      </c>
    </row>
    <row r="9628">
      <c r="G9628" s="9">
        <f t="shared" si="0"/>
      </c>
      <c r="L9628">
        <f t="shared" si="1"/>
      </c>
      <c r="M9628">
        <f t="shared" si="2"/>
      </c>
    </row>
    <row r="9629">
      <c r="G9629" s="9">
        <f t="shared" si="0"/>
      </c>
      <c r="L9629">
        <f t="shared" si="1"/>
      </c>
      <c r="M9629">
        <f t="shared" si="2"/>
      </c>
    </row>
    <row r="9630">
      <c r="G9630" s="9">
        <f t="shared" si="0"/>
      </c>
      <c r="L9630">
        <f t="shared" si="1"/>
      </c>
      <c r="M9630">
        <f t="shared" si="2"/>
      </c>
    </row>
    <row r="9631">
      <c r="G9631" s="9">
        <f t="shared" si="0"/>
      </c>
      <c r="L9631">
        <f t="shared" si="1"/>
      </c>
      <c r="M9631">
        <f t="shared" si="2"/>
      </c>
    </row>
    <row r="9632">
      <c r="G9632" s="9">
        <f t="shared" si="0"/>
      </c>
      <c r="L9632">
        <f t="shared" si="1"/>
      </c>
      <c r="M9632">
        <f t="shared" si="2"/>
      </c>
    </row>
    <row r="9633">
      <c r="G9633" s="9">
        <f t="shared" si="0"/>
      </c>
      <c r="L9633">
        <f t="shared" si="1"/>
      </c>
      <c r="M9633">
        <f t="shared" si="2"/>
      </c>
    </row>
    <row r="9634">
      <c r="G9634" s="9">
        <f t="shared" si="0"/>
      </c>
      <c r="L9634">
        <f t="shared" si="1"/>
      </c>
      <c r="M9634">
        <f t="shared" si="2"/>
      </c>
    </row>
    <row r="9635">
      <c r="G9635" s="9">
        <f t="shared" si="0"/>
      </c>
      <c r="L9635">
        <f t="shared" si="1"/>
      </c>
      <c r="M9635">
        <f t="shared" si="2"/>
      </c>
    </row>
    <row r="9636">
      <c r="G9636" s="9">
        <f t="shared" si="0"/>
      </c>
      <c r="L9636">
        <f t="shared" si="1"/>
      </c>
      <c r="M9636">
        <f t="shared" si="2"/>
      </c>
    </row>
    <row r="9637">
      <c r="G9637" s="9">
        <f t="shared" si="0"/>
      </c>
      <c r="L9637">
        <f t="shared" si="1"/>
      </c>
      <c r="M9637">
        <f t="shared" si="2"/>
      </c>
    </row>
    <row r="9638">
      <c r="G9638" s="9">
        <f t="shared" si="0"/>
      </c>
      <c r="L9638">
        <f t="shared" si="1"/>
      </c>
      <c r="M9638">
        <f t="shared" si="2"/>
      </c>
    </row>
    <row r="9639">
      <c r="G9639" s="9">
        <f t="shared" si="0"/>
      </c>
      <c r="L9639">
        <f t="shared" si="1"/>
      </c>
      <c r="M9639">
        <f t="shared" si="2"/>
      </c>
    </row>
    <row r="9640">
      <c r="G9640" s="9">
        <f t="shared" si="0"/>
      </c>
      <c r="L9640">
        <f t="shared" si="1"/>
      </c>
      <c r="M9640">
        <f t="shared" si="2"/>
      </c>
    </row>
    <row r="9641">
      <c r="G9641" s="9">
        <f t="shared" si="0"/>
      </c>
      <c r="L9641">
        <f t="shared" si="1"/>
      </c>
      <c r="M9641">
        <f t="shared" si="2"/>
      </c>
    </row>
    <row r="9642">
      <c r="G9642" s="9">
        <f t="shared" si="0"/>
      </c>
      <c r="L9642">
        <f t="shared" si="1"/>
      </c>
      <c r="M9642">
        <f t="shared" si="2"/>
      </c>
    </row>
    <row r="9643">
      <c r="G9643" s="9">
        <f t="shared" si="0"/>
      </c>
      <c r="L9643">
        <f t="shared" si="1"/>
      </c>
      <c r="M9643">
        <f t="shared" si="2"/>
      </c>
    </row>
    <row r="9644">
      <c r="G9644" s="9">
        <f t="shared" si="0"/>
      </c>
      <c r="L9644">
        <f t="shared" si="1"/>
      </c>
      <c r="M9644">
        <f t="shared" si="2"/>
      </c>
    </row>
    <row r="9645">
      <c r="G9645" s="9">
        <f t="shared" si="0"/>
      </c>
      <c r="L9645">
        <f t="shared" si="1"/>
      </c>
      <c r="M9645">
        <f t="shared" si="2"/>
      </c>
    </row>
    <row r="9646">
      <c r="G9646" s="9">
        <f t="shared" si="0"/>
      </c>
      <c r="L9646">
        <f t="shared" si="1"/>
      </c>
      <c r="M9646">
        <f t="shared" si="2"/>
      </c>
    </row>
    <row r="9647">
      <c r="G9647" s="9">
        <f t="shared" si="0"/>
      </c>
      <c r="L9647">
        <f t="shared" si="1"/>
      </c>
      <c r="M9647">
        <f t="shared" si="2"/>
      </c>
    </row>
    <row r="9648">
      <c r="G9648" s="9">
        <f t="shared" si="0"/>
      </c>
      <c r="L9648">
        <f t="shared" si="1"/>
      </c>
      <c r="M9648">
        <f t="shared" si="2"/>
      </c>
    </row>
    <row r="9649">
      <c r="G9649" s="9">
        <f t="shared" si="0"/>
      </c>
      <c r="L9649">
        <f t="shared" si="1"/>
      </c>
      <c r="M9649">
        <f t="shared" si="2"/>
      </c>
    </row>
    <row r="9650">
      <c r="G9650" s="9">
        <f t="shared" si="0"/>
      </c>
      <c r="L9650">
        <f t="shared" si="1"/>
      </c>
      <c r="M9650">
        <f t="shared" si="2"/>
      </c>
    </row>
    <row r="9651">
      <c r="G9651" s="9">
        <f t="shared" si="0"/>
      </c>
      <c r="L9651">
        <f t="shared" si="1"/>
      </c>
      <c r="M9651">
        <f t="shared" si="2"/>
      </c>
    </row>
    <row r="9652">
      <c r="G9652" s="9">
        <f t="shared" si="0"/>
      </c>
      <c r="L9652">
        <f t="shared" si="1"/>
      </c>
      <c r="M9652">
        <f t="shared" si="2"/>
      </c>
    </row>
    <row r="9653">
      <c r="G9653" s="9">
        <f t="shared" si="0"/>
      </c>
      <c r="L9653">
        <f t="shared" si="1"/>
      </c>
      <c r="M9653">
        <f t="shared" si="2"/>
      </c>
    </row>
    <row r="9654">
      <c r="G9654" s="9">
        <f t="shared" si="0"/>
      </c>
      <c r="L9654">
        <f t="shared" si="1"/>
      </c>
      <c r="M9654">
        <f t="shared" si="2"/>
      </c>
    </row>
    <row r="9655">
      <c r="G9655" s="9">
        <f t="shared" si="0"/>
      </c>
      <c r="L9655">
        <f t="shared" si="1"/>
      </c>
      <c r="M9655">
        <f t="shared" si="2"/>
      </c>
    </row>
    <row r="9656">
      <c r="G9656" s="9">
        <f t="shared" si="0"/>
      </c>
      <c r="L9656">
        <f t="shared" si="1"/>
      </c>
      <c r="M9656">
        <f t="shared" si="2"/>
      </c>
    </row>
    <row r="9657">
      <c r="G9657" s="9">
        <f t="shared" si="0"/>
      </c>
      <c r="L9657">
        <f t="shared" si="1"/>
      </c>
      <c r="M9657">
        <f t="shared" si="2"/>
      </c>
    </row>
    <row r="9658">
      <c r="G9658" s="9">
        <f t="shared" si="0"/>
      </c>
      <c r="L9658">
        <f t="shared" si="1"/>
      </c>
      <c r="M9658">
        <f t="shared" si="2"/>
      </c>
    </row>
    <row r="9659">
      <c r="G9659" s="9">
        <f t="shared" si="0"/>
      </c>
      <c r="L9659">
        <f t="shared" si="1"/>
      </c>
      <c r="M9659">
        <f t="shared" si="2"/>
      </c>
    </row>
    <row r="9660">
      <c r="G9660" s="9">
        <f t="shared" si="0"/>
      </c>
      <c r="L9660">
        <f t="shared" si="1"/>
      </c>
      <c r="M9660">
        <f t="shared" si="2"/>
      </c>
    </row>
    <row r="9661">
      <c r="G9661" s="9">
        <f t="shared" si="0"/>
      </c>
      <c r="L9661">
        <f t="shared" si="1"/>
      </c>
      <c r="M9661">
        <f t="shared" si="2"/>
      </c>
    </row>
    <row r="9662">
      <c r="G9662" s="9">
        <f t="shared" si="0"/>
      </c>
      <c r="L9662">
        <f t="shared" si="1"/>
      </c>
      <c r="M9662">
        <f t="shared" si="2"/>
      </c>
    </row>
    <row r="9663">
      <c r="G9663" s="9">
        <f t="shared" si="0"/>
      </c>
      <c r="L9663">
        <f t="shared" si="1"/>
      </c>
      <c r="M9663">
        <f t="shared" si="2"/>
      </c>
    </row>
    <row r="9664">
      <c r="G9664" s="9">
        <f t="shared" si="0"/>
      </c>
      <c r="L9664">
        <f t="shared" si="1"/>
      </c>
      <c r="M9664">
        <f t="shared" si="2"/>
      </c>
    </row>
    <row r="9665">
      <c r="G9665" s="9">
        <f t="shared" si="0"/>
      </c>
      <c r="L9665">
        <f t="shared" si="1"/>
      </c>
      <c r="M9665">
        <f t="shared" si="2"/>
      </c>
    </row>
    <row r="9666">
      <c r="G9666" s="9">
        <f t="shared" si="0"/>
      </c>
      <c r="L9666">
        <f t="shared" si="1"/>
      </c>
      <c r="M9666">
        <f t="shared" si="2"/>
      </c>
    </row>
    <row r="9667">
      <c r="G9667" s="9">
        <f t="shared" si="0"/>
      </c>
      <c r="L9667">
        <f t="shared" si="1"/>
      </c>
      <c r="M9667">
        <f t="shared" si="2"/>
      </c>
    </row>
    <row r="9668">
      <c r="G9668" s="9">
        <f t="shared" si="0"/>
      </c>
      <c r="L9668">
        <f t="shared" si="1"/>
      </c>
      <c r="M9668">
        <f t="shared" si="2"/>
      </c>
    </row>
    <row r="9669">
      <c r="G9669" s="9">
        <f t="shared" si="0"/>
      </c>
      <c r="L9669">
        <f t="shared" si="1"/>
      </c>
      <c r="M9669">
        <f t="shared" si="2"/>
      </c>
    </row>
    <row r="9670">
      <c r="G9670" s="9">
        <f t="shared" si="0"/>
      </c>
      <c r="L9670">
        <f t="shared" si="1"/>
      </c>
      <c r="M9670">
        <f t="shared" si="2"/>
      </c>
    </row>
    <row r="9671">
      <c r="G9671" s="9">
        <f t="shared" si="0"/>
      </c>
      <c r="L9671">
        <f t="shared" si="1"/>
      </c>
      <c r="M9671">
        <f t="shared" si="2"/>
      </c>
    </row>
    <row r="9672">
      <c r="G9672" s="9">
        <f t="shared" si="0"/>
      </c>
      <c r="L9672">
        <f t="shared" si="1"/>
      </c>
      <c r="M9672">
        <f t="shared" si="2"/>
      </c>
    </row>
    <row r="9673">
      <c r="G9673" s="9">
        <f t="shared" si="0"/>
      </c>
      <c r="L9673">
        <f t="shared" si="1"/>
      </c>
      <c r="M9673">
        <f t="shared" si="2"/>
      </c>
    </row>
    <row r="9674">
      <c r="G9674" s="9">
        <f t="shared" si="0"/>
      </c>
      <c r="L9674">
        <f t="shared" si="1"/>
      </c>
      <c r="M9674">
        <f t="shared" si="2"/>
      </c>
    </row>
    <row r="9675">
      <c r="G9675" s="9">
        <f t="shared" si="0"/>
      </c>
      <c r="L9675">
        <f t="shared" si="1"/>
      </c>
      <c r="M9675">
        <f t="shared" si="2"/>
      </c>
    </row>
    <row r="9676">
      <c r="G9676" s="9">
        <f t="shared" si="0"/>
      </c>
      <c r="L9676">
        <f t="shared" si="1"/>
      </c>
      <c r="M9676">
        <f t="shared" si="2"/>
      </c>
    </row>
    <row r="9677">
      <c r="G9677" s="9">
        <f t="shared" si="0"/>
      </c>
      <c r="L9677">
        <f t="shared" si="1"/>
      </c>
      <c r="M9677">
        <f t="shared" si="2"/>
      </c>
    </row>
    <row r="9678">
      <c r="G9678" s="9">
        <f t="shared" si="0"/>
      </c>
      <c r="L9678">
        <f t="shared" si="1"/>
      </c>
      <c r="M9678">
        <f t="shared" si="2"/>
      </c>
    </row>
    <row r="9679">
      <c r="G9679" s="9">
        <f t="shared" si="0"/>
      </c>
      <c r="L9679">
        <f t="shared" si="1"/>
      </c>
      <c r="M9679">
        <f t="shared" si="2"/>
      </c>
    </row>
    <row r="9680">
      <c r="G9680" s="9">
        <f t="shared" si="0"/>
      </c>
      <c r="L9680">
        <f t="shared" si="1"/>
      </c>
      <c r="M9680">
        <f t="shared" si="2"/>
      </c>
    </row>
    <row r="9681">
      <c r="G9681" s="9">
        <f t="shared" si="0"/>
      </c>
      <c r="L9681">
        <f t="shared" si="1"/>
      </c>
      <c r="M9681">
        <f t="shared" si="2"/>
      </c>
    </row>
    <row r="9682">
      <c r="G9682" s="9">
        <f t="shared" si="0"/>
      </c>
      <c r="L9682">
        <f t="shared" si="1"/>
      </c>
      <c r="M9682">
        <f t="shared" si="2"/>
      </c>
    </row>
    <row r="9683">
      <c r="G9683" s="9">
        <f t="shared" si="0"/>
      </c>
      <c r="L9683">
        <f t="shared" si="1"/>
      </c>
      <c r="M9683">
        <f t="shared" si="2"/>
      </c>
    </row>
    <row r="9684">
      <c r="G9684" s="9">
        <f t="shared" si="0"/>
      </c>
      <c r="L9684">
        <f t="shared" si="1"/>
      </c>
      <c r="M9684">
        <f t="shared" si="2"/>
      </c>
    </row>
    <row r="9685">
      <c r="G9685" s="9">
        <f t="shared" si="0"/>
      </c>
      <c r="L9685">
        <f t="shared" si="1"/>
      </c>
      <c r="M9685">
        <f t="shared" si="2"/>
      </c>
    </row>
    <row r="9686">
      <c r="G9686" s="9">
        <f t="shared" si="0"/>
      </c>
      <c r="L9686">
        <f t="shared" si="1"/>
      </c>
      <c r="M9686">
        <f t="shared" si="2"/>
      </c>
    </row>
    <row r="9687">
      <c r="G9687" s="9">
        <f t="shared" si="0"/>
      </c>
      <c r="L9687">
        <f t="shared" si="1"/>
      </c>
      <c r="M9687">
        <f t="shared" si="2"/>
      </c>
    </row>
    <row r="9688">
      <c r="G9688" s="9">
        <f t="shared" si="0"/>
      </c>
      <c r="L9688">
        <f t="shared" si="1"/>
      </c>
      <c r="M9688">
        <f t="shared" si="2"/>
      </c>
    </row>
    <row r="9689">
      <c r="G9689" s="9">
        <f t="shared" si="0"/>
      </c>
      <c r="L9689">
        <f t="shared" si="1"/>
      </c>
      <c r="M9689">
        <f t="shared" si="2"/>
      </c>
    </row>
    <row r="9690">
      <c r="G9690" s="9">
        <f t="shared" si="0"/>
      </c>
      <c r="L9690">
        <f t="shared" si="1"/>
      </c>
      <c r="M9690">
        <f t="shared" si="2"/>
      </c>
    </row>
    <row r="9691">
      <c r="G9691" s="9">
        <f t="shared" si="0"/>
      </c>
      <c r="L9691">
        <f t="shared" si="1"/>
      </c>
      <c r="M9691">
        <f t="shared" si="2"/>
      </c>
    </row>
    <row r="9692">
      <c r="G9692" s="9">
        <f t="shared" si="0"/>
      </c>
      <c r="L9692">
        <f t="shared" si="1"/>
      </c>
      <c r="M9692">
        <f t="shared" si="2"/>
      </c>
    </row>
    <row r="9693">
      <c r="G9693" s="9">
        <f t="shared" si="0"/>
      </c>
      <c r="L9693">
        <f t="shared" si="1"/>
      </c>
      <c r="M9693">
        <f t="shared" si="2"/>
      </c>
    </row>
    <row r="9694">
      <c r="G9694" s="9">
        <f t="shared" si="0"/>
      </c>
      <c r="L9694">
        <f t="shared" si="1"/>
      </c>
      <c r="M9694">
        <f t="shared" si="2"/>
      </c>
    </row>
    <row r="9695">
      <c r="G9695" s="9">
        <f t="shared" si="0"/>
      </c>
      <c r="L9695">
        <f t="shared" si="1"/>
      </c>
      <c r="M9695">
        <f t="shared" si="2"/>
      </c>
    </row>
    <row r="9696">
      <c r="G9696" s="9">
        <f t="shared" si="0"/>
      </c>
      <c r="L9696">
        <f t="shared" si="1"/>
      </c>
      <c r="M9696">
        <f t="shared" si="2"/>
      </c>
    </row>
    <row r="9697">
      <c r="G9697" s="9">
        <f t="shared" si="0"/>
      </c>
      <c r="L9697">
        <f t="shared" si="1"/>
      </c>
      <c r="M9697">
        <f t="shared" si="2"/>
      </c>
    </row>
    <row r="9698">
      <c r="G9698" s="9">
        <f t="shared" si="0"/>
      </c>
      <c r="L9698">
        <f t="shared" si="1"/>
      </c>
      <c r="M9698">
        <f t="shared" si="2"/>
      </c>
    </row>
    <row r="9699">
      <c r="G9699" s="9">
        <f t="shared" si="0"/>
      </c>
      <c r="L9699">
        <f t="shared" si="1"/>
      </c>
      <c r="M9699">
        <f t="shared" si="2"/>
      </c>
    </row>
    <row r="9700">
      <c r="G9700" s="9">
        <f t="shared" si="0"/>
      </c>
      <c r="L9700">
        <f t="shared" si="1"/>
      </c>
      <c r="M9700">
        <f t="shared" si="2"/>
      </c>
    </row>
    <row r="9701">
      <c r="G9701" s="9">
        <f t="shared" si="0"/>
      </c>
      <c r="L9701">
        <f t="shared" si="1"/>
      </c>
      <c r="M9701">
        <f t="shared" si="2"/>
      </c>
    </row>
    <row r="9702">
      <c r="G9702" s="9">
        <f t="shared" si="0"/>
      </c>
      <c r="L9702">
        <f t="shared" si="1"/>
      </c>
      <c r="M9702">
        <f t="shared" si="2"/>
      </c>
    </row>
    <row r="9703">
      <c r="G9703" s="9">
        <f t="shared" si="0"/>
      </c>
      <c r="L9703">
        <f t="shared" si="1"/>
      </c>
      <c r="M9703">
        <f t="shared" si="2"/>
      </c>
    </row>
    <row r="9704">
      <c r="G9704" s="9">
        <f t="shared" si="0"/>
      </c>
      <c r="L9704">
        <f t="shared" si="1"/>
      </c>
      <c r="M9704">
        <f t="shared" si="2"/>
      </c>
    </row>
    <row r="9705">
      <c r="G9705" s="9">
        <f t="shared" si="0"/>
      </c>
      <c r="L9705">
        <f t="shared" si="1"/>
      </c>
      <c r="M9705">
        <f t="shared" si="2"/>
      </c>
    </row>
    <row r="9706">
      <c r="G9706" s="9">
        <f t="shared" si="0"/>
      </c>
      <c r="L9706">
        <f t="shared" si="1"/>
      </c>
      <c r="M9706">
        <f t="shared" si="2"/>
      </c>
    </row>
    <row r="9707">
      <c r="G9707" s="9">
        <f t="shared" si="0"/>
      </c>
      <c r="L9707">
        <f t="shared" si="1"/>
      </c>
      <c r="M9707">
        <f t="shared" si="2"/>
      </c>
    </row>
    <row r="9708">
      <c r="G9708" s="9">
        <f t="shared" si="0"/>
      </c>
      <c r="L9708">
        <f t="shared" si="1"/>
      </c>
      <c r="M9708">
        <f t="shared" si="2"/>
      </c>
    </row>
    <row r="9709">
      <c r="G9709" s="9">
        <f t="shared" si="0"/>
      </c>
      <c r="L9709">
        <f t="shared" si="1"/>
      </c>
      <c r="M9709">
        <f t="shared" si="2"/>
      </c>
    </row>
    <row r="9710">
      <c r="G9710" s="9">
        <f t="shared" si="0"/>
      </c>
      <c r="L9710">
        <f t="shared" si="1"/>
      </c>
      <c r="M9710">
        <f t="shared" si="2"/>
      </c>
    </row>
    <row r="9711">
      <c r="G9711" s="9">
        <f t="shared" si="0"/>
      </c>
      <c r="L9711">
        <f t="shared" si="1"/>
      </c>
      <c r="M9711">
        <f t="shared" si="2"/>
      </c>
    </row>
    <row r="9712">
      <c r="G9712" s="9">
        <f t="shared" si="0"/>
      </c>
      <c r="L9712">
        <f t="shared" si="1"/>
      </c>
      <c r="M9712">
        <f t="shared" si="2"/>
      </c>
    </row>
    <row r="9713">
      <c r="G9713" s="9">
        <f t="shared" si="0"/>
      </c>
      <c r="L9713">
        <f t="shared" si="1"/>
      </c>
      <c r="M9713">
        <f t="shared" si="2"/>
      </c>
    </row>
    <row r="9714">
      <c r="G9714" s="9">
        <f t="shared" si="0"/>
      </c>
      <c r="L9714">
        <f t="shared" si="1"/>
      </c>
      <c r="M9714">
        <f t="shared" si="2"/>
      </c>
    </row>
    <row r="9715">
      <c r="G9715" s="9">
        <f t="shared" si="0"/>
      </c>
      <c r="L9715">
        <f t="shared" si="1"/>
      </c>
      <c r="M9715">
        <f t="shared" si="2"/>
      </c>
    </row>
    <row r="9716">
      <c r="G9716" s="9">
        <f t="shared" si="0"/>
      </c>
      <c r="L9716">
        <f t="shared" si="1"/>
      </c>
      <c r="M9716">
        <f t="shared" si="2"/>
      </c>
    </row>
    <row r="9717">
      <c r="G9717" s="9">
        <f t="shared" si="0"/>
      </c>
      <c r="L9717">
        <f t="shared" si="1"/>
      </c>
      <c r="M9717">
        <f t="shared" si="2"/>
      </c>
    </row>
    <row r="9718">
      <c r="G9718" s="9">
        <f t="shared" si="0"/>
      </c>
      <c r="L9718">
        <f t="shared" si="1"/>
      </c>
      <c r="M9718">
        <f t="shared" si="2"/>
      </c>
    </row>
    <row r="9719">
      <c r="G9719" s="9">
        <f t="shared" si="0"/>
      </c>
      <c r="L9719">
        <f t="shared" si="1"/>
      </c>
      <c r="M9719">
        <f t="shared" si="2"/>
      </c>
    </row>
    <row r="9720">
      <c r="G9720" s="9">
        <f t="shared" si="0"/>
      </c>
      <c r="L9720">
        <f t="shared" si="1"/>
      </c>
      <c r="M9720">
        <f t="shared" si="2"/>
      </c>
    </row>
    <row r="9721">
      <c r="G9721" s="9">
        <f t="shared" si="0"/>
      </c>
      <c r="L9721">
        <f t="shared" si="1"/>
      </c>
      <c r="M9721">
        <f t="shared" si="2"/>
      </c>
    </row>
    <row r="9722">
      <c r="G9722" s="9">
        <f t="shared" si="0"/>
      </c>
      <c r="L9722">
        <f t="shared" si="1"/>
      </c>
      <c r="M9722">
        <f t="shared" si="2"/>
      </c>
    </row>
    <row r="9723">
      <c r="G9723" s="9">
        <f t="shared" si="0"/>
      </c>
      <c r="L9723">
        <f t="shared" si="1"/>
      </c>
      <c r="M9723">
        <f t="shared" si="2"/>
      </c>
    </row>
    <row r="9724">
      <c r="G9724" s="9">
        <f t="shared" si="0"/>
      </c>
      <c r="L9724">
        <f t="shared" si="1"/>
      </c>
      <c r="M9724">
        <f t="shared" si="2"/>
      </c>
    </row>
    <row r="9725">
      <c r="G9725" s="9">
        <f t="shared" si="0"/>
      </c>
      <c r="L9725">
        <f t="shared" si="1"/>
      </c>
      <c r="M9725">
        <f t="shared" si="2"/>
      </c>
    </row>
    <row r="9726">
      <c r="G9726" s="9">
        <f t="shared" si="0"/>
      </c>
      <c r="L9726">
        <f t="shared" si="1"/>
      </c>
      <c r="M9726">
        <f t="shared" si="2"/>
      </c>
    </row>
    <row r="9727">
      <c r="G9727" s="9">
        <f t="shared" si="0"/>
      </c>
      <c r="L9727">
        <f t="shared" si="1"/>
      </c>
      <c r="M9727">
        <f t="shared" si="2"/>
      </c>
    </row>
    <row r="9728">
      <c r="G9728" s="9">
        <f t="shared" si="0"/>
      </c>
      <c r="L9728">
        <f t="shared" si="1"/>
      </c>
      <c r="M9728">
        <f t="shared" si="2"/>
      </c>
    </row>
    <row r="9729">
      <c r="G9729" s="9">
        <f t="shared" si="0"/>
      </c>
      <c r="L9729">
        <f t="shared" si="1"/>
      </c>
      <c r="M9729">
        <f t="shared" si="2"/>
      </c>
    </row>
    <row r="9730">
      <c r="G9730" s="9">
        <f t="shared" si="0"/>
      </c>
      <c r="L9730">
        <f t="shared" si="1"/>
      </c>
      <c r="M9730">
        <f t="shared" si="2"/>
      </c>
    </row>
    <row r="9731">
      <c r="G9731" s="9">
        <f t="shared" si="0"/>
      </c>
      <c r="L9731">
        <f t="shared" si="1"/>
      </c>
      <c r="M9731">
        <f t="shared" si="2"/>
      </c>
    </row>
    <row r="9732">
      <c r="G9732" s="9">
        <f t="shared" si="0"/>
      </c>
      <c r="L9732">
        <f t="shared" si="1"/>
      </c>
      <c r="M9732">
        <f t="shared" si="2"/>
      </c>
    </row>
    <row r="9733">
      <c r="G9733" s="9">
        <f t="shared" si="0"/>
      </c>
      <c r="L9733">
        <f t="shared" si="1"/>
      </c>
      <c r="M9733">
        <f t="shared" si="2"/>
      </c>
    </row>
    <row r="9734">
      <c r="G9734" s="9">
        <f t="shared" si="0"/>
      </c>
      <c r="L9734">
        <f t="shared" si="1"/>
      </c>
      <c r="M9734">
        <f t="shared" si="2"/>
      </c>
    </row>
    <row r="9735">
      <c r="G9735" s="9">
        <f t="shared" si="0"/>
      </c>
      <c r="L9735">
        <f t="shared" si="1"/>
      </c>
      <c r="M9735">
        <f t="shared" si="2"/>
      </c>
    </row>
    <row r="9736">
      <c r="G9736" s="9">
        <f t="shared" si="0"/>
      </c>
      <c r="L9736">
        <f t="shared" si="1"/>
      </c>
      <c r="M9736">
        <f t="shared" si="2"/>
      </c>
    </row>
    <row r="9737">
      <c r="G9737" s="9">
        <f t="shared" si="0"/>
      </c>
      <c r="L9737">
        <f t="shared" si="1"/>
      </c>
      <c r="M9737">
        <f t="shared" si="2"/>
      </c>
    </row>
    <row r="9738">
      <c r="G9738" s="9">
        <f t="shared" si="0"/>
      </c>
      <c r="L9738">
        <f t="shared" si="1"/>
      </c>
      <c r="M9738">
        <f t="shared" si="2"/>
      </c>
    </row>
    <row r="9739">
      <c r="G9739" s="9">
        <f t="shared" si="0"/>
      </c>
      <c r="L9739">
        <f t="shared" si="1"/>
      </c>
      <c r="M9739">
        <f t="shared" si="2"/>
      </c>
    </row>
    <row r="9740">
      <c r="G9740" s="9">
        <f t="shared" si="0"/>
      </c>
      <c r="L9740">
        <f t="shared" si="1"/>
      </c>
      <c r="M9740">
        <f t="shared" si="2"/>
      </c>
    </row>
    <row r="9741">
      <c r="G9741" s="9">
        <f t="shared" si="0"/>
      </c>
      <c r="L9741">
        <f t="shared" si="1"/>
      </c>
      <c r="M9741">
        <f t="shared" si="2"/>
      </c>
    </row>
    <row r="9742">
      <c r="G9742" s="9">
        <f t="shared" si="0"/>
      </c>
      <c r="L9742">
        <f t="shared" si="1"/>
      </c>
      <c r="M9742">
        <f t="shared" si="2"/>
      </c>
    </row>
    <row r="9743">
      <c r="G9743" s="9">
        <f t="shared" si="0"/>
      </c>
      <c r="L9743">
        <f t="shared" si="1"/>
      </c>
      <c r="M9743">
        <f t="shared" si="2"/>
      </c>
    </row>
    <row r="9744">
      <c r="G9744" s="9">
        <f t="shared" si="0"/>
      </c>
      <c r="L9744">
        <f t="shared" si="1"/>
      </c>
      <c r="M9744">
        <f t="shared" si="2"/>
      </c>
    </row>
    <row r="9745">
      <c r="G9745" s="9">
        <f t="shared" si="0"/>
      </c>
      <c r="L9745">
        <f t="shared" si="1"/>
      </c>
      <c r="M9745">
        <f t="shared" si="2"/>
      </c>
    </row>
    <row r="9746">
      <c r="G9746" s="9">
        <f t="shared" si="0"/>
      </c>
      <c r="L9746">
        <f t="shared" si="1"/>
      </c>
      <c r="M9746">
        <f t="shared" si="2"/>
      </c>
    </row>
    <row r="9747">
      <c r="G9747" s="9">
        <f t="shared" si="0"/>
      </c>
      <c r="L9747">
        <f t="shared" si="1"/>
      </c>
      <c r="M9747">
        <f t="shared" si="2"/>
      </c>
    </row>
    <row r="9748">
      <c r="G9748" s="9">
        <f t="shared" si="0"/>
      </c>
      <c r="L9748">
        <f t="shared" si="1"/>
      </c>
      <c r="M9748">
        <f t="shared" si="2"/>
      </c>
    </row>
    <row r="9749">
      <c r="G9749" s="9">
        <f t="shared" si="0"/>
      </c>
      <c r="L9749">
        <f t="shared" si="1"/>
      </c>
      <c r="M9749">
        <f t="shared" si="2"/>
      </c>
    </row>
    <row r="9750">
      <c r="G9750" s="9">
        <f t="shared" si="0"/>
      </c>
      <c r="L9750">
        <f t="shared" si="1"/>
      </c>
      <c r="M9750">
        <f t="shared" si="2"/>
      </c>
    </row>
    <row r="9751">
      <c r="G9751" s="9">
        <f t="shared" si="0"/>
      </c>
      <c r="L9751">
        <f t="shared" si="1"/>
      </c>
      <c r="M9751">
        <f t="shared" si="2"/>
      </c>
    </row>
    <row r="9752">
      <c r="G9752" s="9">
        <f t="shared" si="0"/>
      </c>
      <c r="L9752">
        <f t="shared" si="1"/>
      </c>
      <c r="M9752">
        <f t="shared" si="2"/>
      </c>
    </row>
    <row r="9753">
      <c r="G9753" s="9">
        <f t="shared" si="0"/>
      </c>
      <c r="L9753">
        <f t="shared" si="1"/>
      </c>
      <c r="M9753">
        <f t="shared" si="2"/>
      </c>
    </row>
    <row r="9754">
      <c r="G9754" s="9">
        <f t="shared" si="0"/>
      </c>
      <c r="L9754">
        <f t="shared" si="1"/>
      </c>
      <c r="M9754">
        <f t="shared" si="2"/>
      </c>
    </row>
    <row r="9755">
      <c r="G9755" s="9">
        <f t="shared" si="0"/>
      </c>
      <c r="L9755">
        <f t="shared" si="1"/>
      </c>
      <c r="M9755">
        <f t="shared" si="2"/>
      </c>
    </row>
    <row r="9756">
      <c r="G9756" s="9">
        <f t="shared" si="0"/>
      </c>
      <c r="L9756">
        <f t="shared" si="1"/>
      </c>
      <c r="M9756">
        <f t="shared" si="2"/>
      </c>
    </row>
    <row r="9757">
      <c r="G9757" s="9">
        <f t="shared" si="0"/>
      </c>
      <c r="L9757">
        <f t="shared" si="1"/>
      </c>
      <c r="M9757">
        <f t="shared" si="2"/>
      </c>
    </row>
    <row r="9758">
      <c r="G9758" s="9">
        <f t="shared" si="0"/>
      </c>
      <c r="L9758">
        <f t="shared" si="1"/>
      </c>
      <c r="M9758">
        <f t="shared" si="2"/>
      </c>
    </row>
    <row r="9759">
      <c r="G9759" s="9">
        <f t="shared" si="0"/>
      </c>
      <c r="L9759">
        <f t="shared" si="1"/>
      </c>
      <c r="M9759">
        <f t="shared" si="2"/>
      </c>
    </row>
    <row r="9760">
      <c r="G9760" s="9">
        <f t="shared" si="0"/>
      </c>
      <c r="L9760">
        <f t="shared" si="1"/>
      </c>
      <c r="M9760">
        <f t="shared" si="2"/>
      </c>
    </row>
    <row r="9761">
      <c r="G9761" s="9">
        <f t="shared" si="0"/>
      </c>
      <c r="L9761">
        <f t="shared" si="1"/>
      </c>
      <c r="M9761">
        <f t="shared" si="2"/>
      </c>
    </row>
    <row r="9762">
      <c r="G9762" s="9">
        <f t="shared" si="0"/>
      </c>
      <c r="L9762">
        <f t="shared" si="1"/>
      </c>
      <c r="M9762">
        <f t="shared" si="2"/>
      </c>
    </row>
    <row r="9763">
      <c r="G9763" s="9">
        <f t="shared" si="0"/>
      </c>
      <c r="L9763">
        <f t="shared" si="1"/>
      </c>
      <c r="M9763">
        <f t="shared" si="2"/>
      </c>
    </row>
    <row r="9764">
      <c r="G9764" s="9">
        <f t="shared" si="0"/>
      </c>
      <c r="L9764">
        <f t="shared" si="1"/>
      </c>
      <c r="M9764">
        <f t="shared" si="2"/>
      </c>
    </row>
    <row r="9765">
      <c r="G9765" s="9">
        <f t="shared" si="0"/>
      </c>
      <c r="L9765">
        <f t="shared" si="1"/>
      </c>
      <c r="M9765">
        <f t="shared" si="2"/>
      </c>
    </row>
    <row r="9766">
      <c r="G9766" s="9">
        <f t="shared" si="0"/>
      </c>
      <c r="L9766">
        <f t="shared" si="1"/>
      </c>
      <c r="M9766">
        <f t="shared" si="2"/>
      </c>
    </row>
    <row r="9767">
      <c r="G9767" s="9">
        <f t="shared" si="0"/>
      </c>
      <c r="L9767">
        <f t="shared" si="1"/>
      </c>
      <c r="M9767">
        <f t="shared" si="2"/>
      </c>
    </row>
    <row r="9768">
      <c r="G9768" s="9">
        <f t="shared" si="0"/>
      </c>
      <c r="L9768">
        <f t="shared" si="1"/>
      </c>
      <c r="M9768">
        <f t="shared" si="2"/>
      </c>
    </row>
    <row r="9769">
      <c r="G9769" s="9">
        <f t="shared" si="0"/>
      </c>
      <c r="L9769">
        <f t="shared" si="1"/>
      </c>
      <c r="M9769">
        <f t="shared" si="2"/>
      </c>
    </row>
    <row r="9770">
      <c r="G9770" s="9">
        <f t="shared" si="0"/>
      </c>
      <c r="L9770">
        <f t="shared" si="1"/>
      </c>
      <c r="M9770">
        <f t="shared" si="2"/>
      </c>
    </row>
    <row r="9771">
      <c r="G9771" s="9">
        <f t="shared" si="0"/>
      </c>
      <c r="L9771">
        <f t="shared" si="1"/>
      </c>
      <c r="M9771">
        <f t="shared" si="2"/>
      </c>
    </row>
    <row r="9772">
      <c r="G9772" s="9">
        <f t="shared" si="0"/>
      </c>
      <c r="L9772">
        <f t="shared" si="1"/>
      </c>
      <c r="M9772">
        <f t="shared" si="2"/>
      </c>
    </row>
    <row r="9773">
      <c r="G9773" s="9">
        <f t="shared" si="0"/>
      </c>
      <c r="L9773">
        <f t="shared" si="1"/>
      </c>
      <c r="M9773">
        <f t="shared" si="2"/>
      </c>
    </row>
    <row r="9774">
      <c r="G9774" s="9">
        <f t="shared" si="0"/>
      </c>
      <c r="L9774">
        <f t="shared" si="1"/>
      </c>
      <c r="M9774">
        <f t="shared" si="2"/>
      </c>
    </row>
    <row r="9775">
      <c r="G9775" s="9">
        <f t="shared" si="0"/>
      </c>
      <c r="L9775">
        <f t="shared" si="1"/>
      </c>
      <c r="M9775">
        <f t="shared" si="2"/>
      </c>
    </row>
    <row r="9776">
      <c r="G9776" s="9">
        <f t="shared" si="0"/>
      </c>
      <c r="L9776">
        <f t="shared" si="1"/>
      </c>
      <c r="M9776">
        <f t="shared" si="2"/>
      </c>
    </row>
    <row r="9777">
      <c r="G9777" s="9">
        <f t="shared" si="0"/>
      </c>
      <c r="L9777">
        <f t="shared" si="1"/>
      </c>
      <c r="M9777">
        <f t="shared" si="2"/>
      </c>
    </row>
    <row r="9778">
      <c r="G9778" s="9">
        <f t="shared" si="0"/>
      </c>
      <c r="L9778">
        <f t="shared" si="1"/>
      </c>
      <c r="M9778">
        <f t="shared" si="2"/>
      </c>
    </row>
    <row r="9779">
      <c r="G9779" s="9">
        <f t="shared" si="0"/>
      </c>
      <c r="L9779">
        <f t="shared" si="1"/>
      </c>
      <c r="M9779">
        <f t="shared" si="2"/>
      </c>
    </row>
    <row r="9780">
      <c r="G9780" s="9">
        <f t="shared" si="0"/>
      </c>
      <c r="L9780">
        <f t="shared" si="1"/>
      </c>
      <c r="M9780">
        <f t="shared" si="2"/>
      </c>
    </row>
    <row r="9781">
      <c r="G9781" s="9">
        <f t="shared" si="0"/>
      </c>
      <c r="L9781">
        <f t="shared" si="1"/>
      </c>
      <c r="M9781">
        <f t="shared" si="2"/>
      </c>
    </row>
    <row r="9782">
      <c r="G9782" s="9">
        <f t="shared" si="0"/>
      </c>
      <c r="L9782">
        <f t="shared" si="1"/>
      </c>
      <c r="M9782">
        <f t="shared" si="2"/>
      </c>
    </row>
    <row r="9783">
      <c r="G9783" s="9">
        <f t="shared" si="0"/>
      </c>
      <c r="L9783">
        <f t="shared" si="1"/>
      </c>
      <c r="M9783">
        <f t="shared" si="2"/>
      </c>
    </row>
    <row r="9784">
      <c r="G9784" s="9">
        <f t="shared" si="0"/>
      </c>
      <c r="L9784">
        <f t="shared" si="1"/>
      </c>
      <c r="M9784">
        <f t="shared" si="2"/>
      </c>
    </row>
    <row r="9785">
      <c r="G9785" s="9">
        <f t="shared" si="0"/>
      </c>
      <c r="L9785">
        <f t="shared" si="1"/>
      </c>
      <c r="M9785">
        <f t="shared" si="2"/>
      </c>
    </row>
    <row r="9786">
      <c r="G9786" s="9">
        <f t="shared" si="0"/>
      </c>
      <c r="L9786">
        <f t="shared" si="1"/>
      </c>
      <c r="M9786">
        <f t="shared" si="2"/>
      </c>
    </row>
    <row r="9787">
      <c r="G9787" s="9">
        <f t="shared" si="0"/>
      </c>
      <c r="L9787">
        <f t="shared" si="1"/>
      </c>
      <c r="M9787">
        <f t="shared" si="2"/>
      </c>
    </row>
    <row r="9788">
      <c r="G9788" s="9">
        <f t="shared" si="0"/>
      </c>
      <c r="L9788">
        <f t="shared" si="1"/>
      </c>
      <c r="M9788">
        <f t="shared" si="2"/>
      </c>
    </row>
    <row r="9789">
      <c r="G9789" s="9">
        <f t="shared" si="0"/>
      </c>
      <c r="L9789">
        <f t="shared" si="1"/>
      </c>
      <c r="M9789">
        <f t="shared" si="2"/>
      </c>
    </row>
    <row r="9790">
      <c r="G9790" s="9">
        <f t="shared" si="0"/>
      </c>
      <c r="L9790">
        <f t="shared" si="1"/>
      </c>
      <c r="M9790">
        <f t="shared" si="2"/>
      </c>
    </row>
    <row r="9791">
      <c r="G9791" s="9">
        <f t="shared" si="0"/>
      </c>
      <c r="L9791">
        <f t="shared" si="1"/>
      </c>
      <c r="M9791">
        <f t="shared" si="2"/>
      </c>
    </row>
    <row r="9792">
      <c r="G9792" s="9">
        <f t="shared" si="0"/>
      </c>
      <c r="L9792">
        <f t="shared" si="1"/>
      </c>
      <c r="M9792">
        <f t="shared" si="2"/>
      </c>
    </row>
    <row r="9793">
      <c r="G9793" s="9">
        <f t="shared" si="0"/>
      </c>
      <c r="L9793">
        <f t="shared" si="1"/>
      </c>
      <c r="M9793">
        <f t="shared" si="2"/>
      </c>
    </row>
    <row r="9794">
      <c r="G9794" s="9">
        <f t="shared" si="0"/>
      </c>
      <c r="L9794">
        <f t="shared" si="1"/>
      </c>
      <c r="M9794">
        <f t="shared" si="2"/>
      </c>
    </row>
    <row r="9795">
      <c r="G9795" s="9">
        <f t="shared" si="0"/>
      </c>
      <c r="L9795">
        <f t="shared" si="1"/>
      </c>
      <c r="M9795">
        <f t="shared" si="2"/>
      </c>
    </row>
    <row r="9796">
      <c r="G9796" s="9">
        <f t="shared" si="0"/>
      </c>
      <c r="L9796">
        <f t="shared" si="1"/>
      </c>
      <c r="M9796">
        <f t="shared" si="2"/>
      </c>
    </row>
    <row r="9797">
      <c r="G9797" s="9">
        <f t="shared" si="0"/>
      </c>
      <c r="L9797">
        <f t="shared" si="1"/>
      </c>
      <c r="M9797">
        <f t="shared" si="2"/>
      </c>
    </row>
    <row r="9798">
      <c r="G9798" s="9">
        <f t="shared" si="0"/>
      </c>
      <c r="L9798">
        <f t="shared" si="1"/>
      </c>
      <c r="M9798">
        <f t="shared" si="2"/>
      </c>
    </row>
    <row r="9799">
      <c r="G9799" s="9">
        <f t="shared" si="0"/>
      </c>
      <c r="L9799">
        <f t="shared" si="1"/>
      </c>
      <c r="M9799">
        <f t="shared" si="2"/>
      </c>
    </row>
    <row r="9800">
      <c r="G9800" s="9">
        <f t="shared" si="0"/>
      </c>
      <c r="L9800">
        <f t="shared" si="1"/>
      </c>
      <c r="M9800">
        <f t="shared" si="2"/>
      </c>
    </row>
    <row r="9801">
      <c r="G9801" s="9">
        <f t="shared" si="0"/>
      </c>
      <c r="L9801">
        <f t="shared" si="1"/>
      </c>
      <c r="M9801">
        <f t="shared" si="2"/>
      </c>
    </row>
    <row r="9802">
      <c r="G9802" s="9">
        <f t="shared" si="0"/>
      </c>
      <c r="L9802">
        <f t="shared" si="1"/>
      </c>
      <c r="M9802">
        <f t="shared" si="2"/>
      </c>
    </row>
    <row r="9803">
      <c r="G9803" s="9">
        <f t="shared" si="0"/>
      </c>
      <c r="L9803">
        <f t="shared" si="1"/>
      </c>
      <c r="M9803">
        <f t="shared" si="2"/>
      </c>
    </row>
    <row r="9804">
      <c r="G9804" s="9">
        <f t="shared" si="0"/>
      </c>
      <c r="L9804">
        <f t="shared" si="1"/>
      </c>
      <c r="M9804">
        <f t="shared" si="2"/>
      </c>
    </row>
    <row r="9805">
      <c r="G9805" s="9">
        <f t="shared" si="0"/>
      </c>
      <c r="L9805">
        <f t="shared" si="1"/>
      </c>
      <c r="M9805">
        <f t="shared" si="2"/>
      </c>
    </row>
    <row r="9806">
      <c r="G9806" s="9">
        <f t="shared" si="0"/>
      </c>
      <c r="L9806">
        <f t="shared" si="1"/>
      </c>
      <c r="M9806">
        <f t="shared" si="2"/>
      </c>
    </row>
    <row r="9807">
      <c r="G9807" s="9">
        <f t="shared" si="0"/>
      </c>
      <c r="L9807">
        <f t="shared" si="1"/>
      </c>
      <c r="M9807">
        <f t="shared" si="2"/>
      </c>
    </row>
    <row r="9808">
      <c r="G9808" s="9">
        <f t="shared" si="0"/>
      </c>
      <c r="L9808">
        <f t="shared" si="1"/>
      </c>
      <c r="M9808">
        <f t="shared" si="2"/>
      </c>
    </row>
    <row r="9809">
      <c r="G9809" s="9">
        <f t="shared" si="0"/>
      </c>
      <c r="L9809">
        <f t="shared" si="1"/>
      </c>
      <c r="M9809">
        <f t="shared" si="2"/>
      </c>
    </row>
    <row r="9810">
      <c r="G9810" s="9">
        <f t="shared" si="0"/>
      </c>
      <c r="L9810">
        <f t="shared" si="1"/>
      </c>
      <c r="M9810">
        <f t="shared" si="2"/>
      </c>
    </row>
    <row r="9811">
      <c r="G9811" s="9">
        <f t="shared" si="0"/>
      </c>
      <c r="L9811">
        <f t="shared" si="1"/>
      </c>
      <c r="M9811">
        <f t="shared" si="2"/>
      </c>
    </row>
    <row r="9812">
      <c r="G9812" s="9">
        <f t="shared" si="0"/>
      </c>
      <c r="L9812">
        <f t="shared" si="1"/>
      </c>
      <c r="M9812">
        <f t="shared" si="2"/>
      </c>
    </row>
    <row r="9813">
      <c r="G9813" s="9">
        <f t="shared" si="0"/>
      </c>
      <c r="L9813">
        <f t="shared" si="1"/>
      </c>
      <c r="M9813">
        <f t="shared" si="2"/>
      </c>
    </row>
    <row r="9814">
      <c r="G9814" s="9">
        <f t="shared" si="0"/>
      </c>
      <c r="L9814">
        <f t="shared" si="1"/>
      </c>
      <c r="M9814">
        <f t="shared" si="2"/>
      </c>
    </row>
    <row r="9815">
      <c r="G9815" s="9">
        <f t="shared" si="0"/>
      </c>
      <c r="L9815">
        <f t="shared" si="1"/>
      </c>
      <c r="M9815">
        <f t="shared" si="2"/>
      </c>
    </row>
    <row r="9816">
      <c r="G9816" s="9">
        <f t="shared" si="0"/>
      </c>
      <c r="L9816">
        <f t="shared" si="1"/>
      </c>
      <c r="M9816">
        <f t="shared" si="2"/>
      </c>
    </row>
    <row r="9817">
      <c r="G9817" s="9">
        <f t="shared" si="0"/>
      </c>
      <c r="L9817">
        <f t="shared" si="1"/>
      </c>
      <c r="M9817">
        <f t="shared" si="2"/>
      </c>
    </row>
    <row r="9818">
      <c r="G9818" s="9">
        <f t="shared" si="0"/>
      </c>
      <c r="L9818">
        <f t="shared" si="1"/>
      </c>
      <c r="M9818">
        <f t="shared" si="2"/>
      </c>
    </row>
    <row r="9819">
      <c r="G9819" s="9">
        <f t="shared" si="0"/>
      </c>
      <c r="L9819">
        <f t="shared" si="1"/>
      </c>
      <c r="M9819">
        <f t="shared" si="2"/>
      </c>
    </row>
    <row r="9820">
      <c r="G9820" s="9">
        <f t="shared" si="0"/>
      </c>
      <c r="L9820">
        <f t="shared" si="1"/>
      </c>
      <c r="M9820">
        <f t="shared" si="2"/>
      </c>
    </row>
    <row r="9821">
      <c r="G9821" s="9">
        <f t="shared" si="0"/>
      </c>
      <c r="L9821">
        <f t="shared" si="1"/>
      </c>
      <c r="M9821">
        <f t="shared" si="2"/>
      </c>
    </row>
    <row r="9822">
      <c r="G9822" s="9">
        <f t="shared" si="0"/>
      </c>
      <c r="L9822">
        <f t="shared" si="1"/>
      </c>
      <c r="M9822">
        <f t="shared" si="2"/>
      </c>
    </row>
    <row r="9823">
      <c r="G9823" s="9">
        <f t="shared" si="0"/>
      </c>
      <c r="L9823">
        <f t="shared" si="1"/>
      </c>
      <c r="M9823">
        <f t="shared" si="2"/>
      </c>
    </row>
    <row r="9824">
      <c r="G9824" s="9">
        <f t="shared" si="0"/>
      </c>
      <c r="L9824">
        <f t="shared" si="1"/>
      </c>
      <c r="M9824">
        <f t="shared" si="2"/>
      </c>
    </row>
    <row r="9825">
      <c r="G9825" s="9">
        <f t="shared" si="0"/>
      </c>
      <c r="L9825">
        <f t="shared" si="1"/>
      </c>
      <c r="M9825">
        <f t="shared" si="2"/>
      </c>
    </row>
    <row r="9826">
      <c r="G9826" s="9">
        <f t="shared" si="0"/>
      </c>
      <c r="L9826">
        <f t="shared" si="1"/>
      </c>
      <c r="M9826">
        <f t="shared" si="2"/>
      </c>
    </row>
    <row r="9827">
      <c r="G9827" s="9">
        <f t="shared" si="0"/>
      </c>
      <c r="L9827">
        <f t="shared" si="1"/>
      </c>
      <c r="M9827">
        <f t="shared" si="2"/>
      </c>
    </row>
    <row r="9828">
      <c r="G9828" s="9">
        <f t="shared" si="0"/>
      </c>
      <c r="L9828">
        <f t="shared" si="1"/>
      </c>
      <c r="M9828">
        <f t="shared" si="2"/>
      </c>
    </row>
    <row r="9829">
      <c r="G9829" s="9">
        <f t="shared" si="0"/>
      </c>
      <c r="L9829">
        <f t="shared" si="1"/>
      </c>
      <c r="M9829">
        <f t="shared" si="2"/>
      </c>
    </row>
    <row r="9830">
      <c r="G9830" s="9">
        <f t="shared" si="0"/>
      </c>
      <c r="L9830">
        <f t="shared" si="1"/>
      </c>
      <c r="M9830">
        <f t="shared" si="2"/>
      </c>
    </row>
    <row r="9831">
      <c r="G9831" s="9">
        <f t="shared" si="0"/>
      </c>
      <c r="L9831">
        <f t="shared" si="1"/>
      </c>
      <c r="M9831">
        <f t="shared" si="2"/>
      </c>
    </row>
    <row r="9832">
      <c r="G9832" s="9">
        <f t="shared" si="0"/>
      </c>
      <c r="L9832">
        <f t="shared" si="1"/>
      </c>
      <c r="M9832">
        <f t="shared" si="2"/>
      </c>
    </row>
    <row r="9833">
      <c r="G9833" s="9">
        <f t="shared" si="0"/>
      </c>
      <c r="L9833">
        <f t="shared" si="1"/>
      </c>
      <c r="M9833">
        <f t="shared" si="2"/>
      </c>
    </row>
    <row r="9834">
      <c r="G9834" s="9">
        <f t="shared" si="0"/>
      </c>
      <c r="L9834">
        <f t="shared" si="1"/>
      </c>
      <c r="M9834">
        <f t="shared" si="2"/>
      </c>
    </row>
    <row r="9835">
      <c r="G9835" s="9">
        <f t="shared" si="0"/>
      </c>
      <c r="L9835">
        <f t="shared" si="1"/>
      </c>
      <c r="M9835">
        <f t="shared" si="2"/>
      </c>
    </row>
    <row r="9836">
      <c r="G9836" s="9">
        <f t="shared" si="0"/>
      </c>
      <c r="L9836">
        <f t="shared" si="1"/>
      </c>
      <c r="M9836">
        <f t="shared" si="2"/>
      </c>
    </row>
    <row r="9837">
      <c r="G9837" s="9">
        <f t="shared" si="0"/>
      </c>
      <c r="L9837">
        <f t="shared" si="1"/>
      </c>
      <c r="M9837">
        <f t="shared" si="2"/>
      </c>
    </row>
    <row r="9838">
      <c r="G9838" s="9">
        <f t="shared" si="0"/>
      </c>
      <c r="L9838">
        <f t="shared" si="1"/>
      </c>
      <c r="M9838">
        <f t="shared" si="2"/>
      </c>
    </row>
    <row r="9839">
      <c r="G9839" s="9">
        <f t="shared" si="0"/>
      </c>
      <c r="L9839">
        <f t="shared" si="1"/>
      </c>
      <c r="M9839">
        <f t="shared" si="2"/>
      </c>
    </row>
    <row r="9840">
      <c r="G9840" s="9">
        <f t="shared" si="0"/>
      </c>
      <c r="L9840">
        <f t="shared" si="1"/>
      </c>
      <c r="M9840">
        <f t="shared" si="2"/>
      </c>
    </row>
    <row r="9841">
      <c r="G9841" s="9">
        <f t="shared" si="0"/>
      </c>
      <c r="L9841">
        <f t="shared" si="1"/>
      </c>
      <c r="M9841">
        <f t="shared" si="2"/>
      </c>
    </row>
    <row r="9842">
      <c r="G9842" s="9">
        <f t="shared" si="0"/>
      </c>
      <c r="L9842">
        <f t="shared" si="1"/>
      </c>
      <c r="M9842">
        <f t="shared" si="2"/>
      </c>
    </row>
    <row r="9843">
      <c r="G9843" s="9">
        <f t="shared" si="0"/>
      </c>
      <c r="L9843">
        <f t="shared" si="1"/>
      </c>
      <c r="M9843">
        <f t="shared" si="2"/>
      </c>
    </row>
    <row r="9844">
      <c r="G9844" s="9">
        <f t="shared" si="0"/>
      </c>
      <c r="L9844">
        <f t="shared" si="1"/>
      </c>
      <c r="M9844">
        <f t="shared" si="2"/>
      </c>
    </row>
    <row r="9845">
      <c r="G9845" s="9">
        <f t="shared" si="0"/>
      </c>
      <c r="L9845">
        <f t="shared" si="1"/>
      </c>
      <c r="M9845">
        <f t="shared" si="2"/>
      </c>
    </row>
    <row r="9846">
      <c r="G9846" s="9">
        <f t="shared" si="0"/>
      </c>
      <c r="L9846">
        <f t="shared" si="1"/>
      </c>
      <c r="M9846">
        <f t="shared" si="2"/>
      </c>
    </row>
    <row r="9847">
      <c r="G9847" s="9">
        <f t="shared" si="0"/>
      </c>
      <c r="L9847">
        <f t="shared" si="1"/>
      </c>
      <c r="M9847">
        <f t="shared" si="2"/>
      </c>
    </row>
    <row r="9848">
      <c r="G9848" s="9">
        <f t="shared" si="0"/>
      </c>
      <c r="L9848">
        <f t="shared" si="1"/>
      </c>
      <c r="M9848">
        <f t="shared" si="2"/>
      </c>
    </row>
    <row r="9849">
      <c r="G9849" s="9">
        <f t="shared" si="0"/>
      </c>
      <c r="L9849">
        <f t="shared" si="1"/>
      </c>
      <c r="M9849">
        <f t="shared" si="2"/>
      </c>
    </row>
    <row r="9850">
      <c r="G9850" s="9">
        <f t="shared" si="0"/>
      </c>
      <c r="L9850">
        <f t="shared" si="1"/>
      </c>
      <c r="M9850">
        <f t="shared" si="2"/>
      </c>
    </row>
    <row r="9851">
      <c r="G9851" s="9">
        <f t="shared" si="0"/>
      </c>
      <c r="L9851">
        <f t="shared" si="1"/>
      </c>
      <c r="M9851">
        <f t="shared" si="2"/>
      </c>
    </row>
    <row r="9852">
      <c r="G9852" s="9">
        <f t="shared" si="0"/>
      </c>
      <c r="L9852">
        <f t="shared" si="1"/>
      </c>
      <c r="M9852">
        <f t="shared" si="2"/>
      </c>
    </row>
    <row r="9853">
      <c r="G9853" s="9">
        <f t="shared" si="0"/>
      </c>
      <c r="L9853">
        <f t="shared" si="1"/>
      </c>
      <c r="M9853">
        <f t="shared" si="2"/>
      </c>
    </row>
    <row r="9854">
      <c r="G9854" s="9">
        <f t="shared" si="0"/>
      </c>
      <c r="L9854">
        <f t="shared" si="1"/>
      </c>
      <c r="M9854">
        <f t="shared" si="2"/>
      </c>
    </row>
    <row r="9855">
      <c r="G9855" s="9">
        <f t="shared" si="0"/>
      </c>
      <c r="L9855">
        <f t="shared" si="1"/>
      </c>
      <c r="M9855">
        <f t="shared" si="2"/>
      </c>
    </row>
    <row r="9856">
      <c r="G9856" s="9">
        <f t="shared" si="0"/>
      </c>
      <c r="L9856">
        <f t="shared" si="1"/>
      </c>
      <c r="M9856">
        <f t="shared" si="2"/>
      </c>
    </row>
    <row r="9857">
      <c r="G9857" s="9">
        <f t="shared" si="0"/>
      </c>
      <c r="L9857">
        <f t="shared" si="1"/>
      </c>
      <c r="M9857">
        <f t="shared" si="2"/>
      </c>
    </row>
    <row r="9858">
      <c r="G9858" s="9">
        <f t="shared" si="0"/>
      </c>
      <c r="L9858">
        <f t="shared" si="1"/>
      </c>
      <c r="M9858">
        <f t="shared" si="2"/>
      </c>
    </row>
    <row r="9859">
      <c r="G9859" s="9">
        <f t="shared" si="0"/>
      </c>
      <c r="L9859">
        <f t="shared" si="1"/>
      </c>
      <c r="M9859">
        <f t="shared" si="2"/>
      </c>
    </row>
    <row r="9860">
      <c r="G9860" s="9">
        <f t="shared" si="0"/>
      </c>
      <c r="L9860">
        <f t="shared" si="1"/>
      </c>
      <c r="M9860">
        <f t="shared" si="2"/>
      </c>
    </row>
    <row r="9861">
      <c r="G9861" s="9">
        <f t="shared" si="0"/>
      </c>
      <c r="L9861">
        <f t="shared" si="1"/>
      </c>
      <c r="M9861">
        <f t="shared" si="2"/>
      </c>
    </row>
    <row r="9862">
      <c r="G9862" s="9">
        <f t="shared" si="0"/>
      </c>
      <c r="L9862">
        <f t="shared" si="1"/>
      </c>
      <c r="M9862">
        <f t="shared" si="2"/>
      </c>
    </row>
    <row r="9863">
      <c r="G9863" s="9">
        <f t="shared" si="0"/>
      </c>
      <c r="L9863">
        <f t="shared" si="1"/>
      </c>
      <c r="M9863">
        <f t="shared" si="2"/>
      </c>
    </row>
    <row r="9864">
      <c r="G9864" s="9">
        <f t="shared" si="0"/>
      </c>
      <c r="L9864">
        <f t="shared" si="1"/>
      </c>
      <c r="M9864">
        <f t="shared" si="2"/>
      </c>
    </row>
    <row r="9865">
      <c r="G9865" s="9">
        <f t="shared" si="0"/>
      </c>
      <c r="L9865">
        <f t="shared" si="1"/>
      </c>
      <c r="M9865">
        <f t="shared" si="2"/>
      </c>
    </row>
    <row r="9866">
      <c r="G9866" s="9">
        <f t="shared" si="0"/>
      </c>
      <c r="L9866">
        <f t="shared" si="1"/>
      </c>
      <c r="M9866">
        <f t="shared" si="2"/>
      </c>
    </row>
    <row r="9867">
      <c r="G9867" s="9">
        <f t="shared" si="0"/>
      </c>
      <c r="L9867">
        <f t="shared" si="1"/>
      </c>
      <c r="M9867">
        <f t="shared" si="2"/>
      </c>
    </row>
    <row r="9868">
      <c r="G9868" s="9">
        <f t="shared" si="0"/>
      </c>
      <c r="L9868">
        <f t="shared" si="1"/>
      </c>
      <c r="M9868">
        <f t="shared" si="2"/>
      </c>
    </row>
    <row r="9869">
      <c r="G9869" s="9">
        <f t="shared" si="0"/>
      </c>
      <c r="L9869">
        <f t="shared" si="1"/>
      </c>
      <c r="M9869">
        <f t="shared" si="2"/>
      </c>
    </row>
    <row r="9870">
      <c r="G9870" s="9">
        <f t="shared" si="0"/>
      </c>
      <c r="L9870">
        <f t="shared" si="1"/>
      </c>
      <c r="M9870">
        <f t="shared" si="2"/>
      </c>
    </row>
    <row r="9871">
      <c r="G9871" s="9">
        <f t="shared" si="0"/>
      </c>
      <c r="L9871">
        <f t="shared" si="1"/>
      </c>
      <c r="M9871">
        <f t="shared" si="2"/>
      </c>
    </row>
    <row r="9872">
      <c r="G9872" s="9">
        <f t="shared" si="0"/>
      </c>
      <c r="L9872">
        <f t="shared" si="1"/>
      </c>
      <c r="M9872">
        <f t="shared" si="2"/>
      </c>
    </row>
    <row r="9873">
      <c r="G9873" s="9">
        <f t="shared" si="0"/>
      </c>
      <c r="L9873">
        <f t="shared" si="1"/>
      </c>
      <c r="M9873">
        <f t="shared" si="2"/>
      </c>
    </row>
    <row r="9874">
      <c r="G9874" s="9">
        <f t="shared" si="0"/>
      </c>
      <c r="L9874">
        <f t="shared" si="1"/>
      </c>
      <c r="M9874">
        <f t="shared" si="2"/>
      </c>
    </row>
    <row r="9875">
      <c r="G9875" s="9">
        <f t="shared" si="0"/>
      </c>
      <c r="L9875">
        <f t="shared" si="1"/>
      </c>
      <c r="M9875">
        <f t="shared" si="2"/>
      </c>
    </row>
    <row r="9876">
      <c r="G9876" s="9">
        <f t="shared" si="0"/>
      </c>
      <c r="L9876">
        <f t="shared" si="1"/>
      </c>
      <c r="M9876">
        <f t="shared" si="2"/>
      </c>
    </row>
    <row r="9877">
      <c r="G9877" s="9">
        <f t="shared" si="0"/>
      </c>
      <c r="L9877">
        <f t="shared" si="1"/>
      </c>
      <c r="M9877">
        <f t="shared" si="2"/>
      </c>
    </row>
    <row r="9878">
      <c r="G9878" s="9">
        <f t="shared" si="0"/>
      </c>
      <c r="L9878">
        <f t="shared" si="1"/>
      </c>
      <c r="M9878">
        <f t="shared" si="2"/>
      </c>
    </row>
    <row r="9879">
      <c r="G9879" s="9">
        <f t="shared" si="0"/>
      </c>
      <c r="L9879">
        <f t="shared" si="1"/>
      </c>
      <c r="M9879">
        <f t="shared" si="2"/>
      </c>
    </row>
    <row r="9880">
      <c r="G9880" s="9">
        <f t="shared" si="0"/>
      </c>
      <c r="L9880">
        <f t="shared" si="1"/>
      </c>
      <c r="M9880">
        <f t="shared" si="2"/>
      </c>
    </row>
    <row r="9881">
      <c r="G9881" s="9">
        <f t="shared" si="0"/>
      </c>
      <c r="L9881">
        <f t="shared" si="1"/>
      </c>
      <c r="M9881">
        <f t="shared" si="2"/>
      </c>
    </row>
    <row r="9882">
      <c r="G9882" s="9">
        <f t="shared" si="0"/>
      </c>
      <c r="L9882">
        <f t="shared" si="1"/>
      </c>
      <c r="M9882">
        <f t="shared" si="2"/>
      </c>
    </row>
    <row r="9883">
      <c r="G9883" s="9">
        <f t="shared" si="0"/>
      </c>
      <c r="L9883">
        <f t="shared" si="1"/>
      </c>
      <c r="M9883">
        <f t="shared" si="2"/>
      </c>
    </row>
    <row r="9884">
      <c r="G9884" s="9">
        <f t="shared" si="0"/>
      </c>
      <c r="L9884">
        <f t="shared" si="1"/>
      </c>
      <c r="M9884">
        <f t="shared" si="2"/>
      </c>
    </row>
    <row r="9885">
      <c r="G9885" s="9">
        <f t="shared" si="0"/>
      </c>
      <c r="L9885">
        <f t="shared" si="1"/>
      </c>
      <c r="M9885">
        <f t="shared" si="2"/>
      </c>
    </row>
    <row r="9886">
      <c r="G9886" s="9">
        <f t="shared" si="0"/>
      </c>
      <c r="L9886">
        <f t="shared" si="1"/>
      </c>
      <c r="M9886">
        <f t="shared" si="2"/>
      </c>
    </row>
    <row r="9887">
      <c r="G9887" s="9">
        <f t="shared" si="0"/>
      </c>
      <c r="L9887">
        <f t="shared" si="1"/>
      </c>
      <c r="M9887">
        <f t="shared" si="2"/>
      </c>
    </row>
    <row r="9888">
      <c r="G9888" s="9">
        <f t="shared" si="0"/>
      </c>
      <c r="L9888">
        <f t="shared" si="1"/>
      </c>
      <c r="M9888">
        <f t="shared" si="2"/>
      </c>
    </row>
    <row r="9889">
      <c r="G9889" s="9">
        <f t="shared" si="0"/>
      </c>
      <c r="L9889">
        <f t="shared" si="1"/>
      </c>
      <c r="M9889">
        <f t="shared" si="2"/>
      </c>
    </row>
    <row r="9890">
      <c r="G9890" s="9">
        <f t="shared" si="0"/>
      </c>
      <c r="L9890">
        <f t="shared" si="1"/>
      </c>
      <c r="M9890">
        <f t="shared" si="2"/>
      </c>
    </row>
    <row r="9891">
      <c r="G9891" s="9">
        <f t="shared" si="0"/>
      </c>
      <c r="L9891">
        <f t="shared" si="1"/>
      </c>
      <c r="M9891">
        <f t="shared" si="2"/>
      </c>
    </row>
    <row r="9892">
      <c r="G9892" s="9">
        <f t="shared" si="0"/>
      </c>
      <c r="L9892">
        <f t="shared" si="1"/>
      </c>
      <c r="M9892">
        <f t="shared" si="2"/>
      </c>
    </row>
    <row r="9893">
      <c r="G9893" s="9">
        <f t="shared" si="0"/>
      </c>
      <c r="L9893">
        <f t="shared" si="1"/>
      </c>
      <c r="M9893">
        <f t="shared" si="2"/>
      </c>
    </row>
    <row r="9894">
      <c r="G9894" s="9">
        <f t="shared" si="0"/>
      </c>
      <c r="L9894">
        <f t="shared" si="1"/>
      </c>
      <c r="M9894">
        <f t="shared" si="2"/>
      </c>
    </row>
    <row r="9895">
      <c r="G9895" s="9">
        <f t="shared" si="0"/>
      </c>
      <c r="L9895">
        <f t="shared" si="1"/>
      </c>
      <c r="M9895">
        <f t="shared" si="2"/>
      </c>
    </row>
    <row r="9896">
      <c r="G9896" s="9">
        <f t="shared" si="0"/>
      </c>
      <c r="L9896">
        <f t="shared" si="1"/>
      </c>
      <c r="M9896">
        <f t="shared" si="2"/>
      </c>
    </row>
    <row r="9897">
      <c r="G9897" s="9">
        <f t="shared" si="0"/>
      </c>
      <c r="L9897">
        <f t="shared" si="1"/>
      </c>
      <c r="M9897">
        <f t="shared" si="2"/>
      </c>
    </row>
    <row r="9898">
      <c r="G9898" s="9">
        <f t="shared" si="0"/>
      </c>
      <c r="L9898">
        <f t="shared" si="1"/>
      </c>
      <c r="M9898">
        <f t="shared" si="2"/>
      </c>
    </row>
    <row r="9899">
      <c r="G9899" s="9">
        <f t="shared" si="0"/>
      </c>
      <c r="L9899">
        <f t="shared" si="1"/>
      </c>
      <c r="M9899">
        <f t="shared" si="2"/>
      </c>
    </row>
    <row r="9900">
      <c r="G9900" s="9">
        <f t="shared" si="0"/>
      </c>
      <c r="L9900">
        <f t="shared" si="1"/>
      </c>
      <c r="M9900">
        <f t="shared" si="2"/>
      </c>
    </row>
    <row r="9901">
      <c r="G9901" s="9">
        <f t="shared" si="0"/>
      </c>
      <c r="L9901">
        <f t="shared" si="1"/>
      </c>
      <c r="M9901">
        <f t="shared" si="2"/>
      </c>
    </row>
    <row r="9902">
      <c r="G9902" s="9">
        <f t="shared" si="0"/>
      </c>
      <c r="L9902">
        <f t="shared" si="1"/>
      </c>
      <c r="M9902">
        <f t="shared" si="2"/>
      </c>
    </row>
    <row r="9903">
      <c r="G9903" s="9">
        <f t="shared" si="0"/>
      </c>
      <c r="L9903">
        <f t="shared" si="1"/>
      </c>
      <c r="M9903">
        <f t="shared" si="2"/>
      </c>
    </row>
    <row r="9904">
      <c r="G9904" s="9">
        <f t="shared" si="0"/>
      </c>
      <c r="L9904">
        <f t="shared" si="1"/>
      </c>
      <c r="M9904">
        <f t="shared" si="2"/>
      </c>
    </row>
    <row r="9905">
      <c r="G9905" s="9">
        <f t="shared" si="0"/>
      </c>
      <c r="L9905">
        <f t="shared" si="1"/>
      </c>
      <c r="M9905">
        <f t="shared" si="2"/>
      </c>
    </row>
    <row r="9906">
      <c r="G9906" s="9">
        <f t="shared" si="0"/>
      </c>
      <c r="L9906">
        <f t="shared" si="1"/>
      </c>
      <c r="M9906">
        <f t="shared" si="2"/>
      </c>
    </row>
    <row r="9907">
      <c r="G9907" s="9">
        <f t="shared" si="0"/>
      </c>
      <c r="L9907">
        <f t="shared" si="1"/>
      </c>
      <c r="M9907">
        <f t="shared" si="2"/>
      </c>
    </row>
    <row r="9908">
      <c r="G9908" s="9">
        <f t="shared" si="0"/>
      </c>
      <c r="L9908">
        <f t="shared" si="1"/>
      </c>
      <c r="M9908">
        <f t="shared" si="2"/>
      </c>
    </row>
    <row r="9909">
      <c r="G9909" s="9">
        <f t="shared" si="0"/>
      </c>
      <c r="L9909">
        <f t="shared" si="1"/>
      </c>
      <c r="M9909">
        <f t="shared" si="2"/>
      </c>
    </row>
    <row r="9910">
      <c r="G9910" s="9">
        <f t="shared" si="0"/>
      </c>
      <c r="L9910">
        <f t="shared" si="1"/>
      </c>
      <c r="M9910">
        <f t="shared" si="2"/>
      </c>
    </row>
    <row r="9911">
      <c r="G9911" s="9">
        <f t="shared" si="0"/>
      </c>
      <c r="L9911">
        <f t="shared" si="1"/>
      </c>
      <c r="M9911">
        <f t="shared" si="2"/>
      </c>
    </row>
    <row r="9912">
      <c r="G9912" s="9">
        <f t="shared" si="0"/>
      </c>
      <c r="L9912">
        <f t="shared" si="1"/>
      </c>
      <c r="M9912">
        <f t="shared" si="2"/>
      </c>
    </row>
    <row r="9913">
      <c r="G9913" s="9">
        <f t="shared" si="0"/>
      </c>
      <c r="L9913">
        <f t="shared" si="1"/>
      </c>
      <c r="M9913">
        <f t="shared" si="2"/>
      </c>
    </row>
    <row r="9914">
      <c r="G9914" s="9">
        <f t="shared" si="0"/>
      </c>
      <c r="L9914">
        <f t="shared" si="1"/>
      </c>
      <c r="M9914">
        <f t="shared" si="2"/>
      </c>
    </row>
    <row r="9915">
      <c r="G9915" s="9">
        <f t="shared" si="0"/>
      </c>
      <c r="L9915">
        <f t="shared" si="1"/>
      </c>
      <c r="M9915">
        <f t="shared" si="2"/>
      </c>
    </row>
    <row r="9916">
      <c r="G9916" s="9">
        <f t="shared" si="0"/>
      </c>
      <c r="L9916">
        <f t="shared" si="1"/>
      </c>
      <c r="M9916">
        <f t="shared" si="2"/>
      </c>
    </row>
    <row r="9917">
      <c r="G9917" s="9">
        <f t="shared" si="0"/>
      </c>
      <c r="L9917">
        <f t="shared" si="1"/>
      </c>
      <c r="M9917">
        <f t="shared" si="2"/>
      </c>
    </row>
    <row r="9918">
      <c r="G9918" s="9">
        <f t="shared" si="0"/>
      </c>
      <c r="L9918">
        <f t="shared" si="1"/>
      </c>
      <c r="M9918">
        <f t="shared" si="2"/>
      </c>
    </row>
    <row r="9919">
      <c r="G9919" s="9">
        <f t="shared" si="0"/>
      </c>
      <c r="L9919">
        <f t="shared" si="1"/>
      </c>
      <c r="M9919">
        <f t="shared" si="2"/>
      </c>
    </row>
    <row r="9920">
      <c r="G9920" s="9">
        <f t="shared" si="0"/>
      </c>
      <c r="L9920">
        <f t="shared" si="1"/>
      </c>
      <c r="M9920">
        <f t="shared" si="2"/>
      </c>
    </row>
    <row r="9921">
      <c r="G9921" s="9">
        <f t="shared" si="0"/>
      </c>
      <c r="L9921">
        <f t="shared" si="1"/>
      </c>
      <c r="M9921">
        <f t="shared" si="2"/>
      </c>
    </row>
    <row r="9922">
      <c r="G9922" s="9">
        <f t="shared" si="0"/>
      </c>
      <c r="L9922">
        <f t="shared" si="1"/>
      </c>
      <c r="M9922">
        <f t="shared" si="2"/>
      </c>
    </row>
    <row r="9923">
      <c r="G9923" s="9">
        <f t="shared" si="0"/>
      </c>
      <c r="L9923">
        <f t="shared" si="1"/>
      </c>
      <c r="M9923">
        <f t="shared" si="2"/>
      </c>
    </row>
    <row r="9924">
      <c r="G9924" s="9">
        <f t="shared" si="0"/>
      </c>
      <c r="L9924">
        <f t="shared" si="1"/>
      </c>
      <c r="M9924">
        <f t="shared" si="2"/>
      </c>
    </row>
    <row r="9925">
      <c r="G9925" s="9">
        <f t="shared" si="0"/>
      </c>
      <c r="L9925">
        <f t="shared" si="1"/>
      </c>
      <c r="M9925">
        <f t="shared" si="2"/>
      </c>
    </row>
    <row r="9926">
      <c r="G9926" s="9">
        <f t="shared" si="0"/>
      </c>
      <c r="L9926">
        <f t="shared" si="1"/>
      </c>
      <c r="M9926">
        <f t="shared" si="2"/>
      </c>
    </row>
    <row r="9927">
      <c r="G9927" s="9">
        <f t="shared" si="0"/>
      </c>
      <c r="L9927">
        <f t="shared" si="1"/>
      </c>
      <c r="M9927">
        <f t="shared" si="2"/>
      </c>
    </row>
    <row r="9928">
      <c r="G9928" s="9">
        <f t="shared" si="0"/>
      </c>
      <c r="L9928">
        <f t="shared" si="1"/>
      </c>
      <c r="M9928">
        <f t="shared" si="2"/>
      </c>
    </row>
    <row r="9929">
      <c r="G9929" s="9">
        <f t="shared" si="0"/>
      </c>
      <c r="L9929">
        <f t="shared" si="1"/>
      </c>
      <c r="M9929">
        <f t="shared" si="2"/>
      </c>
    </row>
    <row r="9930">
      <c r="G9930" s="9">
        <f t="shared" si="0"/>
      </c>
      <c r="L9930">
        <f t="shared" si="1"/>
      </c>
      <c r="M9930">
        <f t="shared" si="2"/>
      </c>
    </row>
    <row r="9931">
      <c r="G9931" s="9">
        <f t="shared" si="0"/>
      </c>
      <c r="L9931">
        <f t="shared" si="1"/>
      </c>
      <c r="M9931">
        <f t="shared" si="2"/>
      </c>
    </row>
    <row r="9932">
      <c r="G9932" s="9">
        <f t="shared" si="0"/>
      </c>
      <c r="L9932">
        <f t="shared" si="1"/>
      </c>
      <c r="M9932">
        <f t="shared" si="2"/>
      </c>
    </row>
    <row r="9933">
      <c r="G9933" s="9">
        <f t="shared" si="0"/>
      </c>
      <c r="L9933">
        <f t="shared" si="1"/>
      </c>
      <c r="M9933">
        <f t="shared" si="2"/>
      </c>
    </row>
    <row r="9934">
      <c r="G9934" s="9">
        <f t="shared" si="0"/>
      </c>
      <c r="L9934">
        <f t="shared" si="1"/>
      </c>
      <c r="M9934">
        <f t="shared" si="2"/>
      </c>
    </row>
    <row r="9935">
      <c r="G9935" s="9">
        <f t="shared" si="0"/>
      </c>
      <c r="L9935">
        <f t="shared" si="1"/>
      </c>
      <c r="M9935">
        <f t="shared" si="2"/>
      </c>
    </row>
    <row r="9936">
      <c r="G9936" s="9">
        <f t="shared" si="0"/>
      </c>
      <c r="L9936">
        <f t="shared" si="1"/>
      </c>
      <c r="M9936">
        <f t="shared" si="2"/>
      </c>
    </row>
    <row r="9937">
      <c r="G9937" s="9">
        <f t="shared" si="0"/>
      </c>
      <c r="L9937">
        <f t="shared" si="1"/>
      </c>
      <c r="M9937">
        <f t="shared" si="2"/>
      </c>
    </row>
    <row r="9938">
      <c r="G9938" s="9">
        <f t="shared" si="0"/>
      </c>
      <c r="L9938">
        <f t="shared" si="1"/>
      </c>
      <c r="M9938">
        <f t="shared" si="2"/>
      </c>
    </row>
    <row r="9939">
      <c r="G9939" s="9">
        <f t="shared" si="0"/>
      </c>
      <c r="L9939">
        <f t="shared" si="1"/>
      </c>
      <c r="M9939">
        <f t="shared" si="2"/>
      </c>
    </row>
    <row r="9940">
      <c r="G9940" s="9">
        <f t="shared" si="0"/>
      </c>
      <c r="L9940">
        <f t="shared" si="1"/>
      </c>
      <c r="M9940">
        <f t="shared" si="2"/>
      </c>
    </row>
    <row r="9941">
      <c r="G9941" s="9">
        <f t="shared" si="0"/>
      </c>
      <c r="L9941">
        <f t="shared" si="1"/>
      </c>
      <c r="M9941">
        <f t="shared" si="2"/>
      </c>
    </row>
    <row r="9942">
      <c r="G9942" s="9">
        <f t="shared" si="0"/>
      </c>
      <c r="L9942">
        <f t="shared" si="1"/>
      </c>
      <c r="M9942">
        <f t="shared" si="2"/>
      </c>
    </row>
    <row r="9943">
      <c r="G9943" s="9">
        <f t="shared" si="0"/>
      </c>
      <c r="L9943">
        <f t="shared" si="1"/>
      </c>
      <c r="M9943">
        <f t="shared" si="2"/>
      </c>
    </row>
    <row r="9944">
      <c r="G9944" s="9">
        <f t="shared" si="0"/>
      </c>
      <c r="L9944">
        <f t="shared" si="1"/>
      </c>
      <c r="M9944">
        <f t="shared" si="2"/>
      </c>
    </row>
    <row r="9945">
      <c r="G9945" s="9">
        <f t="shared" si="0"/>
      </c>
      <c r="L9945">
        <f t="shared" si="1"/>
      </c>
      <c r="M9945">
        <f t="shared" si="2"/>
      </c>
    </row>
    <row r="9946">
      <c r="G9946" s="9">
        <f t="shared" si="0"/>
      </c>
      <c r="L9946">
        <f t="shared" si="1"/>
      </c>
      <c r="M9946">
        <f t="shared" si="2"/>
      </c>
    </row>
    <row r="9947">
      <c r="G9947" s="9">
        <f t="shared" si="0"/>
      </c>
      <c r="L9947">
        <f t="shared" si="1"/>
      </c>
      <c r="M9947">
        <f t="shared" si="2"/>
      </c>
    </row>
    <row r="9948">
      <c r="G9948" s="9">
        <f t="shared" si="0"/>
      </c>
      <c r="L9948">
        <f t="shared" si="1"/>
      </c>
      <c r="M9948">
        <f t="shared" si="2"/>
      </c>
    </row>
    <row r="9949">
      <c r="G9949" s="9">
        <f t="shared" si="0"/>
      </c>
      <c r="L9949">
        <f t="shared" si="1"/>
      </c>
      <c r="M9949">
        <f t="shared" si="2"/>
      </c>
    </row>
    <row r="9950">
      <c r="G9950" s="9">
        <f t="shared" si="0"/>
      </c>
      <c r="L9950">
        <f t="shared" si="1"/>
      </c>
      <c r="M9950">
        <f t="shared" si="2"/>
      </c>
    </row>
    <row r="9951">
      <c r="G9951" s="9">
        <f t="shared" si="0"/>
      </c>
      <c r="L9951">
        <f t="shared" si="1"/>
      </c>
      <c r="M9951">
        <f t="shared" si="2"/>
      </c>
    </row>
    <row r="9952">
      <c r="G9952" s="9">
        <f t="shared" si="0"/>
      </c>
      <c r="L9952">
        <f t="shared" si="1"/>
      </c>
      <c r="M9952">
        <f t="shared" si="2"/>
      </c>
    </row>
    <row r="9953">
      <c r="G9953" s="9">
        <f t="shared" si="0"/>
      </c>
      <c r="L9953">
        <f t="shared" si="1"/>
      </c>
      <c r="M9953">
        <f t="shared" si="2"/>
      </c>
    </row>
    <row r="9954">
      <c r="G9954" s="9">
        <f t="shared" si="0"/>
      </c>
      <c r="L9954">
        <f t="shared" si="1"/>
      </c>
      <c r="M9954">
        <f t="shared" si="2"/>
      </c>
    </row>
    <row r="9955">
      <c r="G9955" s="9">
        <f t="shared" si="0"/>
      </c>
      <c r="L9955">
        <f t="shared" si="1"/>
      </c>
      <c r="M9955">
        <f t="shared" si="2"/>
      </c>
    </row>
    <row r="9956">
      <c r="G9956" s="9">
        <f t="shared" si="0"/>
      </c>
      <c r="L9956">
        <f t="shared" si="1"/>
      </c>
      <c r="M9956">
        <f t="shared" si="2"/>
      </c>
    </row>
    <row r="9957">
      <c r="G9957" s="9">
        <f t="shared" si="0"/>
      </c>
      <c r="L9957">
        <f t="shared" si="1"/>
      </c>
      <c r="M9957">
        <f t="shared" si="2"/>
      </c>
    </row>
    <row r="9958">
      <c r="G9958" s="9">
        <f t="shared" si="0"/>
      </c>
      <c r="L9958">
        <f t="shared" si="1"/>
      </c>
      <c r="M9958">
        <f t="shared" si="2"/>
      </c>
    </row>
    <row r="9959">
      <c r="G9959" s="9">
        <f t="shared" si="0"/>
      </c>
      <c r="L9959">
        <f t="shared" si="1"/>
      </c>
      <c r="M9959">
        <f t="shared" si="2"/>
      </c>
    </row>
    <row r="9960">
      <c r="G9960" s="9">
        <f t="shared" si="0"/>
      </c>
      <c r="L9960">
        <f t="shared" si="1"/>
      </c>
      <c r="M9960">
        <f t="shared" si="2"/>
      </c>
    </row>
    <row r="9961">
      <c r="G9961" s="9">
        <f t="shared" si="0"/>
      </c>
      <c r="L9961">
        <f t="shared" si="1"/>
      </c>
      <c r="M9961">
        <f t="shared" si="2"/>
      </c>
    </row>
    <row r="9962">
      <c r="G9962" s="9">
        <f t="shared" si="0"/>
      </c>
      <c r="L9962">
        <f t="shared" si="1"/>
      </c>
      <c r="M9962">
        <f t="shared" si="2"/>
      </c>
    </row>
    <row r="9963">
      <c r="G9963" s="9">
        <f t="shared" si="0"/>
      </c>
      <c r="L9963">
        <f t="shared" si="1"/>
      </c>
      <c r="M9963">
        <f t="shared" si="2"/>
      </c>
    </row>
    <row r="9964">
      <c r="G9964" s="9">
        <f t="shared" si="0"/>
      </c>
      <c r="L9964">
        <f t="shared" si="1"/>
      </c>
      <c r="M9964">
        <f t="shared" si="2"/>
      </c>
    </row>
    <row r="9965">
      <c r="G9965" s="9">
        <f t="shared" si="0"/>
      </c>
      <c r="L9965">
        <f t="shared" si="1"/>
      </c>
      <c r="M9965">
        <f t="shared" si="2"/>
      </c>
    </row>
    <row r="9966">
      <c r="G9966" s="9">
        <f t="shared" si="0"/>
      </c>
      <c r="L9966">
        <f t="shared" si="1"/>
      </c>
      <c r="M9966">
        <f t="shared" si="2"/>
      </c>
    </row>
    <row r="9967">
      <c r="G9967" s="9">
        <f t="shared" si="0"/>
      </c>
      <c r="L9967">
        <f t="shared" si="1"/>
      </c>
      <c r="M9967">
        <f t="shared" si="2"/>
      </c>
    </row>
    <row r="9968">
      <c r="G9968" s="9">
        <f t="shared" si="0"/>
      </c>
      <c r="L9968">
        <f t="shared" si="1"/>
      </c>
      <c r="M9968">
        <f t="shared" si="2"/>
      </c>
    </row>
    <row r="9969">
      <c r="G9969" s="9">
        <f t="shared" si="0"/>
      </c>
      <c r="L9969">
        <f t="shared" si="1"/>
      </c>
      <c r="M9969">
        <f t="shared" si="2"/>
      </c>
    </row>
    <row r="9970">
      <c r="G9970" s="9">
        <f t="shared" si="0"/>
      </c>
      <c r="L9970">
        <f t="shared" si="1"/>
      </c>
      <c r="M9970">
        <f t="shared" si="2"/>
      </c>
    </row>
    <row r="9971">
      <c r="G9971" s="9">
        <f t="shared" si="0"/>
      </c>
      <c r="L9971">
        <f t="shared" si="1"/>
      </c>
      <c r="M9971">
        <f t="shared" si="2"/>
      </c>
    </row>
    <row r="9972">
      <c r="G9972" s="9">
        <f t="shared" si="0"/>
      </c>
      <c r="L9972">
        <f t="shared" si="1"/>
      </c>
      <c r="M9972">
        <f t="shared" si="2"/>
      </c>
    </row>
    <row r="9973">
      <c r="G9973" s="9">
        <f t="shared" si="0"/>
      </c>
      <c r="L9973">
        <f t="shared" si="1"/>
      </c>
      <c r="M9973">
        <f t="shared" si="2"/>
      </c>
    </row>
    <row r="9974">
      <c r="G9974" s="9">
        <f t="shared" si="0"/>
      </c>
      <c r="L9974">
        <f t="shared" si="1"/>
      </c>
      <c r="M9974">
        <f t="shared" si="2"/>
      </c>
    </row>
    <row r="9975">
      <c r="G9975" s="9">
        <f t="shared" si="0"/>
      </c>
      <c r="L9975">
        <f t="shared" si="1"/>
      </c>
      <c r="M9975">
        <f t="shared" si="2"/>
      </c>
    </row>
    <row r="9976">
      <c r="G9976" s="9">
        <f t="shared" si="0"/>
      </c>
      <c r="L9976">
        <f t="shared" si="1"/>
      </c>
      <c r="M9976">
        <f t="shared" si="2"/>
      </c>
    </row>
    <row r="9977">
      <c r="G9977" s="9">
        <f t="shared" si="0"/>
      </c>
      <c r="L9977">
        <f t="shared" si="1"/>
      </c>
      <c r="M9977">
        <f t="shared" si="2"/>
      </c>
    </row>
    <row r="9978">
      <c r="G9978" s="9">
        <f t="shared" si="0"/>
      </c>
      <c r="L9978">
        <f t="shared" si="1"/>
      </c>
      <c r="M9978">
        <f t="shared" si="2"/>
      </c>
    </row>
    <row r="9979">
      <c r="G9979" s="9">
        <f t="shared" si="0"/>
      </c>
      <c r="L9979">
        <f t="shared" si="1"/>
      </c>
      <c r="M9979">
        <f t="shared" si="2"/>
      </c>
    </row>
    <row r="9980">
      <c r="G9980" s="9">
        <f t="shared" si="0"/>
      </c>
      <c r="L9980">
        <f t="shared" si="1"/>
      </c>
      <c r="M9980">
        <f t="shared" si="2"/>
      </c>
    </row>
    <row r="9981">
      <c r="G9981" s="9">
        <f t="shared" si="0"/>
      </c>
      <c r="L9981">
        <f t="shared" si="1"/>
      </c>
      <c r="M9981">
        <f t="shared" si="2"/>
      </c>
    </row>
    <row r="9982">
      <c r="G9982" s="9">
        <f t="shared" si="0"/>
      </c>
      <c r="L9982">
        <f t="shared" si="1"/>
      </c>
      <c r="M9982">
        <f t="shared" si="2"/>
      </c>
    </row>
    <row r="9983">
      <c r="G9983" s="9">
        <f t="shared" si="0"/>
      </c>
      <c r="L9983">
        <f t="shared" si="1"/>
      </c>
      <c r="M9983">
        <f t="shared" si="2"/>
      </c>
    </row>
    <row r="9984">
      <c r="G9984" s="9">
        <f t="shared" si="0"/>
      </c>
      <c r="L9984">
        <f t="shared" si="1"/>
      </c>
      <c r="M9984">
        <f t="shared" si="2"/>
      </c>
    </row>
    <row r="9985">
      <c r="G9985" s="9">
        <f t="shared" si="0"/>
      </c>
      <c r="L9985">
        <f t="shared" si="1"/>
      </c>
      <c r="M9985">
        <f t="shared" si="2"/>
      </c>
    </row>
    <row r="9986">
      <c r="G9986" s="9">
        <f t="shared" si="0"/>
      </c>
      <c r="L9986">
        <f t="shared" si="1"/>
      </c>
      <c r="M9986">
        <f t="shared" si="2"/>
      </c>
    </row>
    <row r="9987">
      <c r="G9987" s="9">
        <f t="shared" si="0"/>
      </c>
      <c r="L9987">
        <f t="shared" si="1"/>
      </c>
      <c r="M9987">
        <f t="shared" si="2"/>
      </c>
    </row>
    <row r="9988">
      <c r="G9988" s="9">
        <f t="shared" si="0"/>
      </c>
      <c r="L9988">
        <f t="shared" si="1"/>
      </c>
      <c r="M9988">
        <f t="shared" si="2"/>
      </c>
    </row>
    <row r="9989">
      <c r="G9989" s="9">
        <f t="shared" si="0"/>
      </c>
      <c r="L9989">
        <f t="shared" si="1"/>
      </c>
      <c r="M9989">
        <f t="shared" si="2"/>
      </c>
    </row>
    <row r="9990">
      <c r="G9990" s="9">
        <f t="shared" si="0"/>
      </c>
      <c r="L9990">
        <f t="shared" si="1"/>
      </c>
      <c r="M9990">
        <f t="shared" si="2"/>
      </c>
    </row>
    <row r="9991">
      <c r="G9991" s="9">
        <f t="shared" si="0"/>
      </c>
      <c r="L9991">
        <f t="shared" si="1"/>
      </c>
      <c r="M9991">
        <f t="shared" si="2"/>
      </c>
    </row>
    <row r="9992">
      <c r="G9992" s="9">
        <f t="shared" si="0"/>
      </c>
      <c r="L9992">
        <f t="shared" si="1"/>
      </c>
      <c r="M9992">
        <f t="shared" si="2"/>
      </c>
    </row>
    <row r="9993">
      <c r="G9993" s="9">
        <f t="shared" si="0"/>
      </c>
      <c r="L9993">
        <f t="shared" si="1"/>
      </c>
      <c r="M9993">
        <f t="shared" si="2"/>
      </c>
    </row>
    <row r="9994">
      <c r="G9994" s="9">
        <f t="shared" si="0"/>
      </c>
      <c r="L9994">
        <f t="shared" si="1"/>
      </c>
      <c r="M9994">
        <f t="shared" si="2"/>
      </c>
    </row>
    <row r="9995">
      <c r="G9995" s="9">
        <f t="shared" si="0"/>
      </c>
      <c r="L9995">
        <f t="shared" si="1"/>
      </c>
      <c r="M9995">
        <f t="shared" si="2"/>
      </c>
    </row>
    <row r="9996">
      <c r="G9996" s="9">
        <f t="shared" si="0"/>
      </c>
      <c r="L9996">
        <f t="shared" si="1"/>
      </c>
      <c r="M9996">
        <f t="shared" si="2"/>
      </c>
    </row>
    <row r="9997">
      <c r="G9997" s="9">
        <f t="shared" si="0"/>
      </c>
      <c r="L9997">
        <f t="shared" si="1"/>
      </c>
      <c r="M9997">
        <f t="shared" si="2"/>
      </c>
    </row>
    <row r="9998">
      <c r="G9998" s="9">
        <f t="shared" si="0"/>
      </c>
      <c r="L9998">
        <f t="shared" si="1"/>
      </c>
      <c r="M9998">
        <f t="shared" si="2"/>
      </c>
    </row>
    <row r="9999">
      <c r="G9999" s="9">
        <f t="shared" si="0"/>
      </c>
      <c r="L9999">
        <f t="shared" si="1"/>
      </c>
      <c r="M9999">
        <f t="shared" si="2"/>
      </c>
    </row>
    <row r="10000">
      <c r="G10000" s="9">
        <f t="shared" si="0"/>
      </c>
      <c r="L10000">
        <f t="shared" si="1"/>
      </c>
      <c r="M10000">
        <f t="shared" si="2"/>
      </c>
    </row>
    <row r="10001">
      <c r="G10001" s="9">
        <f t="shared" si="0"/>
      </c>
      <c r="L10001">
        <f t="shared" si="1"/>
      </c>
      <c r="M10001">
        <f t="shared" si="2"/>
      </c>
    </row>
    <row r="10002">
      <c r="G10002" s="9">
        <f t="shared" si="0"/>
      </c>
      <c r="L10002">
        <f t="shared" si="1"/>
      </c>
      <c r="M10002">
        <f t="shared" si="2"/>
      </c>
    </row>
    <row r="10003">
      <c r="G10003" s="9">
        <f t="shared" si="0"/>
      </c>
      <c r="L10003">
        <f t="shared" si="1"/>
      </c>
      <c r="M10003">
        <f t="shared" si="2"/>
      </c>
    </row>
    <row r="10004">
      <c r="G10004" s="9">
        <f t="shared" si="0"/>
      </c>
      <c r="L10004">
        <f t="shared" si="1"/>
      </c>
      <c r="M10004">
        <f t="shared" si="2"/>
      </c>
    </row>
    <row r="10005">
      <c r="G10005" s="9">
        <f t="shared" si="0"/>
      </c>
      <c r="L10005">
        <f t="shared" si="1"/>
      </c>
      <c r="M10005">
        <f t="shared" si="2"/>
      </c>
    </row>
    <row r="10006">
      <c r="G10006" s="9">
        <f t="shared" si="0"/>
      </c>
      <c r="L10006">
        <f t="shared" si="1"/>
      </c>
      <c r="M10006">
        <f t="shared" si="2"/>
      </c>
    </row>
    <row r="10007">
      <c r="G10007" s="9">
        <f t="shared" si="0"/>
      </c>
      <c r="L10007">
        <f t="shared" si="1"/>
      </c>
      <c r="M10007">
        <f t="shared" si="2"/>
      </c>
    </row>
    <row r="10008">
      <c r="G10008" s="9">
        <f t="shared" si="0"/>
      </c>
      <c r="L10008">
        <f t="shared" si="1"/>
      </c>
      <c r="M10008">
        <f t="shared" si="2"/>
      </c>
    </row>
    <row r="10009">
      <c r="G10009" s="9">
        <f t="shared" si="0"/>
      </c>
      <c r="L10009">
        <f t="shared" si="1"/>
      </c>
      <c r="M10009">
        <f t="shared" si="2"/>
      </c>
    </row>
    <row r="10010">
      <c r="G10010" s="9">
        <f t="shared" si="0"/>
      </c>
      <c r="L10010">
        <f t="shared" si="1"/>
      </c>
      <c r="M10010">
        <f t="shared" si="2"/>
      </c>
    </row>
    <row r="10011">
      <c r="G10011" s="9">
        <f t="shared" si="0"/>
      </c>
      <c r="L10011">
        <f t="shared" si="1"/>
      </c>
      <c r="M10011">
        <f t="shared" si="2"/>
      </c>
    </row>
    <row r="10012">
      <c r="G10012" s="9">
        <f t="shared" si="0"/>
      </c>
      <c r="L10012">
        <f t="shared" si="1"/>
      </c>
      <c r="M10012">
        <f t="shared" si="2"/>
      </c>
    </row>
    <row r="10013">
      <c r="G10013" s="9">
        <f t="shared" si="0"/>
      </c>
      <c r="L10013">
        <f t="shared" si="1"/>
      </c>
      <c r="M10013">
        <f t="shared" si="2"/>
      </c>
    </row>
    <row r="10014">
      <c r="G10014" s="9">
        <f t="shared" si="0"/>
      </c>
      <c r="L10014">
        <f t="shared" si="1"/>
      </c>
      <c r="M10014">
        <f t="shared" si="2"/>
      </c>
    </row>
    <row r="10015">
      <c r="G10015" s="9">
        <f t="shared" si="0"/>
      </c>
      <c r="L10015">
        <f t="shared" si="1"/>
      </c>
      <c r="M10015">
        <f t="shared" si="2"/>
      </c>
    </row>
    <row r="10016">
      <c r="G10016" s="9">
        <f t="shared" si="0"/>
      </c>
      <c r="L10016">
        <f t="shared" si="1"/>
      </c>
      <c r="M10016">
        <f t="shared" si="2"/>
      </c>
    </row>
    <row r="10017">
      <c r="G10017" s="9">
        <f t="shared" si="0"/>
      </c>
      <c r="L10017">
        <f t="shared" si="1"/>
      </c>
      <c r="M10017">
        <f t="shared" si="2"/>
      </c>
    </row>
    <row r="10018">
      <c r="G10018" s="9">
        <f t="shared" si="0"/>
      </c>
      <c r="L10018">
        <f t="shared" si="1"/>
      </c>
      <c r="M10018">
        <f t="shared" si="2"/>
      </c>
    </row>
    <row r="10019">
      <c r="G10019" s="9">
        <f t="shared" si="0"/>
      </c>
      <c r="L10019">
        <f t="shared" si="1"/>
      </c>
      <c r="M10019">
        <f t="shared" si="2"/>
      </c>
    </row>
    <row r="10020">
      <c r="G10020" s="9">
        <f t="shared" si="0"/>
      </c>
      <c r="L10020">
        <f t="shared" si="1"/>
      </c>
      <c r="M10020">
        <f t="shared" si="2"/>
      </c>
    </row>
    <row r="10021">
      <c r="G10021" s="9">
        <f t="shared" si="0"/>
      </c>
      <c r="L10021">
        <f t="shared" si="1"/>
      </c>
      <c r="M10021">
        <f t="shared" si="2"/>
      </c>
    </row>
    <row r="10022">
      <c r="G10022" s="9">
        <f t="shared" si="0"/>
      </c>
      <c r="L10022">
        <f t="shared" si="1"/>
      </c>
      <c r="M10022">
        <f t="shared" si="2"/>
      </c>
    </row>
    <row r="10023">
      <c r="G10023" s="9">
        <f t="shared" si="0"/>
      </c>
      <c r="L10023">
        <f t="shared" si="1"/>
      </c>
      <c r="M10023">
        <f t="shared" si="2"/>
      </c>
    </row>
    <row r="10024">
      <c r="G10024" s="9">
        <f t="shared" si="0"/>
      </c>
      <c r="L10024">
        <f t="shared" si="1"/>
      </c>
      <c r="M10024">
        <f t="shared" si="2"/>
      </c>
    </row>
    <row r="10025">
      <c r="G10025" s="9">
        <f t="shared" si="0"/>
      </c>
      <c r="L10025">
        <f t="shared" si="1"/>
      </c>
      <c r="M10025">
        <f t="shared" si="2"/>
      </c>
    </row>
    <row r="10026">
      <c r="G10026" s="9">
        <f t="shared" si="0"/>
      </c>
      <c r="L10026">
        <f t="shared" si="1"/>
      </c>
      <c r="M10026">
        <f t="shared" si="2"/>
      </c>
    </row>
    <row r="10027">
      <c r="G10027" s="9">
        <f t="shared" si="0"/>
      </c>
      <c r="L10027">
        <f t="shared" si="1"/>
      </c>
      <c r="M10027">
        <f t="shared" si="2"/>
      </c>
    </row>
    <row r="10028">
      <c r="G10028" s="9">
        <f t="shared" si="0"/>
      </c>
      <c r="L10028">
        <f t="shared" si="1"/>
      </c>
      <c r="M10028">
        <f t="shared" si="2"/>
      </c>
    </row>
    <row r="10029">
      <c r="G10029" s="9">
        <f t="shared" si="0"/>
      </c>
      <c r="L10029">
        <f t="shared" si="1"/>
      </c>
      <c r="M10029">
        <f t="shared" si="2"/>
      </c>
    </row>
    <row r="10030">
      <c r="G10030" s="9">
        <f t="shared" si="0"/>
      </c>
      <c r="L10030">
        <f t="shared" si="1"/>
      </c>
      <c r="M10030">
        <f t="shared" si="2"/>
      </c>
    </row>
    <row r="10031">
      <c r="G10031" s="9">
        <f t="shared" si="0"/>
      </c>
      <c r="L10031">
        <f t="shared" si="1"/>
      </c>
      <c r="M10031">
        <f t="shared" si="2"/>
      </c>
    </row>
    <row r="10032">
      <c r="G10032" s="9">
        <f t="shared" si="0"/>
      </c>
      <c r="L10032">
        <f t="shared" si="1"/>
      </c>
      <c r="M10032">
        <f t="shared" si="2"/>
      </c>
    </row>
    <row r="10033">
      <c r="G10033" s="9">
        <f t="shared" si="0"/>
      </c>
      <c r="L10033">
        <f t="shared" si="1"/>
      </c>
      <c r="M10033">
        <f t="shared" si="2"/>
      </c>
    </row>
    <row r="10034">
      <c r="G10034" s="9">
        <f t="shared" si="0"/>
      </c>
      <c r="L10034">
        <f t="shared" si="1"/>
      </c>
      <c r="M10034">
        <f t="shared" si="2"/>
      </c>
    </row>
    <row r="10035">
      <c r="G10035" s="9">
        <f t="shared" si="0"/>
      </c>
      <c r="L10035">
        <f t="shared" si="1"/>
      </c>
      <c r="M10035">
        <f t="shared" si="2"/>
      </c>
    </row>
    <row r="10036">
      <c r="G10036" s="9">
        <f t="shared" si="0"/>
      </c>
      <c r="L10036">
        <f t="shared" si="1"/>
      </c>
      <c r="M10036">
        <f t="shared" si="2"/>
      </c>
    </row>
    <row r="10037">
      <c r="G10037" s="9">
        <f t="shared" si="0"/>
      </c>
      <c r="L10037">
        <f t="shared" si="1"/>
      </c>
      <c r="M10037">
        <f t="shared" si="2"/>
      </c>
    </row>
    <row r="10038">
      <c r="G10038" s="9">
        <f t="shared" si="0"/>
      </c>
      <c r="L10038">
        <f t="shared" si="1"/>
      </c>
      <c r="M10038">
        <f t="shared" si="2"/>
      </c>
    </row>
    <row r="10039">
      <c r="G10039" s="9">
        <f t="shared" si="0"/>
      </c>
      <c r="L10039">
        <f t="shared" si="1"/>
      </c>
      <c r="M10039">
        <f t="shared" si="2"/>
      </c>
    </row>
    <row r="10040">
      <c r="G10040" s="9">
        <f t="shared" si="0"/>
      </c>
      <c r="L10040">
        <f t="shared" si="1"/>
      </c>
      <c r="M10040">
        <f t="shared" si="2"/>
      </c>
    </row>
    <row r="10041">
      <c r="G10041" s="9">
        <f t="shared" si="0"/>
      </c>
      <c r="L10041">
        <f t="shared" si="1"/>
      </c>
      <c r="M10041">
        <f t="shared" si="2"/>
      </c>
    </row>
    <row r="10042">
      <c r="G10042" s="9">
        <f t="shared" si="0"/>
      </c>
      <c r="L10042">
        <f t="shared" si="1"/>
      </c>
      <c r="M10042">
        <f t="shared" si="2"/>
      </c>
    </row>
    <row r="10043">
      <c r="G10043" s="9">
        <f t="shared" si="0"/>
      </c>
      <c r="L10043">
        <f t="shared" si="1"/>
      </c>
      <c r="M10043">
        <f t="shared" si="2"/>
      </c>
    </row>
    <row r="10044">
      <c r="G10044" s="9">
        <f t="shared" si="0"/>
      </c>
      <c r="L10044">
        <f t="shared" si="1"/>
      </c>
      <c r="M10044">
        <f t="shared" si="2"/>
      </c>
    </row>
    <row r="10045">
      <c r="G10045" s="9">
        <f t="shared" si="0"/>
      </c>
      <c r="L10045">
        <f t="shared" si="1"/>
      </c>
      <c r="M10045">
        <f t="shared" si="2"/>
      </c>
    </row>
    <row r="10046">
      <c r="G10046" s="9">
        <f t="shared" si="0"/>
      </c>
      <c r="L10046">
        <f t="shared" si="1"/>
      </c>
      <c r="M10046">
        <f t="shared" si="2"/>
      </c>
    </row>
    <row r="10047">
      <c r="G10047" s="9">
        <f t="shared" si="0"/>
      </c>
      <c r="L10047">
        <f t="shared" si="1"/>
      </c>
      <c r="M10047">
        <f t="shared" si="2"/>
      </c>
    </row>
    <row r="10048">
      <c r="G10048" s="9">
        <f t="shared" si="0"/>
      </c>
      <c r="L10048">
        <f t="shared" si="1"/>
      </c>
      <c r="M10048">
        <f t="shared" si="2"/>
      </c>
    </row>
    <row r="10049">
      <c r="G10049" s="9">
        <f t="shared" si="0"/>
      </c>
      <c r="L10049">
        <f t="shared" si="1"/>
      </c>
      <c r="M10049">
        <f t="shared" si="2"/>
      </c>
    </row>
    <row r="10050">
      <c r="G10050" s="9">
        <f t="shared" si="0"/>
      </c>
      <c r="L10050">
        <f t="shared" si="1"/>
      </c>
      <c r="M10050">
        <f t="shared" si="2"/>
      </c>
    </row>
    <row r="10051">
      <c r="G10051" s="9">
        <f t="shared" si="0"/>
      </c>
      <c r="L10051">
        <f t="shared" si="1"/>
      </c>
      <c r="M10051">
        <f t="shared" si="2"/>
      </c>
    </row>
    <row r="10052">
      <c r="G10052" s="9">
        <f t="shared" si="0"/>
      </c>
      <c r="L10052">
        <f t="shared" si="1"/>
      </c>
      <c r="M10052">
        <f t="shared" si="2"/>
      </c>
    </row>
    <row r="10053">
      <c r="G10053" s="9">
        <f t="shared" si="0"/>
      </c>
      <c r="L10053">
        <f t="shared" si="1"/>
      </c>
      <c r="M10053">
        <f t="shared" si="2"/>
      </c>
    </row>
    <row r="10054">
      <c r="G10054" s="9">
        <f t="shared" si="0"/>
      </c>
      <c r="L10054">
        <f t="shared" si="1"/>
      </c>
      <c r="M10054">
        <f t="shared" si="2"/>
      </c>
    </row>
    <row r="10055">
      <c r="G10055" s="9">
        <f t="shared" si="0"/>
      </c>
      <c r="L10055">
        <f t="shared" si="1"/>
      </c>
      <c r="M10055">
        <f t="shared" si="2"/>
      </c>
    </row>
    <row r="10056">
      <c r="G10056" s="9">
        <f t="shared" si="0"/>
      </c>
      <c r="L10056">
        <f t="shared" si="1"/>
      </c>
      <c r="M10056">
        <f t="shared" si="2"/>
      </c>
    </row>
    <row r="10057">
      <c r="G10057" s="9">
        <f t="shared" si="0"/>
      </c>
      <c r="L10057">
        <f t="shared" si="1"/>
      </c>
      <c r="M10057">
        <f t="shared" si="2"/>
      </c>
    </row>
    <row r="10058">
      <c r="G10058" s="9">
        <f t="shared" si="0"/>
      </c>
      <c r="L10058">
        <f t="shared" si="1"/>
      </c>
      <c r="M10058">
        <f t="shared" si="2"/>
      </c>
    </row>
    <row r="10059">
      <c r="G10059" s="9">
        <f t="shared" si="0"/>
      </c>
      <c r="L10059">
        <f t="shared" si="1"/>
      </c>
      <c r="M10059">
        <f t="shared" si="2"/>
      </c>
    </row>
    <row r="10060">
      <c r="G10060" s="9">
        <f t="shared" si="0"/>
      </c>
      <c r="L10060">
        <f t="shared" si="1"/>
      </c>
      <c r="M10060">
        <f t="shared" si="2"/>
      </c>
    </row>
    <row r="10061">
      <c r="G10061" s="9">
        <f t="shared" si="0"/>
      </c>
      <c r="L10061">
        <f t="shared" si="1"/>
      </c>
      <c r="M10061">
        <f t="shared" si="2"/>
      </c>
    </row>
    <row r="10062">
      <c r="G10062" s="9">
        <f t="shared" si="0"/>
      </c>
      <c r="L10062">
        <f t="shared" si="1"/>
      </c>
      <c r="M10062">
        <f t="shared" si="2"/>
      </c>
    </row>
    <row r="10063">
      <c r="G10063" s="9">
        <f t="shared" si="0"/>
      </c>
      <c r="L10063">
        <f t="shared" si="1"/>
      </c>
      <c r="M10063">
        <f t="shared" si="2"/>
      </c>
    </row>
    <row r="10064">
      <c r="G10064" s="9">
        <f t="shared" si="0"/>
      </c>
      <c r="L10064">
        <f t="shared" si="1"/>
      </c>
      <c r="M10064">
        <f t="shared" si="2"/>
      </c>
    </row>
    <row r="10065">
      <c r="G10065" s="9">
        <f t="shared" si="0"/>
      </c>
      <c r="L10065">
        <f t="shared" si="1"/>
      </c>
      <c r="M10065">
        <f t="shared" si="2"/>
      </c>
    </row>
    <row r="10066">
      <c r="G10066" s="9">
        <f t="shared" si="0"/>
      </c>
      <c r="L10066">
        <f t="shared" si="1"/>
      </c>
      <c r="M10066">
        <f t="shared" si="2"/>
      </c>
    </row>
    <row r="10067">
      <c r="G10067" s="9">
        <f t="shared" si="0"/>
      </c>
      <c r="L10067">
        <f t="shared" si="1"/>
      </c>
      <c r="M10067">
        <f t="shared" si="2"/>
      </c>
    </row>
    <row r="10068">
      <c r="G10068" s="9">
        <f t="shared" si="0"/>
      </c>
      <c r="L10068">
        <f t="shared" si="1"/>
      </c>
      <c r="M10068">
        <f t="shared" si="2"/>
      </c>
    </row>
    <row r="10069">
      <c r="G10069" s="9">
        <f t="shared" si="0"/>
      </c>
      <c r="L10069">
        <f t="shared" si="1"/>
      </c>
      <c r="M10069">
        <f t="shared" si="2"/>
      </c>
    </row>
    <row r="10070">
      <c r="G10070" s="9">
        <f t="shared" si="0"/>
      </c>
      <c r="L10070">
        <f t="shared" si="1"/>
      </c>
      <c r="M10070">
        <f t="shared" si="2"/>
      </c>
    </row>
    <row r="10071">
      <c r="G10071" s="9">
        <f t="shared" si="0"/>
      </c>
      <c r="L10071">
        <f t="shared" si="1"/>
      </c>
      <c r="M10071">
        <f t="shared" si="2"/>
      </c>
    </row>
    <row r="10072">
      <c r="G10072" s="9">
        <f t="shared" si="0"/>
      </c>
      <c r="L10072">
        <f t="shared" si="1"/>
      </c>
      <c r="M10072">
        <f t="shared" si="2"/>
      </c>
    </row>
    <row r="10073">
      <c r="G10073" s="9">
        <f t="shared" si="0"/>
      </c>
      <c r="L10073">
        <f t="shared" si="1"/>
      </c>
      <c r="M10073">
        <f t="shared" si="2"/>
      </c>
    </row>
    <row r="10074">
      <c r="G10074" s="9">
        <f t="shared" si="0"/>
      </c>
      <c r="L10074">
        <f t="shared" si="1"/>
      </c>
      <c r="M10074">
        <f t="shared" si="2"/>
      </c>
    </row>
    <row r="10075">
      <c r="G10075" s="9">
        <f t="shared" si="0"/>
      </c>
      <c r="L10075">
        <f t="shared" si="1"/>
      </c>
      <c r="M10075">
        <f t="shared" si="2"/>
      </c>
    </row>
    <row r="10076">
      <c r="G10076" s="9">
        <f t="shared" si="0"/>
      </c>
      <c r="L10076">
        <f t="shared" si="1"/>
      </c>
      <c r="M10076">
        <f t="shared" si="2"/>
      </c>
    </row>
    <row r="10077">
      <c r="G10077" s="9">
        <f t="shared" si="0"/>
      </c>
      <c r="L10077">
        <f t="shared" si="1"/>
      </c>
      <c r="M10077">
        <f t="shared" si="2"/>
      </c>
    </row>
    <row r="10078">
      <c r="G10078" s="9">
        <f t="shared" si="0"/>
      </c>
      <c r="L10078">
        <f t="shared" si="1"/>
      </c>
      <c r="M10078">
        <f t="shared" si="2"/>
      </c>
    </row>
    <row r="10079">
      <c r="G10079" s="9">
        <f t="shared" si="0"/>
      </c>
      <c r="L10079">
        <f t="shared" si="1"/>
      </c>
      <c r="M10079">
        <f t="shared" si="2"/>
      </c>
    </row>
    <row r="10080">
      <c r="G10080" s="9">
        <f t="shared" si="0"/>
      </c>
      <c r="L10080">
        <f t="shared" si="1"/>
      </c>
      <c r="M10080">
        <f t="shared" si="2"/>
      </c>
    </row>
    <row r="10081">
      <c r="G10081" s="9">
        <f t="shared" si="0"/>
      </c>
      <c r="L10081">
        <f t="shared" si="1"/>
      </c>
      <c r="M10081">
        <f t="shared" si="2"/>
      </c>
    </row>
    <row r="10082">
      <c r="G10082" s="9">
        <f t="shared" si="0"/>
      </c>
      <c r="L10082">
        <f t="shared" si="1"/>
      </c>
      <c r="M10082">
        <f t="shared" si="2"/>
      </c>
    </row>
    <row r="10083">
      <c r="G10083" s="9">
        <f t="shared" si="0"/>
      </c>
      <c r="L10083">
        <f t="shared" si="1"/>
      </c>
      <c r="M10083">
        <f t="shared" si="2"/>
      </c>
    </row>
    <row r="10084">
      <c r="G10084" s="9">
        <f t="shared" si="0"/>
      </c>
      <c r="L10084">
        <f t="shared" si="1"/>
      </c>
      <c r="M10084">
        <f t="shared" si="2"/>
      </c>
    </row>
    <row r="10085">
      <c r="G10085" s="9">
        <f t="shared" si="0"/>
      </c>
      <c r="L10085">
        <f t="shared" si="1"/>
      </c>
      <c r="M10085">
        <f t="shared" si="2"/>
      </c>
    </row>
    <row r="10086">
      <c r="G10086" s="9">
        <f t="shared" si="0"/>
      </c>
      <c r="L10086">
        <f t="shared" si="1"/>
      </c>
      <c r="M10086">
        <f t="shared" si="2"/>
      </c>
    </row>
    <row r="10087">
      <c r="G10087" s="9">
        <f t="shared" si="0"/>
      </c>
      <c r="L10087">
        <f t="shared" si="1"/>
      </c>
      <c r="M10087">
        <f t="shared" si="2"/>
      </c>
    </row>
    <row r="10088">
      <c r="G10088" s="9">
        <f t="shared" si="0"/>
      </c>
      <c r="L10088">
        <f t="shared" si="1"/>
      </c>
      <c r="M10088">
        <f t="shared" si="2"/>
      </c>
    </row>
    <row r="10089">
      <c r="G10089" s="9">
        <f t="shared" si="0"/>
      </c>
      <c r="L10089">
        <f t="shared" si="1"/>
      </c>
      <c r="M10089">
        <f t="shared" si="2"/>
      </c>
    </row>
    <row r="10090">
      <c r="G10090" s="9">
        <f t="shared" si="0"/>
      </c>
      <c r="L10090">
        <f t="shared" si="1"/>
      </c>
      <c r="M10090">
        <f t="shared" si="2"/>
      </c>
    </row>
    <row r="10091">
      <c r="G10091" s="9">
        <f t="shared" si="0"/>
      </c>
      <c r="L10091">
        <f t="shared" si="1"/>
      </c>
      <c r="M10091">
        <f t="shared" si="2"/>
      </c>
    </row>
    <row r="10092">
      <c r="G10092" s="9">
        <f t="shared" si="0"/>
      </c>
      <c r="L10092">
        <f t="shared" si="1"/>
      </c>
      <c r="M10092">
        <f t="shared" si="2"/>
      </c>
    </row>
    <row r="10093">
      <c r="G10093" s="9">
        <f t="shared" si="0"/>
      </c>
      <c r="L10093">
        <f t="shared" si="1"/>
      </c>
      <c r="M10093">
        <f t="shared" si="2"/>
      </c>
    </row>
    <row r="10094">
      <c r="G10094" s="9">
        <f t="shared" si="0"/>
      </c>
      <c r="L10094">
        <f t="shared" si="1"/>
      </c>
      <c r="M10094">
        <f t="shared" si="2"/>
      </c>
    </row>
    <row r="10095">
      <c r="G10095" s="9">
        <f t="shared" si="0"/>
      </c>
      <c r="L10095">
        <f t="shared" si="1"/>
      </c>
      <c r="M10095">
        <f t="shared" si="2"/>
      </c>
    </row>
    <row r="10096">
      <c r="G10096" s="9">
        <f t="shared" si="0"/>
      </c>
      <c r="L10096">
        <f t="shared" si="1"/>
      </c>
      <c r="M10096">
        <f t="shared" si="2"/>
      </c>
    </row>
    <row r="10097">
      <c r="G10097" s="9">
        <f t="shared" si="0"/>
      </c>
      <c r="L10097">
        <f t="shared" si="1"/>
      </c>
      <c r="M10097">
        <f t="shared" si="2"/>
      </c>
    </row>
    <row r="10098">
      <c r="G10098" s="9">
        <f t="shared" si="0"/>
      </c>
      <c r="L10098">
        <f t="shared" si="1"/>
      </c>
      <c r="M10098">
        <f t="shared" si="2"/>
      </c>
    </row>
    <row r="10099">
      <c r="G10099" s="9">
        <f t="shared" si="0"/>
      </c>
      <c r="L10099">
        <f t="shared" si="1"/>
      </c>
      <c r="M10099">
        <f t="shared" si="2"/>
      </c>
    </row>
    <row r="10100">
      <c r="G10100" s="9">
        <f t="shared" si="0"/>
      </c>
      <c r="L10100">
        <f t="shared" si="1"/>
      </c>
      <c r="M10100">
        <f t="shared" si="2"/>
      </c>
    </row>
    <row r="10101">
      <c r="G10101" s="9">
        <f t="shared" si="0"/>
      </c>
      <c r="L10101">
        <f t="shared" si="1"/>
      </c>
      <c r="M10101">
        <f t="shared" si="2"/>
      </c>
    </row>
    <row r="10102">
      <c r="G10102" s="9">
        <f t="shared" si="0"/>
      </c>
      <c r="L10102">
        <f t="shared" si="1"/>
      </c>
      <c r="M10102">
        <f t="shared" si="2"/>
      </c>
    </row>
    <row r="10103">
      <c r="G10103" s="9">
        <f t="shared" si="0"/>
      </c>
      <c r="L10103">
        <f t="shared" si="1"/>
      </c>
      <c r="M10103">
        <f t="shared" si="2"/>
      </c>
    </row>
    <row r="10104">
      <c r="G10104" s="9">
        <f t="shared" si="0"/>
      </c>
      <c r="L10104">
        <f t="shared" si="1"/>
      </c>
      <c r="M10104">
        <f t="shared" si="2"/>
      </c>
    </row>
    <row r="10105">
      <c r="G10105" s="9">
        <f t="shared" si="0"/>
      </c>
      <c r="L10105">
        <f t="shared" si="1"/>
      </c>
      <c r="M10105">
        <f t="shared" si="2"/>
      </c>
    </row>
    <row r="10106">
      <c r="G10106" s="9">
        <f t="shared" si="0"/>
      </c>
      <c r="L10106">
        <f t="shared" si="1"/>
      </c>
      <c r="M10106">
        <f t="shared" si="2"/>
      </c>
    </row>
    <row r="10107">
      <c r="G10107" s="9">
        <f t="shared" si="0"/>
      </c>
      <c r="L10107">
        <f t="shared" si="1"/>
      </c>
      <c r="M10107">
        <f t="shared" si="2"/>
      </c>
    </row>
    <row r="10108">
      <c r="G10108" s="9">
        <f t="shared" si="0"/>
      </c>
      <c r="L10108">
        <f t="shared" si="1"/>
      </c>
      <c r="M10108">
        <f t="shared" si="2"/>
      </c>
    </row>
    <row r="10109">
      <c r="G10109" s="9">
        <f t="shared" si="0"/>
      </c>
      <c r="L10109">
        <f t="shared" si="1"/>
      </c>
      <c r="M10109">
        <f t="shared" si="2"/>
      </c>
    </row>
    <row r="10110">
      <c r="G10110" s="9">
        <f t="shared" si="0"/>
      </c>
      <c r="L10110">
        <f t="shared" si="1"/>
      </c>
      <c r="M10110">
        <f t="shared" si="2"/>
      </c>
    </row>
    <row r="10111">
      <c r="G10111" s="9">
        <f t="shared" si="0"/>
      </c>
      <c r="L10111">
        <f t="shared" si="1"/>
      </c>
      <c r="M10111">
        <f t="shared" si="2"/>
      </c>
    </row>
    <row r="10112">
      <c r="G10112" s="9">
        <f t="shared" si="0"/>
      </c>
      <c r="L10112">
        <f t="shared" si="1"/>
      </c>
      <c r="M10112">
        <f t="shared" si="2"/>
      </c>
    </row>
    <row r="10113">
      <c r="G10113" s="9">
        <f t="shared" si="0"/>
      </c>
      <c r="L10113">
        <f t="shared" si="1"/>
      </c>
      <c r="M10113">
        <f t="shared" si="2"/>
      </c>
    </row>
    <row r="10114">
      <c r="G10114" s="9">
        <f t="shared" si="0"/>
      </c>
      <c r="L10114">
        <f t="shared" si="1"/>
      </c>
      <c r="M10114">
        <f t="shared" si="2"/>
      </c>
    </row>
    <row r="10115">
      <c r="G10115" s="9">
        <f t="shared" si="0"/>
      </c>
      <c r="L10115">
        <f t="shared" si="1"/>
      </c>
      <c r="M10115">
        <f t="shared" si="2"/>
      </c>
    </row>
    <row r="10116">
      <c r="G10116" s="9">
        <f t="shared" si="0"/>
      </c>
      <c r="L10116">
        <f t="shared" si="1"/>
      </c>
      <c r="M10116">
        <f t="shared" si="2"/>
      </c>
    </row>
    <row r="10117">
      <c r="G10117" s="9">
        <f t="shared" si="0"/>
      </c>
      <c r="L10117">
        <f t="shared" si="1"/>
      </c>
      <c r="M10117">
        <f t="shared" si="2"/>
      </c>
    </row>
    <row r="10118">
      <c r="G10118" s="9">
        <f t="shared" si="0"/>
      </c>
      <c r="L10118">
        <f t="shared" si="1"/>
      </c>
      <c r="M10118">
        <f t="shared" si="2"/>
      </c>
    </row>
    <row r="10119">
      <c r="G10119" s="9">
        <f t="shared" si="0"/>
      </c>
      <c r="L10119">
        <f t="shared" si="1"/>
      </c>
      <c r="M10119">
        <f t="shared" si="2"/>
      </c>
    </row>
    <row r="10120">
      <c r="G10120" s="9">
        <f t="shared" si="0"/>
      </c>
      <c r="L10120">
        <f t="shared" si="1"/>
      </c>
      <c r="M10120">
        <f t="shared" si="2"/>
      </c>
    </row>
    <row r="10121">
      <c r="G10121" s="9">
        <f t="shared" si="0"/>
      </c>
      <c r="L10121">
        <f t="shared" si="1"/>
      </c>
      <c r="M10121">
        <f t="shared" si="2"/>
      </c>
    </row>
    <row r="10122">
      <c r="G10122" s="9">
        <f t="shared" si="0"/>
      </c>
      <c r="L10122">
        <f t="shared" si="1"/>
      </c>
      <c r="M10122">
        <f t="shared" si="2"/>
      </c>
    </row>
    <row r="10123">
      <c r="G10123" s="9">
        <f t="shared" si="0"/>
      </c>
      <c r="L10123">
        <f t="shared" si="1"/>
      </c>
      <c r="M10123">
        <f t="shared" si="2"/>
      </c>
    </row>
    <row r="10124">
      <c r="G10124" s="9">
        <f t="shared" si="0"/>
      </c>
      <c r="L10124">
        <f t="shared" si="1"/>
      </c>
      <c r="M10124">
        <f t="shared" si="2"/>
      </c>
    </row>
    <row r="10125">
      <c r="G10125" s="9">
        <f t="shared" si="0"/>
      </c>
      <c r="L10125">
        <f t="shared" si="1"/>
      </c>
      <c r="M10125">
        <f t="shared" si="2"/>
      </c>
    </row>
    <row r="10126">
      <c r="G10126" s="9">
        <f t="shared" si="0"/>
      </c>
      <c r="L10126">
        <f t="shared" si="1"/>
      </c>
      <c r="M10126">
        <f t="shared" si="2"/>
      </c>
    </row>
    <row r="10127">
      <c r="G10127" s="9">
        <f t="shared" si="0"/>
      </c>
      <c r="L10127">
        <f t="shared" si="1"/>
      </c>
      <c r="M10127">
        <f t="shared" si="2"/>
      </c>
    </row>
    <row r="10128">
      <c r="G10128" s="9">
        <f t="shared" si="0"/>
      </c>
      <c r="L10128">
        <f t="shared" si="1"/>
      </c>
      <c r="M10128">
        <f t="shared" si="2"/>
      </c>
    </row>
    <row r="10129">
      <c r="G10129" s="9">
        <f t="shared" si="0"/>
      </c>
      <c r="L10129">
        <f t="shared" si="1"/>
      </c>
      <c r="M10129">
        <f t="shared" si="2"/>
      </c>
    </row>
    <row r="10130">
      <c r="G10130" s="9">
        <f t="shared" si="0"/>
      </c>
      <c r="L10130">
        <f t="shared" si="1"/>
      </c>
      <c r="M10130">
        <f t="shared" si="2"/>
      </c>
    </row>
    <row r="10131">
      <c r="G10131" s="9">
        <f t="shared" si="0"/>
      </c>
      <c r="L10131">
        <f t="shared" si="1"/>
      </c>
      <c r="M10131">
        <f t="shared" si="2"/>
      </c>
    </row>
    <row r="10132">
      <c r="G10132" s="9">
        <f t="shared" si="0"/>
      </c>
      <c r="L10132">
        <f t="shared" si="1"/>
      </c>
      <c r="M10132">
        <f t="shared" si="2"/>
      </c>
    </row>
    <row r="10133">
      <c r="G10133" s="9">
        <f t="shared" si="0"/>
      </c>
      <c r="L10133">
        <f t="shared" si="1"/>
      </c>
      <c r="M10133">
        <f t="shared" si="2"/>
      </c>
    </row>
    <row r="10134">
      <c r="G10134" s="9">
        <f t="shared" si="0"/>
      </c>
      <c r="L10134">
        <f t="shared" si="1"/>
      </c>
      <c r="M10134">
        <f t="shared" si="2"/>
      </c>
    </row>
    <row r="10135">
      <c r="G10135" s="9">
        <f t="shared" si="0"/>
      </c>
      <c r="L10135">
        <f t="shared" si="1"/>
      </c>
      <c r="M10135">
        <f t="shared" si="2"/>
      </c>
    </row>
    <row r="10136">
      <c r="G10136" s="9">
        <f t="shared" si="0"/>
      </c>
      <c r="L10136">
        <f t="shared" si="1"/>
      </c>
      <c r="M10136">
        <f t="shared" si="2"/>
      </c>
    </row>
    <row r="10137">
      <c r="G10137" s="9">
        <f t="shared" si="0"/>
      </c>
      <c r="L10137">
        <f t="shared" si="1"/>
      </c>
      <c r="M10137">
        <f t="shared" si="2"/>
      </c>
    </row>
    <row r="10138">
      <c r="G10138" s="9">
        <f t="shared" si="0"/>
      </c>
      <c r="L10138">
        <f t="shared" si="1"/>
      </c>
      <c r="M10138">
        <f t="shared" si="2"/>
      </c>
    </row>
    <row r="10139">
      <c r="G10139" s="9">
        <f t="shared" si="0"/>
      </c>
      <c r="L10139">
        <f t="shared" si="1"/>
      </c>
      <c r="M10139">
        <f t="shared" si="2"/>
      </c>
    </row>
    <row r="10140">
      <c r="G10140" s="9">
        <f t="shared" si="0"/>
      </c>
      <c r="L10140">
        <f t="shared" si="1"/>
      </c>
      <c r="M10140">
        <f t="shared" si="2"/>
      </c>
    </row>
    <row r="10141">
      <c r="G10141" s="9">
        <f t="shared" si="0"/>
      </c>
      <c r="L10141">
        <f t="shared" si="1"/>
      </c>
      <c r="M10141">
        <f t="shared" si="2"/>
      </c>
    </row>
    <row r="10142">
      <c r="G10142" s="9">
        <f t="shared" si="0"/>
      </c>
      <c r="L10142">
        <f t="shared" si="1"/>
      </c>
      <c r="M10142">
        <f t="shared" si="2"/>
      </c>
    </row>
    <row r="10143">
      <c r="G10143" s="9">
        <f t="shared" si="0"/>
      </c>
      <c r="L10143">
        <f t="shared" si="1"/>
      </c>
      <c r="M10143">
        <f t="shared" si="2"/>
      </c>
    </row>
    <row r="10144">
      <c r="G10144" s="9">
        <f t="shared" si="0"/>
      </c>
      <c r="L10144">
        <f t="shared" si="1"/>
      </c>
      <c r="M10144">
        <f t="shared" si="2"/>
      </c>
    </row>
    <row r="10145">
      <c r="G10145" s="9">
        <f t="shared" si="0"/>
      </c>
      <c r="L10145">
        <f t="shared" si="1"/>
      </c>
      <c r="M10145">
        <f t="shared" si="2"/>
      </c>
    </row>
    <row r="10146">
      <c r="G10146" s="9">
        <f t="shared" si="0"/>
      </c>
      <c r="L10146">
        <f t="shared" si="1"/>
      </c>
      <c r="M10146">
        <f t="shared" si="2"/>
      </c>
    </row>
    <row r="10147">
      <c r="G10147" s="9">
        <f t="shared" si="0"/>
      </c>
      <c r="L10147">
        <f t="shared" si="1"/>
      </c>
      <c r="M10147">
        <f t="shared" si="2"/>
      </c>
    </row>
    <row r="10148">
      <c r="G10148" s="9">
        <f t="shared" si="0"/>
      </c>
      <c r="L10148">
        <f t="shared" si="1"/>
      </c>
      <c r="M10148">
        <f t="shared" si="2"/>
      </c>
    </row>
    <row r="10149">
      <c r="G10149" s="9">
        <f t="shared" si="0"/>
      </c>
      <c r="L10149">
        <f t="shared" si="1"/>
      </c>
      <c r="M10149">
        <f t="shared" si="2"/>
      </c>
    </row>
    <row r="10150">
      <c r="G10150" s="9">
        <f t="shared" si="0"/>
      </c>
      <c r="L10150">
        <f t="shared" si="1"/>
      </c>
      <c r="M10150">
        <f t="shared" si="2"/>
      </c>
    </row>
    <row r="10151">
      <c r="G10151" s="9">
        <f t="shared" si="0"/>
      </c>
      <c r="L10151">
        <f t="shared" si="1"/>
      </c>
      <c r="M10151">
        <f t="shared" si="2"/>
      </c>
    </row>
    <row r="10152">
      <c r="G10152" s="9">
        <f t="shared" si="0"/>
      </c>
      <c r="L10152">
        <f t="shared" si="1"/>
      </c>
      <c r="M10152">
        <f t="shared" si="2"/>
      </c>
    </row>
    <row r="10153">
      <c r="G10153" s="9">
        <f t="shared" si="0"/>
      </c>
      <c r="L10153">
        <f t="shared" si="1"/>
      </c>
      <c r="M10153">
        <f t="shared" si="2"/>
      </c>
    </row>
    <row r="10154">
      <c r="G10154" s="9">
        <f t="shared" si="0"/>
      </c>
      <c r="L10154">
        <f t="shared" si="1"/>
      </c>
      <c r="M10154">
        <f t="shared" si="2"/>
      </c>
    </row>
    <row r="10155">
      <c r="G10155" s="9">
        <f t="shared" si="0"/>
      </c>
      <c r="L10155">
        <f t="shared" si="1"/>
      </c>
      <c r="M10155">
        <f t="shared" si="2"/>
      </c>
    </row>
    <row r="10156">
      <c r="G10156" s="9">
        <f t="shared" si="0"/>
      </c>
      <c r="L10156">
        <f t="shared" si="1"/>
      </c>
      <c r="M10156">
        <f t="shared" si="2"/>
      </c>
    </row>
    <row r="10157">
      <c r="G10157" s="9">
        <f t="shared" si="0"/>
      </c>
      <c r="L10157">
        <f t="shared" si="1"/>
      </c>
      <c r="M10157">
        <f t="shared" si="2"/>
      </c>
    </row>
    <row r="10158">
      <c r="G10158" s="9">
        <f t="shared" si="0"/>
      </c>
      <c r="L10158">
        <f t="shared" si="1"/>
      </c>
      <c r="M10158">
        <f t="shared" si="2"/>
      </c>
    </row>
    <row r="10159">
      <c r="G10159" s="9">
        <f t="shared" si="0"/>
      </c>
      <c r="L10159">
        <f t="shared" si="1"/>
      </c>
      <c r="M10159">
        <f t="shared" si="2"/>
      </c>
    </row>
    <row r="10160">
      <c r="G10160" s="9">
        <f t="shared" si="0"/>
      </c>
      <c r="L10160">
        <f t="shared" si="1"/>
      </c>
      <c r="M10160">
        <f t="shared" si="2"/>
      </c>
    </row>
    <row r="10161">
      <c r="G10161" s="9">
        <f t="shared" si="0"/>
      </c>
      <c r="L10161">
        <f t="shared" si="1"/>
      </c>
      <c r="M10161">
        <f t="shared" si="2"/>
      </c>
    </row>
    <row r="10162">
      <c r="G10162" s="9">
        <f t="shared" si="0"/>
      </c>
      <c r="L10162">
        <f t="shared" si="1"/>
      </c>
      <c r="M10162">
        <f t="shared" si="2"/>
      </c>
    </row>
    <row r="10163">
      <c r="G10163" s="9">
        <f t="shared" si="0"/>
      </c>
      <c r="L10163">
        <f t="shared" si="1"/>
      </c>
      <c r="M10163">
        <f t="shared" si="2"/>
      </c>
    </row>
    <row r="10164">
      <c r="G10164" s="9">
        <f t="shared" si="0"/>
      </c>
      <c r="L10164">
        <f t="shared" si="1"/>
      </c>
      <c r="M10164">
        <f t="shared" si="2"/>
      </c>
    </row>
    <row r="10165">
      <c r="G10165" s="9">
        <f t="shared" si="0"/>
      </c>
      <c r="L10165">
        <f t="shared" si="1"/>
      </c>
      <c r="M10165">
        <f t="shared" si="2"/>
      </c>
    </row>
    <row r="10166">
      <c r="G10166" s="9">
        <f t="shared" si="0"/>
      </c>
      <c r="L10166">
        <f t="shared" si="1"/>
      </c>
      <c r="M10166">
        <f t="shared" si="2"/>
      </c>
    </row>
    <row r="10167">
      <c r="G10167" s="9">
        <f t="shared" si="0"/>
      </c>
      <c r="L10167">
        <f t="shared" si="1"/>
      </c>
      <c r="M10167">
        <f t="shared" si="2"/>
      </c>
    </row>
    <row r="10168">
      <c r="G10168" s="9">
        <f t="shared" si="0"/>
      </c>
      <c r="L10168">
        <f t="shared" si="1"/>
      </c>
      <c r="M10168">
        <f t="shared" si="2"/>
      </c>
    </row>
    <row r="10169">
      <c r="G10169" s="9">
        <f t="shared" si="0"/>
      </c>
      <c r="L10169">
        <f t="shared" si="1"/>
      </c>
      <c r="M10169">
        <f t="shared" si="2"/>
      </c>
    </row>
    <row r="10170">
      <c r="G10170" s="9">
        <f t="shared" si="0"/>
      </c>
      <c r="L10170">
        <f t="shared" si="1"/>
      </c>
      <c r="M10170">
        <f t="shared" si="2"/>
      </c>
    </row>
    <row r="10171">
      <c r="G10171" s="9">
        <f t="shared" si="0"/>
      </c>
      <c r="L10171">
        <f t="shared" si="1"/>
      </c>
      <c r="M10171">
        <f t="shared" si="2"/>
      </c>
    </row>
    <row r="10172">
      <c r="G10172" s="9">
        <f t="shared" si="0"/>
      </c>
      <c r="L10172">
        <f t="shared" si="1"/>
      </c>
      <c r="M10172">
        <f t="shared" si="2"/>
      </c>
    </row>
    <row r="10173">
      <c r="G10173" s="9">
        <f t="shared" si="0"/>
      </c>
      <c r="L10173">
        <f t="shared" si="1"/>
      </c>
      <c r="M10173">
        <f t="shared" si="2"/>
      </c>
    </row>
    <row r="10174">
      <c r="G10174" s="9">
        <f t="shared" si="0"/>
      </c>
      <c r="L10174">
        <f t="shared" si="1"/>
      </c>
      <c r="M10174">
        <f t="shared" si="2"/>
      </c>
    </row>
    <row r="10175">
      <c r="G10175" s="9">
        <f t="shared" si="0"/>
      </c>
      <c r="L10175">
        <f t="shared" si="1"/>
      </c>
      <c r="M10175">
        <f t="shared" si="2"/>
      </c>
    </row>
    <row r="10176">
      <c r="G10176" s="9">
        <f t="shared" si="0"/>
      </c>
      <c r="L10176">
        <f t="shared" si="1"/>
      </c>
      <c r="M10176">
        <f t="shared" si="2"/>
      </c>
    </row>
    <row r="10177">
      <c r="G10177" s="9">
        <f t="shared" si="0"/>
      </c>
      <c r="L10177">
        <f t="shared" si="1"/>
      </c>
      <c r="M10177">
        <f t="shared" si="2"/>
      </c>
    </row>
    <row r="10178">
      <c r="G10178" s="9">
        <f t="shared" si="0"/>
      </c>
      <c r="L10178">
        <f t="shared" si="1"/>
      </c>
      <c r="M10178">
        <f t="shared" si="2"/>
      </c>
    </row>
    <row r="10179">
      <c r="G10179" s="9">
        <f t="shared" si="0"/>
      </c>
      <c r="L10179">
        <f t="shared" si="1"/>
      </c>
      <c r="M10179">
        <f t="shared" si="2"/>
      </c>
    </row>
    <row r="10180">
      <c r="G10180" s="9">
        <f t="shared" si="0"/>
      </c>
      <c r="L10180">
        <f t="shared" si="1"/>
      </c>
      <c r="M10180">
        <f t="shared" si="2"/>
      </c>
    </row>
    <row r="10181">
      <c r="G10181" s="9">
        <f t="shared" si="0"/>
      </c>
      <c r="L10181">
        <f t="shared" si="1"/>
      </c>
      <c r="M10181">
        <f t="shared" si="2"/>
      </c>
    </row>
    <row r="10182">
      <c r="G10182" s="9">
        <f t="shared" si="0"/>
      </c>
      <c r="L10182">
        <f t="shared" si="1"/>
      </c>
      <c r="M10182">
        <f t="shared" si="2"/>
      </c>
    </row>
    <row r="10183">
      <c r="G10183" s="9">
        <f t="shared" si="0"/>
      </c>
      <c r="L10183">
        <f t="shared" si="1"/>
      </c>
      <c r="M10183">
        <f t="shared" si="2"/>
      </c>
    </row>
    <row r="10184">
      <c r="G10184" s="9">
        <f t="shared" si="0"/>
      </c>
      <c r="L10184">
        <f t="shared" si="1"/>
      </c>
      <c r="M10184">
        <f t="shared" si="2"/>
      </c>
    </row>
    <row r="10185">
      <c r="G10185" s="9">
        <f t="shared" si="0"/>
      </c>
      <c r="L10185">
        <f t="shared" si="1"/>
      </c>
      <c r="M10185">
        <f t="shared" si="2"/>
      </c>
    </row>
    <row r="10186">
      <c r="G10186" s="9">
        <f t="shared" si="0"/>
      </c>
      <c r="L10186">
        <f t="shared" si="1"/>
      </c>
      <c r="M10186">
        <f t="shared" si="2"/>
      </c>
    </row>
    <row r="10187">
      <c r="G10187" s="9">
        <f t="shared" si="0"/>
      </c>
      <c r="L10187">
        <f t="shared" si="1"/>
      </c>
      <c r="M10187">
        <f t="shared" si="2"/>
      </c>
    </row>
    <row r="10188">
      <c r="G10188" s="9">
        <f t="shared" si="0"/>
      </c>
      <c r="L10188">
        <f t="shared" si="1"/>
      </c>
      <c r="M10188">
        <f t="shared" si="2"/>
      </c>
    </row>
    <row r="10189">
      <c r="G10189" s="9">
        <f t="shared" si="0"/>
      </c>
      <c r="L10189">
        <f t="shared" si="1"/>
      </c>
      <c r="M10189">
        <f t="shared" si="2"/>
      </c>
    </row>
    <row r="10190">
      <c r="G10190" s="9">
        <f t="shared" si="0"/>
      </c>
      <c r="L10190">
        <f t="shared" si="1"/>
      </c>
      <c r="M10190">
        <f t="shared" si="2"/>
      </c>
    </row>
    <row r="10191">
      <c r="G10191" s="9">
        <f t="shared" si="0"/>
      </c>
      <c r="L10191">
        <f t="shared" si="1"/>
      </c>
      <c r="M10191">
        <f t="shared" si="2"/>
      </c>
    </row>
    <row r="10192">
      <c r="G10192" s="9">
        <f t="shared" si="0"/>
      </c>
      <c r="L10192">
        <f t="shared" si="1"/>
      </c>
      <c r="M10192">
        <f t="shared" si="2"/>
      </c>
    </row>
    <row r="10193">
      <c r="G10193" s="9">
        <f t="shared" si="0"/>
      </c>
      <c r="L10193">
        <f t="shared" si="1"/>
      </c>
      <c r="M10193">
        <f t="shared" si="2"/>
      </c>
    </row>
    <row r="10194">
      <c r="G10194" s="9">
        <f t="shared" si="0"/>
      </c>
      <c r="L10194">
        <f t="shared" si="1"/>
      </c>
      <c r="M10194">
        <f t="shared" si="2"/>
      </c>
    </row>
    <row r="10195">
      <c r="G10195" s="9">
        <f t="shared" si="0"/>
      </c>
      <c r="L10195">
        <f t="shared" si="1"/>
      </c>
      <c r="M10195">
        <f t="shared" si="2"/>
      </c>
    </row>
    <row r="10196">
      <c r="G10196" s="9">
        <f t="shared" si="0"/>
      </c>
      <c r="L10196">
        <f t="shared" si="1"/>
      </c>
      <c r="M10196">
        <f t="shared" si="2"/>
      </c>
    </row>
    <row r="10197">
      <c r="G10197" s="9">
        <f t="shared" si="0"/>
      </c>
      <c r="L10197">
        <f t="shared" si="1"/>
      </c>
      <c r="M10197">
        <f t="shared" si="2"/>
      </c>
    </row>
    <row r="10198">
      <c r="G10198" s="9">
        <f t="shared" si="0"/>
      </c>
      <c r="L10198">
        <f t="shared" si="1"/>
      </c>
      <c r="M10198">
        <f t="shared" si="2"/>
      </c>
    </row>
    <row r="10199">
      <c r="G10199" s="9">
        <f t="shared" si="0"/>
      </c>
      <c r="L10199">
        <f t="shared" si="1"/>
      </c>
      <c r="M10199">
        <f t="shared" si="2"/>
      </c>
    </row>
    <row r="10200">
      <c r="G10200" s="9">
        <f t="shared" si="0"/>
      </c>
      <c r="L10200">
        <f t="shared" si="1"/>
      </c>
      <c r="M10200">
        <f t="shared" si="2"/>
      </c>
    </row>
    <row r="10201">
      <c r="G10201" s="9">
        <f t="shared" si="0"/>
      </c>
      <c r="L10201">
        <f t="shared" si="1"/>
      </c>
      <c r="M10201">
        <f t="shared" si="2"/>
      </c>
    </row>
    <row r="10202">
      <c r="G10202" s="9">
        <f t="shared" si="0"/>
      </c>
      <c r="L10202">
        <f t="shared" si="1"/>
      </c>
      <c r="M10202">
        <f t="shared" si="2"/>
      </c>
    </row>
    <row r="10203">
      <c r="G10203" s="9">
        <f t="shared" si="0"/>
      </c>
      <c r="L10203">
        <f t="shared" si="1"/>
      </c>
      <c r="M10203">
        <f t="shared" si="2"/>
      </c>
    </row>
    <row r="10204">
      <c r="G10204" s="9">
        <f t="shared" si="0"/>
      </c>
      <c r="L10204">
        <f t="shared" si="1"/>
      </c>
      <c r="M10204">
        <f t="shared" si="2"/>
      </c>
    </row>
    <row r="10205">
      <c r="G10205" s="9">
        <f t="shared" si="0"/>
      </c>
      <c r="L10205">
        <f t="shared" si="1"/>
      </c>
      <c r="M10205">
        <f t="shared" si="2"/>
      </c>
    </row>
    <row r="10206">
      <c r="G10206" s="9">
        <f t="shared" si="0"/>
      </c>
      <c r="L10206">
        <f t="shared" si="1"/>
      </c>
      <c r="M10206">
        <f t="shared" si="2"/>
      </c>
    </row>
    <row r="10207">
      <c r="G10207" s="9">
        <f t="shared" si="0"/>
      </c>
      <c r="L10207">
        <f t="shared" si="1"/>
      </c>
      <c r="M10207">
        <f t="shared" si="2"/>
      </c>
    </row>
    <row r="10208">
      <c r="G10208" s="9">
        <f t="shared" si="0"/>
      </c>
      <c r="L10208">
        <f t="shared" si="1"/>
      </c>
      <c r="M10208">
        <f t="shared" si="2"/>
      </c>
    </row>
    <row r="10209">
      <c r="G10209" s="9">
        <f t="shared" si="0"/>
      </c>
      <c r="L10209">
        <f t="shared" si="1"/>
      </c>
      <c r="M10209">
        <f t="shared" si="2"/>
      </c>
    </row>
    <row r="10210">
      <c r="G10210" s="9">
        <f t="shared" si="0"/>
      </c>
      <c r="L10210">
        <f t="shared" si="1"/>
      </c>
      <c r="M10210">
        <f t="shared" si="2"/>
      </c>
    </row>
    <row r="10211">
      <c r="G10211" s="9">
        <f t="shared" si="0"/>
      </c>
      <c r="L10211">
        <f t="shared" si="1"/>
      </c>
      <c r="M10211">
        <f t="shared" si="2"/>
      </c>
    </row>
    <row r="10212">
      <c r="G10212" s="9">
        <f t="shared" si="0"/>
      </c>
      <c r="L10212">
        <f t="shared" si="1"/>
      </c>
      <c r="M10212">
        <f t="shared" si="2"/>
      </c>
    </row>
    <row r="10213">
      <c r="G10213" s="9">
        <f t="shared" si="0"/>
      </c>
      <c r="L10213">
        <f t="shared" si="1"/>
      </c>
      <c r="M10213">
        <f t="shared" si="2"/>
      </c>
    </row>
    <row r="10214">
      <c r="G10214" s="9">
        <f t="shared" si="0"/>
      </c>
      <c r="L10214">
        <f t="shared" si="1"/>
      </c>
      <c r="M10214">
        <f t="shared" si="2"/>
      </c>
    </row>
    <row r="10215">
      <c r="G10215" s="9">
        <f t="shared" si="0"/>
      </c>
      <c r="L10215">
        <f t="shared" si="1"/>
      </c>
      <c r="M10215">
        <f t="shared" si="2"/>
      </c>
    </row>
    <row r="10216">
      <c r="G10216" s="9">
        <f t="shared" si="0"/>
      </c>
      <c r="L10216">
        <f t="shared" si="1"/>
      </c>
      <c r="M10216">
        <f t="shared" si="2"/>
      </c>
    </row>
    <row r="10217">
      <c r="G10217" s="9">
        <f t="shared" si="0"/>
      </c>
      <c r="L10217">
        <f t="shared" si="1"/>
      </c>
      <c r="M10217">
        <f t="shared" si="2"/>
      </c>
    </row>
    <row r="10218">
      <c r="G10218" s="9">
        <f t="shared" si="0"/>
      </c>
      <c r="L10218">
        <f t="shared" si="1"/>
      </c>
      <c r="M10218">
        <f t="shared" si="2"/>
      </c>
    </row>
    <row r="10219">
      <c r="G10219" s="9">
        <f t="shared" si="0"/>
      </c>
      <c r="L10219">
        <f t="shared" si="1"/>
      </c>
      <c r="M10219">
        <f t="shared" si="2"/>
      </c>
    </row>
    <row r="10220">
      <c r="G10220" s="9">
        <f t="shared" si="0"/>
      </c>
      <c r="L10220">
        <f t="shared" si="1"/>
      </c>
      <c r="M10220">
        <f t="shared" si="2"/>
      </c>
    </row>
    <row r="10221">
      <c r="G10221" s="9">
        <f t="shared" si="0"/>
      </c>
      <c r="L10221">
        <f t="shared" si="1"/>
      </c>
      <c r="M10221">
        <f t="shared" si="2"/>
      </c>
    </row>
    <row r="10222">
      <c r="G10222" s="9">
        <f t="shared" si="0"/>
      </c>
      <c r="L10222">
        <f t="shared" si="1"/>
      </c>
      <c r="M10222">
        <f t="shared" si="2"/>
      </c>
    </row>
    <row r="10223">
      <c r="G10223" s="9">
        <f t="shared" si="0"/>
      </c>
      <c r="L10223">
        <f t="shared" si="1"/>
      </c>
      <c r="M10223">
        <f t="shared" si="2"/>
      </c>
    </row>
    <row r="10224">
      <c r="G10224" s="9">
        <f t="shared" si="0"/>
      </c>
      <c r="L10224">
        <f t="shared" si="1"/>
      </c>
      <c r="M10224">
        <f t="shared" si="2"/>
      </c>
    </row>
    <row r="10225">
      <c r="G10225" s="9">
        <f t="shared" si="0"/>
      </c>
      <c r="L10225">
        <f t="shared" si="1"/>
      </c>
      <c r="M10225">
        <f t="shared" si="2"/>
      </c>
    </row>
    <row r="10226">
      <c r="G10226" s="9">
        <f t="shared" si="0"/>
      </c>
      <c r="L10226">
        <f t="shared" si="1"/>
      </c>
      <c r="M10226">
        <f t="shared" si="2"/>
      </c>
    </row>
    <row r="10227">
      <c r="G10227" s="9">
        <f t="shared" si="0"/>
      </c>
      <c r="L10227">
        <f t="shared" si="1"/>
      </c>
      <c r="M10227">
        <f t="shared" si="2"/>
      </c>
    </row>
    <row r="10228">
      <c r="G10228" s="9">
        <f t="shared" si="0"/>
      </c>
      <c r="L10228">
        <f t="shared" si="1"/>
      </c>
      <c r="M10228">
        <f t="shared" si="2"/>
      </c>
    </row>
    <row r="10229">
      <c r="G10229" s="9">
        <f t="shared" si="0"/>
      </c>
      <c r="L10229">
        <f t="shared" si="1"/>
      </c>
      <c r="M10229">
        <f t="shared" si="2"/>
      </c>
    </row>
    <row r="10230">
      <c r="G10230" s="9">
        <f t="shared" si="0"/>
      </c>
      <c r="L10230">
        <f t="shared" si="1"/>
      </c>
      <c r="M10230">
        <f t="shared" si="2"/>
      </c>
    </row>
    <row r="10231">
      <c r="G10231" s="9">
        <f t="shared" si="0"/>
      </c>
      <c r="L10231">
        <f t="shared" si="1"/>
      </c>
      <c r="M10231">
        <f t="shared" si="2"/>
      </c>
    </row>
    <row r="10232">
      <c r="G10232" s="9">
        <f t="shared" si="0"/>
      </c>
      <c r="L10232">
        <f t="shared" si="1"/>
      </c>
      <c r="M10232">
        <f t="shared" si="2"/>
      </c>
    </row>
    <row r="10233">
      <c r="G10233" s="9">
        <f t="shared" si="0"/>
      </c>
      <c r="L10233">
        <f t="shared" si="1"/>
      </c>
      <c r="M10233">
        <f t="shared" si="2"/>
      </c>
    </row>
    <row r="10234">
      <c r="G10234" s="9">
        <f t="shared" si="0"/>
      </c>
      <c r="L10234">
        <f t="shared" si="1"/>
      </c>
      <c r="M10234">
        <f t="shared" si="2"/>
      </c>
    </row>
    <row r="10235">
      <c r="G10235" s="9">
        <f t="shared" si="0"/>
      </c>
      <c r="L10235">
        <f t="shared" si="1"/>
      </c>
      <c r="M10235">
        <f t="shared" si="2"/>
      </c>
    </row>
    <row r="10236">
      <c r="G10236" s="9">
        <f t="shared" si="0"/>
      </c>
      <c r="L10236">
        <f t="shared" si="1"/>
      </c>
      <c r="M10236">
        <f t="shared" si="2"/>
      </c>
    </row>
    <row r="10237">
      <c r="G10237" s="9">
        <f t="shared" si="0"/>
      </c>
      <c r="L10237">
        <f t="shared" si="1"/>
      </c>
      <c r="M10237">
        <f t="shared" si="2"/>
      </c>
    </row>
    <row r="10238">
      <c r="G10238" s="9">
        <f t="shared" si="0"/>
      </c>
      <c r="L10238">
        <f t="shared" si="1"/>
      </c>
      <c r="M10238">
        <f t="shared" si="2"/>
      </c>
    </row>
    <row r="10239">
      <c r="G10239" s="9">
        <f t="shared" si="0"/>
      </c>
      <c r="L10239">
        <f t="shared" si="1"/>
      </c>
      <c r="M10239">
        <f t="shared" si="2"/>
      </c>
    </row>
    <row r="10240">
      <c r="G10240" s="9">
        <f t="shared" si="0"/>
      </c>
      <c r="L10240">
        <f t="shared" si="1"/>
      </c>
      <c r="M10240">
        <f t="shared" si="2"/>
      </c>
    </row>
    <row r="10241">
      <c r="G10241" s="9">
        <f t="shared" si="0"/>
      </c>
      <c r="L10241">
        <f t="shared" si="1"/>
      </c>
      <c r="M10241">
        <f t="shared" si="2"/>
      </c>
    </row>
    <row r="10242">
      <c r="G10242" s="9">
        <f t="shared" si="0"/>
      </c>
      <c r="L10242">
        <f t="shared" si="1"/>
      </c>
      <c r="M10242">
        <f t="shared" si="2"/>
      </c>
    </row>
    <row r="10243">
      <c r="G10243" s="9">
        <f t="shared" si="0"/>
      </c>
      <c r="L10243">
        <f t="shared" si="1"/>
      </c>
      <c r="M10243">
        <f t="shared" si="2"/>
      </c>
    </row>
    <row r="10244">
      <c r="G10244" s="9">
        <f t="shared" si="0"/>
      </c>
      <c r="L10244">
        <f t="shared" si="1"/>
      </c>
      <c r="M10244">
        <f t="shared" si="2"/>
      </c>
    </row>
    <row r="10245">
      <c r="G10245" s="9">
        <f t="shared" si="0"/>
      </c>
      <c r="L10245">
        <f t="shared" si="1"/>
      </c>
      <c r="M10245">
        <f t="shared" si="2"/>
      </c>
    </row>
    <row r="10246">
      <c r="G10246" s="9">
        <f t="shared" si="0"/>
      </c>
      <c r="L10246">
        <f t="shared" si="1"/>
      </c>
      <c r="M10246">
        <f t="shared" si="2"/>
      </c>
    </row>
    <row r="10247">
      <c r="G10247" s="9">
        <f t="shared" si="0"/>
      </c>
      <c r="L10247">
        <f t="shared" si="1"/>
      </c>
      <c r="M10247">
        <f t="shared" si="2"/>
      </c>
    </row>
    <row r="10248">
      <c r="G10248" s="9">
        <f t="shared" si="0"/>
      </c>
      <c r="L10248">
        <f t="shared" si="1"/>
      </c>
      <c r="M10248">
        <f t="shared" si="2"/>
      </c>
    </row>
    <row r="10249">
      <c r="G10249" s="9">
        <f t="shared" si="0"/>
      </c>
      <c r="L10249">
        <f t="shared" si="1"/>
      </c>
      <c r="M10249">
        <f t="shared" si="2"/>
      </c>
    </row>
    <row r="10250">
      <c r="G10250" s="9">
        <f t="shared" si="0"/>
      </c>
      <c r="L10250">
        <f t="shared" si="1"/>
      </c>
      <c r="M10250">
        <f t="shared" si="2"/>
      </c>
    </row>
    <row r="10251">
      <c r="G10251" s="9">
        <f t="shared" si="0"/>
      </c>
      <c r="L10251">
        <f t="shared" si="1"/>
      </c>
      <c r="M10251">
        <f t="shared" si="2"/>
      </c>
    </row>
    <row r="10252">
      <c r="G10252" s="9">
        <f t="shared" si="0"/>
      </c>
      <c r="L10252">
        <f t="shared" si="1"/>
      </c>
      <c r="M10252">
        <f t="shared" si="2"/>
      </c>
    </row>
    <row r="10253">
      <c r="G10253" s="9">
        <f t="shared" si="0"/>
      </c>
      <c r="L10253">
        <f t="shared" si="1"/>
      </c>
      <c r="M10253">
        <f t="shared" si="2"/>
      </c>
    </row>
    <row r="10254">
      <c r="G10254" s="9">
        <f t="shared" si="0"/>
      </c>
      <c r="L10254">
        <f t="shared" si="1"/>
      </c>
      <c r="M10254">
        <f t="shared" si="2"/>
      </c>
    </row>
    <row r="10255">
      <c r="G10255" s="9">
        <f t="shared" si="0"/>
      </c>
      <c r="L10255">
        <f t="shared" si="1"/>
      </c>
      <c r="M10255">
        <f t="shared" si="2"/>
      </c>
    </row>
    <row r="10256">
      <c r="G10256" s="9">
        <f t="shared" si="0"/>
      </c>
      <c r="L10256">
        <f t="shared" si="1"/>
      </c>
      <c r="M10256">
        <f t="shared" si="2"/>
      </c>
    </row>
    <row r="10257">
      <c r="G10257" s="9">
        <f t="shared" si="0"/>
      </c>
      <c r="L10257">
        <f t="shared" si="1"/>
      </c>
      <c r="M10257">
        <f t="shared" si="2"/>
      </c>
    </row>
    <row r="10258">
      <c r="G10258" s="9">
        <f t="shared" si="0"/>
      </c>
      <c r="L10258">
        <f t="shared" si="1"/>
      </c>
      <c r="M10258">
        <f t="shared" si="2"/>
      </c>
    </row>
    <row r="10259">
      <c r="G10259" s="9">
        <f t="shared" si="0"/>
      </c>
      <c r="L10259">
        <f t="shared" si="1"/>
      </c>
      <c r="M10259">
        <f t="shared" si="2"/>
      </c>
    </row>
    <row r="10260">
      <c r="G10260" s="9">
        <f t="shared" si="0"/>
      </c>
      <c r="L10260">
        <f t="shared" si="1"/>
      </c>
      <c r="M10260">
        <f t="shared" si="2"/>
      </c>
    </row>
    <row r="10261">
      <c r="G10261" s="9">
        <f t="shared" si="0"/>
      </c>
      <c r="L10261">
        <f t="shared" si="1"/>
      </c>
      <c r="M10261">
        <f t="shared" si="2"/>
      </c>
    </row>
    <row r="10262">
      <c r="G10262" s="9">
        <f t="shared" si="0"/>
      </c>
      <c r="L10262">
        <f t="shared" si="1"/>
      </c>
      <c r="M10262">
        <f t="shared" si="2"/>
      </c>
    </row>
    <row r="10263">
      <c r="G10263" s="9">
        <f t="shared" si="0"/>
      </c>
      <c r="L10263">
        <f t="shared" si="1"/>
      </c>
      <c r="M10263">
        <f t="shared" si="2"/>
      </c>
    </row>
    <row r="10264">
      <c r="G10264" s="9">
        <f t="shared" si="0"/>
      </c>
      <c r="L10264">
        <f t="shared" si="1"/>
      </c>
      <c r="M10264">
        <f t="shared" si="2"/>
      </c>
    </row>
    <row r="10265">
      <c r="G10265" s="9">
        <f t="shared" si="0"/>
      </c>
      <c r="L10265">
        <f t="shared" si="1"/>
      </c>
      <c r="M10265">
        <f t="shared" si="2"/>
      </c>
    </row>
    <row r="10266">
      <c r="G10266" s="9">
        <f t="shared" si="0"/>
      </c>
      <c r="L10266">
        <f t="shared" si="1"/>
      </c>
      <c r="M10266">
        <f t="shared" si="2"/>
      </c>
    </row>
    <row r="10267">
      <c r="G10267" s="9">
        <f t="shared" si="0"/>
      </c>
      <c r="L10267">
        <f t="shared" si="1"/>
      </c>
      <c r="M10267">
        <f t="shared" si="2"/>
      </c>
    </row>
    <row r="10268">
      <c r="G10268" s="9">
        <f t="shared" si="0"/>
      </c>
      <c r="L10268">
        <f t="shared" si="1"/>
      </c>
      <c r="M10268">
        <f t="shared" si="2"/>
      </c>
    </row>
    <row r="10269">
      <c r="G10269" s="9">
        <f t="shared" si="0"/>
      </c>
      <c r="L10269">
        <f t="shared" si="1"/>
      </c>
      <c r="M10269">
        <f t="shared" si="2"/>
      </c>
    </row>
    <row r="10270">
      <c r="G10270" s="9">
        <f t="shared" si="0"/>
      </c>
      <c r="L10270">
        <f t="shared" si="1"/>
      </c>
      <c r="M10270">
        <f t="shared" si="2"/>
      </c>
    </row>
    <row r="10271">
      <c r="G10271" s="9">
        <f t="shared" si="0"/>
      </c>
      <c r="L10271">
        <f t="shared" si="1"/>
      </c>
      <c r="M10271">
        <f t="shared" si="2"/>
      </c>
    </row>
    <row r="10272">
      <c r="G10272" s="9">
        <f t="shared" si="0"/>
      </c>
      <c r="L10272">
        <f t="shared" si="1"/>
      </c>
      <c r="M10272">
        <f t="shared" si="2"/>
      </c>
    </row>
    <row r="10273">
      <c r="G10273" s="9">
        <f t="shared" si="0"/>
      </c>
      <c r="L10273">
        <f t="shared" si="1"/>
      </c>
      <c r="M10273">
        <f t="shared" si="2"/>
      </c>
    </row>
    <row r="10274">
      <c r="G10274" s="9">
        <f t="shared" si="0"/>
      </c>
      <c r="L10274">
        <f t="shared" si="1"/>
      </c>
      <c r="M10274">
        <f t="shared" si="2"/>
      </c>
    </row>
    <row r="10275">
      <c r="G10275" s="9">
        <f t="shared" si="0"/>
      </c>
      <c r="L10275">
        <f t="shared" si="1"/>
      </c>
      <c r="M10275">
        <f t="shared" si="2"/>
      </c>
    </row>
    <row r="10276">
      <c r="G10276" s="9">
        <f t="shared" si="0"/>
      </c>
      <c r="L10276">
        <f t="shared" si="1"/>
      </c>
      <c r="M10276">
        <f t="shared" si="2"/>
      </c>
    </row>
    <row r="10277">
      <c r="G10277" s="9">
        <f t="shared" si="0"/>
      </c>
      <c r="L10277">
        <f t="shared" si="1"/>
      </c>
      <c r="M10277">
        <f t="shared" si="2"/>
      </c>
    </row>
    <row r="10278">
      <c r="G10278" s="9">
        <f t="shared" si="0"/>
      </c>
      <c r="L10278">
        <f t="shared" si="1"/>
      </c>
      <c r="M10278">
        <f t="shared" si="2"/>
      </c>
    </row>
    <row r="10279">
      <c r="G10279" s="9">
        <f t="shared" si="0"/>
      </c>
      <c r="L10279">
        <f t="shared" si="1"/>
      </c>
      <c r="M10279">
        <f t="shared" si="2"/>
      </c>
    </row>
    <row r="10280">
      <c r="G10280" s="9">
        <f t="shared" si="0"/>
      </c>
      <c r="L10280">
        <f t="shared" si="1"/>
      </c>
      <c r="M10280">
        <f t="shared" si="2"/>
      </c>
    </row>
    <row r="10281">
      <c r="G10281" s="9">
        <f t="shared" si="0"/>
      </c>
      <c r="L10281">
        <f t="shared" si="1"/>
      </c>
      <c r="M10281">
        <f t="shared" si="2"/>
      </c>
    </row>
    <row r="10282">
      <c r="G10282" s="9">
        <f t="shared" si="0"/>
      </c>
      <c r="L10282">
        <f t="shared" si="1"/>
      </c>
      <c r="M10282">
        <f t="shared" si="2"/>
      </c>
    </row>
    <row r="10283">
      <c r="G10283" s="9">
        <f t="shared" si="0"/>
      </c>
      <c r="L10283">
        <f t="shared" si="1"/>
      </c>
      <c r="M10283">
        <f t="shared" si="2"/>
      </c>
    </row>
    <row r="10284">
      <c r="G10284" s="9">
        <f t="shared" si="0"/>
      </c>
      <c r="L10284">
        <f t="shared" si="1"/>
      </c>
      <c r="M10284">
        <f t="shared" si="2"/>
      </c>
    </row>
    <row r="10285">
      <c r="G10285" s="9">
        <f t="shared" si="0"/>
      </c>
      <c r="L10285">
        <f t="shared" si="1"/>
      </c>
      <c r="M10285">
        <f t="shared" si="2"/>
      </c>
    </row>
    <row r="10286">
      <c r="G10286" s="9">
        <f t="shared" si="0"/>
      </c>
      <c r="L10286">
        <f t="shared" si="1"/>
      </c>
      <c r="M10286">
        <f t="shared" si="2"/>
      </c>
    </row>
    <row r="10287">
      <c r="G10287" s="9">
        <f t="shared" si="0"/>
      </c>
      <c r="L10287">
        <f t="shared" si="1"/>
      </c>
      <c r="M10287">
        <f t="shared" si="2"/>
      </c>
    </row>
    <row r="10288">
      <c r="G10288" s="9">
        <f t="shared" si="0"/>
      </c>
      <c r="L10288">
        <f t="shared" si="1"/>
      </c>
      <c r="M10288">
        <f t="shared" si="2"/>
      </c>
    </row>
    <row r="10289">
      <c r="G10289" s="9">
        <f t="shared" si="0"/>
      </c>
      <c r="L10289">
        <f t="shared" si="1"/>
      </c>
      <c r="M10289">
        <f t="shared" si="2"/>
      </c>
    </row>
    <row r="10290">
      <c r="G10290" s="9">
        <f t="shared" si="0"/>
      </c>
      <c r="L10290">
        <f t="shared" si="1"/>
      </c>
      <c r="M10290">
        <f t="shared" si="2"/>
      </c>
    </row>
    <row r="10291">
      <c r="G10291" s="9">
        <f t="shared" si="0"/>
      </c>
      <c r="L10291">
        <f t="shared" si="1"/>
      </c>
      <c r="M10291">
        <f t="shared" si="2"/>
      </c>
    </row>
    <row r="10292">
      <c r="G10292" s="9">
        <f t="shared" si="0"/>
      </c>
      <c r="L10292">
        <f t="shared" si="1"/>
      </c>
      <c r="M10292">
        <f t="shared" si="2"/>
      </c>
    </row>
    <row r="10293">
      <c r="G10293" s="9">
        <f t="shared" si="0"/>
      </c>
      <c r="L10293">
        <f t="shared" si="1"/>
      </c>
      <c r="M10293">
        <f t="shared" si="2"/>
      </c>
    </row>
    <row r="10294">
      <c r="G10294" s="9">
        <f t="shared" si="0"/>
      </c>
      <c r="L10294">
        <f t="shared" si="1"/>
      </c>
      <c r="M10294">
        <f t="shared" si="2"/>
      </c>
    </row>
    <row r="10295">
      <c r="G10295" s="9">
        <f t="shared" si="0"/>
      </c>
      <c r="L10295">
        <f t="shared" si="1"/>
      </c>
      <c r="M10295">
        <f t="shared" si="2"/>
      </c>
    </row>
    <row r="10296">
      <c r="G10296" s="9">
        <f t="shared" si="0"/>
      </c>
      <c r="L10296">
        <f t="shared" si="1"/>
      </c>
      <c r="M10296">
        <f t="shared" si="2"/>
      </c>
    </row>
    <row r="10297">
      <c r="G10297" s="9">
        <f t="shared" si="0"/>
      </c>
      <c r="L10297">
        <f t="shared" si="1"/>
      </c>
      <c r="M10297">
        <f t="shared" si="2"/>
      </c>
    </row>
    <row r="10298">
      <c r="G10298" s="9">
        <f t="shared" si="0"/>
      </c>
      <c r="L10298">
        <f t="shared" si="1"/>
      </c>
      <c r="M10298">
        <f t="shared" si="2"/>
      </c>
    </row>
    <row r="10299">
      <c r="G10299" s="9">
        <f t="shared" si="0"/>
      </c>
      <c r="L10299">
        <f t="shared" si="1"/>
      </c>
      <c r="M10299">
        <f t="shared" si="2"/>
      </c>
    </row>
    <row r="10300">
      <c r="G10300" s="9">
        <f t="shared" si="0"/>
      </c>
      <c r="L10300">
        <f t="shared" si="1"/>
      </c>
      <c r="M10300">
        <f t="shared" si="2"/>
      </c>
    </row>
    <row r="10301">
      <c r="G10301" s="9">
        <f t="shared" si="0"/>
      </c>
      <c r="L10301">
        <f t="shared" si="1"/>
      </c>
      <c r="M10301">
        <f t="shared" si="2"/>
      </c>
    </row>
    <row r="10302">
      <c r="G10302" s="9">
        <f t="shared" si="0"/>
      </c>
      <c r="L10302">
        <f t="shared" si="1"/>
      </c>
      <c r="M10302">
        <f t="shared" si="2"/>
      </c>
    </row>
    <row r="10303">
      <c r="G10303" s="9">
        <f t="shared" si="0"/>
      </c>
      <c r="L10303">
        <f t="shared" si="1"/>
      </c>
      <c r="M10303">
        <f t="shared" si="2"/>
      </c>
    </row>
    <row r="10304">
      <c r="G10304" s="9">
        <f t="shared" si="0"/>
      </c>
      <c r="L10304">
        <f t="shared" si="1"/>
      </c>
      <c r="M10304">
        <f t="shared" si="2"/>
      </c>
    </row>
    <row r="10305">
      <c r="G10305" s="9">
        <f t="shared" si="0"/>
      </c>
      <c r="L10305">
        <f t="shared" si="1"/>
      </c>
      <c r="M10305">
        <f t="shared" si="2"/>
      </c>
    </row>
    <row r="10306">
      <c r="G10306" s="9">
        <f t="shared" si="0"/>
      </c>
      <c r="L10306">
        <f t="shared" si="1"/>
      </c>
      <c r="M10306">
        <f t="shared" si="2"/>
      </c>
    </row>
    <row r="10307">
      <c r="G10307" s="9">
        <f t="shared" si="0"/>
      </c>
      <c r="L10307">
        <f t="shared" si="1"/>
      </c>
      <c r="M10307">
        <f t="shared" si="2"/>
      </c>
    </row>
    <row r="10308">
      <c r="G10308" s="9">
        <f t="shared" si="0"/>
      </c>
      <c r="L10308">
        <f t="shared" si="1"/>
      </c>
      <c r="M10308">
        <f t="shared" si="2"/>
      </c>
    </row>
    <row r="10309">
      <c r="G10309" s="9">
        <f t="shared" si="0"/>
      </c>
      <c r="L10309">
        <f t="shared" si="1"/>
      </c>
      <c r="M10309">
        <f t="shared" si="2"/>
      </c>
    </row>
    <row r="10310">
      <c r="G10310" s="9">
        <f t="shared" si="0"/>
      </c>
      <c r="L10310">
        <f t="shared" si="1"/>
      </c>
      <c r="M10310">
        <f t="shared" si="2"/>
      </c>
    </row>
    <row r="10311">
      <c r="G10311" s="9">
        <f t="shared" si="0"/>
      </c>
      <c r="L10311">
        <f t="shared" si="1"/>
      </c>
      <c r="M10311">
        <f t="shared" si="2"/>
      </c>
    </row>
    <row r="10312">
      <c r="G10312" s="9">
        <f t="shared" si="0"/>
      </c>
      <c r="L10312">
        <f t="shared" si="1"/>
      </c>
      <c r="M10312">
        <f t="shared" si="2"/>
      </c>
    </row>
    <row r="10313">
      <c r="G10313" s="9">
        <f t="shared" si="0"/>
      </c>
      <c r="L10313">
        <f t="shared" si="1"/>
      </c>
      <c r="M10313">
        <f t="shared" si="2"/>
      </c>
    </row>
    <row r="10314">
      <c r="G10314" s="9">
        <f t="shared" si="0"/>
      </c>
      <c r="L10314">
        <f t="shared" si="1"/>
      </c>
      <c r="M10314">
        <f t="shared" si="2"/>
      </c>
    </row>
    <row r="10315">
      <c r="G10315" s="9">
        <f t="shared" si="0"/>
      </c>
      <c r="L10315">
        <f t="shared" si="1"/>
      </c>
      <c r="M10315">
        <f t="shared" si="2"/>
      </c>
    </row>
    <row r="10316">
      <c r="G10316" s="9">
        <f t="shared" si="0"/>
      </c>
      <c r="L10316">
        <f t="shared" si="1"/>
      </c>
      <c r="M10316">
        <f t="shared" si="2"/>
      </c>
    </row>
    <row r="10317">
      <c r="G10317" s="9">
        <f t="shared" si="0"/>
      </c>
      <c r="L10317">
        <f t="shared" si="1"/>
      </c>
      <c r="M10317">
        <f t="shared" si="2"/>
      </c>
    </row>
    <row r="10318">
      <c r="G10318" s="9">
        <f t="shared" si="0"/>
      </c>
      <c r="L10318">
        <f t="shared" si="1"/>
      </c>
      <c r="M10318">
        <f t="shared" si="2"/>
      </c>
    </row>
    <row r="10319">
      <c r="G10319" s="9">
        <f t="shared" si="0"/>
      </c>
      <c r="L10319">
        <f t="shared" si="1"/>
      </c>
      <c r="M10319">
        <f t="shared" si="2"/>
      </c>
    </row>
    <row r="10320">
      <c r="G10320" s="9">
        <f t="shared" si="0"/>
      </c>
      <c r="L10320">
        <f t="shared" si="1"/>
      </c>
      <c r="M10320">
        <f t="shared" si="2"/>
      </c>
    </row>
    <row r="10321">
      <c r="G10321" s="9">
        <f t="shared" si="0"/>
      </c>
      <c r="L10321">
        <f t="shared" si="1"/>
      </c>
      <c r="M10321">
        <f t="shared" si="2"/>
      </c>
    </row>
    <row r="10322">
      <c r="G10322" s="9">
        <f t="shared" si="0"/>
      </c>
      <c r="L10322">
        <f t="shared" si="1"/>
      </c>
      <c r="M10322">
        <f t="shared" si="2"/>
      </c>
    </row>
    <row r="10323">
      <c r="G10323" s="9">
        <f t="shared" si="0"/>
      </c>
      <c r="L10323">
        <f t="shared" si="1"/>
      </c>
      <c r="M10323">
        <f t="shared" si="2"/>
      </c>
    </row>
    <row r="10324">
      <c r="G10324" s="9">
        <f t="shared" si="0"/>
      </c>
      <c r="L10324">
        <f t="shared" si="1"/>
      </c>
      <c r="M10324">
        <f t="shared" si="2"/>
      </c>
    </row>
    <row r="10325">
      <c r="G10325" s="9">
        <f t="shared" si="0"/>
      </c>
      <c r="L10325">
        <f t="shared" si="1"/>
      </c>
      <c r="M10325">
        <f t="shared" si="2"/>
      </c>
    </row>
    <row r="10326">
      <c r="G10326" s="9">
        <f t="shared" si="0"/>
      </c>
      <c r="L10326">
        <f t="shared" si="1"/>
      </c>
      <c r="M10326">
        <f t="shared" si="2"/>
      </c>
    </row>
    <row r="10327">
      <c r="G10327" s="9">
        <f t="shared" si="0"/>
      </c>
      <c r="L10327">
        <f t="shared" si="1"/>
      </c>
      <c r="M10327">
        <f t="shared" si="2"/>
      </c>
    </row>
    <row r="10328">
      <c r="G10328" s="9">
        <f t="shared" si="0"/>
      </c>
      <c r="L10328">
        <f t="shared" si="1"/>
      </c>
      <c r="M10328">
        <f t="shared" si="2"/>
      </c>
    </row>
    <row r="10329">
      <c r="G10329" s="9">
        <f t="shared" si="0"/>
      </c>
      <c r="L10329">
        <f t="shared" si="1"/>
      </c>
      <c r="M10329">
        <f t="shared" si="2"/>
      </c>
    </row>
    <row r="10330">
      <c r="G10330" s="9">
        <f t="shared" si="0"/>
      </c>
      <c r="L10330">
        <f t="shared" si="1"/>
      </c>
      <c r="M10330">
        <f t="shared" si="2"/>
      </c>
    </row>
    <row r="10331">
      <c r="G10331" s="9">
        <f t="shared" si="0"/>
      </c>
      <c r="L10331">
        <f t="shared" si="1"/>
      </c>
      <c r="M10331">
        <f t="shared" si="2"/>
      </c>
    </row>
    <row r="10332">
      <c r="G10332" s="9">
        <f t="shared" si="0"/>
      </c>
      <c r="L10332">
        <f t="shared" si="1"/>
      </c>
      <c r="M10332">
        <f t="shared" si="2"/>
      </c>
    </row>
    <row r="10333">
      <c r="G10333" s="9">
        <f t="shared" si="0"/>
      </c>
      <c r="L10333">
        <f t="shared" si="1"/>
      </c>
      <c r="M10333">
        <f t="shared" si="2"/>
      </c>
    </row>
    <row r="10334">
      <c r="G10334" s="9">
        <f t="shared" si="0"/>
      </c>
      <c r="L10334">
        <f t="shared" si="1"/>
      </c>
      <c r="M10334">
        <f t="shared" si="2"/>
      </c>
    </row>
    <row r="10335">
      <c r="G10335" s="9">
        <f t="shared" si="0"/>
      </c>
      <c r="L10335">
        <f t="shared" si="1"/>
      </c>
      <c r="M10335">
        <f t="shared" si="2"/>
      </c>
    </row>
    <row r="10336">
      <c r="G10336" s="9">
        <f t="shared" si="0"/>
      </c>
      <c r="L10336">
        <f t="shared" si="1"/>
      </c>
      <c r="M10336">
        <f t="shared" si="2"/>
      </c>
    </row>
    <row r="10337">
      <c r="G10337" s="9">
        <f t="shared" si="0"/>
      </c>
      <c r="L10337">
        <f t="shared" si="1"/>
      </c>
      <c r="M10337">
        <f t="shared" si="2"/>
      </c>
    </row>
    <row r="10338">
      <c r="G10338" s="9">
        <f t="shared" si="0"/>
      </c>
      <c r="L10338">
        <f t="shared" si="1"/>
      </c>
      <c r="M10338">
        <f t="shared" si="2"/>
      </c>
    </row>
    <row r="10339">
      <c r="G10339" s="9">
        <f t="shared" si="0"/>
      </c>
      <c r="L10339">
        <f t="shared" si="1"/>
      </c>
      <c r="M10339">
        <f t="shared" si="2"/>
      </c>
    </row>
    <row r="10340">
      <c r="G10340" s="9">
        <f t="shared" si="0"/>
      </c>
      <c r="L10340">
        <f t="shared" si="1"/>
      </c>
      <c r="M10340">
        <f t="shared" si="2"/>
      </c>
    </row>
    <row r="10341">
      <c r="G10341" s="9">
        <f t="shared" si="0"/>
      </c>
      <c r="L10341">
        <f t="shared" si="1"/>
      </c>
      <c r="M10341">
        <f t="shared" si="2"/>
      </c>
    </row>
    <row r="10342">
      <c r="G10342" s="9">
        <f t="shared" si="0"/>
      </c>
      <c r="L10342">
        <f t="shared" si="1"/>
      </c>
      <c r="M10342">
        <f t="shared" si="2"/>
      </c>
    </row>
    <row r="10343">
      <c r="G10343" s="9">
        <f t="shared" si="0"/>
      </c>
      <c r="L10343">
        <f t="shared" si="1"/>
      </c>
      <c r="M10343">
        <f t="shared" si="2"/>
      </c>
    </row>
    <row r="10344">
      <c r="G10344" s="9">
        <f t="shared" si="0"/>
      </c>
      <c r="L10344">
        <f t="shared" si="1"/>
      </c>
      <c r="M10344">
        <f t="shared" si="2"/>
      </c>
    </row>
    <row r="10345">
      <c r="G10345" s="9">
        <f t="shared" si="0"/>
      </c>
      <c r="L10345">
        <f t="shared" si="1"/>
      </c>
      <c r="M10345">
        <f t="shared" si="2"/>
      </c>
    </row>
    <row r="10346">
      <c r="G10346" s="9">
        <f t="shared" si="0"/>
      </c>
      <c r="L10346">
        <f t="shared" si="1"/>
      </c>
      <c r="M10346">
        <f t="shared" si="2"/>
      </c>
    </row>
    <row r="10347">
      <c r="G10347" s="9">
        <f t="shared" si="0"/>
      </c>
      <c r="L10347">
        <f t="shared" si="1"/>
      </c>
      <c r="M10347">
        <f t="shared" si="2"/>
      </c>
    </row>
    <row r="10348">
      <c r="G10348" s="9">
        <f t="shared" si="0"/>
      </c>
      <c r="L10348">
        <f t="shared" si="1"/>
      </c>
      <c r="M10348">
        <f t="shared" si="2"/>
      </c>
    </row>
    <row r="10349">
      <c r="G10349" s="9">
        <f t="shared" si="0"/>
      </c>
      <c r="L10349">
        <f t="shared" si="1"/>
      </c>
      <c r="M10349">
        <f t="shared" si="2"/>
      </c>
    </row>
    <row r="10350">
      <c r="G10350" s="9">
        <f t="shared" si="0"/>
      </c>
      <c r="L10350">
        <f t="shared" si="1"/>
      </c>
      <c r="M10350">
        <f t="shared" si="2"/>
      </c>
    </row>
    <row r="10351">
      <c r="G10351" s="9">
        <f t="shared" si="0"/>
      </c>
      <c r="L10351">
        <f t="shared" si="1"/>
      </c>
      <c r="M10351">
        <f t="shared" si="2"/>
      </c>
    </row>
    <row r="10352">
      <c r="G10352" s="9">
        <f t="shared" si="0"/>
      </c>
      <c r="L10352">
        <f t="shared" si="1"/>
      </c>
      <c r="M10352">
        <f t="shared" si="2"/>
      </c>
    </row>
    <row r="10353">
      <c r="G10353" s="9">
        <f t="shared" si="0"/>
      </c>
      <c r="L10353">
        <f t="shared" si="1"/>
      </c>
      <c r="M10353">
        <f t="shared" si="2"/>
      </c>
    </row>
    <row r="10354">
      <c r="G10354" s="9">
        <f t="shared" si="0"/>
      </c>
      <c r="L10354">
        <f t="shared" si="1"/>
      </c>
      <c r="M10354">
        <f t="shared" si="2"/>
      </c>
    </row>
    <row r="10355">
      <c r="G10355" s="9">
        <f t="shared" si="0"/>
      </c>
      <c r="L10355">
        <f t="shared" si="1"/>
      </c>
      <c r="M10355">
        <f t="shared" si="2"/>
      </c>
    </row>
    <row r="10356">
      <c r="G10356" s="9">
        <f t="shared" si="0"/>
      </c>
      <c r="L10356">
        <f t="shared" si="1"/>
      </c>
      <c r="M10356">
        <f t="shared" si="2"/>
      </c>
    </row>
    <row r="10357">
      <c r="G10357" s="9">
        <f t="shared" si="0"/>
      </c>
      <c r="L10357">
        <f t="shared" si="1"/>
      </c>
      <c r="M10357">
        <f t="shared" si="2"/>
      </c>
    </row>
    <row r="10358">
      <c r="G10358" s="9">
        <f t="shared" si="0"/>
      </c>
      <c r="L10358">
        <f t="shared" si="1"/>
      </c>
      <c r="M10358">
        <f t="shared" si="2"/>
      </c>
    </row>
    <row r="10359">
      <c r="G10359" s="9">
        <f t="shared" si="0"/>
      </c>
      <c r="L10359">
        <f t="shared" si="1"/>
      </c>
      <c r="M10359">
        <f t="shared" si="2"/>
      </c>
    </row>
    <row r="10360">
      <c r="G10360" s="9">
        <f t="shared" si="0"/>
      </c>
      <c r="L10360">
        <f t="shared" si="1"/>
      </c>
      <c r="M10360">
        <f t="shared" si="2"/>
      </c>
    </row>
    <row r="10361">
      <c r="G10361" s="9">
        <f t="shared" si="0"/>
      </c>
      <c r="L10361">
        <f t="shared" si="1"/>
      </c>
      <c r="M10361">
        <f t="shared" si="2"/>
      </c>
    </row>
    <row r="10362">
      <c r="G10362" s="9">
        <f t="shared" si="0"/>
      </c>
      <c r="L10362">
        <f t="shared" si="1"/>
      </c>
      <c r="M10362">
        <f t="shared" si="2"/>
      </c>
    </row>
    <row r="10363">
      <c r="G10363" s="9">
        <f t="shared" si="0"/>
      </c>
      <c r="L10363">
        <f t="shared" si="1"/>
      </c>
      <c r="M10363">
        <f t="shared" si="2"/>
      </c>
    </row>
    <row r="10364">
      <c r="G10364" s="9">
        <f t="shared" si="0"/>
      </c>
      <c r="L10364">
        <f t="shared" si="1"/>
      </c>
      <c r="M10364">
        <f t="shared" si="2"/>
      </c>
    </row>
    <row r="10365">
      <c r="G10365" s="9">
        <f t="shared" si="0"/>
      </c>
      <c r="L10365">
        <f t="shared" si="1"/>
      </c>
      <c r="M10365">
        <f t="shared" si="2"/>
      </c>
    </row>
    <row r="10366">
      <c r="G10366" s="9">
        <f t="shared" si="0"/>
      </c>
      <c r="L10366">
        <f t="shared" si="1"/>
      </c>
      <c r="M10366">
        <f t="shared" si="2"/>
      </c>
    </row>
    <row r="10367">
      <c r="G10367" s="9">
        <f t="shared" si="0"/>
      </c>
      <c r="L10367">
        <f t="shared" si="1"/>
      </c>
      <c r="M10367">
        <f t="shared" si="2"/>
      </c>
    </row>
    <row r="10368">
      <c r="G10368" s="9">
        <f t="shared" si="0"/>
      </c>
      <c r="L10368">
        <f t="shared" si="1"/>
      </c>
      <c r="M10368">
        <f t="shared" si="2"/>
      </c>
    </row>
    <row r="10369">
      <c r="G10369" s="9">
        <f t="shared" si="0"/>
      </c>
      <c r="L10369">
        <f t="shared" si="1"/>
      </c>
      <c r="M10369">
        <f t="shared" si="2"/>
      </c>
    </row>
    <row r="10370">
      <c r="G10370" s="9">
        <f t="shared" si="0"/>
      </c>
      <c r="L10370">
        <f t="shared" si="1"/>
      </c>
      <c r="M10370">
        <f t="shared" si="2"/>
      </c>
    </row>
    <row r="10371">
      <c r="G10371" s="9">
        <f t="shared" si="0"/>
      </c>
      <c r="L10371">
        <f t="shared" si="1"/>
      </c>
      <c r="M10371">
        <f t="shared" si="2"/>
      </c>
    </row>
    <row r="10372">
      <c r="G10372" s="9">
        <f t="shared" si="0"/>
      </c>
      <c r="L10372">
        <f t="shared" si="1"/>
      </c>
      <c r="M10372">
        <f t="shared" si="2"/>
      </c>
    </row>
    <row r="10373">
      <c r="G10373" s="9">
        <f t="shared" si="0"/>
      </c>
      <c r="L10373">
        <f t="shared" si="1"/>
      </c>
      <c r="M10373">
        <f t="shared" si="2"/>
      </c>
    </row>
    <row r="10374">
      <c r="G10374" s="9">
        <f t="shared" si="0"/>
      </c>
      <c r="L10374">
        <f t="shared" si="1"/>
      </c>
      <c r="M10374">
        <f t="shared" si="2"/>
      </c>
    </row>
    <row r="10375">
      <c r="G10375" s="9">
        <f t="shared" si="0"/>
      </c>
      <c r="L10375">
        <f t="shared" si="1"/>
      </c>
      <c r="M10375">
        <f t="shared" si="2"/>
      </c>
    </row>
    <row r="10376">
      <c r="G10376" s="9">
        <f t="shared" si="0"/>
      </c>
      <c r="L10376">
        <f t="shared" si="1"/>
      </c>
      <c r="M10376">
        <f t="shared" si="2"/>
      </c>
    </row>
    <row r="10377">
      <c r="G10377" s="9">
        <f t="shared" si="0"/>
      </c>
      <c r="L10377">
        <f t="shared" si="1"/>
      </c>
      <c r="M10377">
        <f t="shared" si="2"/>
      </c>
    </row>
    <row r="10378">
      <c r="G10378" s="9">
        <f t="shared" si="0"/>
      </c>
      <c r="L10378">
        <f t="shared" si="1"/>
      </c>
      <c r="M10378">
        <f t="shared" si="2"/>
      </c>
    </row>
    <row r="10379">
      <c r="G10379" s="9">
        <f t="shared" si="0"/>
      </c>
      <c r="L10379">
        <f t="shared" si="1"/>
      </c>
      <c r="M10379">
        <f t="shared" si="2"/>
      </c>
    </row>
    <row r="10380">
      <c r="G10380" s="9">
        <f t="shared" si="0"/>
      </c>
      <c r="L10380">
        <f t="shared" si="1"/>
      </c>
      <c r="M10380">
        <f t="shared" si="2"/>
      </c>
    </row>
    <row r="10381">
      <c r="G10381" s="9">
        <f t="shared" si="0"/>
      </c>
      <c r="L10381">
        <f t="shared" si="1"/>
      </c>
      <c r="M10381">
        <f t="shared" si="2"/>
      </c>
    </row>
    <row r="10382">
      <c r="G10382" s="9">
        <f t="shared" si="0"/>
      </c>
      <c r="L10382">
        <f t="shared" si="1"/>
      </c>
      <c r="M10382">
        <f t="shared" si="2"/>
      </c>
    </row>
    <row r="10383">
      <c r="G10383" s="9">
        <f t="shared" si="0"/>
      </c>
      <c r="L10383">
        <f t="shared" si="1"/>
      </c>
      <c r="M10383">
        <f t="shared" si="2"/>
      </c>
    </row>
    <row r="10384">
      <c r="G10384" s="9">
        <f t="shared" si="0"/>
      </c>
      <c r="L10384">
        <f t="shared" si="1"/>
      </c>
      <c r="M10384">
        <f t="shared" si="2"/>
      </c>
    </row>
    <row r="10385">
      <c r="G10385" s="9">
        <f t="shared" si="0"/>
      </c>
      <c r="L10385">
        <f t="shared" si="1"/>
      </c>
      <c r="M10385">
        <f t="shared" si="2"/>
      </c>
    </row>
    <row r="10386">
      <c r="G10386" s="9">
        <f t="shared" si="0"/>
      </c>
      <c r="L10386">
        <f t="shared" si="1"/>
      </c>
      <c r="M10386">
        <f t="shared" si="2"/>
      </c>
    </row>
    <row r="10387">
      <c r="G10387" s="9">
        <f t="shared" si="0"/>
      </c>
      <c r="L10387">
        <f t="shared" si="1"/>
      </c>
      <c r="M10387">
        <f t="shared" si="2"/>
      </c>
    </row>
    <row r="10388">
      <c r="G10388" s="9">
        <f t="shared" si="0"/>
      </c>
      <c r="L10388">
        <f t="shared" si="1"/>
      </c>
      <c r="M10388">
        <f t="shared" si="2"/>
      </c>
    </row>
    <row r="10389">
      <c r="G10389" s="9">
        <f t="shared" si="0"/>
      </c>
      <c r="L10389">
        <f t="shared" si="1"/>
      </c>
      <c r="M10389">
        <f t="shared" si="2"/>
      </c>
    </row>
    <row r="10390">
      <c r="G10390" s="9">
        <f t="shared" si="0"/>
      </c>
      <c r="L10390">
        <f t="shared" si="1"/>
      </c>
      <c r="M10390">
        <f t="shared" si="2"/>
      </c>
    </row>
    <row r="10391">
      <c r="G10391" s="9">
        <f t="shared" si="0"/>
      </c>
      <c r="L10391">
        <f t="shared" si="1"/>
      </c>
      <c r="M10391">
        <f t="shared" si="2"/>
      </c>
    </row>
    <row r="10392">
      <c r="G10392" s="9">
        <f t="shared" si="0"/>
      </c>
      <c r="L10392">
        <f t="shared" si="1"/>
      </c>
      <c r="M10392">
        <f t="shared" si="2"/>
      </c>
    </row>
    <row r="10393">
      <c r="G10393" s="9">
        <f t="shared" si="0"/>
      </c>
      <c r="L10393">
        <f t="shared" si="1"/>
      </c>
      <c r="M10393">
        <f t="shared" si="2"/>
      </c>
    </row>
    <row r="10394">
      <c r="G10394" s="9">
        <f t="shared" si="0"/>
      </c>
      <c r="L10394">
        <f t="shared" si="1"/>
      </c>
      <c r="M10394">
        <f t="shared" si="2"/>
      </c>
    </row>
    <row r="10395">
      <c r="G10395" s="9">
        <f t="shared" si="0"/>
      </c>
      <c r="L10395">
        <f t="shared" si="1"/>
      </c>
      <c r="M10395">
        <f t="shared" si="2"/>
      </c>
    </row>
    <row r="10396">
      <c r="G10396" s="9">
        <f t="shared" si="0"/>
      </c>
      <c r="L10396">
        <f t="shared" si="1"/>
      </c>
      <c r="M10396">
        <f t="shared" si="2"/>
      </c>
    </row>
    <row r="10397">
      <c r="G10397" s="9">
        <f t="shared" si="0"/>
      </c>
      <c r="L10397">
        <f t="shared" si="1"/>
      </c>
      <c r="M10397">
        <f t="shared" si="2"/>
      </c>
    </row>
    <row r="10398">
      <c r="G10398" s="9">
        <f t="shared" si="0"/>
      </c>
      <c r="L10398">
        <f t="shared" si="1"/>
      </c>
      <c r="M10398">
        <f t="shared" si="2"/>
      </c>
    </row>
    <row r="10399">
      <c r="G10399" s="9">
        <f t="shared" si="0"/>
      </c>
      <c r="L10399">
        <f t="shared" si="1"/>
      </c>
      <c r="M10399">
        <f t="shared" si="2"/>
      </c>
    </row>
    <row r="10400">
      <c r="G10400" s="9">
        <f t="shared" si="0"/>
      </c>
      <c r="L10400">
        <f t="shared" si="1"/>
      </c>
      <c r="M10400">
        <f t="shared" si="2"/>
      </c>
    </row>
    <row r="10401">
      <c r="G10401" s="9">
        <f t="shared" si="0"/>
      </c>
      <c r="L10401">
        <f t="shared" si="1"/>
      </c>
      <c r="M10401">
        <f t="shared" si="2"/>
      </c>
    </row>
    <row r="10402">
      <c r="G10402" s="9">
        <f t="shared" si="0"/>
      </c>
      <c r="L10402">
        <f t="shared" si="1"/>
      </c>
      <c r="M10402">
        <f t="shared" si="2"/>
      </c>
    </row>
    <row r="10403">
      <c r="G10403" s="9">
        <f t="shared" si="0"/>
      </c>
      <c r="L10403">
        <f t="shared" si="1"/>
      </c>
      <c r="M10403">
        <f t="shared" si="2"/>
      </c>
    </row>
    <row r="10404">
      <c r="G10404" s="9">
        <f t="shared" si="0"/>
      </c>
      <c r="L10404">
        <f t="shared" si="1"/>
      </c>
      <c r="M10404">
        <f t="shared" si="2"/>
      </c>
    </row>
    <row r="10405">
      <c r="G10405" s="9">
        <f t="shared" si="0"/>
      </c>
      <c r="L10405">
        <f t="shared" si="1"/>
      </c>
      <c r="M10405">
        <f t="shared" si="2"/>
      </c>
    </row>
    <row r="10406">
      <c r="G10406" s="9">
        <f t="shared" si="0"/>
      </c>
      <c r="L10406">
        <f t="shared" si="1"/>
      </c>
      <c r="M10406">
        <f t="shared" si="2"/>
      </c>
    </row>
    <row r="10407">
      <c r="G10407" s="9">
        <f t="shared" si="0"/>
      </c>
      <c r="L10407">
        <f t="shared" si="1"/>
      </c>
      <c r="M10407">
        <f t="shared" si="2"/>
      </c>
    </row>
    <row r="10408">
      <c r="G10408" s="9">
        <f t="shared" si="0"/>
      </c>
      <c r="L10408">
        <f t="shared" si="1"/>
      </c>
      <c r="M10408">
        <f t="shared" si="2"/>
      </c>
    </row>
    <row r="10409">
      <c r="G10409" s="9">
        <f t="shared" si="0"/>
      </c>
      <c r="L10409">
        <f t="shared" si="1"/>
      </c>
      <c r="M10409">
        <f t="shared" si="2"/>
      </c>
    </row>
    <row r="10410">
      <c r="G10410" s="9">
        <f t="shared" si="0"/>
      </c>
      <c r="L10410">
        <f t="shared" si="1"/>
      </c>
      <c r="M10410">
        <f t="shared" si="2"/>
      </c>
    </row>
    <row r="10411">
      <c r="G10411" s="9">
        <f t="shared" si="0"/>
      </c>
      <c r="L10411">
        <f t="shared" si="1"/>
      </c>
      <c r="M10411">
        <f t="shared" si="2"/>
      </c>
    </row>
    <row r="10412">
      <c r="G10412" s="9">
        <f t="shared" si="0"/>
      </c>
      <c r="L10412">
        <f t="shared" si="1"/>
      </c>
      <c r="M10412">
        <f t="shared" si="2"/>
      </c>
    </row>
    <row r="10413">
      <c r="G10413" s="9">
        <f t="shared" si="0"/>
      </c>
      <c r="L10413">
        <f t="shared" si="1"/>
      </c>
      <c r="M10413">
        <f t="shared" si="2"/>
      </c>
    </row>
    <row r="10414">
      <c r="G10414" s="9">
        <f t="shared" si="0"/>
      </c>
      <c r="L10414">
        <f t="shared" si="1"/>
      </c>
      <c r="M10414">
        <f t="shared" si="2"/>
      </c>
    </row>
    <row r="10415">
      <c r="G10415" s="9">
        <f t="shared" si="0"/>
      </c>
      <c r="L10415">
        <f t="shared" si="1"/>
      </c>
      <c r="M10415">
        <f t="shared" si="2"/>
      </c>
    </row>
    <row r="10416">
      <c r="G10416" s="9">
        <f t="shared" si="0"/>
      </c>
      <c r="L10416">
        <f t="shared" si="1"/>
      </c>
      <c r="M10416">
        <f t="shared" si="2"/>
      </c>
    </row>
    <row r="10417">
      <c r="G10417" s="9">
        <f t="shared" si="0"/>
      </c>
      <c r="L10417">
        <f t="shared" si="1"/>
      </c>
      <c r="M10417">
        <f t="shared" si="2"/>
      </c>
    </row>
    <row r="10418">
      <c r="G10418" s="9">
        <f t="shared" si="0"/>
      </c>
      <c r="L10418">
        <f t="shared" si="1"/>
      </c>
      <c r="M10418">
        <f t="shared" si="2"/>
      </c>
    </row>
    <row r="10419">
      <c r="G10419" s="9">
        <f t="shared" si="0"/>
      </c>
      <c r="L10419">
        <f t="shared" si="1"/>
      </c>
      <c r="M10419">
        <f t="shared" si="2"/>
      </c>
    </row>
    <row r="10420">
      <c r="G10420" s="9">
        <f t="shared" si="0"/>
      </c>
      <c r="L10420">
        <f t="shared" si="1"/>
      </c>
      <c r="M10420">
        <f t="shared" si="2"/>
      </c>
    </row>
    <row r="10421">
      <c r="G10421" s="9">
        <f t="shared" si="0"/>
      </c>
      <c r="L10421">
        <f t="shared" si="1"/>
      </c>
      <c r="M10421">
        <f t="shared" si="2"/>
      </c>
    </row>
    <row r="10422">
      <c r="G10422" s="9">
        <f t="shared" si="0"/>
      </c>
      <c r="L10422">
        <f t="shared" si="1"/>
      </c>
      <c r="M10422">
        <f t="shared" si="2"/>
      </c>
    </row>
    <row r="10423">
      <c r="G10423" s="9">
        <f t="shared" si="0"/>
      </c>
      <c r="L10423">
        <f t="shared" si="1"/>
      </c>
      <c r="M10423">
        <f t="shared" si="2"/>
      </c>
    </row>
    <row r="10424">
      <c r="G10424" s="9">
        <f t="shared" si="0"/>
      </c>
      <c r="L10424">
        <f t="shared" si="1"/>
      </c>
      <c r="M10424">
        <f t="shared" si="2"/>
      </c>
    </row>
    <row r="10425">
      <c r="G10425" s="9">
        <f t="shared" si="0"/>
      </c>
      <c r="L10425">
        <f t="shared" si="1"/>
      </c>
      <c r="M10425">
        <f t="shared" si="2"/>
      </c>
    </row>
    <row r="10426">
      <c r="G10426" s="9">
        <f t="shared" si="0"/>
      </c>
      <c r="L10426">
        <f t="shared" si="1"/>
      </c>
      <c r="M10426">
        <f t="shared" si="2"/>
      </c>
    </row>
    <row r="10427">
      <c r="G10427" s="9">
        <f t="shared" si="0"/>
      </c>
      <c r="L10427">
        <f t="shared" si="1"/>
      </c>
      <c r="M10427">
        <f t="shared" si="2"/>
      </c>
    </row>
    <row r="10428">
      <c r="G10428" s="9">
        <f t="shared" si="0"/>
      </c>
      <c r="L10428">
        <f t="shared" si="1"/>
      </c>
      <c r="M10428">
        <f t="shared" si="2"/>
      </c>
    </row>
    <row r="10429">
      <c r="G10429" s="9">
        <f t="shared" si="0"/>
      </c>
      <c r="L10429">
        <f t="shared" si="1"/>
      </c>
      <c r="M10429">
        <f t="shared" si="2"/>
      </c>
    </row>
    <row r="10430">
      <c r="G10430" s="9">
        <f t="shared" si="0"/>
      </c>
      <c r="L10430">
        <f t="shared" si="1"/>
      </c>
      <c r="M10430">
        <f t="shared" si="2"/>
      </c>
    </row>
    <row r="10431">
      <c r="G10431" s="9">
        <f t="shared" si="0"/>
      </c>
      <c r="L10431">
        <f t="shared" si="1"/>
      </c>
      <c r="M10431">
        <f t="shared" si="2"/>
      </c>
    </row>
    <row r="10432">
      <c r="G10432" s="9">
        <f t="shared" si="0"/>
      </c>
      <c r="L10432">
        <f t="shared" si="1"/>
      </c>
      <c r="M10432">
        <f t="shared" si="2"/>
      </c>
    </row>
    <row r="10433">
      <c r="G10433" s="9">
        <f t="shared" si="0"/>
      </c>
      <c r="L10433">
        <f t="shared" si="1"/>
      </c>
      <c r="M10433">
        <f t="shared" si="2"/>
      </c>
    </row>
    <row r="10434">
      <c r="G10434" s="9">
        <f t="shared" si="0"/>
      </c>
      <c r="L10434">
        <f t="shared" si="1"/>
      </c>
      <c r="M10434">
        <f t="shared" si="2"/>
      </c>
    </row>
    <row r="10435">
      <c r="G10435" s="9">
        <f t="shared" si="0"/>
      </c>
      <c r="L10435">
        <f t="shared" si="1"/>
      </c>
      <c r="M10435">
        <f t="shared" si="2"/>
      </c>
    </row>
    <row r="10436">
      <c r="G10436" s="9">
        <f t="shared" si="0"/>
      </c>
      <c r="L10436">
        <f t="shared" si="1"/>
      </c>
      <c r="M10436">
        <f t="shared" si="2"/>
      </c>
    </row>
    <row r="10437">
      <c r="G10437" s="9">
        <f t="shared" si="0"/>
      </c>
      <c r="L10437">
        <f t="shared" si="1"/>
      </c>
      <c r="M10437">
        <f t="shared" si="2"/>
      </c>
    </row>
    <row r="10438">
      <c r="G10438" s="9">
        <f t="shared" si="0"/>
      </c>
      <c r="L10438">
        <f t="shared" si="1"/>
      </c>
      <c r="M10438">
        <f t="shared" si="2"/>
      </c>
    </row>
    <row r="10439">
      <c r="G10439" s="9">
        <f t="shared" si="0"/>
      </c>
      <c r="L10439">
        <f t="shared" si="1"/>
      </c>
      <c r="M10439">
        <f t="shared" si="2"/>
      </c>
    </row>
    <row r="10440">
      <c r="G10440" s="9">
        <f t="shared" si="0"/>
      </c>
      <c r="L10440">
        <f t="shared" si="1"/>
      </c>
      <c r="M10440">
        <f t="shared" si="2"/>
      </c>
    </row>
    <row r="10441">
      <c r="G10441" s="9">
        <f t="shared" si="0"/>
      </c>
      <c r="L10441">
        <f t="shared" si="1"/>
      </c>
      <c r="M10441">
        <f t="shared" si="2"/>
      </c>
    </row>
    <row r="10442">
      <c r="G10442" s="9">
        <f t="shared" si="0"/>
      </c>
      <c r="L10442">
        <f t="shared" si="1"/>
      </c>
      <c r="M10442">
        <f t="shared" si="2"/>
      </c>
    </row>
    <row r="10443">
      <c r="G10443" s="9">
        <f t="shared" si="0"/>
      </c>
      <c r="L10443">
        <f t="shared" si="1"/>
      </c>
      <c r="M10443">
        <f t="shared" si="2"/>
      </c>
    </row>
    <row r="10444">
      <c r="G10444" s="9">
        <f t="shared" si="0"/>
      </c>
      <c r="L10444">
        <f t="shared" si="1"/>
      </c>
      <c r="M10444">
        <f t="shared" si="2"/>
      </c>
    </row>
    <row r="10445">
      <c r="G10445" s="9">
        <f t="shared" si="0"/>
      </c>
      <c r="L10445">
        <f t="shared" si="1"/>
      </c>
      <c r="M10445">
        <f t="shared" si="2"/>
      </c>
    </row>
    <row r="10446">
      <c r="G10446" s="9">
        <f t="shared" si="0"/>
      </c>
      <c r="L10446">
        <f t="shared" si="1"/>
      </c>
      <c r="M10446">
        <f t="shared" si="2"/>
      </c>
    </row>
    <row r="10447">
      <c r="G10447" s="9">
        <f t="shared" si="0"/>
      </c>
      <c r="L10447">
        <f t="shared" si="1"/>
      </c>
      <c r="M10447">
        <f t="shared" si="2"/>
      </c>
    </row>
    <row r="10448">
      <c r="G10448" s="9">
        <f t="shared" si="0"/>
      </c>
      <c r="L10448">
        <f t="shared" si="1"/>
      </c>
      <c r="M10448">
        <f t="shared" si="2"/>
      </c>
    </row>
    <row r="10449">
      <c r="G10449" s="9">
        <f t="shared" si="0"/>
      </c>
      <c r="L10449">
        <f t="shared" si="1"/>
      </c>
      <c r="M10449">
        <f t="shared" si="2"/>
      </c>
    </row>
    <row r="10450">
      <c r="G10450" s="9">
        <f t="shared" si="0"/>
      </c>
      <c r="L10450">
        <f t="shared" si="1"/>
      </c>
      <c r="M10450">
        <f t="shared" si="2"/>
      </c>
    </row>
    <row r="10451">
      <c r="G10451" s="9">
        <f t="shared" si="0"/>
      </c>
      <c r="L10451">
        <f t="shared" si="1"/>
      </c>
      <c r="M10451">
        <f t="shared" si="2"/>
      </c>
    </row>
    <row r="10452">
      <c r="G10452" s="9">
        <f t="shared" si="0"/>
      </c>
      <c r="L10452">
        <f t="shared" si="1"/>
      </c>
      <c r="M10452">
        <f t="shared" si="2"/>
      </c>
    </row>
    <row r="10453">
      <c r="G10453" s="9">
        <f t="shared" si="0"/>
      </c>
      <c r="L10453">
        <f t="shared" si="1"/>
      </c>
      <c r="M10453">
        <f t="shared" si="2"/>
      </c>
    </row>
    <row r="10454">
      <c r="G10454" s="9">
        <f t="shared" si="0"/>
      </c>
      <c r="L10454">
        <f t="shared" si="1"/>
      </c>
      <c r="M10454">
        <f t="shared" si="2"/>
      </c>
    </row>
    <row r="10455">
      <c r="G10455" s="9">
        <f t="shared" si="0"/>
      </c>
      <c r="L10455">
        <f t="shared" si="1"/>
      </c>
      <c r="M10455">
        <f t="shared" si="2"/>
      </c>
    </row>
    <row r="10456">
      <c r="G10456" s="9">
        <f t="shared" si="0"/>
      </c>
      <c r="L10456">
        <f t="shared" si="1"/>
      </c>
      <c r="M10456">
        <f t="shared" si="2"/>
      </c>
    </row>
    <row r="10457">
      <c r="G10457" s="9">
        <f t="shared" si="0"/>
      </c>
      <c r="L10457">
        <f t="shared" si="1"/>
      </c>
      <c r="M10457">
        <f t="shared" si="2"/>
      </c>
    </row>
    <row r="10458">
      <c r="G10458" s="9">
        <f t="shared" si="0"/>
      </c>
      <c r="L10458">
        <f t="shared" si="1"/>
      </c>
      <c r="M10458">
        <f t="shared" si="2"/>
      </c>
    </row>
    <row r="10459">
      <c r="G10459" s="9">
        <f t="shared" si="0"/>
      </c>
      <c r="L10459">
        <f t="shared" si="1"/>
      </c>
      <c r="M10459">
        <f t="shared" si="2"/>
      </c>
    </row>
    <row r="10460">
      <c r="G10460" s="9">
        <f t="shared" si="0"/>
      </c>
      <c r="L10460">
        <f t="shared" si="1"/>
      </c>
      <c r="M10460">
        <f t="shared" si="2"/>
      </c>
    </row>
    <row r="10461">
      <c r="G10461" s="9">
        <f t="shared" si="0"/>
      </c>
      <c r="L10461">
        <f t="shared" si="1"/>
      </c>
      <c r="M10461">
        <f t="shared" si="2"/>
      </c>
    </row>
    <row r="10462">
      <c r="G10462" s="9">
        <f t="shared" si="0"/>
      </c>
      <c r="L10462">
        <f t="shared" si="1"/>
      </c>
      <c r="M10462">
        <f t="shared" si="2"/>
      </c>
    </row>
    <row r="10463">
      <c r="G10463" s="9">
        <f t="shared" si="0"/>
      </c>
      <c r="L10463">
        <f t="shared" si="1"/>
      </c>
      <c r="M10463">
        <f t="shared" si="2"/>
      </c>
    </row>
    <row r="10464">
      <c r="G10464" s="9">
        <f t="shared" si="0"/>
      </c>
      <c r="L10464">
        <f t="shared" si="1"/>
      </c>
      <c r="M10464">
        <f t="shared" si="2"/>
      </c>
    </row>
    <row r="10465">
      <c r="G10465" s="9">
        <f t="shared" si="0"/>
      </c>
      <c r="L10465">
        <f t="shared" si="1"/>
      </c>
      <c r="M10465">
        <f t="shared" si="2"/>
      </c>
    </row>
    <row r="10466">
      <c r="G10466" s="9">
        <f t="shared" si="0"/>
      </c>
      <c r="L10466">
        <f t="shared" si="1"/>
      </c>
      <c r="M10466">
        <f t="shared" si="2"/>
      </c>
    </row>
    <row r="10467">
      <c r="G10467" s="9">
        <f t="shared" si="0"/>
      </c>
      <c r="L10467">
        <f t="shared" si="1"/>
      </c>
      <c r="M10467">
        <f t="shared" si="2"/>
      </c>
    </row>
    <row r="10468">
      <c r="G10468" s="9">
        <f t="shared" si="0"/>
      </c>
      <c r="L10468">
        <f t="shared" si="1"/>
      </c>
      <c r="M10468">
        <f t="shared" si="2"/>
      </c>
    </row>
    <row r="10469">
      <c r="G10469" s="9">
        <f t="shared" si="0"/>
      </c>
      <c r="L10469">
        <f t="shared" si="1"/>
      </c>
      <c r="M10469">
        <f t="shared" si="2"/>
      </c>
    </row>
    <row r="10470">
      <c r="G10470" s="9">
        <f t="shared" si="0"/>
      </c>
      <c r="L10470">
        <f t="shared" si="1"/>
      </c>
      <c r="M10470">
        <f t="shared" si="2"/>
      </c>
    </row>
    <row r="10471">
      <c r="G10471" s="9">
        <f t="shared" si="0"/>
      </c>
      <c r="L10471">
        <f t="shared" si="1"/>
      </c>
      <c r="M10471">
        <f t="shared" si="2"/>
      </c>
    </row>
    <row r="10472">
      <c r="G10472" s="9">
        <f t="shared" si="0"/>
      </c>
      <c r="L10472">
        <f t="shared" si="1"/>
      </c>
      <c r="M10472">
        <f t="shared" si="2"/>
      </c>
    </row>
    <row r="10473">
      <c r="G10473" s="9">
        <f t="shared" si="0"/>
      </c>
      <c r="L10473">
        <f t="shared" si="1"/>
      </c>
      <c r="M10473">
        <f t="shared" si="2"/>
      </c>
    </row>
    <row r="10474">
      <c r="G10474" s="9">
        <f t="shared" si="0"/>
      </c>
      <c r="L10474">
        <f t="shared" si="1"/>
      </c>
      <c r="M10474">
        <f t="shared" si="2"/>
      </c>
    </row>
    <row r="10475">
      <c r="G10475" s="9">
        <f t="shared" si="0"/>
      </c>
      <c r="L10475">
        <f t="shared" si="1"/>
      </c>
      <c r="M10475">
        <f t="shared" si="2"/>
      </c>
    </row>
    <row r="10476">
      <c r="G10476" s="9">
        <f t="shared" si="0"/>
      </c>
      <c r="L10476">
        <f t="shared" si="1"/>
      </c>
      <c r="M10476">
        <f t="shared" si="2"/>
      </c>
    </row>
    <row r="10477">
      <c r="G10477" s="9">
        <f t="shared" si="0"/>
      </c>
      <c r="L10477">
        <f t="shared" si="1"/>
      </c>
      <c r="M10477">
        <f t="shared" si="2"/>
      </c>
    </row>
    <row r="10478">
      <c r="G10478" s="9">
        <f t="shared" si="0"/>
      </c>
      <c r="L10478">
        <f t="shared" si="1"/>
      </c>
      <c r="M10478">
        <f t="shared" si="2"/>
      </c>
    </row>
    <row r="10479">
      <c r="G10479" s="9">
        <f t="shared" si="0"/>
      </c>
      <c r="L10479">
        <f t="shared" si="1"/>
      </c>
      <c r="M10479">
        <f t="shared" si="2"/>
      </c>
    </row>
    <row r="10480">
      <c r="G10480" s="9">
        <f t="shared" si="0"/>
      </c>
      <c r="L10480">
        <f t="shared" si="1"/>
      </c>
      <c r="M10480">
        <f t="shared" si="2"/>
      </c>
    </row>
    <row r="10481">
      <c r="G10481" s="9">
        <f t="shared" si="0"/>
      </c>
      <c r="L10481">
        <f t="shared" si="1"/>
      </c>
      <c r="M10481">
        <f t="shared" si="2"/>
      </c>
    </row>
    <row r="10482">
      <c r="G10482" s="9">
        <f t="shared" si="0"/>
      </c>
      <c r="L10482">
        <f t="shared" si="1"/>
      </c>
      <c r="M10482">
        <f t="shared" si="2"/>
      </c>
    </row>
    <row r="10483">
      <c r="G10483" s="9">
        <f t="shared" si="0"/>
      </c>
      <c r="L10483">
        <f t="shared" si="1"/>
      </c>
      <c r="M10483">
        <f t="shared" si="2"/>
      </c>
    </row>
    <row r="10484">
      <c r="G10484" s="9">
        <f t="shared" si="0"/>
      </c>
      <c r="L10484">
        <f t="shared" si="1"/>
      </c>
      <c r="M10484">
        <f t="shared" si="2"/>
      </c>
    </row>
    <row r="10485">
      <c r="G10485" s="9">
        <f t="shared" si="0"/>
      </c>
      <c r="L10485">
        <f t="shared" si="1"/>
      </c>
      <c r="M10485">
        <f t="shared" si="2"/>
      </c>
    </row>
    <row r="10486">
      <c r="G10486" s="9">
        <f t="shared" si="0"/>
      </c>
      <c r="L10486">
        <f t="shared" si="1"/>
      </c>
      <c r="M10486">
        <f t="shared" si="2"/>
      </c>
    </row>
    <row r="10487">
      <c r="G10487" s="9">
        <f t="shared" si="0"/>
      </c>
      <c r="L10487">
        <f t="shared" si="1"/>
      </c>
      <c r="M10487">
        <f t="shared" si="2"/>
      </c>
    </row>
    <row r="10488">
      <c r="G10488" s="9">
        <f t="shared" si="0"/>
      </c>
      <c r="L10488">
        <f t="shared" si="1"/>
      </c>
      <c r="M10488">
        <f t="shared" si="2"/>
      </c>
    </row>
    <row r="10489">
      <c r="G10489" s="9">
        <f t="shared" si="0"/>
      </c>
      <c r="L10489">
        <f t="shared" si="1"/>
      </c>
      <c r="M10489">
        <f t="shared" si="2"/>
      </c>
    </row>
    <row r="10490">
      <c r="G10490" s="9">
        <f t="shared" si="0"/>
      </c>
      <c r="L10490">
        <f t="shared" si="1"/>
      </c>
      <c r="M10490">
        <f t="shared" si="2"/>
      </c>
    </row>
    <row r="10491">
      <c r="G10491" s="9">
        <f t="shared" si="0"/>
      </c>
      <c r="L10491">
        <f t="shared" si="1"/>
      </c>
      <c r="M10491">
        <f t="shared" si="2"/>
      </c>
    </row>
    <row r="10492">
      <c r="G10492" s="9">
        <f t="shared" si="0"/>
      </c>
      <c r="L10492">
        <f t="shared" si="1"/>
      </c>
      <c r="M10492">
        <f t="shared" si="2"/>
      </c>
    </row>
    <row r="10493">
      <c r="G10493" s="9">
        <f t="shared" si="0"/>
      </c>
      <c r="L10493">
        <f t="shared" si="1"/>
      </c>
      <c r="M10493">
        <f t="shared" si="2"/>
      </c>
    </row>
    <row r="10494">
      <c r="G10494" s="9">
        <f t="shared" si="0"/>
      </c>
      <c r="L10494">
        <f t="shared" si="1"/>
      </c>
      <c r="M10494">
        <f t="shared" si="2"/>
      </c>
    </row>
    <row r="10495">
      <c r="G10495" s="9">
        <f t="shared" si="0"/>
      </c>
      <c r="L10495">
        <f t="shared" si="1"/>
      </c>
      <c r="M10495">
        <f t="shared" si="2"/>
      </c>
    </row>
    <row r="10496">
      <c r="G10496" s="9">
        <f t="shared" si="0"/>
      </c>
      <c r="L10496">
        <f t="shared" si="1"/>
      </c>
      <c r="M10496">
        <f t="shared" si="2"/>
      </c>
    </row>
    <row r="10497">
      <c r="G10497" s="9">
        <f t="shared" si="0"/>
      </c>
      <c r="L10497">
        <f t="shared" si="1"/>
      </c>
      <c r="M10497">
        <f t="shared" si="2"/>
      </c>
    </row>
    <row r="10498">
      <c r="G10498" s="9">
        <f t="shared" si="0"/>
      </c>
      <c r="L10498">
        <f t="shared" si="1"/>
      </c>
      <c r="M10498">
        <f t="shared" si="2"/>
      </c>
    </row>
    <row r="10499">
      <c r="G10499" s="9">
        <f t="shared" si="0"/>
      </c>
      <c r="L10499">
        <f t="shared" si="1"/>
      </c>
      <c r="M10499">
        <f t="shared" si="2"/>
      </c>
    </row>
    <row r="10500">
      <c r="G10500" s="9">
        <f t="shared" si="0"/>
      </c>
      <c r="L10500">
        <f t="shared" si="1"/>
      </c>
      <c r="M10500">
        <f t="shared" si="2"/>
      </c>
    </row>
    <row r="10501">
      <c r="G10501" s="9">
        <f t="shared" si="0"/>
      </c>
      <c r="L10501">
        <f t="shared" si="1"/>
      </c>
      <c r="M10501">
        <f t="shared" si="2"/>
      </c>
    </row>
    <row r="10502">
      <c r="G10502" s="9">
        <f t="shared" si="0"/>
      </c>
      <c r="L10502">
        <f t="shared" si="1"/>
      </c>
      <c r="M10502">
        <f t="shared" si="2"/>
      </c>
    </row>
    <row r="10503">
      <c r="G10503" s="9">
        <f t="shared" si="0"/>
      </c>
      <c r="L10503">
        <f t="shared" si="1"/>
      </c>
      <c r="M10503">
        <f t="shared" si="2"/>
      </c>
    </row>
    <row r="10504">
      <c r="G10504" s="9">
        <f t="shared" si="0"/>
      </c>
      <c r="L10504">
        <f t="shared" si="1"/>
      </c>
      <c r="M10504">
        <f t="shared" si="2"/>
      </c>
    </row>
    <row r="10505">
      <c r="G10505" s="9">
        <f t="shared" si="0"/>
      </c>
      <c r="L10505">
        <f t="shared" si="1"/>
      </c>
      <c r="M10505">
        <f t="shared" si="2"/>
      </c>
    </row>
    <row r="10506">
      <c r="G10506" s="9">
        <f t="shared" si="0"/>
      </c>
      <c r="L10506">
        <f t="shared" si="1"/>
      </c>
      <c r="M10506">
        <f t="shared" si="2"/>
      </c>
    </row>
    <row r="10507">
      <c r="G10507" s="9">
        <f t="shared" si="0"/>
      </c>
      <c r="L10507">
        <f t="shared" si="1"/>
      </c>
      <c r="M10507">
        <f t="shared" si="2"/>
      </c>
    </row>
    <row r="10508">
      <c r="G10508" s="9">
        <f t="shared" si="0"/>
      </c>
      <c r="L10508">
        <f t="shared" si="1"/>
      </c>
      <c r="M10508">
        <f t="shared" si="2"/>
      </c>
    </row>
    <row r="10509">
      <c r="G10509" s="9">
        <f t="shared" si="0"/>
      </c>
      <c r="L10509">
        <f t="shared" si="1"/>
      </c>
      <c r="M10509">
        <f t="shared" si="2"/>
      </c>
    </row>
    <row r="10510">
      <c r="G10510" s="9">
        <f t="shared" si="0"/>
      </c>
      <c r="L10510">
        <f t="shared" si="1"/>
      </c>
      <c r="M10510">
        <f t="shared" si="2"/>
      </c>
    </row>
    <row r="10511">
      <c r="G10511" s="9">
        <f t="shared" si="0"/>
      </c>
      <c r="L10511">
        <f t="shared" si="1"/>
      </c>
      <c r="M10511">
        <f t="shared" si="2"/>
      </c>
    </row>
    <row r="10512">
      <c r="G10512" s="9">
        <f t="shared" si="0"/>
      </c>
      <c r="L10512">
        <f t="shared" si="1"/>
      </c>
      <c r="M10512">
        <f t="shared" si="2"/>
      </c>
    </row>
    <row r="10513">
      <c r="G10513" s="9">
        <f t="shared" si="0"/>
      </c>
      <c r="L10513">
        <f t="shared" si="1"/>
      </c>
      <c r="M10513">
        <f t="shared" si="2"/>
      </c>
    </row>
    <row r="10514">
      <c r="G10514" s="9">
        <f t="shared" si="0"/>
      </c>
      <c r="L10514">
        <f t="shared" si="1"/>
      </c>
      <c r="M10514">
        <f t="shared" si="2"/>
      </c>
    </row>
    <row r="10515">
      <c r="G10515" s="9">
        <f t="shared" si="0"/>
      </c>
      <c r="L10515">
        <f t="shared" si="1"/>
      </c>
      <c r="M10515">
        <f t="shared" si="2"/>
      </c>
    </row>
    <row r="10516">
      <c r="G10516" s="9">
        <f t="shared" si="0"/>
      </c>
      <c r="L10516">
        <f t="shared" si="1"/>
      </c>
      <c r="M10516">
        <f t="shared" si="2"/>
      </c>
    </row>
    <row r="10517">
      <c r="G10517" s="9">
        <f t="shared" si="0"/>
      </c>
      <c r="L10517">
        <f t="shared" si="1"/>
      </c>
      <c r="M10517">
        <f t="shared" si="2"/>
      </c>
    </row>
    <row r="10518">
      <c r="G10518" s="9">
        <f t="shared" si="0"/>
      </c>
      <c r="L10518">
        <f t="shared" si="1"/>
      </c>
      <c r="M10518">
        <f t="shared" si="2"/>
      </c>
    </row>
    <row r="10519">
      <c r="G10519" s="9">
        <f t="shared" si="0"/>
      </c>
      <c r="L10519">
        <f t="shared" si="1"/>
      </c>
      <c r="M10519">
        <f t="shared" si="2"/>
      </c>
    </row>
    <row r="10520">
      <c r="G10520" s="9">
        <f t="shared" si="0"/>
      </c>
      <c r="L10520">
        <f t="shared" si="1"/>
      </c>
      <c r="M10520">
        <f t="shared" si="2"/>
      </c>
    </row>
    <row r="10521">
      <c r="G10521" s="9">
        <f t="shared" si="0"/>
      </c>
      <c r="L10521">
        <f t="shared" si="1"/>
      </c>
      <c r="M10521">
        <f t="shared" si="2"/>
      </c>
    </row>
    <row r="10522">
      <c r="G10522" s="9">
        <f t="shared" si="0"/>
      </c>
      <c r="L10522">
        <f t="shared" si="1"/>
      </c>
      <c r="M10522">
        <f t="shared" si="2"/>
      </c>
    </row>
    <row r="10523">
      <c r="G10523" s="9">
        <f t="shared" si="0"/>
      </c>
      <c r="L10523">
        <f t="shared" si="1"/>
      </c>
      <c r="M10523">
        <f t="shared" si="2"/>
      </c>
    </row>
    <row r="10524">
      <c r="G10524" s="9">
        <f t="shared" si="0"/>
      </c>
      <c r="L10524">
        <f t="shared" si="1"/>
      </c>
      <c r="M10524">
        <f t="shared" si="2"/>
      </c>
    </row>
    <row r="10525">
      <c r="G10525" s="9">
        <f t="shared" si="0"/>
      </c>
      <c r="L10525">
        <f t="shared" si="1"/>
      </c>
      <c r="M10525">
        <f t="shared" si="2"/>
      </c>
    </row>
    <row r="10526">
      <c r="G10526" s="9">
        <f t="shared" si="0"/>
      </c>
      <c r="L10526">
        <f t="shared" si="1"/>
      </c>
      <c r="M10526">
        <f t="shared" si="2"/>
      </c>
    </row>
    <row r="10527">
      <c r="G10527" s="9">
        <f t="shared" si="0"/>
      </c>
      <c r="L10527">
        <f t="shared" si="1"/>
      </c>
      <c r="M10527">
        <f t="shared" si="2"/>
      </c>
    </row>
    <row r="10528">
      <c r="G10528" s="9">
        <f t="shared" si="0"/>
      </c>
      <c r="L10528">
        <f t="shared" si="1"/>
      </c>
      <c r="M10528">
        <f t="shared" si="2"/>
      </c>
    </row>
    <row r="10529">
      <c r="G10529" s="9">
        <f t="shared" si="0"/>
      </c>
      <c r="L10529">
        <f t="shared" si="1"/>
      </c>
      <c r="M10529">
        <f t="shared" si="2"/>
      </c>
    </row>
    <row r="10530">
      <c r="G10530" s="9">
        <f t="shared" si="0"/>
      </c>
      <c r="L10530">
        <f t="shared" si="1"/>
      </c>
      <c r="M10530">
        <f t="shared" si="2"/>
      </c>
    </row>
    <row r="10531">
      <c r="G10531" s="9">
        <f t="shared" si="0"/>
      </c>
      <c r="L10531">
        <f t="shared" si="1"/>
      </c>
      <c r="M10531">
        <f t="shared" si="2"/>
      </c>
    </row>
    <row r="10532">
      <c r="G10532" s="9">
        <f t="shared" si="0"/>
      </c>
      <c r="L10532">
        <f t="shared" si="1"/>
      </c>
      <c r="M10532">
        <f t="shared" si="2"/>
      </c>
    </row>
    <row r="10533">
      <c r="G10533" s="9">
        <f t="shared" si="0"/>
      </c>
      <c r="L10533">
        <f t="shared" si="1"/>
      </c>
      <c r="M10533">
        <f t="shared" si="2"/>
      </c>
    </row>
    <row r="10534">
      <c r="G10534" s="9">
        <f t="shared" si="0"/>
      </c>
      <c r="L10534">
        <f t="shared" si="1"/>
      </c>
      <c r="M10534">
        <f t="shared" si="2"/>
      </c>
    </row>
    <row r="10535">
      <c r="G10535" s="9">
        <f t="shared" si="0"/>
      </c>
      <c r="L10535">
        <f t="shared" si="1"/>
      </c>
      <c r="M10535">
        <f t="shared" si="2"/>
      </c>
    </row>
    <row r="10536">
      <c r="G10536" s="9">
        <f t="shared" si="0"/>
      </c>
      <c r="L10536">
        <f t="shared" si="1"/>
      </c>
      <c r="M10536">
        <f t="shared" si="2"/>
      </c>
    </row>
    <row r="10537">
      <c r="G10537" s="9">
        <f t="shared" si="0"/>
      </c>
      <c r="L10537">
        <f t="shared" si="1"/>
      </c>
      <c r="M10537">
        <f t="shared" si="2"/>
      </c>
    </row>
    <row r="10538">
      <c r="G10538" s="9">
        <f t="shared" si="0"/>
      </c>
      <c r="L10538">
        <f t="shared" si="1"/>
      </c>
      <c r="M10538">
        <f t="shared" si="2"/>
      </c>
    </row>
    <row r="10539">
      <c r="G10539" s="9">
        <f t="shared" si="0"/>
      </c>
      <c r="L10539">
        <f t="shared" si="1"/>
      </c>
      <c r="M10539">
        <f t="shared" si="2"/>
      </c>
    </row>
    <row r="10540">
      <c r="G10540" s="9">
        <f t="shared" si="0"/>
      </c>
      <c r="L10540">
        <f t="shared" si="1"/>
      </c>
      <c r="M10540">
        <f t="shared" si="2"/>
      </c>
    </row>
    <row r="10541">
      <c r="G10541" s="9">
        <f t="shared" si="0"/>
      </c>
      <c r="L10541">
        <f t="shared" si="1"/>
      </c>
      <c r="M10541">
        <f t="shared" si="2"/>
      </c>
    </row>
    <row r="10542">
      <c r="G10542" s="9">
        <f t="shared" si="0"/>
      </c>
      <c r="L10542">
        <f t="shared" si="1"/>
      </c>
      <c r="M10542">
        <f t="shared" si="2"/>
      </c>
    </row>
    <row r="10543">
      <c r="G10543" s="9">
        <f t="shared" si="0"/>
      </c>
      <c r="L10543">
        <f t="shared" si="1"/>
      </c>
      <c r="M10543">
        <f t="shared" si="2"/>
      </c>
    </row>
    <row r="10544">
      <c r="G10544" s="9">
        <f t="shared" si="0"/>
      </c>
      <c r="L10544">
        <f t="shared" si="1"/>
      </c>
      <c r="M10544">
        <f t="shared" si="2"/>
      </c>
    </row>
    <row r="10545">
      <c r="G10545" s="9">
        <f t="shared" si="0"/>
      </c>
      <c r="L10545">
        <f t="shared" si="1"/>
      </c>
      <c r="M10545">
        <f t="shared" si="2"/>
      </c>
    </row>
    <row r="10546">
      <c r="G10546" s="9">
        <f t="shared" si="0"/>
      </c>
      <c r="L10546">
        <f t="shared" si="1"/>
      </c>
      <c r="M10546">
        <f t="shared" si="2"/>
      </c>
    </row>
    <row r="10547">
      <c r="G10547" s="9">
        <f t="shared" si="0"/>
      </c>
      <c r="L10547">
        <f t="shared" si="1"/>
      </c>
      <c r="M10547">
        <f t="shared" si="2"/>
      </c>
    </row>
    <row r="10548">
      <c r="G10548" s="9">
        <f t="shared" si="0"/>
      </c>
      <c r="L10548">
        <f t="shared" si="1"/>
      </c>
      <c r="M10548">
        <f t="shared" si="2"/>
      </c>
    </row>
    <row r="10549">
      <c r="G10549" s="9">
        <f t="shared" si="0"/>
      </c>
      <c r="L10549">
        <f t="shared" si="1"/>
      </c>
      <c r="M10549">
        <f t="shared" si="2"/>
      </c>
    </row>
    <row r="10550">
      <c r="G10550" s="9">
        <f t="shared" si="0"/>
      </c>
      <c r="L10550">
        <f t="shared" si="1"/>
      </c>
      <c r="M10550">
        <f t="shared" si="2"/>
      </c>
    </row>
    <row r="10551">
      <c r="G10551" s="9">
        <f t="shared" si="0"/>
      </c>
      <c r="L10551">
        <f t="shared" si="1"/>
      </c>
      <c r="M10551">
        <f t="shared" si="2"/>
      </c>
    </row>
    <row r="10552">
      <c r="G10552" s="9">
        <f t="shared" si="0"/>
      </c>
      <c r="L10552">
        <f t="shared" si="1"/>
      </c>
      <c r="M10552">
        <f t="shared" si="2"/>
      </c>
    </row>
    <row r="10553">
      <c r="G10553" s="9">
        <f t="shared" si="0"/>
      </c>
      <c r="L10553">
        <f t="shared" si="1"/>
      </c>
      <c r="M10553">
        <f t="shared" si="2"/>
      </c>
    </row>
    <row r="10554">
      <c r="G10554" s="9">
        <f t="shared" si="0"/>
      </c>
      <c r="L10554">
        <f t="shared" si="1"/>
      </c>
      <c r="M10554">
        <f t="shared" si="2"/>
      </c>
    </row>
    <row r="10555">
      <c r="G10555" s="9">
        <f t="shared" si="0"/>
      </c>
      <c r="L10555">
        <f t="shared" si="1"/>
      </c>
      <c r="M10555">
        <f t="shared" si="2"/>
      </c>
    </row>
    <row r="10556">
      <c r="G10556" s="9">
        <f t="shared" si="0"/>
      </c>
      <c r="L10556">
        <f t="shared" si="1"/>
      </c>
      <c r="M10556">
        <f t="shared" si="2"/>
      </c>
    </row>
    <row r="10557">
      <c r="G10557" s="9">
        <f t="shared" si="0"/>
      </c>
      <c r="L10557">
        <f t="shared" si="1"/>
      </c>
      <c r="M10557">
        <f t="shared" si="2"/>
      </c>
    </row>
    <row r="10558">
      <c r="G10558" s="9">
        <f t="shared" si="0"/>
      </c>
      <c r="L10558">
        <f t="shared" si="1"/>
      </c>
      <c r="M10558">
        <f t="shared" si="2"/>
      </c>
    </row>
    <row r="10559">
      <c r="G10559" s="9">
        <f t="shared" si="0"/>
      </c>
      <c r="L10559">
        <f t="shared" si="1"/>
      </c>
      <c r="M10559">
        <f t="shared" si="2"/>
      </c>
    </row>
    <row r="10560">
      <c r="G10560" s="9">
        <f t="shared" si="0"/>
      </c>
      <c r="L10560">
        <f t="shared" si="1"/>
      </c>
      <c r="M10560">
        <f t="shared" si="2"/>
      </c>
    </row>
    <row r="10561">
      <c r="G10561" s="9">
        <f t="shared" si="0"/>
      </c>
      <c r="L10561">
        <f t="shared" si="1"/>
      </c>
      <c r="M10561">
        <f t="shared" si="2"/>
      </c>
    </row>
    <row r="10562">
      <c r="G10562" s="9">
        <f t="shared" si="0"/>
      </c>
      <c r="L10562">
        <f t="shared" si="1"/>
      </c>
      <c r="M10562">
        <f t="shared" si="2"/>
      </c>
    </row>
    <row r="10563">
      <c r="G10563" s="9">
        <f t="shared" si="0"/>
      </c>
      <c r="L10563">
        <f t="shared" si="1"/>
      </c>
      <c r="M10563">
        <f t="shared" si="2"/>
      </c>
    </row>
    <row r="10564">
      <c r="G10564" s="9">
        <f t="shared" si="0"/>
      </c>
      <c r="L10564">
        <f t="shared" si="1"/>
      </c>
      <c r="M10564">
        <f t="shared" si="2"/>
      </c>
    </row>
    <row r="10565">
      <c r="G10565" s="9">
        <f t="shared" si="0"/>
      </c>
      <c r="L10565">
        <f t="shared" si="1"/>
      </c>
      <c r="M10565">
        <f t="shared" si="2"/>
      </c>
    </row>
    <row r="10566">
      <c r="G10566" s="9">
        <f t="shared" si="0"/>
      </c>
      <c r="L10566">
        <f t="shared" si="1"/>
      </c>
      <c r="M10566">
        <f t="shared" si="2"/>
      </c>
    </row>
    <row r="10567">
      <c r="G10567" s="9">
        <f t="shared" si="0"/>
      </c>
      <c r="L10567">
        <f t="shared" si="1"/>
      </c>
      <c r="M10567">
        <f t="shared" si="2"/>
      </c>
    </row>
    <row r="10568">
      <c r="G10568" s="9">
        <f t="shared" si="0"/>
      </c>
      <c r="L10568">
        <f t="shared" si="1"/>
      </c>
      <c r="M10568">
        <f t="shared" si="2"/>
      </c>
    </row>
    <row r="10569">
      <c r="G10569" s="9">
        <f t="shared" si="0"/>
      </c>
      <c r="L10569">
        <f t="shared" si="1"/>
      </c>
      <c r="M10569">
        <f t="shared" si="2"/>
      </c>
    </row>
    <row r="10570">
      <c r="G10570" s="9">
        <f t="shared" si="0"/>
      </c>
      <c r="L10570">
        <f t="shared" si="1"/>
      </c>
      <c r="M10570">
        <f t="shared" si="2"/>
      </c>
    </row>
    <row r="10571">
      <c r="G10571" s="9">
        <f t="shared" si="0"/>
      </c>
      <c r="L10571">
        <f t="shared" si="1"/>
      </c>
      <c r="M10571">
        <f t="shared" si="2"/>
      </c>
    </row>
    <row r="10572">
      <c r="G10572" s="9">
        <f t="shared" si="0"/>
      </c>
      <c r="L10572">
        <f t="shared" si="1"/>
      </c>
      <c r="M10572">
        <f t="shared" si="2"/>
      </c>
    </row>
    <row r="10573">
      <c r="G10573" s="9">
        <f t="shared" si="0"/>
      </c>
      <c r="L10573">
        <f t="shared" si="1"/>
      </c>
      <c r="M10573">
        <f t="shared" si="2"/>
      </c>
    </row>
    <row r="10574">
      <c r="G10574" s="9">
        <f t="shared" si="0"/>
      </c>
      <c r="L10574">
        <f t="shared" si="1"/>
      </c>
      <c r="M10574">
        <f t="shared" si="2"/>
      </c>
    </row>
    <row r="10575">
      <c r="G10575" s="9">
        <f t="shared" si="0"/>
      </c>
      <c r="L10575">
        <f t="shared" si="1"/>
      </c>
      <c r="M10575">
        <f t="shared" si="2"/>
      </c>
    </row>
    <row r="10576">
      <c r="G10576" s="9">
        <f t="shared" si="0"/>
      </c>
      <c r="L10576">
        <f t="shared" si="1"/>
      </c>
      <c r="M10576">
        <f t="shared" si="2"/>
      </c>
    </row>
    <row r="10577">
      <c r="G10577" s="9">
        <f t="shared" si="0"/>
      </c>
      <c r="L10577">
        <f t="shared" si="1"/>
      </c>
      <c r="M10577">
        <f t="shared" si="2"/>
      </c>
    </row>
    <row r="10578">
      <c r="G10578" s="9">
        <f t="shared" si="0"/>
      </c>
      <c r="L10578">
        <f t="shared" si="1"/>
      </c>
      <c r="M10578">
        <f t="shared" si="2"/>
      </c>
    </row>
    <row r="10579">
      <c r="G10579" s="9">
        <f t="shared" si="0"/>
      </c>
      <c r="L10579">
        <f t="shared" si="1"/>
      </c>
      <c r="M10579">
        <f t="shared" si="2"/>
      </c>
    </row>
    <row r="10580">
      <c r="G10580" s="9">
        <f t="shared" si="0"/>
      </c>
      <c r="L10580">
        <f t="shared" si="1"/>
      </c>
      <c r="M10580">
        <f t="shared" si="2"/>
      </c>
    </row>
    <row r="10581">
      <c r="G10581" s="9">
        <f t="shared" si="0"/>
      </c>
      <c r="L10581">
        <f t="shared" si="1"/>
      </c>
      <c r="M10581">
        <f t="shared" si="2"/>
      </c>
    </row>
    <row r="10582">
      <c r="G10582" s="9">
        <f t="shared" si="0"/>
      </c>
      <c r="L10582">
        <f t="shared" si="1"/>
      </c>
      <c r="M10582">
        <f t="shared" si="2"/>
      </c>
    </row>
    <row r="10583">
      <c r="G10583" s="9">
        <f t="shared" si="0"/>
      </c>
      <c r="L10583">
        <f t="shared" si="1"/>
      </c>
      <c r="M10583">
        <f t="shared" si="2"/>
      </c>
    </row>
    <row r="10584">
      <c r="G10584" s="9">
        <f t="shared" si="0"/>
      </c>
      <c r="L10584">
        <f t="shared" si="1"/>
      </c>
      <c r="M10584">
        <f t="shared" si="2"/>
      </c>
    </row>
    <row r="10585">
      <c r="G10585" s="9">
        <f t="shared" si="0"/>
      </c>
      <c r="L10585">
        <f t="shared" si="1"/>
      </c>
      <c r="M10585">
        <f t="shared" si="2"/>
      </c>
    </row>
    <row r="10586">
      <c r="G10586" s="9">
        <f t="shared" si="0"/>
      </c>
      <c r="L10586">
        <f t="shared" si="1"/>
      </c>
      <c r="M10586">
        <f t="shared" si="2"/>
      </c>
    </row>
    <row r="10587">
      <c r="G10587" s="9">
        <f t="shared" si="0"/>
      </c>
      <c r="L10587">
        <f t="shared" si="1"/>
      </c>
      <c r="M10587">
        <f t="shared" si="2"/>
      </c>
    </row>
    <row r="10588">
      <c r="G10588" s="9">
        <f t="shared" si="0"/>
      </c>
      <c r="L10588">
        <f t="shared" si="1"/>
      </c>
      <c r="M10588">
        <f t="shared" si="2"/>
      </c>
    </row>
    <row r="10589">
      <c r="G10589" s="9">
        <f t="shared" si="0"/>
      </c>
      <c r="L10589">
        <f t="shared" si="1"/>
      </c>
      <c r="M10589">
        <f t="shared" si="2"/>
      </c>
    </row>
    <row r="10590">
      <c r="G10590" s="9">
        <f t="shared" si="0"/>
      </c>
      <c r="L10590">
        <f t="shared" si="1"/>
      </c>
      <c r="M10590">
        <f t="shared" si="2"/>
      </c>
    </row>
    <row r="10591">
      <c r="G10591" s="9">
        <f t="shared" si="0"/>
      </c>
      <c r="L10591">
        <f t="shared" si="1"/>
      </c>
      <c r="M10591">
        <f t="shared" si="2"/>
      </c>
    </row>
    <row r="10592">
      <c r="G10592" s="9">
        <f t="shared" si="0"/>
      </c>
      <c r="L10592">
        <f t="shared" si="1"/>
      </c>
      <c r="M10592">
        <f t="shared" si="2"/>
      </c>
    </row>
    <row r="10593">
      <c r="G10593" s="9">
        <f t="shared" si="0"/>
      </c>
      <c r="L10593">
        <f t="shared" si="1"/>
      </c>
      <c r="M10593">
        <f t="shared" si="2"/>
      </c>
    </row>
    <row r="10594">
      <c r="G10594" s="9">
        <f t="shared" si="0"/>
      </c>
      <c r="L10594">
        <f t="shared" si="1"/>
      </c>
      <c r="M10594">
        <f t="shared" si="2"/>
      </c>
    </row>
    <row r="10595">
      <c r="G10595" s="9">
        <f t="shared" si="0"/>
      </c>
      <c r="L10595">
        <f t="shared" si="1"/>
      </c>
      <c r="M10595">
        <f t="shared" si="2"/>
      </c>
    </row>
    <row r="10596">
      <c r="G10596" s="9">
        <f t="shared" si="0"/>
      </c>
      <c r="L10596">
        <f t="shared" si="1"/>
      </c>
      <c r="M10596">
        <f t="shared" si="2"/>
      </c>
    </row>
    <row r="10597">
      <c r="G10597" s="9">
        <f t="shared" si="0"/>
      </c>
      <c r="L10597">
        <f t="shared" si="1"/>
      </c>
      <c r="M10597">
        <f t="shared" si="2"/>
      </c>
    </row>
    <row r="10598">
      <c r="G10598" s="9">
        <f t="shared" si="0"/>
      </c>
      <c r="L10598">
        <f t="shared" si="1"/>
      </c>
      <c r="M10598">
        <f t="shared" si="2"/>
      </c>
    </row>
    <row r="10599">
      <c r="G10599" s="9">
        <f t="shared" si="0"/>
      </c>
      <c r="L10599">
        <f t="shared" si="1"/>
      </c>
      <c r="M10599">
        <f t="shared" si="2"/>
      </c>
    </row>
    <row r="10600">
      <c r="G10600" s="9">
        <f t="shared" si="0"/>
      </c>
      <c r="L10600">
        <f t="shared" si="1"/>
      </c>
      <c r="M10600">
        <f t="shared" si="2"/>
      </c>
    </row>
    <row r="10601">
      <c r="G10601" s="9">
        <f t="shared" si="0"/>
      </c>
      <c r="L10601">
        <f t="shared" si="1"/>
      </c>
      <c r="M10601">
        <f t="shared" si="2"/>
      </c>
    </row>
    <row r="10602">
      <c r="G10602" s="9">
        <f t="shared" si="0"/>
      </c>
      <c r="L10602">
        <f t="shared" si="1"/>
      </c>
      <c r="M10602">
        <f t="shared" si="2"/>
      </c>
    </row>
    <row r="10603">
      <c r="G10603" s="9">
        <f t="shared" si="0"/>
      </c>
      <c r="L10603">
        <f t="shared" si="1"/>
      </c>
      <c r="M10603">
        <f t="shared" si="2"/>
      </c>
    </row>
    <row r="10604">
      <c r="G10604" s="9">
        <f t="shared" si="0"/>
      </c>
      <c r="L10604">
        <f t="shared" si="1"/>
      </c>
      <c r="M10604">
        <f t="shared" si="2"/>
      </c>
    </row>
    <row r="10605">
      <c r="G10605" s="9">
        <f t="shared" si="0"/>
      </c>
      <c r="L10605">
        <f t="shared" si="1"/>
      </c>
      <c r="M10605">
        <f t="shared" si="2"/>
      </c>
    </row>
    <row r="10606">
      <c r="G10606" s="9">
        <f t="shared" si="0"/>
      </c>
      <c r="L10606">
        <f t="shared" si="1"/>
      </c>
      <c r="M10606">
        <f t="shared" si="2"/>
      </c>
    </row>
    <row r="10607">
      <c r="G10607" s="9">
        <f t="shared" si="0"/>
      </c>
      <c r="L10607">
        <f t="shared" si="1"/>
      </c>
      <c r="M10607">
        <f t="shared" si="2"/>
      </c>
    </row>
    <row r="10608">
      <c r="G10608" s="9">
        <f t="shared" si="0"/>
      </c>
      <c r="L10608">
        <f t="shared" si="1"/>
      </c>
      <c r="M10608">
        <f t="shared" si="2"/>
      </c>
    </row>
    <row r="10609">
      <c r="G10609" s="9">
        <f t="shared" si="0"/>
      </c>
      <c r="L10609">
        <f t="shared" si="1"/>
      </c>
      <c r="M10609">
        <f t="shared" si="2"/>
      </c>
    </row>
    <row r="10610">
      <c r="G10610" s="9">
        <f t="shared" si="0"/>
      </c>
      <c r="L10610">
        <f t="shared" si="1"/>
      </c>
      <c r="M10610">
        <f t="shared" si="2"/>
      </c>
    </row>
    <row r="10611">
      <c r="G10611" s="9">
        <f t="shared" si="0"/>
      </c>
      <c r="L10611">
        <f t="shared" si="1"/>
      </c>
      <c r="M10611">
        <f t="shared" si="2"/>
      </c>
    </row>
    <row r="10612">
      <c r="G10612" s="9">
        <f t="shared" si="0"/>
      </c>
      <c r="L10612">
        <f t="shared" si="1"/>
      </c>
      <c r="M10612">
        <f t="shared" si="2"/>
      </c>
    </row>
    <row r="10613">
      <c r="G10613" s="9">
        <f t="shared" si="0"/>
      </c>
      <c r="L10613">
        <f t="shared" si="1"/>
      </c>
      <c r="M10613">
        <f t="shared" si="2"/>
      </c>
    </row>
    <row r="10614">
      <c r="G10614" s="9">
        <f t="shared" si="0"/>
      </c>
      <c r="L10614">
        <f t="shared" si="1"/>
      </c>
      <c r="M10614">
        <f t="shared" si="2"/>
      </c>
    </row>
    <row r="10615">
      <c r="G10615" s="9">
        <f t="shared" si="0"/>
      </c>
      <c r="L10615">
        <f t="shared" si="1"/>
      </c>
      <c r="M10615">
        <f t="shared" si="2"/>
      </c>
    </row>
    <row r="10616">
      <c r="G10616" s="9">
        <f t="shared" si="0"/>
      </c>
      <c r="L10616">
        <f t="shared" si="1"/>
      </c>
      <c r="M10616">
        <f t="shared" si="2"/>
      </c>
    </row>
    <row r="10617">
      <c r="G10617" s="9">
        <f t="shared" si="0"/>
      </c>
      <c r="L10617">
        <f t="shared" si="1"/>
      </c>
      <c r="M10617">
        <f t="shared" si="2"/>
      </c>
    </row>
    <row r="10618">
      <c r="G10618" s="9">
        <f t="shared" si="0"/>
      </c>
      <c r="L10618">
        <f t="shared" si="1"/>
      </c>
      <c r="M10618">
        <f t="shared" si="2"/>
      </c>
    </row>
    <row r="10619">
      <c r="G10619" s="9">
        <f t="shared" si="0"/>
      </c>
      <c r="L10619">
        <f t="shared" si="1"/>
      </c>
      <c r="M10619">
        <f t="shared" si="2"/>
      </c>
    </row>
    <row r="10620">
      <c r="G10620" s="9">
        <f t="shared" si="0"/>
      </c>
      <c r="L10620">
        <f t="shared" si="1"/>
      </c>
      <c r="M10620">
        <f t="shared" si="2"/>
      </c>
    </row>
    <row r="10621">
      <c r="G10621" s="9">
        <f t="shared" si="0"/>
      </c>
      <c r="L10621">
        <f t="shared" si="1"/>
      </c>
      <c r="M10621">
        <f t="shared" si="2"/>
      </c>
    </row>
    <row r="10622">
      <c r="G10622" s="9">
        <f t="shared" si="0"/>
      </c>
      <c r="L10622">
        <f t="shared" si="1"/>
      </c>
      <c r="M10622">
        <f t="shared" si="2"/>
      </c>
    </row>
    <row r="10623">
      <c r="G10623" s="9">
        <f t="shared" si="0"/>
      </c>
      <c r="L10623">
        <f t="shared" si="1"/>
      </c>
      <c r="M10623">
        <f t="shared" si="2"/>
      </c>
    </row>
    <row r="10624">
      <c r="G10624" s="9">
        <f t="shared" si="0"/>
      </c>
      <c r="L10624">
        <f t="shared" si="1"/>
      </c>
      <c r="M10624">
        <f t="shared" si="2"/>
      </c>
    </row>
    <row r="10625">
      <c r="G10625" s="9">
        <f t="shared" si="0"/>
      </c>
      <c r="L10625">
        <f t="shared" si="1"/>
      </c>
      <c r="M10625">
        <f t="shared" si="2"/>
      </c>
    </row>
    <row r="10626">
      <c r="G10626" s="9">
        <f t="shared" si="0"/>
      </c>
      <c r="L10626">
        <f t="shared" si="1"/>
      </c>
      <c r="M10626">
        <f t="shared" si="2"/>
      </c>
    </row>
    <row r="10627">
      <c r="G10627" s="9">
        <f t="shared" si="0"/>
      </c>
      <c r="L10627">
        <f t="shared" si="1"/>
      </c>
      <c r="M10627">
        <f t="shared" si="2"/>
      </c>
    </row>
    <row r="10628">
      <c r="G10628" s="9">
        <f t="shared" si="0"/>
      </c>
      <c r="L10628">
        <f t="shared" si="1"/>
      </c>
      <c r="M10628">
        <f t="shared" si="2"/>
      </c>
    </row>
    <row r="10629">
      <c r="G10629" s="9">
        <f t="shared" si="0"/>
      </c>
      <c r="L10629">
        <f t="shared" si="1"/>
      </c>
      <c r="M10629">
        <f t="shared" si="2"/>
      </c>
    </row>
    <row r="10630">
      <c r="G10630" s="9">
        <f t="shared" si="0"/>
      </c>
      <c r="L10630">
        <f t="shared" si="1"/>
      </c>
      <c r="M10630">
        <f t="shared" si="2"/>
      </c>
    </row>
    <row r="10631">
      <c r="G10631" s="9">
        <f t="shared" si="0"/>
      </c>
      <c r="L10631">
        <f t="shared" si="1"/>
      </c>
      <c r="M10631">
        <f t="shared" si="2"/>
      </c>
    </row>
    <row r="10632">
      <c r="G10632" s="9">
        <f t="shared" si="0"/>
      </c>
      <c r="L10632">
        <f t="shared" si="1"/>
      </c>
      <c r="M10632">
        <f t="shared" si="2"/>
      </c>
    </row>
    <row r="10633">
      <c r="G10633" s="9">
        <f t="shared" si="0"/>
      </c>
      <c r="L10633">
        <f t="shared" si="1"/>
      </c>
      <c r="M10633">
        <f t="shared" si="2"/>
      </c>
    </row>
    <row r="10634">
      <c r="G10634" s="9">
        <f t="shared" si="0"/>
      </c>
      <c r="L10634">
        <f t="shared" si="1"/>
      </c>
      <c r="M10634">
        <f t="shared" si="2"/>
      </c>
    </row>
    <row r="10635">
      <c r="G10635" s="9">
        <f t="shared" si="0"/>
      </c>
      <c r="L10635">
        <f t="shared" si="1"/>
      </c>
      <c r="M10635">
        <f t="shared" si="2"/>
      </c>
    </row>
    <row r="10636">
      <c r="G10636" s="9">
        <f t="shared" si="0"/>
      </c>
      <c r="L10636">
        <f t="shared" si="1"/>
      </c>
      <c r="M10636">
        <f t="shared" si="2"/>
      </c>
    </row>
    <row r="10637">
      <c r="G10637" s="9">
        <f t="shared" si="0"/>
      </c>
      <c r="L10637">
        <f t="shared" si="1"/>
      </c>
      <c r="M10637">
        <f t="shared" si="2"/>
      </c>
    </row>
    <row r="10638">
      <c r="G10638" s="9">
        <f t="shared" si="0"/>
      </c>
      <c r="L10638">
        <f t="shared" si="1"/>
      </c>
      <c r="M10638">
        <f t="shared" si="2"/>
      </c>
    </row>
    <row r="10639">
      <c r="G10639" s="9">
        <f t="shared" si="0"/>
      </c>
      <c r="L10639">
        <f t="shared" si="1"/>
      </c>
      <c r="M10639">
        <f t="shared" si="2"/>
      </c>
    </row>
    <row r="10640">
      <c r="G10640" s="9">
        <f t="shared" si="0"/>
      </c>
      <c r="L10640">
        <f t="shared" si="1"/>
      </c>
      <c r="M10640">
        <f t="shared" si="2"/>
      </c>
    </row>
    <row r="10641">
      <c r="G10641" s="9">
        <f t="shared" si="0"/>
      </c>
      <c r="L10641">
        <f t="shared" si="1"/>
      </c>
      <c r="M10641">
        <f t="shared" si="2"/>
      </c>
    </row>
    <row r="10642">
      <c r="G10642" s="9">
        <f t="shared" si="0"/>
      </c>
      <c r="L10642">
        <f t="shared" si="1"/>
      </c>
      <c r="M10642">
        <f t="shared" si="2"/>
      </c>
    </row>
    <row r="10643">
      <c r="G10643" s="9">
        <f t="shared" si="0"/>
      </c>
      <c r="L10643">
        <f t="shared" si="1"/>
      </c>
      <c r="M10643">
        <f t="shared" si="2"/>
      </c>
    </row>
    <row r="10644">
      <c r="G10644" s="9">
        <f t="shared" si="0"/>
      </c>
      <c r="L10644">
        <f t="shared" si="1"/>
      </c>
      <c r="M10644">
        <f t="shared" si="2"/>
      </c>
    </row>
    <row r="10645">
      <c r="G10645" s="9">
        <f t="shared" si="0"/>
      </c>
      <c r="L10645">
        <f t="shared" si="1"/>
      </c>
      <c r="M10645">
        <f t="shared" si="2"/>
      </c>
    </row>
    <row r="10646">
      <c r="G10646" s="9">
        <f t="shared" si="0"/>
      </c>
      <c r="L10646">
        <f t="shared" si="1"/>
      </c>
      <c r="M10646">
        <f t="shared" si="2"/>
      </c>
    </row>
    <row r="10647">
      <c r="G10647" s="9">
        <f t="shared" si="0"/>
      </c>
      <c r="L10647">
        <f t="shared" si="1"/>
      </c>
      <c r="M10647">
        <f t="shared" si="2"/>
      </c>
    </row>
    <row r="10648">
      <c r="G10648" s="9">
        <f t="shared" si="0"/>
      </c>
      <c r="L10648">
        <f t="shared" si="1"/>
      </c>
      <c r="M10648">
        <f t="shared" si="2"/>
      </c>
    </row>
    <row r="10649">
      <c r="G10649" s="9">
        <f t="shared" si="0"/>
      </c>
      <c r="L10649">
        <f t="shared" si="1"/>
      </c>
      <c r="M10649">
        <f t="shared" si="2"/>
      </c>
    </row>
    <row r="10650">
      <c r="G10650" s="9">
        <f t="shared" si="0"/>
      </c>
      <c r="L10650">
        <f t="shared" si="1"/>
      </c>
      <c r="M10650">
        <f t="shared" si="2"/>
      </c>
    </row>
    <row r="10651">
      <c r="G10651" s="9">
        <f t="shared" si="0"/>
      </c>
      <c r="L10651">
        <f t="shared" si="1"/>
      </c>
      <c r="M10651">
        <f t="shared" si="2"/>
      </c>
    </row>
    <row r="10652">
      <c r="G10652" s="9">
        <f t="shared" si="0"/>
      </c>
      <c r="L10652">
        <f t="shared" si="1"/>
      </c>
      <c r="M10652">
        <f t="shared" si="2"/>
      </c>
    </row>
    <row r="10653">
      <c r="G10653" s="9">
        <f t="shared" si="0"/>
      </c>
      <c r="L10653">
        <f t="shared" si="1"/>
      </c>
      <c r="M10653">
        <f t="shared" si="2"/>
      </c>
    </row>
    <row r="10654">
      <c r="G10654" s="9">
        <f t="shared" si="0"/>
      </c>
      <c r="L10654">
        <f t="shared" si="1"/>
      </c>
      <c r="M10654">
        <f t="shared" si="2"/>
      </c>
    </row>
    <row r="10655">
      <c r="G10655" s="9">
        <f t="shared" si="0"/>
      </c>
      <c r="L10655">
        <f t="shared" si="1"/>
      </c>
      <c r="M10655">
        <f t="shared" si="2"/>
      </c>
    </row>
    <row r="10656">
      <c r="G10656" s="9">
        <f t="shared" si="0"/>
      </c>
      <c r="L10656">
        <f t="shared" si="1"/>
      </c>
      <c r="M10656">
        <f t="shared" si="2"/>
      </c>
    </row>
    <row r="10657">
      <c r="G10657" s="9">
        <f t="shared" si="0"/>
      </c>
      <c r="L10657">
        <f t="shared" si="1"/>
      </c>
      <c r="M10657">
        <f t="shared" si="2"/>
      </c>
    </row>
    <row r="10658">
      <c r="G10658" s="9">
        <f t="shared" si="0"/>
      </c>
      <c r="L10658">
        <f t="shared" si="1"/>
      </c>
      <c r="M10658">
        <f t="shared" si="2"/>
      </c>
    </row>
    <row r="10659">
      <c r="G10659" s="9">
        <f t="shared" si="0"/>
      </c>
      <c r="L10659">
        <f t="shared" si="1"/>
      </c>
      <c r="M10659">
        <f t="shared" si="2"/>
      </c>
    </row>
    <row r="10660">
      <c r="G10660" s="9">
        <f t="shared" si="0"/>
      </c>
      <c r="L10660">
        <f t="shared" si="1"/>
      </c>
      <c r="M10660">
        <f t="shared" si="2"/>
      </c>
    </row>
    <row r="10661">
      <c r="G10661" s="9">
        <f t="shared" si="0"/>
      </c>
      <c r="L10661">
        <f t="shared" si="1"/>
      </c>
      <c r="M10661">
        <f t="shared" si="2"/>
      </c>
    </row>
    <row r="10662">
      <c r="G10662" s="9">
        <f t="shared" si="0"/>
      </c>
      <c r="L10662">
        <f t="shared" si="1"/>
      </c>
      <c r="M10662">
        <f t="shared" si="2"/>
      </c>
    </row>
    <row r="10663">
      <c r="G10663" s="9">
        <f t="shared" si="0"/>
      </c>
      <c r="L10663">
        <f t="shared" si="1"/>
      </c>
      <c r="M10663">
        <f t="shared" si="2"/>
      </c>
    </row>
    <row r="10664">
      <c r="G10664" s="9">
        <f t="shared" si="0"/>
      </c>
      <c r="L10664">
        <f t="shared" si="1"/>
      </c>
      <c r="M10664">
        <f t="shared" si="2"/>
      </c>
    </row>
    <row r="10665">
      <c r="G10665" s="9">
        <f t="shared" si="0"/>
      </c>
      <c r="L10665">
        <f t="shared" si="1"/>
      </c>
      <c r="M10665">
        <f t="shared" si="2"/>
      </c>
    </row>
    <row r="10666">
      <c r="G10666" s="9">
        <f t="shared" si="0"/>
      </c>
      <c r="L10666">
        <f t="shared" si="1"/>
      </c>
      <c r="M10666">
        <f t="shared" si="2"/>
      </c>
    </row>
    <row r="10667">
      <c r="G10667" s="9">
        <f t="shared" si="0"/>
      </c>
      <c r="L10667">
        <f t="shared" si="1"/>
      </c>
      <c r="M10667">
        <f t="shared" si="2"/>
      </c>
    </row>
    <row r="10668">
      <c r="G10668" s="9">
        <f t="shared" si="0"/>
      </c>
      <c r="L10668">
        <f t="shared" si="1"/>
      </c>
      <c r="M10668">
        <f t="shared" si="2"/>
      </c>
    </row>
    <row r="10669">
      <c r="G10669" s="9">
        <f t="shared" si="0"/>
      </c>
      <c r="L10669">
        <f t="shared" si="1"/>
      </c>
      <c r="M10669">
        <f t="shared" si="2"/>
      </c>
    </row>
    <row r="10670">
      <c r="G10670" s="9">
        <f t="shared" si="0"/>
      </c>
      <c r="L10670">
        <f t="shared" si="1"/>
      </c>
      <c r="M10670">
        <f t="shared" si="2"/>
      </c>
    </row>
    <row r="10671">
      <c r="G10671" s="9">
        <f t="shared" si="0"/>
      </c>
      <c r="L10671">
        <f t="shared" si="1"/>
      </c>
      <c r="M10671">
        <f t="shared" si="2"/>
      </c>
    </row>
    <row r="10672">
      <c r="G10672" s="9">
        <f t="shared" si="0"/>
      </c>
      <c r="L10672">
        <f t="shared" si="1"/>
      </c>
      <c r="M10672">
        <f t="shared" si="2"/>
      </c>
    </row>
    <row r="10673">
      <c r="G10673" s="9">
        <f t="shared" si="0"/>
      </c>
      <c r="L10673">
        <f t="shared" si="1"/>
      </c>
      <c r="M10673">
        <f t="shared" si="2"/>
      </c>
    </row>
    <row r="10674">
      <c r="G10674" s="9">
        <f t="shared" si="0"/>
      </c>
      <c r="L10674">
        <f t="shared" si="1"/>
      </c>
      <c r="M10674">
        <f t="shared" si="2"/>
      </c>
    </row>
    <row r="10675">
      <c r="G10675" s="9">
        <f t="shared" si="0"/>
      </c>
      <c r="L10675">
        <f t="shared" si="1"/>
      </c>
      <c r="M10675">
        <f t="shared" si="2"/>
      </c>
    </row>
    <row r="10676">
      <c r="G10676" s="9">
        <f t="shared" si="0"/>
      </c>
      <c r="L10676">
        <f t="shared" si="1"/>
      </c>
      <c r="M10676">
        <f t="shared" si="2"/>
      </c>
    </row>
    <row r="10677">
      <c r="G10677" s="9">
        <f t="shared" si="0"/>
      </c>
      <c r="L10677">
        <f t="shared" si="1"/>
      </c>
      <c r="M10677">
        <f t="shared" si="2"/>
      </c>
    </row>
    <row r="10678">
      <c r="G10678" s="9">
        <f t="shared" si="0"/>
      </c>
      <c r="L10678">
        <f t="shared" si="1"/>
      </c>
      <c r="M10678">
        <f t="shared" si="2"/>
      </c>
    </row>
    <row r="10679">
      <c r="G10679" s="9">
        <f t="shared" si="0"/>
      </c>
      <c r="L10679">
        <f t="shared" si="1"/>
      </c>
      <c r="M10679">
        <f t="shared" si="2"/>
      </c>
    </row>
    <row r="10680">
      <c r="G10680" s="9">
        <f t="shared" si="0"/>
      </c>
      <c r="L10680">
        <f t="shared" si="1"/>
      </c>
      <c r="M10680">
        <f t="shared" si="2"/>
      </c>
    </row>
    <row r="10681">
      <c r="G10681" s="9">
        <f t="shared" si="0"/>
      </c>
      <c r="L10681">
        <f t="shared" si="1"/>
      </c>
      <c r="M10681">
        <f t="shared" si="2"/>
      </c>
    </row>
    <row r="10682">
      <c r="G10682" s="9">
        <f t="shared" si="0"/>
      </c>
      <c r="L10682">
        <f t="shared" si="1"/>
      </c>
      <c r="M10682">
        <f t="shared" si="2"/>
      </c>
    </row>
    <row r="10683">
      <c r="G10683" s="9">
        <f t="shared" si="0"/>
      </c>
      <c r="L10683">
        <f t="shared" si="1"/>
      </c>
      <c r="M10683">
        <f t="shared" si="2"/>
      </c>
    </row>
    <row r="10684">
      <c r="G10684" s="9">
        <f t="shared" si="0"/>
      </c>
      <c r="L10684">
        <f t="shared" si="1"/>
      </c>
      <c r="M10684">
        <f t="shared" si="2"/>
      </c>
    </row>
    <row r="10685">
      <c r="G10685" s="9">
        <f t="shared" si="0"/>
      </c>
      <c r="L10685">
        <f t="shared" si="1"/>
      </c>
      <c r="M10685">
        <f t="shared" si="2"/>
      </c>
    </row>
    <row r="10686">
      <c r="G10686" s="9">
        <f t="shared" si="0"/>
      </c>
      <c r="L10686">
        <f t="shared" si="1"/>
      </c>
      <c r="M10686">
        <f t="shared" si="2"/>
      </c>
    </row>
    <row r="10687">
      <c r="G10687" s="9">
        <f t="shared" si="0"/>
      </c>
      <c r="L10687">
        <f t="shared" si="1"/>
      </c>
      <c r="M10687">
        <f t="shared" si="2"/>
      </c>
    </row>
    <row r="10688">
      <c r="G10688" s="9">
        <f t="shared" si="0"/>
      </c>
      <c r="L10688">
        <f t="shared" si="1"/>
      </c>
      <c r="M10688">
        <f t="shared" si="2"/>
      </c>
    </row>
    <row r="10689">
      <c r="G10689" s="9">
        <f t="shared" si="0"/>
      </c>
      <c r="L10689">
        <f t="shared" si="1"/>
      </c>
      <c r="M10689">
        <f t="shared" si="2"/>
      </c>
    </row>
    <row r="10690">
      <c r="G10690" s="9">
        <f t="shared" si="0"/>
      </c>
      <c r="L10690">
        <f t="shared" si="1"/>
      </c>
      <c r="M10690">
        <f t="shared" si="2"/>
      </c>
    </row>
    <row r="10691">
      <c r="G10691" s="9">
        <f t="shared" si="0"/>
      </c>
      <c r="L10691">
        <f t="shared" si="1"/>
      </c>
      <c r="M10691">
        <f t="shared" si="2"/>
      </c>
    </row>
    <row r="10692">
      <c r="G10692" s="9">
        <f t="shared" si="0"/>
      </c>
      <c r="L10692">
        <f t="shared" si="1"/>
      </c>
      <c r="M10692">
        <f t="shared" si="2"/>
      </c>
    </row>
    <row r="10693">
      <c r="G10693" s="9">
        <f t="shared" si="0"/>
      </c>
      <c r="L10693">
        <f t="shared" si="1"/>
      </c>
      <c r="M10693">
        <f t="shared" si="2"/>
      </c>
    </row>
    <row r="10694">
      <c r="G10694" s="9">
        <f t="shared" si="0"/>
      </c>
      <c r="L10694">
        <f t="shared" si="1"/>
      </c>
      <c r="M10694">
        <f t="shared" si="2"/>
      </c>
    </row>
    <row r="10695">
      <c r="G10695" s="9">
        <f t="shared" si="0"/>
      </c>
      <c r="L10695">
        <f t="shared" si="1"/>
      </c>
      <c r="M10695">
        <f t="shared" si="2"/>
      </c>
    </row>
    <row r="10696">
      <c r="G10696" s="9">
        <f t="shared" si="0"/>
      </c>
      <c r="L10696">
        <f t="shared" si="1"/>
      </c>
      <c r="M10696">
        <f t="shared" si="2"/>
      </c>
    </row>
    <row r="10697">
      <c r="G10697" s="9">
        <f t="shared" si="0"/>
      </c>
      <c r="L10697">
        <f t="shared" si="1"/>
      </c>
      <c r="M10697">
        <f t="shared" si="2"/>
      </c>
    </row>
    <row r="10698">
      <c r="G10698" s="9">
        <f t="shared" si="0"/>
      </c>
      <c r="L10698">
        <f t="shared" si="1"/>
      </c>
      <c r="M10698">
        <f t="shared" si="2"/>
      </c>
    </row>
    <row r="10699">
      <c r="G10699" s="9">
        <f t="shared" si="0"/>
      </c>
      <c r="L10699">
        <f t="shared" si="1"/>
      </c>
      <c r="M10699">
        <f t="shared" si="2"/>
      </c>
    </row>
    <row r="10700">
      <c r="G10700" s="9">
        <f t="shared" si="0"/>
      </c>
      <c r="L10700">
        <f t="shared" si="1"/>
      </c>
      <c r="M10700">
        <f t="shared" si="2"/>
      </c>
    </row>
    <row r="10701">
      <c r="G10701" s="9">
        <f t="shared" si="0"/>
      </c>
      <c r="L10701">
        <f t="shared" si="1"/>
      </c>
      <c r="M10701">
        <f t="shared" si="2"/>
      </c>
    </row>
    <row r="10702">
      <c r="G10702" s="9">
        <f t="shared" si="0"/>
      </c>
      <c r="L10702">
        <f t="shared" si="1"/>
      </c>
      <c r="M10702">
        <f t="shared" si="2"/>
      </c>
    </row>
    <row r="10703">
      <c r="G10703" s="9">
        <f t="shared" si="0"/>
      </c>
      <c r="L10703">
        <f t="shared" si="1"/>
      </c>
      <c r="M10703">
        <f t="shared" si="2"/>
      </c>
    </row>
    <row r="10704">
      <c r="G10704" s="9">
        <f t="shared" si="0"/>
      </c>
      <c r="L10704">
        <f t="shared" si="1"/>
      </c>
      <c r="M10704">
        <f t="shared" si="2"/>
      </c>
    </row>
    <row r="10705">
      <c r="G10705" s="9">
        <f t="shared" si="0"/>
      </c>
      <c r="L10705">
        <f t="shared" si="1"/>
      </c>
      <c r="M10705">
        <f t="shared" si="2"/>
      </c>
    </row>
    <row r="10706">
      <c r="G10706" s="9">
        <f t="shared" si="0"/>
      </c>
      <c r="L10706">
        <f t="shared" si="1"/>
      </c>
      <c r="M10706">
        <f t="shared" si="2"/>
      </c>
    </row>
    <row r="10707">
      <c r="G10707" s="9">
        <f t="shared" si="0"/>
      </c>
      <c r="L10707">
        <f t="shared" si="1"/>
      </c>
      <c r="M10707">
        <f t="shared" si="2"/>
      </c>
    </row>
    <row r="10708">
      <c r="G10708" s="9">
        <f t="shared" si="0"/>
      </c>
      <c r="L10708">
        <f t="shared" si="1"/>
      </c>
      <c r="M10708">
        <f t="shared" si="2"/>
      </c>
    </row>
    <row r="10709">
      <c r="G10709" s="9">
        <f t="shared" si="0"/>
      </c>
      <c r="L10709">
        <f t="shared" si="1"/>
      </c>
      <c r="M10709">
        <f t="shared" si="2"/>
      </c>
    </row>
    <row r="10710">
      <c r="G10710" s="9">
        <f t="shared" si="0"/>
      </c>
      <c r="L10710">
        <f t="shared" si="1"/>
      </c>
      <c r="M10710">
        <f t="shared" si="2"/>
      </c>
    </row>
    <row r="10711">
      <c r="G10711" s="9">
        <f t="shared" si="0"/>
      </c>
      <c r="L10711">
        <f t="shared" si="1"/>
      </c>
      <c r="M10711">
        <f t="shared" si="2"/>
      </c>
    </row>
    <row r="10712">
      <c r="G10712" s="9">
        <f t="shared" si="0"/>
      </c>
      <c r="L10712">
        <f t="shared" si="1"/>
      </c>
      <c r="M10712">
        <f t="shared" si="2"/>
      </c>
    </row>
    <row r="10713">
      <c r="G10713" s="9">
        <f t="shared" si="0"/>
      </c>
      <c r="L10713">
        <f t="shared" si="1"/>
      </c>
      <c r="M10713">
        <f t="shared" si="2"/>
      </c>
    </row>
    <row r="10714">
      <c r="G10714" s="9">
        <f t="shared" si="0"/>
      </c>
      <c r="L10714">
        <f t="shared" si="1"/>
      </c>
      <c r="M10714">
        <f t="shared" si="2"/>
      </c>
    </row>
    <row r="10715">
      <c r="G10715" s="9">
        <f t="shared" si="0"/>
      </c>
      <c r="L10715">
        <f t="shared" si="1"/>
      </c>
      <c r="M10715">
        <f t="shared" si="2"/>
      </c>
    </row>
    <row r="10716">
      <c r="G10716" s="9">
        <f t="shared" si="0"/>
      </c>
      <c r="L10716">
        <f t="shared" si="1"/>
      </c>
      <c r="M10716">
        <f t="shared" si="2"/>
      </c>
    </row>
    <row r="10717">
      <c r="G10717" s="9">
        <f t="shared" si="0"/>
      </c>
      <c r="L10717">
        <f t="shared" si="1"/>
      </c>
      <c r="M10717">
        <f t="shared" si="2"/>
      </c>
    </row>
    <row r="10718">
      <c r="G10718" s="9">
        <f t="shared" si="0"/>
      </c>
      <c r="L10718">
        <f t="shared" si="1"/>
      </c>
      <c r="M10718">
        <f t="shared" si="2"/>
      </c>
    </row>
    <row r="10719">
      <c r="G10719" s="9">
        <f t="shared" si="0"/>
      </c>
      <c r="L10719">
        <f t="shared" si="1"/>
      </c>
      <c r="M10719">
        <f t="shared" si="2"/>
      </c>
    </row>
    <row r="10720">
      <c r="G10720" s="9">
        <f t="shared" si="0"/>
      </c>
      <c r="L10720">
        <f t="shared" si="1"/>
      </c>
      <c r="M10720">
        <f t="shared" si="2"/>
      </c>
    </row>
    <row r="10721">
      <c r="G10721" s="9">
        <f t="shared" si="0"/>
      </c>
      <c r="L10721">
        <f t="shared" si="1"/>
      </c>
      <c r="M10721">
        <f t="shared" si="2"/>
      </c>
    </row>
    <row r="10722">
      <c r="G10722" s="9">
        <f t="shared" si="0"/>
      </c>
      <c r="L10722">
        <f t="shared" si="1"/>
      </c>
      <c r="M10722">
        <f t="shared" si="2"/>
      </c>
    </row>
    <row r="10723">
      <c r="G10723" s="9">
        <f t="shared" si="0"/>
      </c>
      <c r="L10723">
        <f t="shared" si="1"/>
      </c>
      <c r="M10723">
        <f t="shared" si="2"/>
      </c>
    </row>
    <row r="10724">
      <c r="G10724" s="9">
        <f t="shared" si="0"/>
      </c>
      <c r="L10724">
        <f t="shared" si="1"/>
      </c>
      <c r="M10724">
        <f t="shared" si="2"/>
      </c>
    </row>
    <row r="10725">
      <c r="G10725" s="9">
        <f t="shared" si="0"/>
      </c>
      <c r="L10725">
        <f t="shared" si="1"/>
      </c>
      <c r="M10725">
        <f t="shared" si="2"/>
      </c>
    </row>
    <row r="10726">
      <c r="G10726" s="9">
        <f t="shared" si="0"/>
      </c>
      <c r="L10726">
        <f t="shared" si="1"/>
      </c>
      <c r="M10726">
        <f t="shared" si="2"/>
      </c>
    </row>
    <row r="10727">
      <c r="G10727" s="9">
        <f t="shared" si="0"/>
      </c>
      <c r="L10727">
        <f t="shared" si="1"/>
      </c>
      <c r="M10727">
        <f t="shared" si="2"/>
      </c>
    </row>
    <row r="10728">
      <c r="G10728" s="9">
        <f t="shared" si="0"/>
      </c>
      <c r="L10728">
        <f t="shared" si="1"/>
      </c>
      <c r="M10728">
        <f t="shared" si="2"/>
      </c>
    </row>
    <row r="10729">
      <c r="G10729" s="9">
        <f t="shared" si="0"/>
      </c>
      <c r="L10729">
        <f t="shared" si="1"/>
      </c>
      <c r="M10729">
        <f t="shared" si="2"/>
      </c>
    </row>
    <row r="10730">
      <c r="G10730" s="9">
        <f t="shared" si="0"/>
      </c>
      <c r="L10730">
        <f t="shared" si="1"/>
      </c>
      <c r="M10730">
        <f t="shared" si="2"/>
      </c>
    </row>
    <row r="10731">
      <c r="G10731" s="9">
        <f t="shared" si="0"/>
      </c>
      <c r="L10731">
        <f t="shared" si="1"/>
      </c>
      <c r="M10731">
        <f t="shared" si="2"/>
      </c>
    </row>
    <row r="10732">
      <c r="G10732" s="9">
        <f t="shared" si="0"/>
      </c>
      <c r="L10732">
        <f t="shared" si="1"/>
      </c>
      <c r="M10732">
        <f t="shared" si="2"/>
      </c>
    </row>
    <row r="10733">
      <c r="G10733" s="9">
        <f t="shared" si="0"/>
      </c>
      <c r="L10733">
        <f t="shared" si="1"/>
      </c>
      <c r="M10733">
        <f t="shared" si="2"/>
      </c>
    </row>
    <row r="10734">
      <c r="G10734" s="9">
        <f t="shared" si="0"/>
      </c>
      <c r="L10734">
        <f t="shared" si="1"/>
      </c>
      <c r="M10734">
        <f t="shared" si="2"/>
      </c>
    </row>
    <row r="10735">
      <c r="G10735" s="9">
        <f t="shared" si="0"/>
      </c>
      <c r="L10735">
        <f t="shared" si="1"/>
      </c>
      <c r="M10735">
        <f t="shared" si="2"/>
      </c>
    </row>
    <row r="10736">
      <c r="G10736" s="9">
        <f t="shared" si="0"/>
      </c>
      <c r="L10736">
        <f t="shared" si="1"/>
      </c>
      <c r="M10736">
        <f t="shared" si="2"/>
      </c>
    </row>
    <row r="10737">
      <c r="G10737" s="9">
        <f t="shared" si="0"/>
      </c>
      <c r="L10737">
        <f t="shared" si="1"/>
      </c>
      <c r="M10737">
        <f t="shared" si="2"/>
      </c>
    </row>
    <row r="10738">
      <c r="G10738" s="9">
        <f t="shared" si="0"/>
      </c>
      <c r="L10738">
        <f t="shared" si="1"/>
      </c>
      <c r="M10738">
        <f t="shared" si="2"/>
      </c>
    </row>
    <row r="10739">
      <c r="G10739" s="9">
        <f t="shared" si="0"/>
      </c>
      <c r="L10739">
        <f t="shared" si="1"/>
      </c>
      <c r="M10739">
        <f t="shared" si="2"/>
      </c>
    </row>
    <row r="10740">
      <c r="G10740" s="9">
        <f t="shared" si="0"/>
      </c>
      <c r="L10740">
        <f t="shared" si="1"/>
      </c>
      <c r="M10740">
        <f t="shared" si="2"/>
      </c>
    </row>
    <row r="10741">
      <c r="G10741" s="9">
        <f t="shared" si="0"/>
      </c>
      <c r="L10741">
        <f t="shared" si="1"/>
      </c>
      <c r="M10741">
        <f t="shared" si="2"/>
      </c>
    </row>
    <row r="10742">
      <c r="G10742" s="9">
        <f t="shared" si="0"/>
      </c>
      <c r="L10742">
        <f t="shared" si="1"/>
      </c>
      <c r="M10742">
        <f t="shared" si="2"/>
      </c>
    </row>
    <row r="10743">
      <c r="G10743" s="9">
        <f t="shared" si="0"/>
      </c>
      <c r="L10743">
        <f t="shared" si="1"/>
      </c>
      <c r="M10743">
        <f t="shared" si="2"/>
      </c>
    </row>
    <row r="10744">
      <c r="G10744" s="9">
        <f t="shared" si="0"/>
      </c>
      <c r="L10744">
        <f t="shared" si="1"/>
      </c>
      <c r="M10744">
        <f t="shared" si="2"/>
      </c>
    </row>
    <row r="10745">
      <c r="G10745" s="9">
        <f t="shared" si="0"/>
      </c>
      <c r="L10745">
        <f t="shared" si="1"/>
      </c>
      <c r="M10745">
        <f t="shared" si="2"/>
      </c>
    </row>
    <row r="10746">
      <c r="G10746" s="9">
        <f t="shared" si="0"/>
      </c>
      <c r="L10746">
        <f t="shared" si="1"/>
      </c>
      <c r="M10746">
        <f t="shared" si="2"/>
      </c>
    </row>
    <row r="10747">
      <c r="G10747" s="9">
        <f t="shared" si="0"/>
      </c>
      <c r="L10747">
        <f t="shared" si="1"/>
      </c>
      <c r="M10747">
        <f t="shared" si="2"/>
      </c>
    </row>
    <row r="10748">
      <c r="G10748" s="9">
        <f t="shared" si="0"/>
      </c>
      <c r="L10748">
        <f t="shared" si="1"/>
      </c>
      <c r="M10748">
        <f t="shared" si="2"/>
      </c>
    </row>
    <row r="10749">
      <c r="G10749" s="9">
        <f t="shared" si="0"/>
      </c>
      <c r="L10749">
        <f t="shared" si="1"/>
      </c>
      <c r="M10749">
        <f t="shared" si="2"/>
      </c>
    </row>
    <row r="10750">
      <c r="G10750" s="9">
        <f t="shared" si="0"/>
      </c>
      <c r="L10750">
        <f t="shared" si="1"/>
      </c>
      <c r="M10750">
        <f t="shared" si="2"/>
      </c>
    </row>
    <row r="10751">
      <c r="G10751" s="9">
        <f t="shared" si="0"/>
      </c>
      <c r="L10751">
        <f t="shared" si="1"/>
      </c>
      <c r="M10751">
        <f t="shared" si="2"/>
      </c>
    </row>
    <row r="10752">
      <c r="G10752" s="9">
        <f t="shared" si="0"/>
      </c>
      <c r="L10752">
        <f t="shared" si="1"/>
      </c>
      <c r="M10752">
        <f t="shared" si="2"/>
      </c>
    </row>
    <row r="10753">
      <c r="G10753" s="9">
        <f t="shared" si="0"/>
      </c>
      <c r="L10753">
        <f t="shared" si="1"/>
      </c>
      <c r="M10753">
        <f t="shared" si="2"/>
      </c>
    </row>
    <row r="10754">
      <c r="G10754" s="9">
        <f t="shared" si="0"/>
      </c>
      <c r="L10754">
        <f t="shared" si="1"/>
      </c>
      <c r="M10754">
        <f t="shared" si="2"/>
      </c>
    </row>
    <row r="10755">
      <c r="G10755" s="9">
        <f t="shared" si="0"/>
      </c>
      <c r="L10755">
        <f t="shared" si="1"/>
      </c>
      <c r="M10755">
        <f t="shared" si="2"/>
      </c>
    </row>
    <row r="10756">
      <c r="G10756" s="9">
        <f t="shared" si="0"/>
      </c>
      <c r="L10756">
        <f t="shared" si="1"/>
      </c>
      <c r="M10756">
        <f t="shared" si="2"/>
      </c>
    </row>
    <row r="10757">
      <c r="G10757" s="9">
        <f t="shared" si="0"/>
      </c>
      <c r="L10757">
        <f t="shared" si="1"/>
      </c>
      <c r="M10757">
        <f t="shared" si="2"/>
      </c>
    </row>
    <row r="10758">
      <c r="G10758" s="9">
        <f t="shared" si="0"/>
      </c>
      <c r="L10758">
        <f t="shared" si="1"/>
      </c>
      <c r="M10758">
        <f t="shared" si="2"/>
      </c>
    </row>
    <row r="10759">
      <c r="G10759" s="9">
        <f t="shared" si="0"/>
      </c>
      <c r="L10759">
        <f t="shared" si="1"/>
      </c>
      <c r="M10759">
        <f t="shared" si="2"/>
      </c>
    </row>
    <row r="10760">
      <c r="G10760" s="9">
        <f t="shared" si="0"/>
      </c>
      <c r="L10760">
        <f t="shared" si="1"/>
      </c>
      <c r="M10760">
        <f t="shared" si="2"/>
      </c>
    </row>
    <row r="10761">
      <c r="G10761" s="9">
        <f t="shared" si="0"/>
      </c>
      <c r="L10761">
        <f t="shared" si="1"/>
      </c>
      <c r="M10761">
        <f t="shared" si="2"/>
      </c>
    </row>
    <row r="10762">
      <c r="G10762" s="9">
        <f t="shared" si="0"/>
      </c>
      <c r="L10762">
        <f t="shared" si="1"/>
      </c>
      <c r="M10762">
        <f t="shared" si="2"/>
      </c>
    </row>
    <row r="10763">
      <c r="G10763" s="9">
        <f t="shared" si="0"/>
      </c>
      <c r="L10763">
        <f t="shared" si="1"/>
      </c>
      <c r="M10763">
        <f t="shared" si="2"/>
      </c>
    </row>
    <row r="10764">
      <c r="G10764" s="9">
        <f t="shared" si="0"/>
      </c>
      <c r="L10764">
        <f t="shared" si="1"/>
      </c>
      <c r="M10764">
        <f t="shared" si="2"/>
      </c>
    </row>
    <row r="10765">
      <c r="G10765" s="9">
        <f t="shared" si="0"/>
      </c>
      <c r="L10765">
        <f t="shared" si="1"/>
      </c>
      <c r="M10765">
        <f t="shared" si="2"/>
      </c>
    </row>
    <row r="10766">
      <c r="G10766" s="9">
        <f t="shared" si="0"/>
      </c>
      <c r="L10766">
        <f t="shared" si="1"/>
      </c>
      <c r="M10766">
        <f t="shared" si="2"/>
      </c>
    </row>
    <row r="10767">
      <c r="G10767" s="9">
        <f t="shared" si="0"/>
      </c>
      <c r="L10767">
        <f t="shared" si="1"/>
      </c>
      <c r="M10767">
        <f t="shared" si="2"/>
      </c>
    </row>
    <row r="10768">
      <c r="G10768" s="9">
        <f t="shared" si="0"/>
      </c>
      <c r="L10768">
        <f t="shared" si="1"/>
      </c>
      <c r="M10768">
        <f t="shared" si="2"/>
      </c>
    </row>
    <row r="10769">
      <c r="G10769" s="9">
        <f t="shared" si="0"/>
      </c>
      <c r="L10769">
        <f t="shared" si="1"/>
      </c>
      <c r="M10769">
        <f t="shared" si="2"/>
      </c>
    </row>
    <row r="10770">
      <c r="G10770" s="9">
        <f t="shared" si="0"/>
      </c>
      <c r="L10770">
        <f t="shared" si="1"/>
      </c>
      <c r="M10770">
        <f t="shared" si="2"/>
      </c>
    </row>
    <row r="10771">
      <c r="G10771" s="9">
        <f t="shared" si="0"/>
      </c>
      <c r="L10771">
        <f t="shared" si="1"/>
      </c>
      <c r="M10771">
        <f t="shared" si="2"/>
      </c>
    </row>
    <row r="10772">
      <c r="G10772" s="9">
        <f t="shared" si="0"/>
      </c>
      <c r="L10772">
        <f t="shared" si="1"/>
      </c>
      <c r="M10772">
        <f t="shared" si="2"/>
      </c>
    </row>
    <row r="10773">
      <c r="G10773" s="9">
        <f t="shared" si="0"/>
      </c>
      <c r="L10773">
        <f t="shared" si="1"/>
      </c>
      <c r="M10773">
        <f t="shared" si="2"/>
      </c>
    </row>
    <row r="10774">
      <c r="G10774" s="9">
        <f t="shared" si="0"/>
      </c>
      <c r="L10774">
        <f t="shared" si="1"/>
      </c>
      <c r="M10774">
        <f t="shared" si="2"/>
      </c>
    </row>
    <row r="10775">
      <c r="G10775" s="9">
        <f t="shared" si="0"/>
      </c>
      <c r="L10775">
        <f t="shared" si="1"/>
      </c>
      <c r="M10775">
        <f t="shared" si="2"/>
      </c>
    </row>
    <row r="10776">
      <c r="G10776" s="9">
        <f t="shared" si="0"/>
      </c>
      <c r="L10776">
        <f t="shared" si="1"/>
      </c>
      <c r="M10776">
        <f t="shared" si="2"/>
      </c>
    </row>
    <row r="10777">
      <c r="G10777" s="9">
        <f t="shared" si="0"/>
      </c>
      <c r="L10777">
        <f t="shared" si="1"/>
      </c>
      <c r="M10777">
        <f t="shared" si="2"/>
      </c>
    </row>
    <row r="10778">
      <c r="G10778" s="9">
        <f t="shared" si="0"/>
      </c>
      <c r="L10778">
        <f t="shared" si="1"/>
      </c>
      <c r="M10778">
        <f t="shared" si="2"/>
      </c>
    </row>
    <row r="10779">
      <c r="G10779" s="9">
        <f t="shared" si="0"/>
      </c>
      <c r="L10779">
        <f t="shared" si="1"/>
      </c>
      <c r="M10779">
        <f t="shared" si="2"/>
      </c>
    </row>
    <row r="10780">
      <c r="G10780" s="9">
        <f t="shared" si="0"/>
      </c>
      <c r="L10780">
        <f t="shared" si="1"/>
      </c>
      <c r="M10780">
        <f t="shared" si="2"/>
      </c>
    </row>
    <row r="10781">
      <c r="G10781" s="9">
        <f t="shared" si="0"/>
      </c>
      <c r="L10781">
        <f t="shared" si="1"/>
      </c>
      <c r="M10781">
        <f t="shared" si="2"/>
      </c>
    </row>
    <row r="10782">
      <c r="G10782" s="9">
        <f t="shared" si="0"/>
      </c>
      <c r="L10782">
        <f t="shared" si="1"/>
      </c>
      <c r="M10782">
        <f t="shared" si="2"/>
      </c>
    </row>
    <row r="10783">
      <c r="G10783" s="9">
        <f t="shared" si="0"/>
      </c>
      <c r="L10783">
        <f t="shared" si="1"/>
      </c>
      <c r="M10783">
        <f t="shared" si="2"/>
      </c>
    </row>
    <row r="10784">
      <c r="G10784" s="9">
        <f t="shared" si="0"/>
      </c>
      <c r="L10784">
        <f t="shared" si="1"/>
      </c>
      <c r="M10784">
        <f t="shared" si="2"/>
      </c>
    </row>
    <row r="10785">
      <c r="G10785" s="9">
        <f t="shared" si="0"/>
      </c>
      <c r="L10785">
        <f t="shared" si="1"/>
      </c>
      <c r="M10785">
        <f t="shared" si="2"/>
      </c>
    </row>
    <row r="10786">
      <c r="G10786" s="9">
        <f t="shared" si="0"/>
      </c>
      <c r="L10786">
        <f t="shared" si="1"/>
      </c>
      <c r="M10786">
        <f t="shared" si="2"/>
      </c>
    </row>
    <row r="10787">
      <c r="G10787" s="9">
        <f t="shared" si="0"/>
      </c>
      <c r="L10787">
        <f t="shared" si="1"/>
      </c>
      <c r="M10787">
        <f t="shared" si="2"/>
      </c>
    </row>
    <row r="10788">
      <c r="G10788" s="9">
        <f t="shared" si="0"/>
      </c>
      <c r="L10788">
        <f t="shared" si="1"/>
      </c>
      <c r="M10788">
        <f t="shared" si="2"/>
      </c>
    </row>
    <row r="10789">
      <c r="G10789" s="9">
        <f t="shared" si="0"/>
      </c>
      <c r="L10789">
        <f t="shared" si="1"/>
      </c>
      <c r="M10789">
        <f t="shared" si="2"/>
      </c>
    </row>
    <row r="10790">
      <c r="G10790" s="9">
        <f t="shared" si="0"/>
      </c>
      <c r="L10790">
        <f t="shared" si="1"/>
      </c>
      <c r="M10790">
        <f t="shared" si="2"/>
      </c>
    </row>
    <row r="10791">
      <c r="G10791" s="9">
        <f t="shared" si="0"/>
      </c>
      <c r="L10791">
        <f t="shared" si="1"/>
      </c>
      <c r="M10791">
        <f t="shared" si="2"/>
      </c>
    </row>
    <row r="10792">
      <c r="G10792" s="9">
        <f t="shared" si="0"/>
      </c>
      <c r="L10792">
        <f t="shared" si="1"/>
      </c>
      <c r="M10792">
        <f t="shared" si="2"/>
      </c>
    </row>
    <row r="10793">
      <c r="G10793" s="9">
        <f t="shared" si="0"/>
      </c>
      <c r="L10793">
        <f t="shared" si="1"/>
      </c>
      <c r="M10793">
        <f t="shared" si="2"/>
      </c>
    </row>
    <row r="10794">
      <c r="G10794" s="9">
        <f t="shared" si="0"/>
      </c>
      <c r="L10794">
        <f t="shared" si="1"/>
      </c>
      <c r="M10794">
        <f t="shared" si="2"/>
      </c>
    </row>
    <row r="10795">
      <c r="G10795" s="9">
        <f t="shared" si="0"/>
      </c>
      <c r="L10795">
        <f t="shared" si="1"/>
      </c>
      <c r="M10795">
        <f t="shared" si="2"/>
      </c>
    </row>
    <row r="10796">
      <c r="G10796" s="9">
        <f t="shared" si="0"/>
      </c>
      <c r="L10796">
        <f t="shared" si="1"/>
      </c>
      <c r="M10796">
        <f t="shared" si="2"/>
      </c>
    </row>
    <row r="10797">
      <c r="G10797" s="9">
        <f t="shared" si="0"/>
      </c>
      <c r="L10797">
        <f t="shared" si="1"/>
      </c>
      <c r="M10797">
        <f t="shared" si="2"/>
      </c>
    </row>
    <row r="10798">
      <c r="G10798" s="9">
        <f t="shared" si="0"/>
      </c>
      <c r="L10798">
        <f t="shared" si="1"/>
      </c>
      <c r="M10798">
        <f t="shared" si="2"/>
      </c>
    </row>
    <row r="10799">
      <c r="G10799" s="9">
        <f t="shared" si="0"/>
      </c>
      <c r="L10799">
        <f t="shared" si="1"/>
      </c>
      <c r="M10799">
        <f t="shared" si="2"/>
      </c>
    </row>
    <row r="10800">
      <c r="G10800" s="9">
        <f t="shared" si="0"/>
      </c>
      <c r="L10800">
        <f t="shared" si="1"/>
      </c>
      <c r="M10800">
        <f t="shared" si="2"/>
      </c>
    </row>
    <row r="10801">
      <c r="G10801" s="9">
        <f t="shared" si="0"/>
      </c>
      <c r="L10801">
        <f t="shared" si="1"/>
      </c>
      <c r="M10801">
        <f t="shared" si="2"/>
      </c>
    </row>
    <row r="10802">
      <c r="G10802" s="9">
        <f t="shared" si="0"/>
      </c>
      <c r="L10802">
        <f t="shared" si="1"/>
      </c>
      <c r="M10802">
        <f t="shared" si="2"/>
      </c>
    </row>
    <row r="10803">
      <c r="G10803" s="9">
        <f t="shared" si="0"/>
      </c>
      <c r="L10803">
        <f t="shared" si="1"/>
      </c>
      <c r="M10803">
        <f t="shared" si="2"/>
      </c>
    </row>
    <row r="10804">
      <c r="G10804" s="9">
        <f t="shared" si="0"/>
      </c>
      <c r="L10804">
        <f t="shared" si="1"/>
      </c>
      <c r="M10804">
        <f t="shared" si="2"/>
      </c>
    </row>
    <row r="10805">
      <c r="G10805" s="9">
        <f t="shared" si="0"/>
      </c>
      <c r="L10805">
        <f t="shared" si="1"/>
      </c>
      <c r="M10805">
        <f t="shared" si="2"/>
      </c>
    </row>
    <row r="10806">
      <c r="G10806" s="9">
        <f t="shared" si="0"/>
      </c>
      <c r="L10806">
        <f t="shared" si="1"/>
      </c>
      <c r="M10806">
        <f t="shared" si="2"/>
      </c>
    </row>
    <row r="10807">
      <c r="G10807" s="9">
        <f t="shared" si="0"/>
      </c>
      <c r="L10807">
        <f t="shared" si="1"/>
      </c>
      <c r="M10807">
        <f t="shared" si="2"/>
      </c>
    </row>
    <row r="10808">
      <c r="G10808" s="9">
        <f t="shared" si="0"/>
      </c>
      <c r="L10808">
        <f t="shared" si="1"/>
      </c>
      <c r="M10808">
        <f t="shared" si="2"/>
      </c>
    </row>
    <row r="10809">
      <c r="G10809" s="9">
        <f t="shared" si="0"/>
      </c>
      <c r="L10809">
        <f t="shared" si="1"/>
      </c>
      <c r="M10809">
        <f t="shared" si="2"/>
      </c>
    </row>
    <row r="10810">
      <c r="G10810" s="9">
        <f t="shared" si="0"/>
      </c>
      <c r="L10810">
        <f t="shared" si="1"/>
      </c>
      <c r="M10810">
        <f t="shared" si="2"/>
      </c>
    </row>
    <row r="10811">
      <c r="G10811" s="9">
        <f t="shared" si="0"/>
      </c>
      <c r="L10811">
        <f t="shared" si="1"/>
      </c>
      <c r="M10811">
        <f t="shared" si="2"/>
      </c>
    </row>
    <row r="10812">
      <c r="G10812" s="9">
        <f t="shared" si="0"/>
      </c>
      <c r="L10812">
        <f t="shared" si="1"/>
      </c>
      <c r="M10812">
        <f t="shared" si="2"/>
      </c>
    </row>
    <row r="10813">
      <c r="G10813" s="9">
        <f t="shared" si="0"/>
      </c>
      <c r="L10813">
        <f t="shared" si="1"/>
      </c>
      <c r="M10813">
        <f t="shared" si="2"/>
      </c>
    </row>
    <row r="10814">
      <c r="G10814" s="9">
        <f t="shared" si="0"/>
      </c>
      <c r="L10814">
        <f t="shared" si="1"/>
      </c>
      <c r="M10814">
        <f t="shared" si="2"/>
      </c>
    </row>
    <row r="10815">
      <c r="G10815" s="9">
        <f t="shared" si="0"/>
      </c>
      <c r="L10815">
        <f t="shared" si="1"/>
      </c>
      <c r="M10815">
        <f t="shared" si="2"/>
      </c>
    </row>
    <row r="10816">
      <c r="G10816" s="9">
        <f t="shared" si="0"/>
      </c>
      <c r="L10816">
        <f t="shared" si="1"/>
      </c>
      <c r="M10816">
        <f t="shared" si="2"/>
      </c>
    </row>
    <row r="10817">
      <c r="G10817" s="9">
        <f t="shared" si="0"/>
      </c>
      <c r="L10817">
        <f t="shared" si="1"/>
      </c>
      <c r="M10817">
        <f t="shared" si="2"/>
      </c>
    </row>
    <row r="10818">
      <c r="G10818" s="9">
        <f t="shared" si="0"/>
      </c>
      <c r="L10818">
        <f t="shared" si="1"/>
      </c>
      <c r="M10818">
        <f t="shared" si="2"/>
      </c>
    </row>
    <row r="10819">
      <c r="G10819" s="9">
        <f t="shared" si="0"/>
      </c>
      <c r="L10819">
        <f t="shared" si="1"/>
      </c>
      <c r="M10819">
        <f t="shared" si="2"/>
      </c>
    </row>
    <row r="10820">
      <c r="G10820" s="9">
        <f t="shared" si="0"/>
      </c>
      <c r="L10820">
        <f t="shared" si="1"/>
      </c>
      <c r="M10820">
        <f t="shared" si="2"/>
      </c>
    </row>
    <row r="10821">
      <c r="G10821" s="9">
        <f t="shared" si="0"/>
      </c>
      <c r="L10821">
        <f t="shared" si="1"/>
      </c>
      <c r="M10821">
        <f t="shared" si="2"/>
      </c>
    </row>
    <row r="10822">
      <c r="G10822" s="9">
        <f t="shared" si="0"/>
      </c>
      <c r="L10822">
        <f t="shared" si="1"/>
      </c>
      <c r="M10822">
        <f t="shared" si="2"/>
      </c>
    </row>
    <row r="10823">
      <c r="G10823" s="9">
        <f t="shared" si="0"/>
      </c>
      <c r="L10823">
        <f t="shared" si="1"/>
      </c>
      <c r="M10823">
        <f t="shared" si="2"/>
      </c>
    </row>
    <row r="10824">
      <c r="G10824" s="9">
        <f t="shared" si="0"/>
      </c>
      <c r="L10824">
        <f t="shared" si="1"/>
      </c>
      <c r="M10824">
        <f t="shared" si="2"/>
      </c>
    </row>
    <row r="10825">
      <c r="G10825" s="9">
        <f t="shared" si="0"/>
      </c>
      <c r="L10825">
        <f t="shared" si="1"/>
      </c>
      <c r="M10825">
        <f t="shared" si="2"/>
      </c>
    </row>
    <row r="10826">
      <c r="G10826" s="9">
        <f t="shared" si="0"/>
      </c>
      <c r="L10826">
        <f t="shared" si="1"/>
      </c>
      <c r="M10826">
        <f t="shared" si="2"/>
      </c>
    </row>
    <row r="10827">
      <c r="G10827" s="9">
        <f t="shared" si="0"/>
      </c>
      <c r="L10827">
        <f t="shared" si="1"/>
      </c>
      <c r="M10827">
        <f t="shared" si="2"/>
      </c>
    </row>
    <row r="10828">
      <c r="G10828" s="9">
        <f t="shared" si="0"/>
      </c>
      <c r="L10828">
        <f t="shared" si="1"/>
      </c>
      <c r="M10828">
        <f t="shared" si="2"/>
      </c>
    </row>
    <row r="10829">
      <c r="G10829" s="9">
        <f t="shared" si="0"/>
      </c>
      <c r="L10829">
        <f t="shared" si="1"/>
      </c>
      <c r="M10829">
        <f t="shared" si="2"/>
      </c>
    </row>
    <row r="10830">
      <c r="G10830" s="9">
        <f t="shared" si="0"/>
      </c>
      <c r="L10830">
        <f t="shared" si="1"/>
      </c>
      <c r="M10830">
        <f t="shared" si="2"/>
      </c>
    </row>
    <row r="10831">
      <c r="G10831" s="9">
        <f t="shared" si="0"/>
      </c>
      <c r="L10831">
        <f t="shared" si="1"/>
      </c>
      <c r="M10831">
        <f t="shared" si="2"/>
      </c>
    </row>
    <row r="10832">
      <c r="G10832" s="9">
        <f t="shared" si="0"/>
      </c>
      <c r="L10832">
        <f t="shared" si="1"/>
      </c>
      <c r="M10832">
        <f t="shared" si="2"/>
      </c>
    </row>
    <row r="10833">
      <c r="G10833" s="9">
        <f t="shared" si="0"/>
      </c>
      <c r="L10833">
        <f t="shared" si="1"/>
      </c>
      <c r="M10833">
        <f t="shared" si="2"/>
      </c>
    </row>
    <row r="10834">
      <c r="G10834" s="9">
        <f t="shared" si="0"/>
      </c>
      <c r="L10834">
        <f t="shared" si="1"/>
      </c>
      <c r="M10834">
        <f t="shared" si="2"/>
      </c>
    </row>
    <row r="10835">
      <c r="G10835" s="9">
        <f t="shared" si="0"/>
      </c>
      <c r="L10835">
        <f t="shared" si="1"/>
      </c>
      <c r="M10835">
        <f t="shared" si="2"/>
      </c>
    </row>
    <row r="10836">
      <c r="G10836" s="9">
        <f t="shared" si="0"/>
      </c>
      <c r="L10836">
        <f t="shared" si="1"/>
      </c>
      <c r="M10836">
        <f t="shared" si="2"/>
      </c>
    </row>
    <row r="10837">
      <c r="G10837" s="9">
        <f t="shared" si="0"/>
      </c>
      <c r="L10837">
        <f t="shared" si="1"/>
      </c>
      <c r="M10837">
        <f t="shared" si="2"/>
      </c>
    </row>
    <row r="10838">
      <c r="G10838" s="9">
        <f t="shared" si="0"/>
      </c>
      <c r="L10838">
        <f t="shared" si="1"/>
      </c>
      <c r="M10838">
        <f t="shared" si="2"/>
      </c>
    </row>
    <row r="10839">
      <c r="G10839" s="9">
        <f t="shared" si="0"/>
      </c>
      <c r="L10839">
        <f t="shared" si="1"/>
      </c>
      <c r="M10839">
        <f t="shared" si="2"/>
      </c>
    </row>
    <row r="10840">
      <c r="G10840" s="9">
        <f t="shared" si="0"/>
      </c>
      <c r="L10840">
        <f t="shared" si="1"/>
      </c>
      <c r="M10840">
        <f t="shared" si="2"/>
      </c>
    </row>
    <row r="10841">
      <c r="G10841" s="9">
        <f t="shared" si="0"/>
      </c>
      <c r="L10841">
        <f t="shared" si="1"/>
      </c>
      <c r="M10841">
        <f t="shared" si="2"/>
      </c>
    </row>
    <row r="10842">
      <c r="G10842" s="9">
        <f t="shared" si="0"/>
      </c>
      <c r="L10842">
        <f t="shared" si="1"/>
      </c>
      <c r="M10842">
        <f t="shared" si="2"/>
      </c>
    </row>
    <row r="10843">
      <c r="G10843" s="9">
        <f t="shared" si="0"/>
      </c>
      <c r="L10843">
        <f t="shared" si="1"/>
      </c>
      <c r="M10843">
        <f t="shared" si="2"/>
      </c>
    </row>
    <row r="10844">
      <c r="G10844" s="9">
        <f t="shared" si="0"/>
      </c>
      <c r="L10844">
        <f t="shared" si="1"/>
      </c>
      <c r="M10844">
        <f t="shared" si="2"/>
      </c>
    </row>
    <row r="10845">
      <c r="G10845" s="9">
        <f t="shared" si="0"/>
      </c>
      <c r="L10845">
        <f t="shared" si="1"/>
      </c>
      <c r="M10845">
        <f t="shared" si="2"/>
      </c>
    </row>
    <row r="10846">
      <c r="G10846" s="9">
        <f t="shared" si="0"/>
      </c>
      <c r="L10846">
        <f t="shared" si="1"/>
      </c>
      <c r="M10846">
        <f t="shared" si="2"/>
      </c>
    </row>
    <row r="10847">
      <c r="G10847" s="9">
        <f t="shared" si="0"/>
      </c>
      <c r="L10847">
        <f t="shared" si="1"/>
      </c>
      <c r="M10847">
        <f t="shared" si="2"/>
      </c>
    </row>
    <row r="10848">
      <c r="G10848" s="9">
        <f t="shared" si="0"/>
      </c>
      <c r="L10848">
        <f t="shared" si="1"/>
      </c>
      <c r="M10848">
        <f t="shared" si="2"/>
      </c>
    </row>
    <row r="10849">
      <c r="G10849" s="9">
        <f t="shared" si="0"/>
      </c>
      <c r="L10849">
        <f t="shared" si="1"/>
      </c>
      <c r="M10849">
        <f t="shared" si="2"/>
      </c>
    </row>
    <row r="10850">
      <c r="G10850" s="9">
        <f t="shared" si="0"/>
      </c>
      <c r="L10850">
        <f t="shared" si="1"/>
      </c>
      <c r="M10850">
        <f t="shared" si="2"/>
      </c>
    </row>
    <row r="10851">
      <c r="G10851" s="9">
        <f t="shared" si="0"/>
      </c>
      <c r="L10851">
        <f t="shared" si="1"/>
      </c>
      <c r="M10851">
        <f t="shared" si="2"/>
      </c>
    </row>
    <row r="10852">
      <c r="G10852" s="9">
        <f t="shared" si="0"/>
      </c>
      <c r="L10852">
        <f t="shared" si="1"/>
      </c>
      <c r="M10852">
        <f t="shared" si="2"/>
      </c>
    </row>
    <row r="10853">
      <c r="G10853" s="9">
        <f t="shared" si="0"/>
      </c>
      <c r="L10853">
        <f t="shared" si="1"/>
      </c>
      <c r="M10853">
        <f t="shared" si="2"/>
      </c>
    </row>
    <row r="10854">
      <c r="G10854" s="9">
        <f t="shared" si="0"/>
      </c>
      <c r="L10854">
        <f t="shared" si="1"/>
      </c>
      <c r="M10854">
        <f t="shared" si="2"/>
      </c>
    </row>
    <row r="10855">
      <c r="G10855" s="9">
        <f t="shared" si="0"/>
      </c>
      <c r="L10855">
        <f t="shared" si="1"/>
      </c>
      <c r="M10855">
        <f t="shared" si="2"/>
      </c>
    </row>
    <row r="10856">
      <c r="G10856" s="9">
        <f t="shared" si="0"/>
      </c>
      <c r="L10856">
        <f t="shared" si="1"/>
      </c>
      <c r="M10856">
        <f t="shared" si="2"/>
      </c>
    </row>
    <row r="10857">
      <c r="G10857" s="9">
        <f t="shared" si="0"/>
      </c>
      <c r="L10857">
        <f t="shared" si="1"/>
      </c>
      <c r="M10857">
        <f t="shared" si="2"/>
      </c>
    </row>
    <row r="10858">
      <c r="G10858" s="9">
        <f t="shared" si="0"/>
      </c>
      <c r="L10858">
        <f t="shared" si="1"/>
      </c>
      <c r="M10858">
        <f t="shared" si="2"/>
      </c>
    </row>
    <row r="10859">
      <c r="G10859" s="9">
        <f t="shared" si="0"/>
      </c>
      <c r="L10859">
        <f t="shared" si="1"/>
      </c>
      <c r="M10859">
        <f t="shared" si="2"/>
      </c>
    </row>
    <row r="10860">
      <c r="G10860" s="9">
        <f t="shared" si="0"/>
      </c>
      <c r="L10860">
        <f t="shared" si="1"/>
      </c>
      <c r="M10860">
        <f t="shared" si="2"/>
      </c>
    </row>
    <row r="10861">
      <c r="G10861" s="9">
        <f t="shared" si="0"/>
      </c>
      <c r="L10861">
        <f t="shared" si="1"/>
      </c>
      <c r="M10861">
        <f t="shared" si="2"/>
      </c>
    </row>
    <row r="10862">
      <c r="G10862" s="9">
        <f t="shared" si="0"/>
      </c>
      <c r="L10862">
        <f t="shared" si="1"/>
      </c>
      <c r="M10862">
        <f t="shared" si="2"/>
      </c>
    </row>
    <row r="10863">
      <c r="G10863" s="9">
        <f t="shared" si="0"/>
      </c>
      <c r="L10863">
        <f t="shared" si="1"/>
      </c>
      <c r="M10863">
        <f t="shared" si="2"/>
      </c>
    </row>
    <row r="10864">
      <c r="G10864" s="9">
        <f t="shared" si="0"/>
      </c>
      <c r="L10864">
        <f t="shared" si="1"/>
      </c>
      <c r="M10864">
        <f t="shared" si="2"/>
      </c>
    </row>
    <row r="10865">
      <c r="G10865" s="9">
        <f t="shared" si="0"/>
      </c>
      <c r="L10865">
        <f t="shared" si="1"/>
      </c>
      <c r="M10865">
        <f t="shared" si="2"/>
      </c>
    </row>
    <row r="10866">
      <c r="G10866" s="9">
        <f t="shared" si="0"/>
      </c>
      <c r="L10866">
        <f t="shared" si="1"/>
      </c>
      <c r="M10866">
        <f t="shared" si="2"/>
      </c>
    </row>
    <row r="10867">
      <c r="G10867" s="9">
        <f t="shared" si="0"/>
      </c>
      <c r="L10867">
        <f t="shared" si="1"/>
      </c>
      <c r="M10867">
        <f t="shared" si="2"/>
      </c>
    </row>
    <row r="10868">
      <c r="G10868" s="9">
        <f t="shared" si="0"/>
      </c>
      <c r="L10868">
        <f t="shared" si="1"/>
      </c>
      <c r="M10868">
        <f t="shared" si="2"/>
      </c>
    </row>
    <row r="10869">
      <c r="G10869" s="9">
        <f t="shared" si="0"/>
      </c>
      <c r="L10869">
        <f t="shared" si="1"/>
      </c>
      <c r="M10869">
        <f t="shared" si="2"/>
      </c>
    </row>
    <row r="10870">
      <c r="G10870" s="9">
        <f t="shared" si="0"/>
      </c>
      <c r="L10870">
        <f t="shared" si="1"/>
      </c>
      <c r="M10870">
        <f t="shared" si="2"/>
      </c>
    </row>
    <row r="10871">
      <c r="G10871" s="9">
        <f t="shared" si="0"/>
      </c>
      <c r="L10871">
        <f t="shared" si="1"/>
      </c>
      <c r="M10871">
        <f t="shared" si="2"/>
      </c>
    </row>
    <row r="10872">
      <c r="G10872" s="9">
        <f t="shared" si="0"/>
      </c>
      <c r="L10872">
        <f t="shared" si="1"/>
      </c>
      <c r="M10872">
        <f t="shared" si="2"/>
      </c>
    </row>
    <row r="10873">
      <c r="G10873" s="9">
        <f t="shared" si="0"/>
      </c>
      <c r="L10873">
        <f t="shared" si="1"/>
      </c>
      <c r="M10873">
        <f t="shared" si="2"/>
      </c>
    </row>
    <row r="10874">
      <c r="G10874" s="9">
        <f t="shared" si="0"/>
      </c>
      <c r="L10874">
        <f t="shared" si="1"/>
      </c>
      <c r="M10874">
        <f t="shared" si="2"/>
      </c>
    </row>
    <row r="10875">
      <c r="G10875" s="9">
        <f t="shared" si="0"/>
      </c>
      <c r="L10875">
        <f t="shared" si="1"/>
      </c>
      <c r="M10875">
        <f t="shared" si="2"/>
      </c>
    </row>
    <row r="10876">
      <c r="G10876" s="9">
        <f t="shared" si="0"/>
      </c>
      <c r="L10876">
        <f t="shared" si="1"/>
      </c>
      <c r="M10876">
        <f t="shared" si="2"/>
      </c>
    </row>
    <row r="10877">
      <c r="G10877" s="9">
        <f t="shared" si="0"/>
      </c>
      <c r="L10877">
        <f t="shared" si="1"/>
      </c>
      <c r="M10877">
        <f t="shared" si="2"/>
      </c>
    </row>
    <row r="10878">
      <c r="G10878" s="9">
        <f t="shared" si="0"/>
      </c>
      <c r="L10878">
        <f t="shared" si="1"/>
      </c>
      <c r="M10878">
        <f t="shared" si="2"/>
      </c>
    </row>
    <row r="10879">
      <c r="G10879" s="9">
        <f t="shared" si="0"/>
      </c>
      <c r="L10879">
        <f t="shared" si="1"/>
      </c>
      <c r="M10879">
        <f t="shared" si="2"/>
      </c>
    </row>
    <row r="10880">
      <c r="G10880" s="9">
        <f t="shared" si="0"/>
      </c>
      <c r="L10880">
        <f t="shared" si="1"/>
      </c>
      <c r="M10880">
        <f t="shared" si="2"/>
      </c>
    </row>
    <row r="10881">
      <c r="G10881" s="9">
        <f t="shared" si="0"/>
      </c>
      <c r="L10881">
        <f t="shared" si="1"/>
      </c>
      <c r="M10881">
        <f t="shared" si="2"/>
      </c>
    </row>
    <row r="10882">
      <c r="G10882" s="9">
        <f t="shared" si="0"/>
      </c>
      <c r="L10882">
        <f t="shared" si="1"/>
      </c>
      <c r="M10882">
        <f t="shared" si="2"/>
      </c>
    </row>
    <row r="10883">
      <c r="G10883" s="9">
        <f t="shared" si="0"/>
      </c>
      <c r="L10883">
        <f t="shared" si="1"/>
      </c>
      <c r="M10883">
        <f t="shared" si="2"/>
      </c>
    </row>
    <row r="10884">
      <c r="G10884" s="9">
        <f t="shared" si="0"/>
      </c>
      <c r="L10884">
        <f t="shared" si="1"/>
      </c>
      <c r="M10884">
        <f t="shared" si="2"/>
      </c>
    </row>
    <row r="10885">
      <c r="G10885" s="9">
        <f t="shared" si="0"/>
      </c>
      <c r="L10885">
        <f t="shared" si="1"/>
      </c>
      <c r="M10885">
        <f t="shared" si="2"/>
      </c>
    </row>
    <row r="10886">
      <c r="G10886" s="9">
        <f t="shared" si="0"/>
      </c>
      <c r="L10886">
        <f t="shared" si="1"/>
      </c>
      <c r="M10886">
        <f t="shared" si="2"/>
      </c>
    </row>
    <row r="10887">
      <c r="G10887" s="9">
        <f t="shared" si="0"/>
      </c>
      <c r="L10887">
        <f t="shared" si="1"/>
      </c>
      <c r="M10887">
        <f t="shared" si="2"/>
      </c>
    </row>
    <row r="10888">
      <c r="G10888" s="9">
        <f t="shared" si="0"/>
      </c>
      <c r="L10888">
        <f t="shared" si="1"/>
      </c>
      <c r="M10888">
        <f t="shared" si="2"/>
      </c>
    </row>
    <row r="10889">
      <c r="G10889" s="9">
        <f t="shared" si="0"/>
      </c>
      <c r="L10889">
        <f t="shared" si="1"/>
      </c>
      <c r="M10889">
        <f t="shared" si="2"/>
      </c>
    </row>
    <row r="10890">
      <c r="G10890" s="9">
        <f t="shared" si="0"/>
      </c>
      <c r="L10890">
        <f t="shared" si="1"/>
      </c>
      <c r="M10890">
        <f t="shared" si="2"/>
      </c>
    </row>
    <row r="10891">
      <c r="G10891" s="9">
        <f t="shared" si="0"/>
      </c>
      <c r="L10891">
        <f t="shared" si="1"/>
      </c>
      <c r="M10891">
        <f t="shared" si="2"/>
      </c>
    </row>
    <row r="10892">
      <c r="G10892" s="9">
        <f t="shared" si="0"/>
      </c>
      <c r="L10892">
        <f t="shared" si="1"/>
      </c>
      <c r="M10892">
        <f t="shared" si="2"/>
      </c>
    </row>
    <row r="10893">
      <c r="G10893" s="9">
        <f t="shared" si="0"/>
      </c>
      <c r="L10893">
        <f t="shared" si="1"/>
      </c>
      <c r="M10893">
        <f t="shared" si="2"/>
      </c>
    </row>
    <row r="10894">
      <c r="G10894" s="9">
        <f t="shared" si="0"/>
      </c>
      <c r="L10894">
        <f t="shared" si="1"/>
      </c>
      <c r="M10894">
        <f t="shared" si="2"/>
      </c>
    </row>
    <row r="10895">
      <c r="G10895" s="9">
        <f t="shared" si="0"/>
      </c>
      <c r="L10895">
        <f t="shared" si="1"/>
      </c>
      <c r="M10895">
        <f t="shared" si="2"/>
      </c>
    </row>
    <row r="10896">
      <c r="G10896" s="9">
        <f t="shared" si="0"/>
      </c>
      <c r="L10896">
        <f t="shared" si="1"/>
      </c>
      <c r="M10896">
        <f t="shared" si="2"/>
      </c>
    </row>
    <row r="10897">
      <c r="G10897" s="9">
        <f t="shared" si="0"/>
      </c>
      <c r="L10897">
        <f t="shared" si="1"/>
      </c>
      <c r="M10897">
        <f t="shared" si="2"/>
      </c>
    </row>
    <row r="10898">
      <c r="G10898" s="9">
        <f t="shared" si="0"/>
      </c>
      <c r="L10898">
        <f t="shared" si="1"/>
      </c>
      <c r="M10898">
        <f t="shared" si="2"/>
      </c>
    </row>
    <row r="10899">
      <c r="G10899" s="9">
        <f t="shared" si="0"/>
      </c>
      <c r="L10899">
        <f t="shared" si="1"/>
      </c>
      <c r="M10899">
        <f t="shared" si="2"/>
      </c>
    </row>
    <row r="10900">
      <c r="G10900" s="9">
        <f t="shared" si="0"/>
      </c>
      <c r="L10900">
        <f t="shared" si="1"/>
      </c>
      <c r="M10900">
        <f t="shared" si="2"/>
      </c>
    </row>
    <row r="10901">
      <c r="G10901" s="9">
        <f t="shared" si="0"/>
      </c>
      <c r="L10901">
        <f t="shared" si="1"/>
      </c>
      <c r="M10901">
        <f t="shared" si="2"/>
      </c>
    </row>
    <row r="10902">
      <c r="G10902" s="9">
        <f t="shared" si="0"/>
      </c>
      <c r="L10902">
        <f t="shared" si="1"/>
      </c>
      <c r="M10902">
        <f t="shared" si="2"/>
      </c>
    </row>
    <row r="10903">
      <c r="G10903" s="9">
        <f t="shared" si="0"/>
      </c>
      <c r="L10903">
        <f t="shared" si="1"/>
      </c>
      <c r="M10903">
        <f t="shared" si="2"/>
      </c>
    </row>
    <row r="10904">
      <c r="G10904" s="9">
        <f t="shared" si="0"/>
      </c>
      <c r="L10904">
        <f t="shared" si="1"/>
      </c>
      <c r="M10904">
        <f t="shared" si="2"/>
      </c>
    </row>
    <row r="10905">
      <c r="G10905" s="9">
        <f t="shared" si="0"/>
      </c>
      <c r="L10905">
        <f t="shared" si="1"/>
      </c>
      <c r="M10905">
        <f t="shared" si="2"/>
      </c>
    </row>
    <row r="10906">
      <c r="G10906" s="9">
        <f t="shared" si="0"/>
      </c>
      <c r="L10906">
        <f t="shared" si="1"/>
      </c>
      <c r="M10906">
        <f t="shared" si="2"/>
      </c>
    </row>
    <row r="10907">
      <c r="G10907" s="9">
        <f t="shared" si="0"/>
      </c>
      <c r="L10907">
        <f t="shared" si="1"/>
      </c>
      <c r="M10907">
        <f t="shared" si="2"/>
      </c>
    </row>
    <row r="10908">
      <c r="G10908" s="9">
        <f t="shared" si="0"/>
      </c>
      <c r="L10908">
        <f t="shared" si="1"/>
      </c>
      <c r="M10908">
        <f t="shared" si="2"/>
      </c>
    </row>
    <row r="10909">
      <c r="G10909" s="9">
        <f t="shared" si="0"/>
      </c>
      <c r="L10909">
        <f t="shared" si="1"/>
      </c>
      <c r="M10909">
        <f t="shared" si="2"/>
      </c>
    </row>
    <row r="10910">
      <c r="G10910" s="9">
        <f t="shared" si="0"/>
      </c>
      <c r="L10910">
        <f t="shared" si="1"/>
      </c>
      <c r="M10910">
        <f t="shared" si="2"/>
      </c>
    </row>
    <row r="10911">
      <c r="G10911" s="9">
        <f t="shared" si="0"/>
      </c>
      <c r="L10911">
        <f t="shared" si="1"/>
      </c>
      <c r="M10911">
        <f t="shared" si="2"/>
      </c>
    </row>
    <row r="10912">
      <c r="G10912" s="9">
        <f t="shared" si="0"/>
      </c>
      <c r="L10912">
        <f t="shared" si="1"/>
      </c>
      <c r="M10912">
        <f t="shared" si="2"/>
      </c>
    </row>
    <row r="10913">
      <c r="G10913" s="9">
        <f t="shared" si="0"/>
      </c>
      <c r="L10913">
        <f t="shared" si="1"/>
      </c>
      <c r="M10913">
        <f t="shared" si="2"/>
      </c>
    </row>
    <row r="10914">
      <c r="G10914" s="9">
        <f t="shared" si="0"/>
      </c>
      <c r="L10914">
        <f t="shared" si="1"/>
      </c>
      <c r="M10914">
        <f t="shared" si="2"/>
      </c>
    </row>
    <row r="10915">
      <c r="G10915" s="9">
        <f t="shared" si="0"/>
      </c>
      <c r="L10915">
        <f t="shared" si="1"/>
      </c>
      <c r="M10915">
        <f t="shared" si="2"/>
      </c>
    </row>
    <row r="10916">
      <c r="G10916" s="9">
        <f t="shared" si="0"/>
      </c>
      <c r="L10916">
        <f t="shared" si="1"/>
      </c>
      <c r="M10916">
        <f t="shared" si="2"/>
      </c>
    </row>
    <row r="10917">
      <c r="G10917" s="9">
        <f t="shared" si="0"/>
      </c>
      <c r="L10917">
        <f t="shared" si="1"/>
      </c>
      <c r="M10917">
        <f t="shared" si="2"/>
      </c>
    </row>
    <row r="10918">
      <c r="G10918" s="9">
        <f t="shared" si="0"/>
      </c>
      <c r="L10918">
        <f t="shared" si="1"/>
      </c>
      <c r="M10918">
        <f t="shared" si="2"/>
      </c>
    </row>
    <row r="10919">
      <c r="G10919" s="9">
        <f t="shared" si="0"/>
      </c>
      <c r="L10919">
        <f t="shared" si="1"/>
      </c>
      <c r="M10919">
        <f t="shared" si="2"/>
      </c>
    </row>
    <row r="10920">
      <c r="G10920" s="9">
        <f t="shared" si="0"/>
      </c>
      <c r="L10920">
        <f t="shared" si="1"/>
      </c>
      <c r="M10920">
        <f t="shared" si="2"/>
      </c>
    </row>
    <row r="10921">
      <c r="G10921" s="9">
        <f t="shared" si="0"/>
      </c>
      <c r="L10921">
        <f t="shared" si="1"/>
      </c>
      <c r="M10921">
        <f t="shared" si="2"/>
      </c>
    </row>
    <row r="10922">
      <c r="G10922" s="9">
        <f t="shared" si="0"/>
      </c>
      <c r="L10922">
        <f t="shared" si="1"/>
      </c>
      <c r="M10922">
        <f t="shared" si="2"/>
      </c>
    </row>
    <row r="10923">
      <c r="G10923" s="9">
        <f t="shared" si="0"/>
      </c>
      <c r="L10923">
        <f t="shared" si="1"/>
      </c>
      <c r="M10923">
        <f t="shared" si="2"/>
      </c>
    </row>
    <row r="10924">
      <c r="G10924" s="9">
        <f t="shared" si="0"/>
      </c>
      <c r="L10924">
        <f t="shared" si="1"/>
      </c>
      <c r="M10924">
        <f t="shared" si="2"/>
      </c>
    </row>
    <row r="10925">
      <c r="G10925" s="9">
        <f t="shared" si="0"/>
      </c>
      <c r="L10925">
        <f t="shared" si="1"/>
      </c>
      <c r="M10925">
        <f t="shared" si="2"/>
      </c>
    </row>
    <row r="10926">
      <c r="G10926" s="9">
        <f t="shared" si="0"/>
      </c>
      <c r="L10926">
        <f t="shared" si="1"/>
      </c>
      <c r="M10926">
        <f t="shared" si="2"/>
      </c>
    </row>
    <row r="10927">
      <c r="G10927" s="9">
        <f t="shared" si="0"/>
      </c>
      <c r="L10927">
        <f t="shared" si="1"/>
      </c>
      <c r="M10927">
        <f t="shared" si="2"/>
      </c>
    </row>
    <row r="10928">
      <c r="G10928" s="9">
        <f t="shared" si="0"/>
      </c>
      <c r="L10928">
        <f t="shared" si="1"/>
      </c>
      <c r="M10928">
        <f t="shared" si="2"/>
      </c>
    </row>
    <row r="10929">
      <c r="G10929" s="9">
        <f t="shared" si="0"/>
      </c>
      <c r="L10929">
        <f t="shared" si="1"/>
      </c>
      <c r="M10929">
        <f t="shared" si="2"/>
      </c>
    </row>
    <row r="10930">
      <c r="G10930" s="9">
        <f t="shared" si="0"/>
      </c>
      <c r="L10930">
        <f t="shared" si="1"/>
      </c>
      <c r="M10930">
        <f t="shared" si="2"/>
      </c>
    </row>
    <row r="10931">
      <c r="G10931" s="9">
        <f t="shared" si="0"/>
      </c>
      <c r="L10931">
        <f t="shared" si="1"/>
      </c>
      <c r="M10931">
        <f t="shared" si="2"/>
      </c>
    </row>
    <row r="10932">
      <c r="G10932" s="9">
        <f t="shared" si="0"/>
      </c>
      <c r="L10932">
        <f t="shared" si="1"/>
      </c>
      <c r="M10932">
        <f t="shared" si="2"/>
      </c>
    </row>
    <row r="10933">
      <c r="G10933" s="9">
        <f t="shared" si="0"/>
      </c>
      <c r="L10933">
        <f t="shared" si="1"/>
      </c>
      <c r="M10933">
        <f t="shared" si="2"/>
      </c>
    </row>
    <row r="10934">
      <c r="G10934" s="9">
        <f t="shared" si="0"/>
      </c>
      <c r="L10934">
        <f t="shared" si="1"/>
      </c>
      <c r="M10934">
        <f t="shared" si="2"/>
      </c>
    </row>
    <row r="10935">
      <c r="G10935" s="9">
        <f t="shared" si="0"/>
      </c>
      <c r="L10935">
        <f t="shared" si="1"/>
      </c>
      <c r="M10935">
        <f t="shared" si="2"/>
      </c>
    </row>
    <row r="10936">
      <c r="G10936" s="9">
        <f t="shared" si="0"/>
      </c>
      <c r="L10936">
        <f t="shared" si="1"/>
      </c>
      <c r="M10936">
        <f t="shared" si="2"/>
      </c>
    </row>
    <row r="10937">
      <c r="G10937" s="9">
        <f t="shared" si="0"/>
      </c>
      <c r="L10937">
        <f t="shared" si="1"/>
      </c>
      <c r="M10937">
        <f t="shared" si="2"/>
      </c>
    </row>
    <row r="10938">
      <c r="G10938" s="9">
        <f t="shared" si="0"/>
      </c>
      <c r="L10938">
        <f t="shared" si="1"/>
      </c>
      <c r="M10938">
        <f t="shared" si="2"/>
      </c>
    </row>
    <row r="10939">
      <c r="G10939" s="9">
        <f t="shared" si="0"/>
      </c>
      <c r="L10939">
        <f t="shared" si="1"/>
      </c>
      <c r="M10939">
        <f t="shared" si="2"/>
      </c>
    </row>
    <row r="10940">
      <c r="G10940" s="9">
        <f t="shared" si="0"/>
      </c>
      <c r="L10940">
        <f t="shared" si="1"/>
      </c>
      <c r="M10940">
        <f t="shared" si="2"/>
      </c>
    </row>
    <row r="10941">
      <c r="G10941" s="9">
        <f t="shared" si="0"/>
      </c>
      <c r="L10941">
        <f t="shared" si="1"/>
      </c>
      <c r="M10941">
        <f t="shared" si="2"/>
      </c>
    </row>
    <row r="10942">
      <c r="G10942" s="9">
        <f t="shared" si="0"/>
      </c>
      <c r="L10942">
        <f t="shared" si="1"/>
      </c>
      <c r="M10942">
        <f t="shared" si="2"/>
      </c>
    </row>
    <row r="10943">
      <c r="G10943" s="9">
        <f t="shared" si="0"/>
      </c>
      <c r="L10943">
        <f t="shared" si="1"/>
      </c>
      <c r="M10943">
        <f t="shared" si="2"/>
      </c>
    </row>
    <row r="10944">
      <c r="G10944" s="9">
        <f t="shared" si="0"/>
      </c>
      <c r="L10944">
        <f t="shared" si="1"/>
      </c>
      <c r="M10944">
        <f t="shared" si="2"/>
      </c>
    </row>
    <row r="10945">
      <c r="G10945" s="9">
        <f t="shared" si="0"/>
      </c>
      <c r="L10945">
        <f t="shared" si="1"/>
      </c>
      <c r="M10945">
        <f t="shared" si="2"/>
      </c>
    </row>
    <row r="10946">
      <c r="G10946" s="9">
        <f t="shared" si="0"/>
      </c>
      <c r="L10946">
        <f t="shared" si="1"/>
      </c>
      <c r="M10946">
        <f t="shared" si="2"/>
      </c>
    </row>
    <row r="10947">
      <c r="G10947" s="9">
        <f t="shared" si="0"/>
      </c>
      <c r="L10947">
        <f t="shared" si="1"/>
      </c>
      <c r="M10947">
        <f t="shared" si="2"/>
      </c>
    </row>
    <row r="10948">
      <c r="G10948" s="9">
        <f t="shared" si="0"/>
      </c>
      <c r="L10948">
        <f t="shared" si="1"/>
      </c>
      <c r="M10948">
        <f t="shared" si="2"/>
      </c>
    </row>
    <row r="10949">
      <c r="G10949" s="9">
        <f t="shared" si="0"/>
      </c>
      <c r="L10949">
        <f t="shared" si="1"/>
      </c>
      <c r="M10949">
        <f t="shared" si="2"/>
      </c>
    </row>
    <row r="10950">
      <c r="G10950" s="9">
        <f t="shared" si="0"/>
      </c>
      <c r="L10950">
        <f t="shared" si="1"/>
      </c>
      <c r="M10950">
        <f t="shared" si="2"/>
      </c>
    </row>
    <row r="10951">
      <c r="G10951" s="9">
        <f t="shared" si="0"/>
      </c>
      <c r="L10951">
        <f t="shared" si="1"/>
      </c>
      <c r="M10951">
        <f t="shared" si="2"/>
      </c>
    </row>
    <row r="10952">
      <c r="G10952" s="9">
        <f t="shared" si="0"/>
      </c>
      <c r="L10952">
        <f t="shared" si="1"/>
      </c>
      <c r="M10952">
        <f t="shared" si="2"/>
      </c>
    </row>
    <row r="10953">
      <c r="G10953" s="9">
        <f t="shared" si="0"/>
      </c>
      <c r="L10953">
        <f t="shared" si="1"/>
      </c>
      <c r="M10953">
        <f t="shared" si="2"/>
      </c>
    </row>
    <row r="10954">
      <c r="G10954" s="9">
        <f t="shared" si="0"/>
      </c>
      <c r="L10954">
        <f t="shared" si="1"/>
      </c>
      <c r="M10954">
        <f t="shared" si="2"/>
      </c>
    </row>
    <row r="10955">
      <c r="G10955" s="9">
        <f t="shared" si="0"/>
      </c>
      <c r="L10955">
        <f t="shared" si="1"/>
      </c>
      <c r="M10955">
        <f t="shared" si="2"/>
      </c>
    </row>
    <row r="10956">
      <c r="G10956" s="9">
        <f t="shared" si="0"/>
      </c>
      <c r="L10956">
        <f t="shared" si="1"/>
      </c>
      <c r="M10956">
        <f t="shared" si="2"/>
      </c>
    </row>
    <row r="10957">
      <c r="G10957" s="9">
        <f t="shared" si="0"/>
      </c>
      <c r="L10957">
        <f t="shared" si="1"/>
      </c>
      <c r="M10957">
        <f t="shared" si="2"/>
      </c>
    </row>
    <row r="10958">
      <c r="G10958" s="9">
        <f t="shared" si="0"/>
      </c>
      <c r="L10958">
        <f t="shared" si="1"/>
      </c>
      <c r="M10958">
        <f t="shared" si="2"/>
      </c>
    </row>
    <row r="10959">
      <c r="G10959" s="9">
        <f t="shared" si="0"/>
      </c>
      <c r="L10959">
        <f t="shared" si="1"/>
      </c>
      <c r="M10959">
        <f t="shared" si="2"/>
      </c>
    </row>
    <row r="10960">
      <c r="G10960" s="9">
        <f t="shared" si="0"/>
      </c>
      <c r="L10960">
        <f t="shared" si="1"/>
      </c>
      <c r="M10960">
        <f t="shared" si="2"/>
      </c>
    </row>
    <row r="10961">
      <c r="G10961" s="9">
        <f t="shared" si="0"/>
      </c>
      <c r="L10961">
        <f t="shared" si="1"/>
      </c>
      <c r="M10961">
        <f t="shared" si="2"/>
      </c>
    </row>
    <row r="10962">
      <c r="G10962" s="9">
        <f t="shared" si="0"/>
      </c>
      <c r="L10962">
        <f t="shared" si="1"/>
      </c>
      <c r="M10962">
        <f t="shared" si="2"/>
      </c>
    </row>
    <row r="10963">
      <c r="G10963" s="9">
        <f t="shared" si="0"/>
      </c>
      <c r="L10963">
        <f t="shared" si="1"/>
      </c>
      <c r="M10963">
        <f t="shared" si="2"/>
      </c>
    </row>
    <row r="10964">
      <c r="G10964" s="9">
        <f t="shared" si="0"/>
      </c>
      <c r="L10964">
        <f t="shared" si="1"/>
      </c>
      <c r="M10964">
        <f t="shared" si="2"/>
      </c>
    </row>
    <row r="10965">
      <c r="G10965" s="9">
        <f t="shared" si="0"/>
      </c>
      <c r="L10965">
        <f t="shared" si="1"/>
      </c>
      <c r="M10965">
        <f t="shared" si="2"/>
      </c>
    </row>
    <row r="10966">
      <c r="G10966" s="9">
        <f t="shared" si="0"/>
      </c>
      <c r="L10966">
        <f t="shared" si="1"/>
      </c>
      <c r="M10966">
        <f t="shared" si="2"/>
      </c>
    </row>
    <row r="10967">
      <c r="G10967" s="9">
        <f t="shared" si="0"/>
      </c>
      <c r="L10967">
        <f t="shared" si="1"/>
      </c>
      <c r="M10967">
        <f t="shared" si="2"/>
      </c>
    </row>
    <row r="10968">
      <c r="G10968" s="9">
        <f t="shared" si="0"/>
      </c>
      <c r="L10968">
        <f t="shared" si="1"/>
      </c>
      <c r="M10968">
        <f t="shared" si="2"/>
      </c>
    </row>
    <row r="10969">
      <c r="G10969" s="9">
        <f t="shared" si="0"/>
      </c>
      <c r="L10969">
        <f t="shared" si="1"/>
      </c>
      <c r="M10969">
        <f t="shared" si="2"/>
      </c>
    </row>
    <row r="10970">
      <c r="G10970" s="9">
        <f t="shared" si="0"/>
      </c>
      <c r="L10970">
        <f t="shared" si="1"/>
      </c>
      <c r="M10970">
        <f t="shared" si="2"/>
      </c>
    </row>
    <row r="10971">
      <c r="G10971" s="9">
        <f t="shared" si="0"/>
      </c>
      <c r="L10971">
        <f t="shared" si="1"/>
      </c>
      <c r="M10971">
        <f t="shared" si="2"/>
      </c>
    </row>
    <row r="10972">
      <c r="G10972" s="9">
        <f t="shared" si="0"/>
      </c>
      <c r="L10972">
        <f t="shared" si="1"/>
      </c>
      <c r="M10972">
        <f t="shared" si="2"/>
      </c>
    </row>
    <row r="10973">
      <c r="G10973" s="9">
        <f t="shared" si="0"/>
      </c>
      <c r="L10973">
        <f t="shared" si="1"/>
      </c>
      <c r="M10973">
        <f t="shared" si="2"/>
      </c>
    </row>
    <row r="10974">
      <c r="G10974" s="9">
        <f t="shared" si="0"/>
      </c>
      <c r="L10974">
        <f t="shared" si="1"/>
      </c>
      <c r="M10974">
        <f t="shared" si="2"/>
      </c>
    </row>
    <row r="10975">
      <c r="G10975" s="9">
        <f t="shared" si="0"/>
      </c>
      <c r="L10975">
        <f t="shared" si="1"/>
      </c>
      <c r="M10975">
        <f t="shared" si="2"/>
      </c>
    </row>
    <row r="10976">
      <c r="G10976" s="9">
        <f t="shared" si="0"/>
      </c>
      <c r="L10976">
        <f t="shared" si="1"/>
      </c>
      <c r="M10976">
        <f t="shared" si="2"/>
      </c>
    </row>
    <row r="10977">
      <c r="G10977" s="9">
        <f t="shared" si="0"/>
      </c>
      <c r="L10977">
        <f t="shared" si="1"/>
      </c>
      <c r="M10977">
        <f t="shared" si="2"/>
      </c>
    </row>
    <row r="10978">
      <c r="G10978" s="9">
        <f t="shared" si="0"/>
      </c>
      <c r="L10978">
        <f t="shared" si="1"/>
      </c>
      <c r="M10978">
        <f t="shared" si="2"/>
      </c>
    </row>
    <row r="10979">
      <c r="G10979" s="9">
        <f t="shared" si="0"/>
      </c>
      <c r="L10979">
        <f t="shared" si="1"/>
      </c>
      <c r="M10979">
        <f t="shared" si="2"/>
      </c>
    </row>
    <row r="10980">
      <c r="G10980" s="9">
        <f t="shared" si="0"/>
      </c>
      <c r="L10980">
        <f t="shared" si="1"/>
      </c>
      <c r="M10980">
        <f t="shared" si="2"/>
      </c>
    </row>
    <row r="10981">
      <c r="G10981" s="9">
        <f t="shared" si="0"/>
      </c>
      <c r="L10981">
        <f t="shared" si="1"/>
      </c>
      <c r="M10981">
        <f t="shared" si="2"/>
      </c>
    </row>
    <row r="10982">
      <c r="G10982" s="9">
        <f t="shared" si="0"/>
      </c>
      <c r="L10982">
        <f t="shared" si="1"/>
      </c>
      <c r="M10982">
        <f t="shared" si="2"/>
      </c>
    </row>
    <row r="10983">
      <c r="G10983" s="9">
        <f t="shared" si="0"/>
      </c>
      <c r="L10983">
        <f t="shared" si="1"/>
      </c>
      <c r="M10983">
        <f t="shared" si="2"/>
      </c>
    </row>
    <row r="10984">
      <c r="G10984" s="9">
        <f t="shared" si="0"/>
      </c>
      <c r="L10984">
        <f t="shared" si="1"/>
      </c>
      <c r="M10984">
        <f t="shared" si="2"/>
      </c>
    </row>
    <row r="10985">
      <c r="G10985" s="9">
        <f t="shared" si="0"/>
      </c>
      <c r="L10985">
        <f t="shared" si="1"/>
      </c>
      <c r="M10985">
        <f t="shared" si="2"/>
      </c>
    </row>
    <row r="10986">
      <c r="G10986" s="9">
        <f t="shared" si="0"/>
      </c>
      <c r="L10986">
        <f t="shared" si="1"/>
      </c>
      <c r="M10986">
        <f t="shared" si="2"/>
      </c>
    </row>
    <row r="10987">
      <c r="G10987" s="9">
        <f t="shared" si="0"/>
      </c>
      <c r="L10987">
        <f t="shared" si="1"/>
      </c>
      <c r="M10987">
        <f t="shared" si="2"/>
      </c>
    </row>
    <row r="10988">
      <c r="G10988" s="9">
        <f t="shared" si="0"/>
      </c>
      <c r="L10988">
        <f t="shared" si="1"/>
      </c>
      <c r="M10988">
        <f t="shared" si="2"/>
      </c>
    </row>
    <row r="10989">
      <c r="G10989" s="9">
        <f t="shared" si="0"/>
      </c>
      <c r="L10989">
        <f t="shared" si="1"/>
      </c>
      <c r="M10989">
        <f t="shared" si="2"/>
      </c>
    </row>
    <row r="10990">
      <c r="G10990" s="9">
        <f t="shared" si="0"/>
      </c>
      <c r="L10990">
        <f t="shared" si="1"/>
      </c>
      <c r="M10990">
        <f t="shared" si="2"/>
      </c>
    </row>
    <row r="10991">
      <c r="G10991" s="9">
        <f t="shared" si="0"/>
      </c>
      <c r="L10991">
        <f t="shared" si="1"/>
      </c>
      <c r="M10991">
        <f t="shared" si="2"/>
      </c>
    </row>
    <row r="10992">
      <c r="G10992" s="9">
        <f t="shared" si="0"/>
      </c>
      <c r="L10992">
        <f t="shared" si="1"/>
      </c>
      <c r="M10992">
        <f t="shared" si="2"/>
      </c>
    </row>
    <row r="10993">
      <c r="G10993" s="9">
        <f t="shared" si="0"/>
      </c>
      <c r="L10993">
        <f t="shared" si="1"/>
      </c>
      <c r="M10993">
        <f t="shared" si="2"/>
      </c>
    </row>
    <row r="10994">
      <c r="G10994" s="9">
        <f t="shared" si="0"/>
      </c>
      <c r="L10994">
        <f t="shared" si="1"/>
      </c>
      <c r="M10994">
        <f t="shared" si="2"/>
      </c>
    </row>
    <row r="10995">
      <c r="G10995" s="9">
        <f t="shared" si="0"/>
      </c>
      <c r="L10995">
        <f t="shared" si="1"/>
      </c>
      <c r="M10995">
        <f t="shared" si="2"/>
      </c>
    </row>
    <row r="10996">
      <c r="G10996" s="9">
        <f t="shared" si="0"/>
      </c>
      <c r="L10996">
        <f t="shared" si="1"/>
      </c>
      <c r="M10996">
        <f t="shared" si="2"/>
      </c>
    </row>
    <row r="10997">
      <c r="G10997" s="9">
        <f t="shared" si="0"/>
      </c>
      <c r="L10997">
        <f t="shared" si="1"/>
      </c>
      <c r="M10997">
        <f t="shared" si="2"/>
      </c>
    </row>
    <row r="10998">
      <c r="G10998" s="9">
        <f t="shared" si="0"/>
      </c>
      <c r="L10998">
        <f t="shared" si="1"/>
      </c>
      <c r="M10998">
        <f t="shared" si="2"/>
      </c>
    </row>
    <row r="10999">
      <c r="G10999" s="9">
        <f t="shared" si="0"/>
      </c>
      <c r="L10999">
        <f t="shared" si="1"/>
      </c>
      <c r="M10999">
        <f t="shared" si="2"/>
      </c>
    </row>
    <row r="11000">
      <c r="G11000" s="9">
        <f t="shared" si="0"/>
      </c>
      <c r="L11000">
        <f t="shared" si="1"/>
      </c>
      <c r="M11000">
        <f t="shared" si="2"/>
      </c>
    </row>
    <row r="11001">
      <c r="G11001" s="9">
        <f t="shared" si="0"/>
      </c>
      <c r="L11001">
        <f t="shared" si="1"/>
      </c>
      <c r="M11001">
        <f t="shared" si="2"/>
      </c>
    </row>
    <row r="11002">
      <c r="G11002" s="9">
        <f t="shared" si="0"/>
      </c>
      <c r="L11002">
        <f t="shared" si="1"/>
      </c>
      <c r="M11002">
        <f t="shared" si="2"/>
      </c>
    </row>
    <row r="11003">
      <c r="G11003" s="9">
        <f t="shared" si="0"/>
      </c>
      <c r="L11003">
        <f t="shared" si="1"/>
      </c>
      <c r="M11003">
        <f t="shared" si="2"/>
      </c>
    </row>
    <row r="11004">
      <c r="G11004" s="9">
        <f t="shared" si="0"/>
      </c>
      <c r="L11004">
        <f t="shared" si="1"/>
      </c>
      <c r="M11004">
        <f t="shared" si="2"/>
      </c>
    </row>
    <row r="11005">
      <c r="G11005" s="9">
        <f t="shared" si="0"/>
      </c>
      <c r="L11005">
        <f t="shared" si="1"/>
      </c>
      <c r="M11005">
        <f t="shared" si="2"/>
      </c>
    </row>
    <row r="11006">
      <c r="G11006" s="9">
        <f t="shared" si="0"/>
      </c>
      <c r="L11006">
        <f t="shared" si="1"/>
      </c>
      <c r="M11006">
        <f t="shared" si="2"/>
      </c>
    </row>
    <row r="11007">
      <c r="G11007" s="9">
        <f t="shared" si="0"/>
      </c>
      <c r="L11007">
        <f t="shared" si="1"/>
      </c>
      <c r="M11007">
        <f t="shared" si="2"/>
      </c>
    </row>
    <row r="11008">
      <c r="G11008" s="9">
        <f t="shared" si="0"/>
      </c>
      <c r="L11008">
        <f t="shared" si="1"/>
      </c>
      <c r="M11008">
        <f t="shared" si="2"/>
      </c>
    </row>
    <row r="11009">
      <c r="G11009" s="9">
        <f t="shared" si="0"/>
      </c>
      <c r="L11009">
        <f t="shared" si="1"/>
      </c>
      <c r="M11009">
        <f t="shared" si="2"/>
      </c>
    </row>
    <row r="11010">
      <c r="G11010" s="9">
        <f t="shared" si="0"/>
      </c>
      <c r="L11010">
        <f t="shared" si="1"/>
      </c>
      <c r="M11010">
        <f t="shared" si="2"/>
      </c>
    </row>
    <row r="11011">
      <c r="G11011" s="9">
        <f t="shared" si="0"/>
      </c>
      <c r="L11011">
        <f t="shared" si="1"/>
      </c>
      <c r="M11011">
        <f t="shared" si="2"/>
      </c>
    </row>
    <row r="11012">
      <c r="G11012" s="9">
        <f t="shared" si="0"/>
      </c>
      <c r="L11012">
        <f t="shared" si="1"/>
      </c>
      <c r="M11012">
        <f t="shared" si="2"/>
      </c>
    </row>
    <row r="11013">
      <c r="G11013" s="9">
        <f t="shared" si="0"/>
      </c>
      <c r="L11013">
        <f t="shared" si="1"/>
      </c>
      <c r="M11013">
        <f t="shared" si="2"/>
      </c>
    </row>
    <row r="11014">
      <c r="G11014" s="9">
        <f t="shared" si="0"/>
      </c>
      <c r="L11014">
        <f t="shared" si="1"/>
      </c>
      <c r="M11014">
        <f t="shared" si="2"/>
      </c>
    </row>
    <row r="11015">
      <c r="G11015" s="9">
        <f t="shared" si="0"/>
      </c>
      <c r="L11015">
        <f t="shared" si="1"/>
      </c>
      <c r="M11015">
        <f t="shared" si="2"/>
      </c>
    </row>
    <row r="11016">
      <c r="G11016" s="9">
        <f t="shared" si="0"/>
      </c>
      <c r="L11016">
        <f t="shared" si="1"/>
      </c>
      <c r="M11016">
        <f t="shared" si="2"/>
      </c>
    </row>
    <row r="11017">
      <c r="G11017" s="9">
        <f t="shared" si="0"/>
      </c>
      <c r="L11017">
        <f t="shared" si="1"/>
      </c>
      <c r="M11017">
        <f t="shared" si="2"/>
      </c>
    </row>
    <row r="11018">
      <c r="G11018" s="9">
        <f t="shared" si="0"/>
      </c>
      <c r="L11018">
        <f t="shared" si="1"/>
      </c>
      <c r="M11018">
        <f t="shared" si="2"/>
      </c>
    </row>
    <row r="11019">
      <c r="G11019" s="9">
        <f t="shared" si="0"/>
      </c>
      <c r="L11019">
        <f t="shared" si="1"/>
      </c>
      <c r="M11019">
        <f t="shared" si="2"/>
      </c>
    </row>
    <row r="11020">
      <c r="G11020" s="9">
        <f t="shared" si="0"/>
      </c>
      <c r="L11020">
        <f t="shared" si="1"/>
      </c>
      <c r="M11020">
        <f t="shared" si="2"/>
      </c>
    </row>
    <row r="11021">
      <c r="G11021" s="9">
        <f t="shared" si="0"/>
      </c>
      <c r="L11021">
        <f t="shared" si="1"/>
      </c>
      <c r="M11021">
        <f t="shared" si="2"/>
      </c>
    </row>
    <row r="11022">
      <c r="G11022" s="9">
        <f t="shared" si="0"/>
      </c>
      <c r="L11022">
        <f t="shared" si="1"/>
      </c>
      <c r="M11022">
        <f t="shared" si="2"/>
      </c>
    </row>
    <row r="11023">
      <c r="G11023" s="9">
        <f t="shared" si="0"/>
      </c>
      <c r="L11023">
        <f t="shared" si="1"/>
      </c>
      <c r="M11023">
        <f t="shared" si="2"/>
      </c>
    </row>
    <row r="11024">
      <c r="G11024" s="9">
        <f t="shared" si="0"/>
      </c>
      <c r="L11024">
        <f t="shared" si="1"/>
      </c>
      <c r="M11024">
        <f t="shared" si="2"/>
      </c>
    </row>
    <row r="11025">
      <c r="G11025" s="9">
        <f t="shared" si="0"/>
      </c>
      <c r="L11025">
        <f t="shared" si="1"/>
      </c>
      <c r="M11025">
        <f t="shared" si="2"/>
      </c>
    </row>
    <row r="11026">
      <c r="G11026" s="9">
        <f t="shared" si="0"/>
      </c>
      <c r="L11026">
        <f t="shared" si="1"/>
      </c>
      <c r="M11026">
        <f t="shared" si="2"/>
      </c>
    </row>
    <row r="11027">
      <c r="G11027" s="9">
        <f t="shared" si="0"/>
      </c>
      <c r="L11027">
        <f t="shared" si="1"/>
      </c>
      <c r="M11027">
        <f t="shared" si="2"/>
      </c>
    </row>
    <row r="11028">
      <c r="G11028" s="9">
        <f t="shared" si="0"/>
      </c>
      <c r="L11028">
        <f t="shared" si="1"/>
      </c>
      <c r="M11028">
        <f t="shared" si="2"/>
      </c>
    </row>
    <row r="11029">
      <c r="G11029" s="9">
        <f t="shared" si="0"/>
      </c>
      <c r="L11029">
        <f t="shared" si="1"/>
      </c>
      <c r="M11029">
        <f t="shared" si="2"/>
      </c>
    </row>
    <row r="11030">
      <c r="G11030" s="9">
        <f t="shared" si="0"/>
      </c>
      <c r="L11030">
        <f t="shared" si="1"/>
      </c>
      <c r="M11030">
        <f t="shared" si="2"/>
      </c>
    </row>
    <row r="11031">
      <c r="G11031" s="9">
        <f t="shared" si="0"/>
      </c>
      <c r="L11031">
        <f t="shared" si="1"/>
      </c>
      <c r="M11031">
        <f t="shared" si="2"/>
      </c>
    </row>
    <row r="11032">
      <c r="G11032" s="9">
        <f t="shared" si="0"/>
      </c>
      <c r="L11032">
        <f t="shared" si="1"/>
      </c>
      <c r="M11032">
        <f t="shared" si="2"/>
      </c>
    </row>
    <row r="11033">
      <c r="G11033" s="9">
        <f t="shared" si="0"/>
      </c>
      <c r="L11033">
        <f t="shared" si="1"/>
      </c>
      <c r="M11033">
        <f t="shared" si="2"/>
      </c>
    </row>
    <row r="11034">
      <c r="G11034" s="9">
        <f t="shared" si="0"/>
      </c>
      <c r="L11034">
        <f t="shared" si="1"/>
      </c>
      <c r="M11034">
        <f t="shared" si="2"/>
      </c>
    </row>
    <row r="11035">
      <c r="G11035" s="9">
        <f t="shared" si="0"/>
      </c>
      <c r="L11035">
        <f t="shared" si="1"/>
      </c>
      <c r="M11035">
        <f t="shared" si="2"/>
      </c>
    </row>
    <row r="11036">
      <c r="G11036" s="9">
        <f t="shared" si="0"/>
      </c>
      <c r="L11036">
        <f t="shared" si="1"/>
      </c>
      <c r="M11036">
        <f t="shared" si="2"/>
      </c>
    </row>
    <row r="11037">
      <c r="G11037" s="9">
        <f t="shared" si="0"/>
      </c>
      <c r="L11037">
        <f t="shared" si="1"/>
      </c>
      <c r="M11037">
        <f t="shared" si="2"/>
      </c>
    </row>
    <row r="11038">
      <c r="G11038" s="9">
        <f t="shared" si="0"/>
      </c>
      <c r="L11038">
        <f t="shared" si="1"/>
      </c>
      <c r="M11038">
        <f t="shared" si="2"/>
      </c>
    </row>
    <row r="11039">
      <c r="G11039" s="9">
        <f t="shared" si="0"/>
      </c>
      <c r="L11039">
        <f t="shared" si="1"/>
      </c>
      <c r="M11039">
        <f t="shared" si="2"/>
      </c>
    </row>
    <row r="11040">
      <c r="G11040" s="9">
        <f t="shared" si="0"/>
      </c>
      <c r="L11040">
        <f t="shared" si="1"/>
      </c>
      <c r="M11040">
        <f t="shared" si="2"/>
      </c>
    </row>
    <row r="11041">
      <c r="G11041" s="9">
        <f t="shared" si="0"/>
      </c>
      <c r="L11041">
        <f t="shared" si="1"/>
      </c>
      <c r="M11041">
        <f t="shared" si="2"/>
      </c>
    </row>
    <row r="11042">
      <c r="G11042" s="9">
        <f t="shared" si="0"/>
      </c>
      <c r="L11042">
        <f t="shared" si="1"/>
      </c>
      <c r="M11042">
        <f t="shared" si="2"/>
      </c>
    </row>
    <row r="11043">
      <c r="G11043" s="9">
        <f t="shared" si="0"/>
      </c>
      <c r="L11043">
        <f t="shared" si="1"/>
      </c>
      <c r="M11043">
        <f t="shared" si="2"/>
      </c>
    </row>
    <row r="11044">
      <c r="G11044" s="9">
        <f t="shared" si="0"/>
      </c>
      <c r="L11044">
        <f t="shared" si="1"/>
      </c>
      <c r="M11044">
        <f t="shared" si="2"/>
      </c>
    </row>
    <row r="11045">
      <c r="G11045" s="9">
        <f t="shared" si="0"/>
      </c>
      <c r="L11045">
        <f t="shared" si="1"/>
      </c>
      <c r="M11045">
        <f t="shared" si="2"/>
      </c>
    </row>
    <row r="11046">
      <c r="G11046" s="9">
        <f t="shared" si="0"/>
      </c>
      <c r="L11046">
        <f t="shared" si="1"/>
      </c>
      <c r="M11046">
        <f t="shared" si="2"/>
      </c>
    </row>
    <row r="11047">
      <c r="G11047" s="9">
        <f t="shared" si="0"/>
      </c>
      <c r="L11047">
        <f t="shared" si="1"/>
      </c>
      <c r="M11047">
        <f t="shared" si="2"/>
      </c>
    </row>
    <row r="11048">
      <c r="G11048" s="9">
        <f t="shared" si="0"/>
      </c>
      <c r="L11048">
        <f t="shared" si="1"/>
      </c>
      <c r="M11048">
        <f t="shared" si="2"/>
      </c>
    </row>
    <row r="11049">
      <c r="G11049" s="9">
        <f t="shared" si="0"/>
      </c>
      <c r="L11049">
        <f t="shared" si="1"/>
      </c>
      <c r="M11049">
        <f t="shared" si="2"/>
      </c>
    </row>
    <row r="11050">
      <c r="G11050" s="9">
        <f t="shared" si="0"/>
      </c>
      <c r="L11050">
        <f t="shared" si="1"/>
      </c>
      <c r="M11050">
        <f t="shared" si="2"/>
      </c>
    </row>
    <row r="11051">
      <c r="G11051" s="9">
        <f t="shared" si="0"/>
      </c>
      <c r="L11051">
        <f t="shared" si="1"/>
      </c>
      <c r="M11051">
        <f t="shared" si="2"/>
      </c>
    </row>
    <row r="11052">
      <c r="G11052" s="9">
        <f t="shared" si="0"/>
      </c>
      <c r="L11052">
        <f t="shared" si="1"/>
      </c>
      <c r="M11052">
        <f t="shared" si="2"/>
      </c>
    </row>
    <row r="11053">
      <c r="G11053" s="9">
        <f t="shared" si="0"/>
      </c>
      <c r="L11053">
        <f t="shared" si="1"/>
      </c>
      <c r="M11053">
        <f t="shared" si="2"/>
      </c>
    </row>
    <row r="11054">
      <c r="G11054" s="9">
        <f t="shared" si="0"/>
      </c>
      <c r="L11054">
        <f t="shared" si="1"/>
      </c>
      <c r="M11054">
        <f t="shared" si="2"/>
      </c>
    </row>
    <row r="11055">
      <c r="G11055" s="9">
        <f t="shared" si="0"/>
      </c>
      <c r="L11055">
        <f t="shared" si="1"/>
      </c>
      <c r="M11055">
        <f t="shared" si="2"/>
      </c>
    </row>
    <row r="11056">
      <c r="G11056" s="9">
        <f t="shared" si="0"/>
      </c>
      <c r="L11056">
        <f t="shared" si="1"/>
      </c>
      <c r="M11056">
        <f t="shared" si="2"/>
      </c>
    </row>
    <row r="11057">
      <c r="G11057" s="9">
        <f t="shared" si="0"/>
      </c>
      <c r="L11057">
        <f t="shared" si="1"/>
      </c>
      <c r="M11057">
        <f t="shared" si="2"/>
      </c>
    </row>
    <row r="11058">
      <c r="G11058" s="9">
        <f t="shared" si="0"/>
      </c>
      <c r="L11058">
        <f t="shared" si="1"/>
      </c>
      <c r="M11058">
        <f t="shared" si="2"/>
      </c>
    </row>
    <row r="11059">
      <c r="G11059" s="9">
        <f t="shared" si="0"/>
      </c>
      <c r="L11059">
        <f t="shared" si="1"/>
      </c>
      <c r="M11059">
        <f t="shared" si="2"/>
      </c>
    </row>
    <row r="11060">
      <c r="G11060" s="9">
        <f t="shared" si="0"/>
      </c>
      <c r="L11060">
        <f t="shared" si="1"/>
      </c>
      <c r="M11060">
        <f t="shared" si="2"/>
      </c>
    </row>
    <row r="11061">
      <c r="G11061" s="9">
        <f t="shared" si="0"/>
      </c>
      <c r="L11061">
        <f t="shared" si="1"/>
      </c>
      <c r="M11061">
        <f t="shared" si="2"/>
      </c>
    </row>
    <row r="11062">
      <c r="G11062" s="9">
        <f t="shared" si="0"/>
      </c>
      <c r="L11062">
        <f t="shared" si="1"/>
      </c>
      <c r="M11062">
        <f t="shared" si="2"/>
      </c>
    </row>
    <row r="11063">
      <c r="G11063" s="9">
        <f t="shared" si="0"/>
      </c>
      <c r="L11063">
        <f t="shared" si="1"/>
      </c>
      <c r="M11063">
        <f t="shared" si="2"/>
      </c>
    </row>
    <row r="11064">
      <c r="G11064" s="9">
        <f t="shared" si="0"/>
      </c>
      <c r="L11064">
        <f t="shared" si="1"/>
      </c>
      <c r="M11064">
        <f t="shared" si="2"/>
      </c>
    </row>
    <row r="11065">
      <c r="G11065" s="9">
        <f t="shared" si="0"/>
      </c>
      <c r="L11065">
        <f t="shared" si="1"/>
      </c>
      <c r="M11065">
        <f t="shared" si="2"/>
      </c>
    </row>
    <row r="11066">
      <c r="G11066" s="9">
        <f t="shared" si="0"/>
      </c>
      <c r="L11066">
        <f t="shared" si="1"/>
      </c>
      <c r="M11066">
        <f t="shared" si="2"/>
      </c>
    </row>
    <row r="11067">
      <c r="G11067" s="9">
        <f t="shared" si="0"/>
      </c>
      <c r="L11067">
        <f t="shared" si="1"/>
      </c>
      <c r="M11067">
        <f t="shared" si="2"/>
      </c>
    </row>
    <row r="11068">
      <c r="G11068" s="9">
        <f t="shared" si="0"/>
      </c>
      <c r="L11068">
        <f t="shared" si="1"/>
      </c>
      <c r="M11068">
        <f t="shared" si="2"/>
      </c>
    </row>
    <row r="11069">
      <c r="G11069" s="9">
        <f t="shared" si="0"/>
      </c>
      <c r="L11069">
        <f t="shared" si="1"/>
      </c>
      <c r="M11069">
        <f t="shared" si="2"/>
      </c>
    </row>
    <row r="11070">
      <c r="G11070" s="9">
        <f t="shared" si="0"/>
      </c>
      <c r="L11070">
        <f t="shared" si="1"/>
      </c>
      <c r="M11070">
        <f t="shared" si="2"/>
      </c>
    </row>
    <row r="11071">
      <c r="G11071" s="9">
        <f t="shared" si="0"/>
      </c>
      <c r="L11071">
        <f t="shared" si="1"/>
      </c>
      <c r="M11071">
        <f t="shared" si="2"/>
      </c>
    </row>
    <row r="11072">
      <c r="G11072" s="9">
        <f t="shared" si="0"/>
      </c>
      <c r="L11072">
        <f t="shared" si="1"/>
      </c>
      <c r="M11072">
        <f t="shared" si="2"/>
      </c>
    </row>
    <row r="11073">
      <c r="G11073" s="9">
        <f t="shared" si="0"/>
      </c>
      <c r="L11073">
        <f t="shared" si="1"/>
      </c>
      <c r="M11073">
        <f t="shared" si="2"/>
      </c>
    </row>
    <row r="11074">
      <c r="G11074" s="9">
        <f t="shared" si="0"/>
      </c>
      <c r="L11074">
        <f t="shared" si="1"/>
      </c>
      <c r="M11074">
        <f t="shared" si="2"/>
      </c>
    </row>
    <row r="11075">
      <c r="G11075" s="9">
        <f t="shared" si="0"/>
      </c>
      <c r="L11075">
        <f t="shared" si="1"/>
      </c>
      <c r="M11075">
        <f t="shared" si="2"/>
      </c>
    </row>
    <row r="11076">
      <c r="G11076" s="9">
        <f t="shared" si="0"/>
      </c>
      <c r="L11076">
        <f t="shared" si="1"/>
      </c>
      <c r="M11076">
        <f t="shared" si="2"/>
      </c>
    </row>
    <row r="11077">
      <c r="G11077" s="9">
        <f t="shared" si="0"/>
      </c>
      <c r="L11077">
        <f t="shared" si="1"/>
      </c>
      <c r="M11077">
        <f t="shared" si="2"/>
      </c>
    </row>
    <row r="11078">
      <c r="G11078" s="9">
        <f t="shared" si="0"/>
      </c>
      <c r="L11078">
        <f t="shared" si="1"/>
      </c>
      <c r="M11078">
        <f t="shared" si="2"/>
      </c>
    </row>
    <row r="11079">
      <c r="G11079" s="9">
        <f t="shared" si="0"/>
      </c>
      <c r="L11079">
        <f t="shared" si="1"/>
      </c>
      <c r="M11079">
        <f t="shared" si="2"/>
      </c>
    </row>
    <row r="11080">
      <c r="G11080" s="9">
        <f t="shared" si="0"/>
      </c>
      <c r="L11080">
        <f t="shared" si="1"/>
      </c>
      <c r="M11080">
        <f t="shared" si="2"/>
      </c>
    </row>
    <row r="11081">
      <c r="G11081" s="9">
        <f t="shared" si="0"/>
      </c>
      <c r="L11081">
        <f t="shared" si="1"/>
      </c>
      <c r="M11081">
        <f t="shared" si="2"/>
      </c>
    </row>
    <row r="11082">
      <c r="G11082" s="9">
        <f t="shared" si="0"/>
      </c>
      <c r="L11082">
        <f t="shared" si="1"/>
      </c>
      <c r="M11082">
        <f t="shared" si="2"/>
      </c>
    </row>
    <row r="11083">
      <c r="G11083" s="9">
        <f t="shared" si="0"/>
      </c>
      <c r="L11083">
        <f t="shared" si="1"/>
      </c>
      <c r="M11083">
        <f t="shared" si="2"/>
      </c>
    </row>
    <row r="11084">
      <c r="G11084" s="9">
        <f t="shared" si="0"/>
      </c>
      <c r="L11084">
        <f t="shared" si="1"/>
      </c>
      <c r="M11084">
        <f t="shared" si="2"/>
      </c>
    </row>
    <row r="11085">
      <c r="G11085" s="9">
        <f t="shared" si="0"/>
      </c>
      <c r="L11085">
        <f t="shared" si="1"/>
      </c>
      <c r="M11085">
        <f t="shared" si="2"/>
      </c>
    </row>
    <row r="11086">
      <c r="G11086" s="9">
        <f t="shared" si="0"/>
      </c>
      <c r="L11086">
        <f t="shared" si="1"/>
      </c>
      <c r="M11086">
        <f t="shared" si="2"/>
      </c>
    </row>
    <row r="11087">
      <c r="G11087" s="9">
        <f t="shared" si="0"/>
      </c>
      <c r="L11087">
        <f t="shared" si="1"/>
      </c>
      <c r="M11087">
        <f t="shared" si="2"/>
      </c>
    </row>
    <row r="11088">
      <c r="G11088" s="9">
        <f t="shared" si="0"/>
      </c>
      <c r="L11088">
        <f t="shared" si="1"/>
      </c>
      <c r="M11088">
        <f t="shared" si="2"/>
      </c>
    </row>
    <row r="11089">
      <c r="G11089" s="9">
        <f t="shared" si="0"/>
      </c>
      <c r="L11089">
        <f t="shared" si="1"/>
      </c>
      <c r="M11089">
        <f t="shared" si="2"/>
      </c>
    </row>
    <row r="11090">
      <c r="G11090" s="9">
        <f t="shared" si="0"/>
      </c>
      <c r="L11090">
        <f t="shared" si="1"/>
      </c>
      <c r="M11090">
        <f t="shared" si="2"/>
      </c>
    </row>
    <row r="11091">
      <c r="G11091" s="9">
        <f t="shared" si="0"/>
      </c>
      <c r="L11091">
        <f t="shared" si="1"/>
      </c>
      <c r="M11091">
        <f t="shared" si="2"/>
      </c>
    </row>
    <row r="11092">
      <c r="G11092" s="9">
        <f t="shared" si="0"/>
      </c>
      <c r="L11092">
        <f t="shared" si="1"/>
      </c>
      <c r="M11092">
        <f t="shared" si="2"/>
      </c>
    </row>
    <row r="11093">
      <c r="G11093" s="9">
        <f t="shared" si="0"/>
      </c>
      <c r="L11093">
        <f t="shared" si="1"/>
      </c>
      <c r="M11093">
        <f t="shared" si="2"/>
      </c>
    </row>
    <row r="11094">
      <c r="G11094" s="9">
        <f t="shared" si="0"/>
      </c>
      <c r="L11094">
        <f t="shared" si="1"/>
      </c>
      <c r="M11094">
        <f t="shared" si="2"/>
      </c>
    </row>
    <row r="11095">
      <c r="G11095" s="9">
        <f t="shared" si="0"/>
      </c>
      <c r="L11095">
        <f t="shared" si="1"/>
      </c>
      <c r="M11095">
        <f t="shared" si="2"/>
      </c>
    </row>
    <row r="11096">
      <c r="G11096" s="9">
        <f t="shared" si="0"/>
      </c>
      <c r="L11096">
        <f t="shared" si="1"/>
      </c>
      <c r="M11096">
        <f t="shared" si="2"/>
      </c>
    </row>
    <row r="11097">
      <c r="G11097" s="9">
        <f t="shared" si="0"/>
      </c>
      <c r="L11097">
        <f t="shared" si="1"/>
      </c>
      <c r="M11097">
        <f t="shared" si="2"/>
      </c>
    </row>
    <row r="11098">
      <c r="G11098" s="9">
        <f t="shared" si="0"/>
      </c>
      <c r="L11098">
        <f t="shared" si="1"/>
      </c>
      <c r="M11098">
        <f t="shared" si="2"/>
      </c>
    </row>
    <row r="11099">
      <c r="G11099" s="9">
        <f t="shared" si="0"/>
      </c>
      <c r="L11099">
        <f t="shared" si="1"/>
      </c>
      <c r="M11099">
        <f t="shared" si="2"/>
      </c>
    </row>
    <row r="11100">
      <c r="G11100" s="9">
        <f t="shared" si="0"/>
      </c>
      <c r="L11100">
        <f t="shared" si="1"/>
      </c>
      <c r="M11100">
        <f t="shared" si="2"/>
      </c>
    </row>
    <row r="11101">
      <c r="G11101" s="9">
        <f t="shared" si="0"/>
      </c>
      <c r="L11101">
        <f t="shared" si="1"/>
      </c>
      <c r="M11101">
        <f t="shared" si="2"/>
      </c>
    </row>
    <row r="11102">
      <c r="G11102" s="9">
        <f t="shared" si="0"/>
      </c>
      <c r="L11102">
        <f t="shared" si="1"/>
      </c>
      <c r="M11102">
        <f t="shared" si="2"/>
      </c>
    </row>
    <row r="11103">
      <c r="G11103" s="9">
        <f t="shared" si="0"/>
      </c>
      <c r="L11103">
        <f t="shared" si="1"/>
      </c>
      <c r="M11103">
        <f t="shared" si="2"/>
      </c>
    </row>
    <row r="11104">
      <c r="G11104" s="9">
        <f t="shared" si="0"/>
      </c>
      <c r="L11104">
        <f t="shared" si="1"/>
      </c>
      <c r="M11104">
        <f t="shared" si="2"/>
      </c>
    </row>
    <row r="11105">
      <c r="G11105" s="9">
        <f t="shared" si="0"/>
      </c>
      <c r="L11105">
        <f t="shared" si="1"/>
      </c>
      <c r="M11105">
        <f t="shared" si="2"/>
      </c>
    </row>
    <row r="11106">
      <c r="G11106" s="9">
        <f t="shared" si="0"/>
      </c>
      <c r="L11106">
        <f t="shared" si="1"/>
      </c>
      <c r="M11106">
        <f t="shared" si="2"/>
      </c>
    </row>
    <row r="11107">
      <c r="G11107" s="9">
        <f t="shared" si="0"/>
      </c>
      <c r="L11107">
        <f t="shared" si="1"/>
      </c>
      <c r="M11107">
        <f t="shared" si="2"/>
      </c>
    </row>
    <row r="11108">
      <c r="G11108" s="9">
        <f t="shared" si="0"/>
      </c>
      <c r="L11108">
        <f t="shared" si="1"/>
      </c>
      <c r="M11108">
        <f t="shared" si="2"/>
      </c>
    </row>
    <row r="11109">
      <c r="G11109" s="9">
        <f t="shared" si="0"/>
      </c>
      <c r="L11109">
        <f t="shared" si="1"/>
      </c>
      <c r="M11109">
        <f t="shared" si="2"/>
      </c>
    </row>
    <row r="11110">
      <c r="G11110" s="9">
        <f t="shared" si="0"/>
      </c>
      <c r="L11110">
        <f t="shared" si="1"/>
      </c>
      <c r="M11110">
        <f t="shared" si="2"/>
      </c>
    </row>
    <row r="11111">
      <c r="G11111" s="9">
        <f t="shared" si="0"/>
      </c>
      <c r="L11111">
        <f t="shared" si="1"/>
      </c>
      <c r="M11111">
        <f t="shared" si="2"/>
      </c>
    </row>
    <row r="11112">
      <c r="G11112" s="9">
        <f t="shared" si="0"/>
      </c>
      <c r="L11112">
        <f t="shared" si="1"/>
      </c>
      <c r="M11112">
        <f t="shared" si="2"/>
      </c>
    </row>
    <row r="11113">
      <c r="G11113" s="9">
        <f t="shared" si="0"/>
      </c>
      <c r="L11113">
        <f t="shared" si="1"/>
      </c>
      <c r="M11113">
        <f t="shared" si="2"/>
      </c>
    </row>
    <row r="11114">
      <c r="G11114" s="9">
        <f t="shared" si="0"/>
      </c>
      <c r="L11114">
        <f t="shared" si="1"/>
      </c>
      <c r="M11114">
        <f t="shared" si="2"/>
      </c>
    </row>
    <row r="11115">
      <c r="G11115" s="9">
        <f t="shared" si="0"/>
      </c>
      <c r="L11115">
        <f t="shared" si="1"/>
      </c>
      <c r="M11115">
        <f t="shared" si="2"/>
      </c>
    </row>
    <row r="11116">
      <c r="G11116" s="9">
        <f t="shared" si="0"/>
      </c>
      <c r="L11116">
        <f t="shared" si="1"/>
      </c>
      <c r="M11116">
        <f t="shared" si="2"/>
      </c>
    </row>
    <row r="11117">
      <c r="G11117" s="9">
        <f t="shared" si="0"/>
      </c>
      <c r="L11117">
        <f t="shared" si="1"/>
      </c>
      <c r="M11117">
        <f t="shared" si="2"/>
      </c>
    </row>
    <row r="11118">
      <c r="G11118" s="9">
        <f t="shared" si="0"/>
      </c>
      <c r="L11118">
        <f t="shared" si="1"/>
      </c>
      <c r="M11118">
        <f t="shared" si="2"/>
      </c>
    </row>
    <row r="11119">
      <c r="G11119" s="9">
        <f t="shared" si="0"/>
      </c>
      <c r="L11119">
        <f t="shared" si="1"/>
      </c>
      <c r="M11119">
        <f t="shared" si="2"/>
      </c>
    </row>
    <row r="11120">
      <c r="G11120" s="9">
        <f t="shared" si="0"/>
      </c>
      <c r="L11120">
        <f t="shared" si="1"/>
      </c>
      <c r="M11120">
        <f t="shared" si="2"/>
      </c>
    </row>
    <row r="11121">
      <c r="G11121" s="9">
        <f t="shared" si="0"/>
      </c>
      <c r="L11121">
        <f t="shared" si="1"/>
      </c>
      <c r="M11121">
        <f t="shared" si="2"/>
      </c>
    </row>
    <row r="11122">
      <c r="G11122" s="9">
        <f t="shared" si="0"/>
      </c>
      <c r="L11122">
        <f t="shared" si="1"/>
      </c>
      <c r="M11122">
        <f t="shared" si="2"/>
      </c>
    </row>
    <row r="11123">
      <c r="G11123" s="9">
        <f t="shared" si="0"/>
      </c>
      <c r="L11123">
        <f t="shared" si="1"/>
      </c>
      <c r="M11123">
        <f t="shared" si="2"/>
      </c>
    </row>
    <row r="11124">
      <c r="G11124" s="9">
        <f t="shared" si="0"/>
      </c>
      <c r="L11124">
        <f t="shared" si="1"/>
      </c>
      <c r="M11124">
        <f t="shared" si="2"/>
      </c>
    </row>
    <row r="11125">
      <c r="G11125" s="9">
        <f t="shared" si="0"/>
      </c>
      <c r="L11125">
        <f t="shared" si="1"/>
      </c>
      <c r="M11125">
        <f t="shared" si="2"/>
      </c>
    </row>
    <row r="11126">
      <c r="G11126" s="9">
        <f t="shared" si="0"/>
      </c>
      <c r="L11126">
        <f t="shared" si="1"/>
      </c>
      <c r="M11126">
        <f t="shared" si="2"/>
      </c>
    </row>
    <row r="11127">
      <c r="G11127" s="9">
        <f t="shared" si="0"/>
      </c>
      <c r="L11127">
        <f t="shared" si="1"/>
      </c>
      <c r="M11127">
        <f t="shared" si="2"/>
      </c>
    </row>
    <row r="11128">
      <c r="G11128" s="9">
        <f t="shared" si="0"/>
      </c>
      <c r="L11128">
        <f t="shared" si="1"/>
      </c>
      <c r="M11128">
        <f t="shared" si="2"/>
      </c>
    </row>
    <row r="11129">
      <c r="G11129" s="9">
        <f t="shared" si="0"/>
      </c>
      <c r="L11129">
        <f t="shared" si="1"/>
      </c>
      <c r="M11129">
        <f t="shared" si="2"/>
      </c>
    </row>
    <row r="11130">
      <c r="G11130" s="9">
        <f t="shared" si="0"/>
      </c>
      <c r="L11130">
        <f t="shared" si="1"/>
      </c>
      <c r="M11130">
        <f t="shared" si="2"/>
      </c>
    </row>
    <row r="11131">
      <c r="G11131" s="9">
        <f t="shared" si="0"/>
      </c>
      <c r="L11131">
        <f t="shared" si="1"/>
      </c>
      <c r="M11131">
        <f t="shared" si="2"/>
      </c>
    </row>
    <row r="11132">
      <c r="G11132" s="9">
        <f t="shared" si="0"/>
      </c>
      <c r="L11132">
        <f t="shared" si="1"/>
      </c>
      <c r="M11132">
        <f t="shared" si="2"/>
      </c>
    </row>
    <row r="11133">
      <c r="G11133" s="9">
        <f t="shared" si="0"/>
      </c>
      <c r="L11133">
        <f t="shared" si="1"/>
      </c>
      <c r="M11133">
        <f t="shared" si="2"/>
      </c>
    </row>
    <row r="11134">
      <c r="G11134" s="9">
        <f t="shared" si="0"/>
      </c>
      <c r="L11134">
        <f t="shared" si="1"/>
      </c>
      <c r="M11134">
        <f t="shared" si="2"/>
      </c>
    </row>
    <row r="11135">
      <c r="G11135" s="9">
        <f t="shared" si="0"/>
      </c>
      <c r="L11135">
        <f t="shared" si="1"/>
      </c>
      <c r="M11135">
        <f t="shared" si="2"/>
      </c>
    </row>
    <row r="11136">
      <c r="G11136" s="9">
        <f t="shared" si="0"/>
      </c>
      <c r="L11136">
        <f t="shared" si="1"/>
      </c>
      <c r="M11136">
        <f t="shared" si="2"/>
      </c>
    </row>
    <row r="11137">
      <c r="G11137" s="9">
        <f t="shared" si="0"/>
      </c>
      <c r="L11137">
        <f t="shared" si="1"/>
      </c>
      <c r="M11137">
        <f t="shared" si="2"/>
      </c>
    </row>
    <row r="11138">
      <c r="G11138" s="9">
        <f t="shared" si="0"/>
      </c>
      <c r="L11138">
        <f t="shared" si="1"/>
      </c>
      <c r="M11138">
        <f t="shared" si="2"/>
      </c>
    </row>
    <row r="11139">
      <c r="G11139" s="9">
        <f t="shared" si="0"/>
      </c>
      <c r="L11139">
        <f t="shared" si="1"/>
      </c>
      <c r="M11139">
        <f t="shared" si="2"/>
      </c>
    </row>
    <row r="11140">
      <c r="G11140" s="9">
        <f t="shared" si="0"/>
      </c>
      <c r="L11140">
        <f t="shared" si="1"/>
      </c>
      <c r="M11140">
        <f t="shared" si="2"/>
      </c>
    </row>
    <row r="11141">
      <c r="G11141" s="9">
        <f t="shared" si="0"/>
      </c>
      <c r="L11141">
        <f t="shared" si="1"/>
      </c>
      <c r="M11141">
        <f t="shared" si="2"/>
      </c>
    </row>
    <row r="11142">
      <c r="G11142" s="9">
        <f t="shared" si="0"/>
      </c>
      <c r="L11142">
        <f t="shared" si="1"/>
      </c>
      <c r="M11142">
        <f t="shared" si="2"/>
      </c>
    </row>
    <row r="11143">
      <c r="G11143" s="9">
        <f t="shared" si="0"/>
      </c>
      <c r="L11143">
        <f t="shared" si="1"/>
      </c>
      <c r="M11143">
        <f t="shared" si="2"/>
      </c>
    </row>
    <row r="11144">
      <c r="G11144" s="9">
        <f t="shared" si="0"/>
      </c>
      <c r="L11144">
        <f t="shared" si="1"/>
      </c>
      <c r="M11144">
        <f t="shared" si="2"/>
      </c>
    </row>
    <row r="11145">
      <c r="G11145" s="9">
        <f t="shared" si="0"/>
      </c>
      <c r="L11145">
        <f t="shared" si="1"/>
      </c>
      <c r="M11145">
        <f t="shared" si="2"/>
      </c>
    </row>
    <row r="11146">
      <c r="G11146" s="9">
        <f t="shared" si="0"/>
      </c>
      <c r="L11146">
        <f t="shared" si="1"/>
      </c>
      <c r="M11146">
        <f t="shared" si="2"/>
      </c>
    </row>
    <row r="11147">
      <c r="G11147" s="9">
        <f t="shared" si="0"/>
      </c>
      <c r="L11147">
        <f t="shared" si="1"/>
      </c>
      <c r="M11147">
        <f t="shared" si="2"/>
      </c>
    </row>
    <row r="11148">
      <c r="G11148" s="9">
        <f t="shared" si="0"/>
      </c>
      <c r="L11148">
        <f t="shared" si="1"/>
      </c>
      <c r="M11148">
        <f t="shared" si="2"/>
      </c>
    </row>
    <row r="11149">
      <c r="G11149" s="9">
        <f t="shared" si="0"/>
      </c>
      <c r="L11149">
        <f t="shared" si="1"/>
      </c>
      <c r="M11149">
        <f t="shared" si="2"/>
      </c>
    </row>
    <row r="11150">
      <c r="G11150" s="9">
        <f t="shared" si="0"/>
      </c>
      <c r="L11150">
        <f t="shared" si="1"/>
      </c>
      <c r="M11150">
        <f t="shared" si="2"/>
      </c>
    </row>
    <row r="11151">
      <c r="G11151" s="9">
        <f t="shared" si="0"/>
      </c>
      <c r="L11151">
        <f t="shared" si="1"/>
      </c>
      <c r="M11151">
        <f t="shared" si="2"/>
      </c>
    </row>
    <row r="11152">
      <c r="G11152" s="9">
        <f t="shared" si="0"/>
      </c>
      <c r="L11152">
        <f t="shared" si="1"/>
      </c>
      <c r="M11152">
        <f t="shared" si="2"/>
      </c>
    </row>
    <row r="11153">
      <c r="G11153" s="9">
        <f t="shared" si="0"/>
      </c>
      <c r="L11153">
        <f t="shared" si="1"/>
      </c>
      <c r="M11153">
        <f t="shared" si="2"/>
      </c>
    </row>
    <row r="11154">
      <c r="G11154" s="9">
        <f t="shared" si="0"/>
      </c>
      <c r="L11154">
        <f t="shared" si="1"/>
      </c>
      <c r="M11154">
        <f t="shared" si="2"/>
      </c>
    </row>
    <row r="11155">
      <c r="G11155" s="9">
        <f t="shared" si="0"/>
      </c>
      <c r="L11155">
        <f t="shared" si="1"/>
      </c>
      <c r="M11155">
        <f t="shared" si="2"/>
      </c>
    </row>
    <row r="11156">
      <c r="G11156" s="9">
        <f t="shared" si="0"/>
      </c>
      <c r="L11156">
        <f t="shared" si="1"/>
      </c>
      <c r="M11156">
        <f t="shared" si="2"/>
      </c>
    </row>
    <row r="11157">
      <c r="G11157" s="9">
        <f t="shared" si="0"/>
      </c>
      <c r="L11157">
        <f t="shared" si="1"/>
      </c>
      <c r="M11157">
        <f t="shared" si="2"/>
      </c>
    </row>
    <row r="11158">
      <c r="G11158" s="9">
        <f t="shared" si="0"/>
      </c>
      <c r="L11158">
        <f t="shared" si="1"/>
      </c>
      <c r="M11158">
        <f t="shared" si="2"/>
      </c>
    </row>
    <row r="11159">
      <c r="G11159" s="9">
        <f t="shared" si="0"/>
      </c>
      <c r="L11159">
        <f t="shared" si="1"/>
      </c>
      <c r="M11159">
        <f t="shared" si="2"/>
      </c>
    </row>
    <row r="11160">
      <c r="G11160" s="9">
        <f t="shared" si="0"/>
      </c>
      <c r="L11160">
        <f t="shared" si="1"/>
      </c>
      <c r="M11160">
        <f t="shared" si="2"/>
      </c>
    </row>
    <row r="11161">
      <c r="G11161" s="9">
        <f t="shared" si="0"/>
      </c>
      <c r="L11161">
        <f t="shared" si="1"/>
      </c>
      <c r="M11161">
        <f t="shared" si="2"/>
      </c>
    </row>
    <row r="11162">
      <c r="G11162" s="9">
        <f t="shared" si="0"/>
      </c>
      <c r="L11162">
        <f t="shared" si="1"/>
      </c>
      <c r="M11162">
        <f t="shared" si="2"/>
      </c>
    </row>
    <row r="11163">
      <c r="G11163" s="9">
        <f t="shared" si="0"/>
      </c>
      <c r="L11163">
        <f t="shared" si="1"/>
      </c>
      <c r="M11163">
        <f t="shared" si="2"/>
      </c>
    </row>
    <row r="11164">
      <c r="G11164" s="9">
        <f t="shared" si="0"/>
      </c>
      <c r="L11164">
        <f t="shared" si="1"/>
      </c>
      <c r="M11164">
        <f t="shared" si="2"/>
      </c>
    </row>
    <row r="11165">
      <c r="G11165" s="9">
        <f t="shared" si="0"/>
      </c>
      <c r="L11165">
        <f t="shared" si="1"/>
      </c>
      <c r="M11165">
        <f t="shared" si="2"/>
      </c>
    </row>
    <row r="11166">
      <c r="G11166" s="9">
        <f t="shared" si="0"/>
      </c>
      <c r="L11166">
        <f t="shared" si="1"/>
      </c>
      <c r="M11166">
        <f t="shared" si="2"/>
      </c>
    </row>
    <row r="11167">
      <c r="G11167" s="9">
        <f t="shared" si="0"/>
      </c>
      <c r="L11167">
        <f t="shared" si="1"/>
      </c>
      <c r="M11167">
        <f t="shared" si="2"/>
      </c>
    </row>
    <row r="11168">
      <c r="G11168" s="9">
        <f t="shared" si="0"/>
      </c>
      <c r="L11168">
        <f t="shared" si="1"/>
      </c>
      <c r="M11168">
        <f t="shared" si="2"/>
      </c>
    </row>
    <row r="11169">
      <c r="G11169" s="9">
        <f t="shared" si="0"/>
      </c>
      <c r="L11169">
        <f t="shared" si="1"/>
      </c>
      <c r="M11169">
        <f t="shared" si="2"/>
      </c>
    </row>
    <row r="11170">
      <c r="G11170" s="9">
        <f t="shared" si="0"/>
      </c>
      <c r="L11170">
        <f t="shared" si="1"/>
      </c>
      <c r="M11170">
        <f t="shared" si="2"/>
      </c>
    </row>
    <row r="11171">
      <c r="G11171" s="9">
        <f t="shared" si="0"/>
      </c>
      <c r="L11171">
        <f t="shared" si="1"/>
      </c>
      <c r="M11171">
        <f t="shared" si="2"/>
      </c>
    </row>
    <row r="11172">
      <c r="G11172" s="9">
        <f t="shared" si="0"/>
      </c>
      <c r="L11172">
        <f t="shared" si="1"/>
      </c>
      <c r="M11172">
        <f t="shared" si="2"/>
      </c>
    </row>
    <row r="11173">
      <c r="G11173" s="9">
        <f t="shared" si="0"/>
      </c>
      <c r="L11173">
        <f t="shared" si="1"/>
      </c>
      <c r="M11173">
        <f t="shared" si="2"/>
      </c>
    </row>
    <row r="11174">
      <c r="G11174" s="9">
        <f t="shared" si="0"/>
      </c>
      <c r="L11174">
        <f t="shared" si="1"/>
      </c>
      <c r="M11174">
        <f t="shared" si="2"/>
      </c>
    </row>
    <row r="11175">
      <c r="G11175" s="9">
        <f t="shared" si="0"/>
      </c>
      <c r="L11175">
        <f t="shared" si="1"/>
      </c>
      <c r="M11175">
        <f t="shared" si="2"/>
      </c>
    </row>
    <row r="11176">
      <c r="G11176" s="9">
        <f t="shared" si="0"/>
      </c>
      <c r="L11176">
        <f t="shared" si="1"/>
      </c>
      <c r="M11176">
        <f t="shared" si="2"/>
      </c>
    </row>
    <row r="11177">
      <c r="G11177" s="9">
        <f t="shared" si="0"/>
      </c>
      <c r="L11177">
        <f t="shared" si="1"/>
      </c>
      <c r="M11177">
        <f t="shared" si="2"/>
      </c>
    </row>
    <row r="11178">
      <c r="G11178" s="9">
        <f t="shared" si="0"/>
      </c>
      <c r="L11178">
        <f t="shared" si="1"/>
      </c>
      <c r="M11178">
        <f t="shared" si="2"/>
      </c>
    </row>
    <row r="11179">
      <c r="G11179" s="9">
        <f t="shared" si="0"/>
      </c>
      <c r="L11179">
        <f t="shared" si="1"/>
      </c>
      <c r="M11179">
        <f t="shared" si="2"/>
      </c>
    </row>
    <row r="11180">
      <c r="G11180" s="9">
        <f t="shared" si="0"/>
      </c>
      <c r="L11180">
        <f t="shared" si="1"/>
      </c>
      <c r="M11180">
        <f t="shared" si="2"/>
      </c>
    </row>
    <row r="11181">
      <c r="G11181" s="9">
        <f t="shared" si="0"/>
      </c>
      <c r="L11181">
        <f t="shared" si="1"/>
      </c>
      <c r="M11181">
        <f t="shared" si="2"/>
      </c>
    </row>
    <row r="11182">
      <c r="G11182" s="9">
        <f t="shared" si="0"/>
      </c>
      <c r="L11182">
        <f t="shared" si="1"/>
      </c>
      <c r="M11182">
        <f t="shared" si="2"/>
      </c>
    </row>
    <row r="11183">
      <c r="G11183" s="9">
        <f t="shared" si="0"/>
      </c>
      <c r="L11183">
        <f t="shared" si="1"/>
      </c>
      <c r="M11183">
        <f t="shared" si="2"/>
      </c>
    </row>
    <row r="11184">
      <c r="G11184" s="9">
        <f t="shared" si="0"/>
      </c>
      <c r="L11184">
        <f t="shared" si="1"/>
      </c>
      <c r="M11184">
        <f t="shared" si="2"/>
      </c>
    </row>
    <row r="11185">
      <c r="G11185" s="9">
        <f t="shared" si="0"/>
      </c>
      <c r="L11185">
        <f t="shared" si="1"/>
      </c>
      <c r="M11185">
        <f t="shared" si="2"/>
      </c>
    </row>
    <row r="11186">
      <c r="G11186" s="9">
        <f t="shared" si="0"/>
      </c>
      <c r="L11186">
        <f t="shared" si="1"/>
      </c>
      <c r="M11186">
        <f t="shared" si="2"/>
      </c>
    </row>
    <row r="11187">
      <c r="G11187" s="9">
        <f t="shared" si="0"/>
      </c>
      <c r="L11187">
        <f t="shared" si="1"/>
      </c>
      <c r="M11187">
        <f t="shared" si="2"/>
      </c>
    </row>
    <row r="11188">
      <c r="G11188" s="9">
        <f t="shared" si="0"/>
      </c>
      <c r="L11188">
        <f t="shared" si="1"/>
      </c>
      <c r="M11188">
        <f t="shared" si="2"/>
      </c>
    </row>
    <row r="11189">
      <c r="G11189" s="9">
        <f t="shared" si="0"/>
      </c>
      <c r="L11189">
        <f t="shared" si="1"/>
      </c>
      <c r="M11189">
        <f t="shared" si="2"/>
      </c>
    </row>
    <row r="11190">
      <c r="G11190" s="9">
        <f t="shared" si="0"/>
      </c>
      <c r="L11190">
        <f t="shared" si="1"/>
      </c>
      <c r="M11190">
        <f t="shared" si="2"/>
      </c>
    </row>
    <row r="11191">
      <c r="G11191" s="9">
        <f t="shared" si="0"/>
      </c>
      <c r="L11191">
        <f t="shared" si="1"/>
      </c>
      <c r="M11191">
        <f t="shared" si="2"/>
      </c>
    </row>
    <row r="11192">
      <c r="G11192" s="9">
        <f t="shared" si="0"/>
      </c>
      <c r="L11192">
        <f t="shared" si="1"/>
      </c>
      <c r="M11192">
        <f t="shared" si="2"/>
      </c>
    </row>
    <row r="11193">
      <c r="G11193" s="9">
        <f t="shared" si="0"/>
      </c>
      <c r="L11193">
        <f t="shared" si="1"/>
      </c>
      <c r="M11193">
        <f t="shared" si="2"/>
      </c>
    </row>
    <row r="11194">
      <c r="G11194" s="9">
        <f t="shared" si="0"/>
      </c>
      <c r="L11194">
        <f t="shared" si="1"/>
      </c>
      <c r="M11194">
        <f t="shared" si="2"/>
      </c>
    </row>
    <row r="11195">
      <c r="G11195" s="9">
        <f t="shared" si="0"/>
      </c>
      <c r="L11195">
        <f t="shared" si="1"/>
      </c>
      <c r="M11195">
        <f t="shared" si="2"/>
      </c>
    </row>
    <row r="11196">
      <c r="G11196" s="9">
        <f t="shared" si="0"/>
      </c>
      <c r="L11196">
        <f t="shared" si="1"/>
      </c>
      <c r="M11196">
        <f t="shared" si="2"/>
      </c>
    </row>
    <row r="11197">
      <c r="G11197" s="9">
        <f t="shared" si="0"/>
      </c>
      <c r="L11197">
        <f t="shared" si="1"/>
      </c>
      <c r="M11197">
        <f t="shared" si="2"/>
      </c>
    </row>
    <row r="11198">
      <c r="G11198" s="9">
        <f t="shared" si="0"/>
      </c>
      <c r="L11198">
        <f t="shared" si="1"/>
      </c>
      <c r="M11198">
        <f t="shared" si="2"/>
      </c>
    </row>
    <row r="11199">
      <c r="G11199" s="9">
        <f t="shared" si="0"/>
      </c>
      <c r="L11199">
        <f t="shared" si="1"/>
      </c>
      <c r="M11199">
        <f t="shared" si="2"/>
      </c>
    </row>
    <row r="11200">
      <c r="G11200" s="9">
        <f t="shared" si="0"/>
      </c>
      <c r="L11200">
        <f t="shared" si="1"/>
      </c>
      <c r="M11200">
        <f t="shared" si="2"/>
      </c>
    </row>
    <row r="11201">
      <c r="G11201" s="9">
        <f t="shared" si="0"/>
      </c>
      <c r="L11201">
        <f t="shared" si="1"/>
      </c>
      <c r="M11201">
        <f t="shared" si="2"/>
      </c>
    </row>
    <row r="11202">
      <c r="G11202" s="9">
        <f t="shared" si="0"/>
      </c>
      <c r="L11202">
        <f t="shared" si="1"/>
      </c>
      <c r="M11202">
        <f t="shared" si="2"/>
      </c>
    </row>
    <row r="11203">
      <c r="G11203" s="9">
        <f t="shared" si="0"/>
      </c>
      <c r="L11203">
        <f t="shared" si="1"/>
      </c>
      <c r="M11203">
        <f t="shared" si="2"/>
      </c>
    </row>
    <row r="11204">
      <c r="G11204" s="9">
        <f t="shared" si="0"/>
      </c>
      <c r="L11204">
        <f t="shared" si="1"/>
      </c>
      <c r="M11204">
        <f t="shared" si="2"/>
      </c>
    </row>
    <row r="11205">
      <c r="G11205" s="9">
        <f t="shared" si="0"/>
      </c>
      <c r="L11205">
        <f t="shared" si="1"/>
      </c>
      <c r="M11205">
        <f t="shared" si="2"/>
      </c>
    </row>
    <row r="11206">
      <c r="G11206" s="9">
        <f t="shared" si="0"/>
      </c>
      <c r="L11206">
        <f t="shared" si="1"/>
      </c>
      <c r="M11206">
        <f t="shared" si="2"/>
      </c>
    </row>
    <row r="11207">
      <c r="G11207" s="9">
        <f t="shared" si="0"/>
      </c>
      <c r="L11207">
        <f t="shared" si="1"/>
      </c>
      <c r="M11207">
        <f t="shared" si="2"/>
      </c>
    </row>
    <row r="11208">
      <c r="G11208" s="9">
        <f t="shared" si="0"/>
      </c>
      <c r="L11208">
        <f t="shared" si="1"/>
      </c>
      <c r="M11208">
        <f t="shared" si="2"/>
      </c>
    </row>
    <row r="11209">
      <c r="G11209" s="9">
        <f t="shared" si="0"/>
      </c>
      <c r="L11209">
        <f t="shared" si="1"/>
      </c>
      <c r="M11209">
        <f t="shared" si="2"/>
      </c>
    </row>
    <row r="11210">
      <c r="G11210" s="9">
        <f t="shared" si="0"/>
      </c>
      <c r="L11210">
        <f t="shared" si="1"/>
      </c>
      <c r="M11210">
        <f t="shared" si="2"/>
      </c>
    </row>
    <row r="11211">
      <c r="G11211" s="9">
        <f t="shared" si="0"/>
      </c>
      <c r="L11211">
        <f t="shared" si="1"/>
      </c>
      <c r="M11211">
        <f t="shared" si="2"/>
      </c>
    </row>
    <row r="11212">
      <c r="G11212" s="9">
        <f t="shared" si="0"/>
      </c>
      <c r="L11212">
        <f t="shared" si="1"/>
      </c>
      <c r="M11212">
        <f t="shared" si="2"/>
      </c>
    </row>
    <row r="11213">
      <c r="G11213" s="9">
        <f t="shared" si="0"/>
      </c>
      <c r="L11213">
        <f t="shared" si="1"/>
      </c>
      <c r="M11213">
        <f t="shared" si="2"/>
      </c>
    </row>
    <row r="11214">
      <c r="G11214" s="9">
        <f t="shared" si="0"/>
      </c>
      <c r="L11214">
        <f t="shared" si="1"/>
      </c>
      <c r="M11214">
        <f t="shared" si="2"/>
      </c>
    </row>
    <row r="11215">
      <c r="G11215" s="9">
        <f t="shared" si="0"/>
      </c>
      <c r="L11215">
        <f t="shared" si="1"/>
      </c>
      <c r="M11215">
        <f t="shared" si="2"/>
      </c>
    </row>
    <row r="11216">
      <c r="G11216" s="9">
        <f t="shared" si="0"/>
      </c>
      <c r="L11216">
        <f t="shared" si="1"/>
      </c>
      <c r="M11216">
        <f t="shared" si="2"/>
      </c>
    </row>
    <row r="11217">
      <c r="G11217" s="9">
        <f t="shared" si="0"/>
      </c>
      <c r="L11217">
        <f t="shared" si="1"/>
      </c>
      <c r="M11217">
        <f t="shared" si="2"/>
      </c>
    </row>
    <row r="11218">
      <c r="G11218" s="9">
        <f t="shared" si="0"/>
      </c>
      <c r="L11218">
        <f t="shared" si="1"/>
      </c>
      <c r="M11218">
        <f t="shared" si="2"/>
      </c>
    </row>
    <row r="11219">
      <c r="G11219" s="9">
        <f t="shared" si="0"/>
      </c>
      <c r="L11219">
        <f t="shared" si="1"/>
      </c>
      <c r="M11219">
        <f t="shared" si="2"/>
      </c>
    </row>
    <row r="11220">
      <c r="G11220" s="9">
        <f t="shared" si="0"/>
      </c>
      <c r="L11220">
        <f t="shared" si="1"/>
      </c>
      <c r="M11220">
        <f t="shared" si="2"/>
      </c>
    </row>
    <row r="11221">
      <c r="G11221" s="9">
        <f t="shared" si="0"/>
      </c>
      <c r="L11221">
        <f t="shared" si="1"/>
      </c>
      <c r="M11221">
        <f t="shared" si="2"/>
      </c>
    </row>
    <row r="11222">
      <c r="G11222" s="9">
        <f t="shared" si="0"/>
      </c>
      <c r="L11222">
        <f t="shared" si="1"/>
      </c>
      <c r="M11222">
        <f t="shared" si="2"/>
      </c>
    </row>
    <row r="11223">
      <c r="G11223" s="9">
        <f t="shared" si="0"/>
      </c>
      <c r="L11223">
        <f t="shared" si="1"/>
      </c>
      <c r="M11223">
        <f t="shared" si="2"/>
      </c>
    </row>
    <row r="11224">
      <c r="G11224" s="9">
        <f t="shared" si="0"/>
      </c>
      <c r="L11224">
        <f t="shared" si="1"/>
      </c>
      <c r="M11224">
        <f t="shared" si="2"/>
      </c>
    </row>
    <row r="11225">
      <c r="G11225" s="9">
        <f t="shared" si="0"/>
      </c>
      <c r="L11225">
        <f t="shared" si="1"/>
      </c>
      <c r="M11225">
        <f t="shared" si="2"/>
      </c>
    </row>
    <row r="11226">
      <c r="G11226" s="9">
        <f t="shared" si="0"/>
      </c>
      <c r="L11226">
        <f t="shared" si="1"/>
      </c>
      <c r="M11226">
        <f t="shared" si="2"/>
      </c>
    </row>
    <row r="11227">
      <c r="G11227" s="9">
        <f t="shared" si="0"/>
      </c>
      <c r="L11227">
        <f t="shared" si="1"/>
      </c>
      <c r="M11227">
        <f t="shared" si="2"/>
      </c>
    </row>
    <row r="11228">
      <c r="G11228" s="9">
        <f t="shared" si="0"/>
      </c>
      <c r="L11228">
        <f t="shared" si="1"/>
      </c>
      <c r="M11228">
        <f t="shared" si="2"/>
      </c>
    </row>
    <row r="11229">
      <c r="G11229" s="9">
        <f t="shared" si="0"/>
      </c>
      <c r="L11229">
        <f t="shared" si="1"/>
      </c>
      <c r="M11229">
        <f t="shared" si="2"/>
      </c>
    </row>
    <row r="11230">
      <c r="G11230" s="9">
        <f t="shared" si="0"/>
      </c>
      <c r="L11230">
        <f t="shared" si="1"/>
      </c>
      <c r="M11230">
        <f t="shared" si="2"/>
      </c>
    </row>
    <row r="11231">
      <c r="G11231" s="9">
        <f t="shared" si="0"/>
      </c>
      <c r="L11231">
        <f t="shared" si="1"/>
      </c>
      <c r="M11231">
        <f t="shared" si="2"/>
      </c>
    </row>
    <row r="11232">
      <c r="G11232" s="9">
        <f t="shared" si="0"/>
      </c>
      <c r="L11232">
        <f t="shared" si="1"/>
      </c>
      <c r="M11232">
        <f t="shared" si="2"/>
      </c>
    </row>
    <row r="11233">
      <c r="G11233" s="9">
        <f t="shared" si="0"/>
      </c>
      <c r="L11233">
        <f t="shared" si="1"/>
      </c>
      <c r="M11233">
        <f t="shared" si="2"/>
      </c>
    </row>
    <row r="11234">
      <c r="G11234" s="9">
        <f t="shared" si="0"/>
      </c>
      <c r="L11234">
        <f t="shared" si="1"/>
      </c>
      <c r="M11234">
        <f t="shared" si="2"/>
      </c>
    </row>
    <row r="11235">
      <c r="G11235" s="9">
        <f t="shared" si="0"/>
      </c>
      <c r="L11235">
        <f t="shared" si="1"/>
      </c>
      <c r="M11235">
        <f t="shared" si="2"/>
      </c>
    </row>
    <row r="11236">
      <c r="G11236" s="9">
        <f t="shared" si="0"/>
      </c>
      <c r="L11236">
        <f t="shared" si="1"/>
      </c>
      <c r="M11236">
        <f t="shared" si="2"/>
      </c>
    </row>
    <row r="11237">
      <c r="G11237" s="9">
        <f t="shared" si="0"/>
      </c>
      <c r="L11237">
        <f t="shared" si="1"/>
      </c>
      <c r="M11237">
        <f t="shared" si="2"/>
      </c>
    </row>
    <row r="11238">
      <c r="G11238" s="9">
        <f t="shared" si="0"/>
      </c>
      <c r="L11238">
        <f t="shared" si="1"/>
      </c>
      <c r="M11238">
        <f t="shared" si="2"/>
      </c>
    </row>
    <row r="11239">
      <c r="G11239" s="9">
        <f t="shared" si="0"/>
      </c>
      <c r="L11239">
        <f t="shared" si="1"/>
      </c>
      <c r="M11239">
        <f t="shared" si="2"/>
      </c>
    </row>
    <row r="11240">
      <c r="G11240" s="9">
        <f t="shared" si="0"/>
      </c>
      <c r="L11240">
        <f t="shared" si="1"/>
      </c>
      <c r="M11240">
        <f t="shared" si="2"/>
      </c>
    </row>
    <row r="11241">
      <c r="G11241" s="9">
        <f t="shared" si="0"/>
      </c>
      <c r="L11241">
        <f t="shared" si="1"/>
      </c>
      <c r="M11241">
        <f t="shared" si="2"/>
      </c>
    </row>
    <row r="11242">
      <c r="G11242" s="9">
        <f t="shared" si="0"/>
      </c>
      <c r="L11242">
        <f t="shared" si="1"/>
      </c>
      <c r="M11242">
        <f t="shared" si="2"/>
      </c>
    </row>
    <row r="11243">
      <c r="G11243" s="9">
        <f t="shared" si="0"/>
      </c>
      <c r="L11243">
        <f t="shared" si="1"/>
      </c>
      <c r="M11243">
        <f t="shared" si="2"/>
      </c>
    </row>
    <row r="11244">
      <c r="G11244" s="9">
        <f t="shared" si="0"/>
      </c>
      <c r="L11244">
        <f t="shared" si="1"/>
      </c>
      <c r="M11244">
        <f t="shared" si="2"/>
      </c>
    </row>
    <row r="11245">
      <c r="G11245" s="9">
        <f t="shared" si="0"/>
      </c>
      <c r="L11245">
        <f t="shared" si="1"/>
      </c>
      <c r="M11245">
        <f t="shared" si="2"/>
      </c>
    </row>
    <row r="11246">
      <c r="G11246" s="9">
        <f t="shared" si="0"/>
      </c>
      <c r="L11246">
        <f t="shared" si="1"/>
      </c>
      <c r="M11246">
        <f t="shared" si="2"/>
      </c>
    </row>
    <row r="11247">
      <c r="G11247" s="9">
        <f t="shared" si="0"/>
      </c>
      <c r="L11247">
        <f t="shared" si="1"/>
      </c>
      <c r="M11247">
        <f t="shared" si="2"/>
      </c>
    </row>
    <row r="11248">
      <c r="G11248" s="9">
        <f t="shared" si="0"/>
      </c>
      <c r="L11248">
        <f t="shared" si="1"/>
      </c>
      <c r="M11248">
        <f t="shared" si="2"/>
      </c>
    </row>
    <row r="11249">
      <c r="G11249" s="9">
        <f t="shared" si="0"/>
      </c>
      <c r="L11249">
        <f t="shared" si="1"/>
      </c>
      <c r="M11249">
        <f t="shared" si="2"/>
      </c>
    </row>
    <row r="11250">
      <c r="G11250" s="9">
        <f t="shared" si="0"/>
      </c>
      <c r="L11250">
        <f t="shared" si="1"/>
      </c>
      <c r="M11250">
        <f t="shared" si="2"/>
      </c>
    </row>
    <row r="11251">
      <c r="G11251" s="9">
        <f t="shared" si="0"/>
      </c>
      <c r="L11251">
        <f t="shared" si="1"/>
      </c>
      <c r="M11251">
        <f t="shared" si="2"/>
      </c>
    </row>
    <row r="11252">
      <c r="G11252" s="9">
        <f t="shared" si="0"/>
      </c>
      <c r="L11252">
        <f t="shared" si="1"/>
      </c>
      <c r="M11252">
        <f t="shared" si="2"/>
      </c>
    </row>
    <row r="11253">
      <c r="G11253" s="9">
        <f t="shared" si="0"/>
      </c>
      <c r="L11253">
        <f t="shared" si="1"/>
      </c>
      <c r="M11253">
        <f t="shared" si="2"/>
      </c>
    </row>
    <row r="11254">
      <c r="G11254" s="9">
        <f t="shared" si="0"/>
      </c>
      <c r="L11254">
        <f t="shared" si="1"/>
      </c>
      <c r="M11254">
        <f t="shared" si="2"/>
      </c>
    </row>
    <row r="11255">
      <c r="G11255" s="9">
        <f t="shared" si="0"/>
      </c>
      <c r="L11255">
        <f t="shared" si="1"/>
      </c>
      <c r="M11255">
        <f t="shared" si="2"/>
      </c>
    </row>
    <row r="11256">
      <c r="G11256" s="9">
        <f t="shared" si="0"/>
      </c>
      <c r="L11256">
        <f t="shared" si="1"/>
      </c>
      <c r="M11256">
        <f t="shared" si="2"/>
      </c>
    </row>
    <row r="11257">
      <c r="G11257" s="9">
        <f t="shared" si="0"/>
      </c>
      <c r="L11257">
        <f t="shared" si="1"/>
      </c>
      <c r="M11257">
        <f t="shared" si="2"/>
      </c>
    </row>
    <row r="11258">
      <c r="G11258" s="9">
        <f t="shared" si="0"/>
      </c>
      <c r="L11258">
        <f t="shared" si="1"/>
      </c>
      <c r="M11258">
        <f t="shared" si="2"/>
      </c>
    </row>
    <row r="11259">
      <c r="G11259" s="9">
        <f t="shared" si="0"/>
      </c>
      <c r="L11259">
        <f t="shared" si="1"/>
      </c>
      <c r="M11259">
        <f t="shared" si="2"/>
      </c>
    </row>
    <row r="11260">
      <c r="G11260" s="9">
        <f t="shared" si="0"/>
      </c>
      <c r="L11260">
        <f t="shared" si="1"/>
      </c>
      <c r="M11260">
        <f t="shared" si="2"/>
      </c>
    </row>
    <row r="11261">
      <c r="G11261" s="9">
        <f t="shared" si="0"/>
      </c>
      <c r="L11261">
        <f t="shared" si="1"/>
      </c>
      <c r="M11261">
        <f t="shared" si="2"/>
      </c>
    </row>
    <row r="11262">
      <c r="G11262" s="9">
        <f t="shared" si="0"/>
      </c>
      <c r="L11262">
        <f t="shared" si="1"/>
      </c>
      <c r="M11262">
        <f t="shared" si="2"/>
      </c>
    </row>
    <row r="11263">
      <c r="G11263" s="9">
        <f t="shared" si="0"/>
      </c>
      <c r="L11263">
        <f t="shared" si="1"/>
      </c>
      <c r="M11263">
        <f t="shared" si="2"/>
      </c>
    </row>
    <row r="11264">
      <c r="G11264" s="9">
        <f t="shared" si="0"/>
      </c>
      <c r="L11264">
        <f t="shared" si="1"/>
      </c>
      <c r="M11264">
        <f t="shared" si="2"/>
      </c>
    </row>
    <row r="11265">
      <c r="G11265" s="9">
        <f t="shared" si="0"/>
      </c>
      <c r="L11265">
        <f t="shared" si="1"/>
      </c>
      <c r="M11265">
        <f t="shared" si="2"/>
      </c>
    </row>
    <row r="11266">
      <c r="G11266" s="9">
        <f t="shared" si="0"/>
      </c>
      <c r="L11266">
        <f t="shared" si="1"/>
      </c>
      <c r="M11266">
        <f t="shared" si="2"/>
      </c>
    </row>
    <row r="11267">
      <c r="G11267" s="9">
        <f t="shared" si="0"/>
      </c>
      <c r="L11267">
        <f t="shared" si="1"/>
      </c>
      <c r="M11267">
        <f t="shared" si="2"/>
      </c>
    </row>
    <row r="11268">
      <c r="G11268" s="9">
        <f t="shared" si="0"/>
      </c>
      <c r="L11268">
        <f t="shared" si="1"/>
      </c>
      <c r="M11268">
        <f t="shared" si="2"/>
      </c>
    </row>
    <row r="11269">
      <c r="G11269" s="9">
        <f t="shared" si="0"/>
      </c>
      <c r="L11269">
        <f t="shared" si="1"/>
      </c>
      <c r="M11269">
        <f t="shared" si="2"/>
      </c>
    </row>
    <row r="11270">
      <c r="G11270" s="9">
        <f t="shared" si="0"/>
      </c>
      <c r="L11270">
        <f t="shared" si="1"/>
      </c>
      <c r="M11270">
        <f t="shared" si="2"/>
      </c>
    </row>
    <row r="11271">
      <c r="G11271" s="9">
        <f t="shared" si="0"/>
      </c>
      <c r="L11271">
        <f t="shared" si="1"/>
      </c>
      <c r="M11271">
        <f t="shared" si="2"/>
      </c>
    </row>
    <row r="11272">
      <c r="G11272" s="9">
        <f t="shared" si="0"/>
      </c>
      <c r="L11272">
        <f t="shared" si="1"/>
      </c>
      <c r="M11272">
        <f t="shared" si="2"/>
      </c>
    </row>
    <row r="11273">
      <c r="G11273" s="9">
        <f t="shared" si="0"/>
      </c>
      <c r="L11273">
        <f t="shared" si="1"/>
      </c>
      <c r="M11273">
        <f t="shared" si="2"/>
      </c>
    </row>
    <row r="11274">
      <c r="G11274" s="9">
        <f t="shared" si="0"/>
      </c>
      <c r="L11274">
        <f t="shared" si="1"/>
      </c>
      <c r="M11274">
        <f t="shared" si="2"/>
      </c>
    </row>
    <row r="11275">
      <c r="G11275" s="9">
        <f t="shared" si="0"/>
      </c>
      <c r="L11275">
        <f t="shared" si="1"/>
      </c>
      <c r="M11275">
        <f t="shared" si="2"/>
      </c>
    </row>
    <row r="11276">
      <c r="G11276" s="9">
        <f t="shared" si="0"/>
      </c>
      <c r="L11276">
        <f t="shared" si="1"/>
      </c>
      <c r="M11276">
        <f t="shared" si="2"/>
      </c>
    </row>
    <row r="11277">
      <c r="G11277" s="9">
        <f t="shared" si="0"/>
      </c>
      <c r="L11277">
        <f t="shared" si="1"/>
      </c>
      <c r="M11277">
        <f t="shared" si="2"/>
      </c>
    </row>
    <row r="11278">
      <c r="G11278" s="9">
        <f t="shared" si="0"/>
      </c>
      <c r="L11278">
        <f t="shared" si="1"/>
      </c>
      <c r="M11278">
        <f t="shared" si="2"/>
      </c>
    </row>
    <row r="11279">
      <c r="G11279" s="9">
        <f t="shared" si="0"/>
      </c>
      <c r="L11279">
        <f t="shared" si="1"/>
      </c>
      <c r="M11279">
        <f t="shared" si="2"/>
      </c>
    </row>
    <row r="11280">
      <c r="G11280" s="9">
        <f t="shared" si="0"/>
      </c>
      <c r="L11280">
        <f t="shared" si="1"/>
      </c>
      <c r="M11280">
        <f t="shared" si="2"/>
      </c>
    </row>
    <row r="11281">
      <c r="G11281" s="9">
        <f t="shared" si="0"/>
      </c>
      <c r="L11281">
        <f t="shared" si="1"/>
      </c>
      <c r="M11281">
        <f t="shared" si="2"/>
      </c>
    </row>
    <row r="11282">
      <c r="G11282" s="9">
        <f t="shared" si="0"/>
      </c>
      <c r="L11282">
        <f t="shared" si="1"/>
      </c>
      <c r="M11282">
        <f t="shared" si="2"/>
      </c>
    </row>
    <row r="11283">
      <c r="G11283" s="9">
        <f t="shared" si="0"/>
      </c>
      <c r="L11283">
        <f t="shared" si="1"/>
      </c>
      <c r="M11283">
        <f t="shared" si="2"/>
      </c>
    </row>
    <row r="11284">
      <c r="G11284" s="9">
        <f t="shared" si="0"/>
      </c>
      <c r="L11284">
        <f t="shared" si="1"/>
      </c>
      <c r="M11284">
        <f t="shared" si="2"/>
      </c>
    </row>
    <row r="11285">
      <c r="G11285" s="9">
        <f t="shared" si="0"/>
      </c>
      <c r="L11285">
        <f t="shared" si="1"/>
      </c>
      <c r="M11285">
        <f t="shared" si="2"/>
      </c>
    </row>
    <row r="11286">
      <c r="G11286" s="9">
        <f t="shared" si="0"/>
      </c>
      <c r="L11286">
        <f t="shared" si="1"/>
      </c>
      <c r="M11286">
        <f t="shared" si="2"/>
      </c>
    </row>
    <row r="11287">
      <c r="G11287" s="9">
        <f t="shared" si="0"/>
      </c>
      <c r="L11287">
        <f t="shared" si="1"/>
      </c>
      <c r="M11287">
        <f t="shared" si="2"/>
      </c>
    </row>
    <row r="11288">
      <c r="G11288" s="9">
        <f t="shared" si="0"/>
      </c>
      <c r="L11288">
        <f t="shared" si="1"/>
      </c>
      <c r="M11288">
        <f t="shared" si="2"/>
      </c>
    </row>
    <row r="11289">
      <c r="G11289" s="9">
        <f t="shared" si="0"/>
      </c>
      <c r="L11289">
        <f t="shared" si="1"/>
      </c>
      <c r="M11289">
        <f t="shared" si="2"/>
      </c>
    </row>
    <row r="11290">
      <c r="G11290" s="9">
        <f t="shared" si="0"/>
      </c>
      <c r="L11290">
        <f t="shared" si="1"/>
      </c>
      <c r="M11290">
        <f t="shared" si="2"/>
      </c>
    </row>
    <row r="11291">
      <c r="G11291" s="9">
        <f t="shared" si="0"/>
      </c>
      <c r="L11291">
        <f t="shared" si="1"/>
      </c>
      <c r="M11291">
        <f t="shared" si="2"/>
      </c>
    </row>
    <row r="11292">
      <c r="G11292" s="9">
        <f t="shared" si="0"/>
      </c>
      <c r="L11292">
        <f t="shared" si="1"/>
      </c>
      <c r="M11292">
        <f t="shared" si="2"/>
      </c>
    </row>
    <row r="11293">
      <c r="G11293" s="9">
        <f t="shared" si="0"/>
      </c>
      <c r="L11293">
        <f t="shared" si="1"/>
      </c>
      <c r="M11293">
        <f t="shared" si="2"/>
      </c>
    </row>
    <row r="11294">
      <c r="G11294" s="9">
        <f t="shared" si="0"/>
      </c>
      <c r="L11294">
        <f t="shared" si="1"/>
      </c>
      <c r="M11294">
        <f t="shared" si="2"/>
      </c>
    </row>
    <row r="11295">
      <c r="G11295" s="9">
        <f t="shared" si="0"/>
      </c>
      <c r="L11295">
        <f t="shared" si="1"/>
      </c>
      <c r="M11295">
        <f t="shared" si="2"/>
      </c>
    </row>
    <row r="11296">
      <c r="G11296" s="9">
        <f t="shared" si="0"/>
      </c>
      <c r="L11296">
        <f t="shared" si="1"/>
      </c>
      <c r="M11296">
        <f t="shared" si="2"/>
      </c>
    </row>
    <row r="11297">
      <c r="G11297" s="9">
        <f t="shared" si="0"/>
      </c>
      <c r="L11297">
        <f t="shared" si="1"/>
      </c>
      <c r="M11297">
        <f t="shared" si="2"/>
      </c>
    </row>
    <row r="11298">
      <c r="G11298" s="9">
        <f t="shared" si="0"/>
      </c>
      <c r="L11298">
        <f t="shared" si="1"/>
      </c>
      <c r="M11298">
        <f t="shared" si="2"/>
      </c>
    </row>
    <row r="11299">
      <c r="G11299" s="9">
        <f t="shared" si="0"/>
      </c>
      <c r="L11299">
        <f t="shared" si="1"/>
      </c>
      <c r="M11299">
        <f t="shared" si="2"/>
      </c>
    </row>
    <row r="11300">
      <c r="G11300" s="9">
        <f t="shared" si="0"/>
      </c>
      <c r="L11300">
        <f t="shared" si="1"/>
      </c>
      <c r="M11300">
        <f t="shared" si="2"/>
      </c>
    </row>
    <row r="11301">
      <c r="G11301" s="9">
        <f t="shared" si="0"/>
      </c>
      <c r="L11301">
        <f t="shared" si="1"/>
      </c>
      <c r="M11301">
        <f t="shared" si="2"/>
      </c>
    </row>
    <row r="11302">
      <c r="G11302" s="9">
        <f t="shared" si="0"/>
      </c>
      <c r="L11302">
        <f t="shared" si="1"/>
      </c>
      <c r="M11302">
        <f t="shared" si="2"/>
      </c>
    </row>
    <row r="11303">
      <c r="G11303" s="9">
        <f t="shared" si="0"/>
      </c>
      <c r="L11303">
        <f t="shared" si="1"/>
      </c>
      <c r="M11303">
        <f t="shared" si="2"/>
      </c>
    </row>
    <row r="11304">
      <c r="G11304" s="9">
        <f t="shared" si="0"/>
      </c>
      <c r="L11304">
        <f t="shared" si="1"/>
      </c>
      <c r="M11304">
        <f t="shared" si="2"/>
      </c>
    </row>
    <row r="11305">
      <c r="G11305" s="9">
        <f t="shared" si="0"/>
      </c>
      <c r="L11305">
        <f t="shared" si="1"/>
      </c>
      <c r="M11305">
        <f t="shared" si="2"/>
      </c>
    </row>
    <row r="11306">
      <c r="G11306" s="9">
        <f t="shared" si="0"/>
      </c>
      <c r="L11306">
        <f t="shared" si="1"/>
      </c>
      <c r="M11306">
        <f t="shared" si="2"/>
      </c>
    </row>
    <row r="11307">
      <c r="G11307" s="9">
        <f t="shared" si="0"/>
      </c>
      <c r="L11307">
        <f t="shared" si="1"/>
      </c>
      <c r="M11307">
        <f t="shared" si="2"/>
      </c>
    </row>
    <row r="11308">
      <c r="G11308" s="9">
        <f t="shared" si="0"/>
      </c>
      <c r="L11308">
        <f t="shared" si="1"/>
      </c>
      <c r="M11308">
        <f t="shared" si="2"/>
      </c>
    </row>
    <row r="11309">
      <c r="G11309" s="9">
        <f t="shared" si="0"/>
      </c>
      <c r="L11309">
        <f t="shared" si="1"/>
      </c>
      <c r="M11309">
        <f t="shared" si="2"/>
      </c>
    </row>
    <row r="11310">
      <c r="G11310" s="9">
        <f t="shared" si="0"/>
      </c>
      <c r="L11310">
        <f t="shared" si="1"/>
      </c>
      <c r="M11310">
        <f t="shared" si="2"/>
      </c>
    </row>
    <row r="11311">
      <c r="G11311" s="9">
        <f t="shared" si="0"/>
      </c>
      <c r="L11311">
        <f t="shared" si="1"/>
      </c>
      <c r="M11311">
        <f t="shared" si="2"/>
      </c>
    </row>
    <row r="11312">
      <c r="G11312" s="9">
        <f t="shared" si="0"/>
      </c>
      <c r="L11312">
        <f t="shared" si="1"/>
      </c>
      <c r="M11312">
        <f t="shared" si="2"/>
      </c>
    </row>
    <row r="11313">
      <c r="G11313" s="9">
        <f t="shared" si="0"/>
      </c>
      <c r="L11313">
        <f t="shared" si="1"/>
      </c>
      <c r="M11313">
        <f t="shared" si="2"/>
      </c>
    </row>
    <row r="11314">
      <c r="G11314" s="9">
        <f t="shared" si="0"/>
      </c>
      <c r="L11314">
        <f t="shared" si="1"/>
      </c>
      <c r="M11314">
        <f t="shared" si="2"/>
      </c>
    </row>
    <row r="11315">
      <c r="G11315" s="9">
        <f t="shared" si="0"/>
      </c>
      <c r="L11315">
        <f t="shared" si="1"/>
      </c>
      <c r="M11315">
        <f t="shared" si="2"/>
      </c>
    </row>
    <row r="11316">
      <c r="G11316" s="9">
        <f t="shared" si="0"/>
      </c>
      <c r="L11316">
        <f t="shared" si="1"/>
      </c>
      <c r="M11316">
        <f t="shared" si="2"/>
      </c>
    </row>
    <row r="11317">
      <c r="G11317" s="9">
        <f t="shared" si="0"/>
      </c>
      <c r="L11317">
        <f t="shared" si="1"/>
      </c>
      <c r="M11317">
        <f t="shared" si="2"/>
      </c>
    </row>
    <row r="11318">
      <c r="G11318" s="9">
        <f t="shared" si="0"/>
      </c>
      <c r="L11318">
        <f t="shared" si="1"/>
      </c>
      <c r="M11318">
        <f t="shared" si="2"/>
      </c>
    </row>
    <row r="11319">
      <c r="G11319" s="9">
        <f t="shared" si="0"/>
      </c>
      <c r="L11319">
        <f t="shared" si="1"/>
      </c>
      <c r="M11319">
        <f t="shared" si="2"/>
      </c>
    </row>
    <row r="11320">
      <c r="G11320" s="9">
        <f t="shared" si="0"/>
      </c>
      <c r="L11320">
        <f t="shared" si="1"/>
      </c>
      <c r="M11320">
        <f t="shared" si="2"/>
      </c>
    </row>
    <row r="11321">
      <c r="G11321" s="9">
        <f t="shared" si="0"/>
      </c>
      <c r="L11321">
        <f t="shared" si="1"/>
      </c>
      <c r="M11321">
        <f t="shared" si="2"/>
      </c>
    </row>
    <row r="11322">
      <c r="G11322" s="9">
        <f t="shared" si="0"/>
      </c>
      <c r="L11322">
        <f t="shared" si="1"/>
      </c>
      <c r="M11322">
        <f t="shared" si="2"/>
      </c>
    </row>
    <row r="11323">
      <c r="G11323" s="9">
        <f t="shared" si="0"/>
      </c>
      <c r="L11323">
        <f t="shared" si="1"/>
      </c>
      <c r="M11323">
        <f t="shared" si="2"/>
      </c>
    </row>
    <row r="11324">
      <c r="G11324" s="9">
        <f t="shared" si="0"/>
      </c>
      <c r="L11324">
        <f t="shared" si="1"/>
      </c>
      <c r="M11324">
        <f t="shared" si="2"/>
      </c>
    </row>
    <row r="11325">
      <c r="G11325" s="9">
        <f t="shared" si="0"/>
      </c>
      <c r="L11325">
        <f t="shared" si="1"/>
      </c>
      <c r="M11325">
        <f t="shared" si="2"/>
      </c>
    </row>
    <row r="11326">
      <c r="G11326" s="9">
        <f t="shared" si="0"/>
      </c>
      <c r="L11326">
        <f t="shared" si="1"/>
      </c>
      <c r="M11326">
        <f t="shared" si="2"/>
      </c>
    </row>
    <row r="11327">
      <c r="G11327" s="9">
        <f t="shared" si="0"/>
      </c>
      <c r="L11327">
        <f t="shared" si="1"/>
      </c>
      <c r="M11327">
        <f t="shared" si="2"/>
      </c>
    </row>
    <row r="11328">
      <c r="G11328" s="9">
        <f t="shared" si="0"/>
      </c>
      <c r="L11328">
        <f t="shared" si="1"/>
      </c>
      <c r="M11328">
        <f t="shared" si="2"/>
      </c>
    </row>
    <row r="11329">
      <c r="G11329" s="9">
        <f t="shared" si="0"/>
      </c>
      <c r="L11329">
        <f t="shared" si="1"/>
      </c>
      <c r="M11329">
        <f t="shared" si="2"/>
      </c>
    </row>
    <row r="11330">
      <c r="G11330" s="9">
        <f t="shared" si="0"/>
      </c>
      <c r="L11330">
        <f t="shared" si="1"/>
      </c>
      <c r="M11330">
        <f t="shared" si="2"/>
      </c>
    </row>
    <row r="11331">
      <c r="G11331" s="9">
        <f t="shared" si="0"/>
      </c>
      <c r="L11331">
        <f t="shared" si="1"/>
      </c>
      <c r="M11331">
        <f t="shared" si="2"/>
      </c>
    </row>
    <row r="11332">
      <c r="G11332" s="9">
        <f t="shared" si="0"/>
      </c>
      <c r="L11332">
        <f t="shared" si="1"/>
      </c>
      <c r="M11332">
        <f t="shared" si="2"/>
      </c>
    </row>
    <row r="11333">
      <c r="G11333" s="9">
        <f t="shared" si="0"/>
      </c>
      <c r="L11333">
        <f t="shared" si="1"/>
      </c>
      <c r="M11333">
        <f t="shared" si="2"/>
      </c>
    </row>
    <row r="11334">
      <c r="G11334" s="9">
        <f t="shared" si="0"/>
      </c>
      <c r="L11334">
        <f t="shared" si="1"/>
      </c>
      <c r="M11334">
        <f t="shared" si="2"/>
      </c>
    </row>
    <row r="11335">
      <c r="G11335" s="9">
        <f t="shared" si="0"/>
      </c>
      <c r="L11335">
        <f t="shared" si="1"/>
      </c>
      <c r="M11335">
        <f t="shared" si="2"/>
      </c>
    </row>
    <row r="11336">
      <c r="G11336" s="9">
        <f t="shared" si="0"/>
      </c>
      <c r="L11336">
        <f t="shared" si="1"/>
      </c>
      <c r="M11336">
        <f t="shared" si="2"/>
      </c>
    </row>
    <row r="11337">
      <c r="G11337" s="9">
        <f t="shared" si="0"/>
      </c>
      <c r="L11337">
        <f t="shared" si="1"/>
      </c>
      <c r="M11337">
        <f t="shared" si="2"/>
      </c>
    </row>
    <row r="11338">
      <c r="G11338" s="9">
        <f t="shared" si="0"/>
      </c>
      <c r="L11338">
        <f t="shared" si="1"/>
      </c>
      <c r="M11338">
        <f t="shared" si="2"/>
      </c>
    </row>
    <row r="11339">
      <c r="G11339" s="9">
        <f t="shared" si="0"/>
      </c>
      <c r="L11339">
        <f t="shared" si="1"/>
      </c>
      <c r="M11339">
        <f t="shared" si="2"/>
      </c>
    </row>
    <row r="11340">
      <c r="G11340" s="9">
        <f t="shared" si="0"/>
      </c>
      <c r="L11340">
        <f t="shared" si="1"/>
      </c>
      <c r="M11340">
        <f t="shared" si="2"/>
      </c>
    </row>
    <row r="11341">
      <c r="G11341" s="9">
        <f t="shared" si="0"/>
      </c>
      <c r="L11341">
        <f t="shared" si="1"/>
      </c>
      <c r="M11341">
        <f t="shared" si="2"/>
      </c>
    </row>
    <row r="11342">
      <c r="G11342" s="9">
        <f t="shared" si="0"/>
      </c>
      <c r="L11342">
        <f t="shared" si="1"/>
      </c>
      <c r="M11342">
        <f t="shared" si="2"/>
      </c>
    </row>
    <row r="11343">
      <c r="G11343" s="9">
        <f t="shared" si="0"/>
      </c>
      <c r="L11343">
        <f t="shared" si="1"/>
      </c>
      <c r="M11343">
        <f t="shared" si="2"/>
      </c>
    </row>
    <row r="11344">
      <c r="G11344" s="9">
        <f t="shared" si="0"/>
      </c>
      <c r="L11344">
        <f t="shared" si="1"/>
      </c>
      <c r="M11344">
        <f t="shared" si="2"/>
      </c>
    </row>
    <row r="11345">
      <c r="G11345" s="9">
        <f t="shared" si="0"/>
      </c>
      <c r="L11345">
        <f t="shared" si="1"/>
      </c>
      <c r="M11345">
        <f t="shared" si="2"/>
      </c>
    </row>
    <row r="11346">
      <c r="G11346" s="9">
        <f t="shared" si="0"/>
      </c>
      <c r="L11346">
        <f t="shared" si="1"/>
      </c>
      <c r="M11346">
        <f t="shared" si="2"/>
      </c>
    </row>
    <row r="11347">
      <c r="G11347" s="9">
        <f t="shared" si="0"/>
      </c>
      <c r="L11347">
        <f t="shared" si="1"/>
      </c>
      <c r="M11347">
        <f t="shared" si="2"/>
      </c>
    </row>
    <row r="11348">
      <c r="G11348" s="9">
        <f t="shared" si="0"/>
      </c>
      <c r="L11348">
        <f t="shared" si="1"/>
      </c>
      <c r="M11348">
        <f t="shared" si="2"/>
      </c>
    </row>
    <row r="11349">
      <c r="G11349" s="9">
        <f t="shared" si="0"/>
      </c>
      <c r="L11349">
        <f t="shared" si="1"/>
      </c>
      <c r="M11349">
        <f t="shared" si="2"/>
      </c>
    </row>
    <row r="11350">
      <c r="G11350" s="9">
        <f t="shared" si="0"/>
      </c>
      <c r="L11350">
        <f t="shared" si="1"/>
      </c>
      <c r="M11350">
        <f t="shared" si="2"/>
      </c>
    </row>
    <row r="11351">
      <c r="G11351" s="9">
        <f t="shared" si="0"/>
      </c>
      <c r="L11351">
        <f t="shared" si="1"/>
      </c>
      <c r="M11351">
        <f t="shared" si="2"/>
      </c>
    </row>
    <row r="11352">
      <c r="G11352" s="9">
        <f t="shared" si="0"/>
      </c>
      <c r="L11352">
        <f t="shared" si="1"/>
      </c>
      <c r="M11352">
        <f t="shared" si="2"/>
      </c>
    </row>
    <row r="11353">
      <c r="G11353" s="9">
        <f t="shared" si="0"/>
      </c>
      <c r="L11353">
        <f t="shared" si="1"/>
      </c>
      <c r="M11353">
        <f t="shared" si="2"/>
      </c>
    </row>
    <row r="11354">
      <c r="G11354" s="9">
        <f t="shared" si="0"/>
      </c>
      <c r="L11354">
        <f t="shared" si="1"/>
      </c>
      <c r="M11354">
        <f t="shared" si="2"/>
      </c>
    </row>
    <row r="11355">
      <c r="G11355" s="9">
        <f t="shared" si="0"/>
      </c>
      <c r="L11355">
        <f t="shared" si="1"/>
      </c>
      <c r="M11355">
        <f t="shared" si="2"/>
      </c>
    </row>
    <row r="11356">
      <c r="G11356" s="9">
        <f t="shared" si="0"/>
      </c>
      <c r="L11356">
        <f t="shared" si="1"/>
      </c>
      <c r="M11356">
        <f t="shared" si="2"/>
      </c>
    </row>
    <row r="11357">
      <c r="G11357" s="9">
        <f t="shared" si="0"/>
      </c>
      <c r="L11357">
        <f t="shared" si="1"/>
      </c>
      <c r="M11357">
        <f t="shared" si="2"/>
      </c>
    </row>
    <row r="11358">
      <c r="G11358" s="9">
        <f t="shared" si="0"/>
      </c>
      <c r="L11358">
        <f t="shared" si="1"/>
      </c>
      <c r="M11358">
        <f t="shared" si="2"/>
      </c>
    </row>
    <row r="11359">
      <c r="G11359" s="9">
        <f t="shared" si="0"/>
      </c>
      <c r="L11359">
        <f t="shared" si="1"/>
      </c>
      <c r="M11359">
        <f t="shared" si="2"/>
      </c>
    </row>
    <row r="11360">
      <c r="G11360" s="9">
        <f t="shared" si="0"/>
      </c>
      <c r="L11360">
        <f t="shared" si="1"/>
      </c>
      <c r="M11360">
        <f t="shared" si="2"/>
      </c>
    </row>
    <row r="11361">
      <c r="G11361" s="9">
        <f t="shared" si="0"/>
      </c>
      <c r="L11361">
        <f t="shared" si="1"/>
      </c>
      <c r="M11361">
        <f t="shared" si="2"/>
      </c>
    </row>
    <row r="11362">
      <c r="G11362" s="9">
        <f t="shared" si="0"/>
      </c>
      <c r="L11362">
        <f t="shared" si="1"/>
      </c>
      <c r="M11362">
        <f t="shared" si="2"/>
      </c>
    </row>
    <row r="11363">
      <c r="G11363" s="9">
        <f t="shared" si="0"/>
      </c>
      <c r="L11363">
        <f t="shared" si="1"/>
      </c>
      <c r="M11363">
        <f t="shared" si="2"/>
      </c>
    </row>
    <row r="11364">
      <c r="G11364" s="9">
        <f t="shared" si="0"/>
      </c>
      <c r="L11364">
        <f t="shared" si="1"/>
      </c>
      <c r="M11364">
        <f t="shared" si="2"/>
      </c>
    </row>
    <row r="11365">
      <c r="G11365" s="9">
        <f t="shared" si="0"/>
      </c>
      <c r="L11365">
        <f t="shared" si="1"/>
      </c>
      <c r="M11365">
        <f t="shared" si="2"/>
      </c>
    </row>
    <row r="11366">
      <c r="G11366" s="9">
        <f t="shared" si="0"/>
      </c>
      <c r="L11366">
        <f t="shared" si="1"/>
      </c>
      <c r="M11366">
        <f t="shared" si="2"/>
      </c>
    </row>
    <row r="11367">
      <c r="G11367" s="9">
        <f t="shared" si="0"/>
      </c>
      <c r="L11367">
        <f t="shared" si="1"/>
      </c>
      <c r="M11367">
        <f t="shared" si="2"/>
      </c>
    </row>
    <row r="11368">
      <c r="G11368" s="9">
        <f t="shared" si="0"/>
      </c>
      <c r="L11368">
        <f t="shared" si="1"/>
      </c>
      <c r="M11368">
        <f t="shared" si="2"/>
      </c>
    </row>
    <row r="11369">
      <c r="G11369" s="9">
        <f t="shared" si="0"/>
      </c>
      <c r="L11369">
        <f t="shared" si="1"/>
      </c>
      <c r="M11369">
        <f t="shared" si="2"/>
      </c>
    </row>
    <row r="11370">
      <c r="G11370" s="9">
        <f t="shared" si="0"/>
      </c>
      <c r="L11370">
        <f t="shared" si="1"/>
      </c>
      <c r="M11370">
        <f t="shared" si="2"/>
      </c>
    </row>
    <row r="11371">
      <c r="G11371" s="9">
        <f t="shared" si="0"/>
      </c>
      <c r="L11371">
        <f t="shared" si="1"/>
      </c>
      <c r="M11371">
        <f t="shared" si="2"/>
      </c>
    </row>
    <row r="11372">
      <c r="G11372" s="9">
        <f t="shared" si="0"/>
      </c>
      <c r="L11372">
        <f t="shared" si="1"/>
      </c>
      <c r="M11372">
        <f t="shared" si="2"/>
      </c>
    </row>
    <row r="11373">
      <c r="G11373" s="9">
        <f t="shared" si="0"/>
      </c>
      <c r="L11373">
        <f t="shared" si="1"/>
      </c>
      <c r="M11373">
        <f t="shared" si="2"/>
      </c>
    </row>
    <row r="11374">
      <c r="G11374" s="9">
        <f t="shared" si="0"/>
      </c>
      <c r="L11374">
        <f t="shared" si="1"/>
      </c>
      <c r="M11374">
        <f t="shared" si="2"/>
      </c>
    </row>
    <row r="11375">
      <c r="G11375" s="9">
        <f t="shared" si="0"/>
      </c>
      <c r="L11375">
        <f t="shared" si="1"/>
      </c>
      <c r="M11375">
        <f t="shared" si="2"/>
      </c>
    </row>
    <row r="11376">
      <c r="G11376" s="9">
        <f t="shared" si="0"/>
      </c>
      <c r="L11376">
        <f t="shared" si="1"/>
      </c>
      <c r="M11376">
        <f t="shared" si="2"/>
      </c>
    </row>
    <row r="11377">
      <c r="G11377" s="9">
        <f t="shared" si="0"/>
      </c>
      <c r="L11377">
        <f t="shared" si="1"/>
      </c>
      <c r="M11377">
        <f t="shared" si="2"/>
      </c>
    </row>
    <row r="11378">
      <c r="G11378" s="9">
        <f t="shared" si="0"/>
      </c>
      <c r="L11378">
        <f t="shared" si="1"/>
      </c>
      <c r="M11378">
        <f t="shared" si="2"/>
      </c>
    </row>
    <row r="11379">
      <c r="G11379" s="9">
        <f t="shared" si="0"/>
      </c>
      <c r="L11379">
        <f t="shared" si="1"/>
      </c>
      <c r="M11379">
        <f t="shared" si="2"/>
      </c>
    </row>
    <row r="11380">
      <c r="G11380" s="9">
        <f t="shared" si="0"/>
      </c>
      <c r="L11380">
        <f t="shared" si="1"/>
      </c>
      <c r="M11380">
        <f t="shared" si="2"/>
      </c>
    </row>
    <row r="11381">
      <c r="G11381" s="9">
        <f t="shared" si="0"/>
      </c>
      <c r="L11381">
        <f t="shared" si="1"/>
      </c>
      <c r="M11381">
        <f t="shared" si="2"/>
      </c>
    </row>
    <row r="11382">
      <c r="G11382" s="9">
        <f t="shared" si="0"/>
      </c>
      <c r="L11382">
        <f t="shared" si="1"/>
      </c>
      <c r="M11382">
        <f t="shared" si="2"/>
      </c>
    </row>
    <row r="11383">
      <c r="G11383" s="9">
        <f t="shared" si="0"/>
      </c>
      <c r="L11383">
        <f t="shared" si="1"/>
      </c>
      <c r="M11383">
        <f t="shared" si="2"/>
      </c>
    </row>
    <row r="11384">
      <c r="G11384" s="9">
        <f t="shared" si="0"/>
      </c>
      <c r="L11384">
        <f t="shared" si="1"/>
      </c>
      <c r="M11384">
        <f t="shared" si="2"/>
      </c>
    </row>
    <row r="11385">
      <c r="G11385" s="9">
        <f t="shared" si="0"/>
      </c>
      <c r="L11385">
        <f t="shared" si="1"/>
      </c>
      <c r="M11385">
        <f t="shared" si="2"/>
      </c>
    </row>
    <row r="11386">
      <c r="G11386" s="9">
        <f t="shared" si="0"/>
      </c>
      <c r="L11386">
        <f t="shared" si="1"/>
      </c>
      <c r="M11386">
        <f t="shared" si="2"/>
      </c>
    </row>
    <row r="11387">
      <c r="G11387" s="9">
        <f t="shared" si="0"/>
      </c>
      <c r="L11387">
        <f t="shared" si="1"/>
      </c>
      <c r="M11387">
        <f t="shared" si="2"/>
      </c>
    </row>
    <row r="11388">
      <c r="G11388" s="9">
        <f t="shared" si="0"/>
      </c>
      <c r="L11388">
        <f t="shared" si="1"/>
      </c>
      <c r="M11388">
        <f t="shared" si="2"/>
      </c>
    </row>
    <row r="11389">
      <c r="G11389" s="9">
        <f t="shared" si="0"/>
      </c>
      <c r="L11389">
        <f t="shared" si="1"/>
      </c>
      <c r="M11389">
        <f t="shared" si="2"/>
      </c>
    </row>
    <row r="11390">
      <c r="G11390" s="9">
        <f t="shared" si="0"/>
      </c>
      <c r="L11390">
        <f t="shared" si="1"/>
      </c>
      <c r="M11390">
        <f t="shared" si="2"/>
      </c>
    </row>
    <row r="11391">
      <c r="G11391" s="9">
        <f t="shared" si="0"/>
      </c>
      <c r="L11391">
        <f t="shared" si="1"/>
      </c>
      <c r="M11391">
        <f t="shared" si="2"/>
      </c>
    </row>
    <row r="11392">
      <c r="G11392" s="9">
        <f t="shared" si="0"/>
      </c>
      <c r="L11392">
        <f t="shared" si="1"/>
      </c>
      <c r="M11392">
        <f t="shared" si="2"/>
      </c>
    </row>
    <row r="11393">
      <c r="G11393" s="9">
        <f t="shared" si="0"/>
      </c>
      <c r="L11393">
        <f t="shared" si="1"/>
      </c>
      <c r="M11393">
        <f t="shared" si="2"/>
      </c>
    </row>
    <row r="11394">
      <c r="G11394" s="9">
        <f t="shared" si="0"/>
      </c>
      <c r="L11394">
        <f t="shared" si="1"/>
      </c>
      <c r="M11394">
        <f t="shared" si="2"/>
      </c>
    </row>
    <row r="11395">
      <c r="G11395" s="9">
        <f t="shared" si="0"/>
      </c>
      <c r="L11395">
        <f t="shared" si="1"/>
      </c>
      <c r="M11395">
        <f t="shared" si="2"/>
      </c>
    </row>
    <row r="11396">
      <c r="G11396" s="9">
        <f t="shared" si="0"/>
      </c>
      <c r="L11396">
        <f t="shared" si="1"/>
      </c>
      <c r="M11396">
        <f t="shared" si="2"/>
      </c>
    </row>
    <row r="11397">
      <c r="G11397" s="9">
        <f t="shared" si="0"/>
      </c>
      <c r="L11397">
        <f t="shared" si="1"/>
      </c>
      <c r="M11397">
        <f t="shared" si="2"/>
      </c>
    </row>
    <row r="11398">
      <c r="G11398" s="9">
        <f t="shared" si="0"/>
      </c>
      <c r="L11398">
        <f t="shared" si="1"/>
      </c>
      <c r="M11398">
        <f t="shared" si="2"/>
      </c>
    </row>
    <row r="11399">
      <c r="G11399" s="9">
        <f t="shared" si="0"/>
      </c>
      <c r="L11399">
        <f t="shared" si="1"/>
      </c>
      <c r="M11399">
        <f t="shared" si="2"/>
      </c>
    </row>
    <row r="11400">
      <c r="G11400" s="9">
        <f t="shared" si="0"/>
      </c>
      <c r="L11400">
        <f t="shared" si="1"/>
      </c>
      <c r="M11400">
        <f t="shared" si="2"/>
      </c>
    </row>
    <row r="11401">
      <c r="G11401" s="9">
        <f t="shared" si="0"/>
      </c>
      <c r="L11401">
        <f t="shared" si="1"/>
      </c>
      <c r="M11401">
        <f t="shared" si="2"/>
      </c>
    </row>
    <row r="11402">
      <c r="G11402" s="9">
        <f t="shared" si="0"/>
      </c>
      <c r="L11402">
        <f t="shared" si="1"/>
      </c>
      <c r="M11402">
        <f t="shared" si="2"/>
      </c>
    </row>
    <row r="11403">
      <c r="G11403" s="9">
        <f t="shared" si="0"/>
      </c>
      <c r="L11403">
        <f t="shared" si="1"/>
      </c>
      <c r="M11403">
        <f t="shared" si="2"/>
      </c>
    </row>
    <row r="11404">
      <c r="G11404" s="9">
        <f t="shared" si="0"/>
      </c>
      <c r="L11404">
        <f t="shared" si="1"/>
      </c>
      <c r="M11404">
        <f t="shared" si="2"/>
      </c>
    </row>
    <row r="11405">
      <c r="G11405" s="9">
        <f t="shared" si="0"/>
      </c>
      <c r="L11405">
        <f t="shared" si="1"/>
      </c>
      <c r="M11405">
        <f t="shared" si="2"/>
      </c>
    </row>
    <row r="11406">
      <c r="G11406" s="9">
        <f t="shared" si="0"/>
      </c>
      <c r="L11406">
        <f t="shared" si="1"/>
      </c>
      <c r="M11406">
        <f t="shared" si="2"/>
      </c>
    </row>
    <row r="11407">
      <c r="G11407" s="9">
        <f t="shared" si="0"/>
      </c>
      <c r="L11407">
        <f t="shared" si="1"/>
      </c>
      <c r="M11407">
        <f t="shared" si="2"/>
      </c>
    </row>
    <row r="11408">
      <c r="G11408" s="9">
        <f t="shared" si="0"/>
      </c>
      <c r="L11408">
        <f t="shared" si="1"/>
      </c>
      <c r="M11408">
        <f t="shared" si="2"/>
      </c>
    </row>
    <row r="11409">
      <c r="G11409" s="9">
        <f t="shared" si="0"/>
      </c>
      <c r="L11409">
        <f t="shared" si="1"/>
      </c>
      <c r="M11409">
        <f t="shared" si="2"/>
      </c>
    </row>
    <row r="11410">
      <c r="G11410" s="9">
        <f t="shared" si="0"/>
      </c>
      <c r="L11410">
        <f t="shared" si="1"/>
      </c>
      <c r="M11410">
        <f t="shared" si="2"/>
      </c>
    </row>
    <row r="11411">
      <c r="G11411" s="9">
        <f t="shared" si="0"/>
      </c>
      <c r="L11411">
        <f t="shared" si="1"/>
      </c>
      <c r="M11411">
        <f t="shared" si="2"/>
      </c>
    </row>
    <row r="11412">
      <c r="G11412" s="9">
        <f t="shared" si="0"/>
      </c>
      <c r="L11412">
        <f t="shared" si="1"/>
      </c>
      <c r="M11412">
        <f t="shared" si="2"/>
      </c>
    </row>
    <row r="11413">
      <c r="G11413" s="9">
        <f t="shared" si="0"/>
      </c>
      <c r="L11413">
        <f t="shared" si="1"/>
      </c>
      <c r="M11413">
        <f t="shared" si="2"/>
      </c>
    </row>
    <row r="11414">
      <c r="G11414" s="9">
        <f t="shared" si="0"/>
      </c>
      <c r="L11414">
        <f t="shared" si="1"/>
      </c>
      <c r="M11414">
        <f t="shared" si="2"/>
      </c>
    </row>
    <row r="11415">
      <c r="G11415" s="9">
        <f t="shared" si="0"/>
      </c>
      <c r="L11415">
        <f t="shared" si="1"/>
      </c>
      <c r="M11415">
        <f t="shared" si="2"/>
      </c>
    </row>
    <row r="11416">
      <c r="G11416" s="9">
        <f t="shared" si="0"/>
      </c>
      <c r="L11416">
        <f t="shared" si="1"/>
      </c>
      <c r="M11416">
        <f t="shared" si="2"/>
      </c>
    </row>
    <row r="11417">
      <c r="G11417" s="9">
        <f t="shared" si="0"/>
      </c>
      <c r="L11417">
        <f t="shared" si="1"/>
      </c>
      <c r="M11417">
        <f t="shared" si="2"/>
      </c>
    </row>
    <row r="11418">
      <c r="G11418" s="9">
        <f t="shared" si="0"/>
      </c>
      <c r="L11418">
        <f t="shared" si="1"/>
      </c>
      <c r="M11418">
        <f t="shared" si="2"/>
      </c>
    </row>
    <row r="11419">
      <c r="G11419" s="9">
        <f t="shared" si="0"/>
      </c>
      <c r="L11419">
        <f t="shared" si="1"/>
      </c>
      <c r="M11419">
        <f t="shared" si="2"/>
      </c>
    </row>
    <row r="11420">
      <c r="G11420" s="9">
        <f t="shared" si="0"/>
      </c>
      <c r="L11420">
        <f t="shared" si="1"/>
      </c>
      <c r="M11420">
        <f t="shared" si="2"/>
      </c>
    </row>
    <row r="11421">
      <c r="G11421" s="9">
        <f t="shared" si="0"/>
      </c>
      <c r="L11421">
        <f t="shared" si="1"/>
      </c>
      <c r="M11421">
        <f t="shared" si="2"/>
      </c>
    </row>
    <row r="11422">
      <c r="G11422" s="9">
        <f t="shared" si="0"/>
      </c>
      <c r="L11422">
        <f t="shared" si="1"/>
      </c>
      <c r="M11422">
        <f t="shared" si="2"/>
      </c>
    </row>
    <row r="11423">
      <c r="G11423" s="9">
        <f t="shared" si="0"/>
      </c>
      <c r="L11423">
        <f t="shared" si="1"/>
      </c>
      <c r="M11423">
        <f t="shared" si="2"/>
      </c>
    </row>
    <row r="11424">
      <c r="G11424" s="9">
        <f t="shared" si="0"/>
      </c>
      <c r="L11424">
        <f t="shared" si="1"/>
      </c>
      <c r="M11424">
        <f t="shared" si="2"/>
      </c>
    </row>
    <row r="11425">
      <c r="G11425" s="9">
        <f t="shared" si="0"/>
      </c>
      <c r="L11425">
        <f t="shared" si="1"/>
      </c>
      <c r="M11425">
        <f t="shared" si="2"/>
      </c>
    </row>
    <row r="11426">
      <c r="G11426" s="9">
        <f t="shared" si="0"/>
      </c>
      <c r="L11426">
        <f t="shared" si="1"/>
      </c>
      <c r="M11426">
        <f t="shared" si="2"/>
      </c>
    </row>
    <row r="11427">
      <c r="G11427" s="9">
        <f t="shared" si="0"/>
      </c>
      <c r="L11427">
        <f t="shared" si="1"/>
      </c>
      <c r="M11427">
        <f t="shared" si="2"/>
      </c>
    </row>
    <row r="11428">
      <c r="G11428" s="9">
        <f t="shared" si="0"/>
      </c>
      <c r="L11428">
        <f t="shared" si="1"/>
      </c>
      <c r="M11428">
        <f t="shared" si="2"/>
      </c>
    </row>
    <row r="11429">
      <c r="G11429" s="9">
        <f t="shared" si="0"/>
      </c>
      <c r="L11429">
        <f t="shared" si="1"/>
      </c>
      <c r="M11429">
        <f t="shared" si="2"/>
      </c>
    </row>
    <row r="11430">
      <c r="G11430" s="9">
        <f t="shared" si="0"/>
      </c>
      <c r="L11430">
        <f t="shared" si="1"/>
      </c>
      <c r="M11430">
        <f t="shared" si="2"/>
      </c>
    </row>
    <row r="11431">
      <c r="G11431" s="9">
        <f t="shared" si="0"/>
      </c>
      <c r="L11431">
        <f t="shared" si="1"/>
      </c>
      <c r="M11431">
        <f t="shared" si="2"/>
      </c>
    </row>
    <row r="11432">
      <c r="G11432" s="9">
        <f t="shared" si="0"/>
      </c>
      <c r="L11432">
        <f t="shared" si="1"/>
      </c>
      <c r="M11432">
        <f t="shared" si="2"/>
      </c>
    </row>
    <row r="11433">
      <c r="G11433" s="9">
        <f t="shared" si="0"/>
      </c>
      <c r="L11433">
        <f t="shared" si="1"/>
      </c>
      <c r="M11433">
        <f t="shared" si="2"/>
      </c>
    </row>
    <row r="11434">
      <c r="G11434" s="9">
        <f t="shared" si="0"/>
      </c>
      <c r="L11434">
        <f t="shared" si="1"/>
      </c>
      <c r="M11434">
        <f t="shared" si="2"/>
      </c>
    </row>
    <row r="11435">
      <c r="G11435" s="9">
        <f t="shared" si="0"/>
      </c>
      <c r="L11435">
        <f t="shared" si="1"/>
      </c>
      <c r="M11435">
        <f t="shared" si="2"/>
      </c>
    </row>
    <row r="11436">
      <c r="G11436" s="9">
        <f t="shared" si="0"/>
      </c>
      <c r="L11436">
        <f t="shared" si="1"/>
      </c>
      <c r="M11436">
        <f t="shared" si="2"/>
      </c>
    </row>
    <row r="11437">
      <c r="G11437" s="9">
        <f t="shared" si="0"/>
      </c>
      <c r="L11437">
        <f t="shared" si="1"/>
      </c>
      <c r="M11437">
        <f t="shared" si="2"/>
      </c>
    </row>
    <row r="11438">
      <c r="G11438" s="9">
        <f t="shared" si="0"/>
      </c>
      <c r="L11438">
        <f t="shared" si="1"/>
      </c>
      <c r="M11438">
        <f t="shared" si="2"/>
      </c>
    </row>
    <row r="11439">
      <c r="G11439" s="9">
        <f t="shared" si="0"/>
      </c>
      <c r="L11439">
        <f t="shared" si="1"/>
      </c>
      <c r="M11439">
        <f t="shared" si="2"/>
      </c>
    </row>
    <row r="11440">
      <c r="G11440" s="9">
        <f t="shared" si="0"/>
      </c>
      <c r="L11440">
        <f t="shared" si="1"/>
      </c>
      <c r="M11440">
        <f t="shared" si="2"/>
      </c>
    </row>
    <row r="11441">
      <c r="G11441" s="9">
        <f t="shared" si="0"/>
      </c>
      <c r="L11441">
        <f t="shared" si="1"/>
      </c>
      <c r="M11441">
        <f t="shared" si="2"/>
      </c>
    </row>
    <row r="11442">
      <c r="G11442" s="9">
        <f t="shared" si="0"/>
      </c>
      <c r="L11442">
        <f t="shared" si="1"/>
      </c>
      <c r="M11442">
        <f t="shared" si="2"/>
      </c>
    </row>
    <row r="11443">
      <c r="G11443" s="9">
        <f t="shared" si="0"/>
      </c>
      <c r="L11443">
        <f t="shared" si="1"/>
      </c>
      <c r="M11443">
        <f t="shared" si="2"/>
      </c>
    </row>
    <row r="11444">
      <c r="G11444" s="9">
        <f t="shared" si="0"/>
      </c>
      <c r="L11444">
        <f t="shared" si="1"/>
      </c>
      <c r="M11444">
        <f t="shared" si="2"/>
      </c>
    </row>
    <row r="11445">
      <c r="G11445" s="9">
        <f t="shared" si="0"/>
      </c>
      <c r="L11445">
        <f t="shared" si="1"/>
      </c>
      <c r="M11445">
        <f t="shared" si="2"/>
      </c>
    </row>
    <row r="11446">
      <c r="G11446" s="9">
        <f t="shared" si="0"/>
      </c>
      <c r="L11446">
        <f t="shared" si="1"/>
      </c>
      <c r="M11446">
        <f t="shared" si="2"/>
      </c>
    </row>
    <row r="11447">
      <c r="G11447" s="9">
        <f t="shared" si="0"/>
      </c>
      <c r="L11447">
        <f t="shared" si="1"/>
      </c>
      <c r="M11447">
        <f t="shared" si="2"/>
      </c>
    </row>
    <row r="11448">
      <c r="G11448" s="9">
        <f t="shared" si="0"/>
      </c>
      <c r="L11448">
        <f t="shared" si="1"/>
      </c>
      <c r="M11448">
        <f t="shared" si="2"/>
      </c>
    </row>
    <row r="11449">
      <c r="G11449" s="9">
        <f t="shared" si="0"/>
      </c>
      <c r="L11449">
        <f t="shared" si="1"/>
      </c>
      <c r="M11449">
        <f t="shared" si="2"/>
      </c>
    </row>
    <row r="11450">
      <c r="G11450" s="9">
        <f t="shared" si="0"/>
      </c>
      <c r="L11450">
        <f t="shared" si="1"/>
      </c>
      <c r="M11450">
        <f t="shared" si="2"/>
      </c>
    </row>
    <row r="11451">
      <c r="G11451" s="9">
        <f t="shared" si="0"/>
      </c>
      <c r="L11451">
        <f t="shared" si="1"/>
      </c>
      <c r="M11451">
        <f t="shared" si="2"/>
      </c>
    </row>
    <row r="11452">
      <c r="G11452" s="9">
        <f t="shared" si="0"/>
      </c>
      <c r="L11452">
        <f t="shared" si="1"/>
      </c>
      <c r="M11452">
        <f t="shared" si="2"/>
      </c>
    </row>
    <row r="11453">
      <c r="G11453" s="9">
        <f t="shared" si="0"/>
      </c>
      <c r="L11453">
        <f t="shared" si="1"/>
      </c>
      <c r="M11453">
        <f t="shared" si="2"/>
      </c>
    </row>
    <row r="11454">
      <c r="G11454" s="9">
        <f t="shared" si="0"/>
      </c>
      <c r="L11454">
        <f t="shared" si="1"/>
      </c>
      <c r="M11454">
        <f t="shared" si="2"/>
      </c>
    </row>
    <row r="11455">
      <c r="G11455" s="9">
        <f t="shared" si="0"/>
      </c>
      <c r="L11455">
        <f t="shared" si="1"/>
      </c>
      <c r="M11455">
        <f t="shared" si="2"/>
      </c>
    </row>
    <row r="11456">
      <c r="G11456" s="9">
        <f t="shared" si="0"/>
      </c>
      <c r="L11456">
        <f t="shared" si="1"/>
      </c>
      <c r="M11456">
        <f t="shared" si="2"/>
      </c>
    </row>
    <row r="11457">
      <c r="G11457" s="9">
        <f t="shared" si="0"/>
      </c>
      <c r="L11457">
        <f t="shared" si="1"/>
      </c>
      <c r="M11457">
        <f t="shared" si="2"/>
      </c>
    </row>
    <row r="11458">
      <c r="G11458" s="9">
        <f t="shared" si="0"/>
      </c>
      <c r="L11458">
        <f t="shared" si="1"/>
      </c>
      <c r="M11458">
        <f t="shared" si="2"/>
      </c>
    </row>
    <row r="11459">
      <c r="G11459" s="9">
        <f t="shared" si="0"/>
      </c>
      <c r="L11459">
        <f t="shared" si="1"/>
      </c>
      <c r="M11459">
        <f t="shared" si="2"/>
      </c>
    </row>
    <row r="11460">
      <c r="G11460" s="9">
        <f t="shared" si="0"/>
      </c>
      <c r="L11460">
        <f t="shared" si="1"/>
      </c>
      <c r="M11460">
        <f t="shared" si="2"/>
      </c>
    </row>
    <row r="11461">
      <c r="G11461" s="9">
        <f t="shared" si="0"/>
      </c>
      <c r="L11461">
        <f t="shared" si="1"/>
      </c>
      <c r="M11461">
        <f t="shared" si="2"/>
      </c>
    </row>
    <row r="11462">
      <c r="G11462" s="9">
        <f t="shared" si="0"/>
      </c>
      <c r="L11462">
        <f t="shared" si="1"/>
      </c>
      <c r="M11462">
        <f t="shared" si="2"/>
      </c>
    </row>
    <row r="11463">
      <c r="G11463" s="9">
        <f t="shared" si="0"/>
      </c>
      <c r="L11463">
        <f t="shared" si="1"/>
      </c>
      <c r="M11463">
        <f t="shared" si="2"/>
      </c>
    </row>
    <row r="11464">
      <c r="G11464" s="9">
        <f t="shared" si="0"/>
      </c>
      <c r="L11464">
        <f t="shared" si="1"/>
      </c>
      <c r="M11464">
        <f t="shared" si="2"/>
      </c>
    </row>
    <row r="11465">
      <c r="G11465" s="9">
        <f t="shared" si="0"/>
      </c>
      <c r="L11465">
        <f t="shared" si="1"/>
      </c>
      <c r="M11465">
        <f t="shared" si="2"/>
      </c>
    </row>
    <row r="11466">
      <c r="G11466" s="9">
        <f t="shared" si="0"/>
      </c>
      <c r="L11466">
        <f t="shared" si="1"/>
      </c>
      <c r="M11466">
        <f t="shared" si="2"/>
      </c>
    </row>
    <row r="11467">
      <c r="G11467" s="9">
        <f t="shared" si="0"/>
      </c>
      <c r="L11467">
        <f t="shared" si="1"/>
      </c>
      <c r="M11467">
        <f t="shared" si="2"/>
      </c>
    </row>
    <row r="11468">
      <c r="G11468" s="9">
        <f t="shared" si="0"/>
      </c>
      <c r="L11468">
        <f t="shared" si="1"/>
      </c>
      <c r="M11468">
        <f t="shared" si="2"/>
      </c>
    </row>
    <row r="11469">
      <c r="G11469" s="9">
        <f t="shared" si="0"/>
      </c>
      <c r="L11469">
        <f t="shared" si="1"/>
      </c>
      <c r="M11469">
        <f t="shared" si="2"/>
      </c>
    </row>
    <row r="11470">
      <c r="G11470" s="9">
        <f t="shared" si="0"/>
      </c>
      <c r="L11470">
        <f t="shared" si="1"/>
      </c>
      <c r="M11470">
        <f t="shared" si="2"/>
      </c>
    </row>
    <row r="11471">
      <c r="G11471" s="9">
        <f t="shared" si="0"/>
      </c>
      <c r="L11471">
        <f t="shared" si="1"/>
      </c>
      <c r="M11471">
        <f t="shared" si="2"/>
      </c>
    </row>
    <row r="11472">
      <c r="G11472" s="9">
        <f t="shared" si="0"/>
      </c>
      <c r="L11472">
        <f t="shared" si="1"/>
      </c>
      <c r="M11472">
        <f t="shared" si="2"/>
      </c>
    </row>
    <row r="11473">
      <c r="G11473" s="9">
        <f t="shared" si="0"/>
      </c>
      <c r="L11473">
        <f t="shared" si="1"/>
      </c>
      <c r="M11473">
        <f t="shared" si="2"/>
      </c>
    </row>
    <row r="11474">
      <c r="G11474" s="9">
        <f t="shared" si="0"/>
      </c>
      <c r="L11474">
        <f t="shared" si="1"/>
      </c>
      <c r="M11474">
        <f t="shared" si="2"/>
      </c>
    </row>
    <row r="11475">
      <c r="G11475" s="9">
        <f t="shared" si="0"/>
      </c>
      <c r="L11475">
        <f t="shared" si="1"/>
      </c>
      <c r="M11475">
        <f t="shared" si="2"/>
      </c>
    </row>
    <row r="11476">
      <c r="G11476" s="9">
        <f t="shared" si="0"/>
      </c>
      <c r="L11476">
        <f t="shared" si="1"/>
      </c>
      <c r="M11476">
        <f t="shared" si="2"/>
      </c>
    </row>
    <row r="11477">
      <c r="G11477" s="9">
        <f t="shared" si="0"/>
      </c>
      <c r="L11477">
        <f t="shared" si="1"/>
      </c>
      <c r="M11477">
        <f t="shared" si="2"/>
      </c>
    </row>
    <row r="11478">
      <c r="G11478" s="9">
        <f t="shared" si="0"/>
      </c>
      <c r="L11478">
        <f t="shared" si="1"/>
      </c>
      <c r="M11478">
        <f t="shared" si="2"/>
      </c>
    </row>
    <row r="11479">
      <c r="G11479" s="9">
        <f t="shared" si="0"/>
      </c>
      <c r="L11479">
        <f t="shared" si="1"/>
      </c>
      <c r="M11479">
        <f t="shared" si="2"/>
      </c>
    </row>
    <row r="11480">
      <c r="G11480" s="9">
        <f t="shared" si="0"/>
      </c>
      <c r="L11480">
        <f t="shared" si="1"/>
      </c>
      <c r="M11480">
        <f t="shared" si="2"/>
      </c>
    </row>
    <row r="11481">
      <c r="G11481" s="9">
        <f t="shared" si="0"/>
      </c>
      <c r="L11481">
        <f t="shared" si="1"/>
      </c>
      <c r="M11481">
        <f t="shared" si="2"/>
      </c>
    </row>
    <row r="11482">
      <c r="G11482" s="9">
        <f t="shared" si="0"/>
      </c>
      <c r="L11482">
        <f t="shared" si="1"/>
      </c>
      <c r="M11482">
        <f t="shared" si="2"/>
      </c>
    </row>
    <row r="11483">
      <c r="G11483" s="9">
        <f t="shared" si="0"/>
      </c>
      <c r="L11483">
        <f t="shared" si="1"/>
      </c>
      <c r="M11483">
        <f t="shared" si="2"/>
      </c>
    </row>
    <row r="11484">
      <c r="G11484" s="9">
        <f t="shared" si="0"/>
      </c>
      <c r="L11484">
        <f t="shared" si="1"/>
      </c>
      <c r="M11484">
        <f t="shared" si="2"/>
      </c>
    </row>
    <row r="11485">
      <c r="G11485" s="9">
        <f t="shared" si="0"/>
      </c>
      <c r="L11485">
        <f t="shared" si="1"/>
      </c>
      <c r="M11485">
        <f t="shared" si="2"/>
      </c>
    </row>
    <row r="11486">
      <c r="G11486" s="9">
        <f t="shared" si="0"/>
      </c>
      <c r="L11486">
        <f t="shared" si="1"/>
      </c>
      <c r="M11486">
        <f t="shared" si="2"/>
      </c>
    </row>
    <row r="11487">
      <c r="G11487" s="9">
        <f t="shared" si="0"/>
      </c>
      <c r="L11487">
        <f t="shared" si="1"/>
      </c>
      <c r="M11487">
        <f t="shared" si="2"/>
      </c>
    </row>
    <row r="11488">
      <c r="G11488" s="9">
        <f t="shared" si="0"/>
      </c>
      <c r="L11488">
        <f t="shared" si="1"/>
      </c>
      <c r="M11488">
        <f t="shared" si="2"/>
      </c>
    </row>
    <row r="11489">
      <c r="G11489" s="9">
        <f t="shared" si="0"/>
      </c>
      <c r="L11489">
        <f t="shared" si="1"/>
      </c>
      <c r="M11489">
        <f t="shared" si="2"/>
      </c>
    </row>
    <row r="11490">
      <c r="G11490" s="9">
        <f t="shared" si="0"/>
      </c>
      <c r="L11490">
        <f t="shared" si="1"/>
      </c>
      <c r="M11490">
        <f t="shared" si="2"/>
      </c>
    </row>
    <row r="11491">
      <c r="G11491" s="9">
        <f t="shared" si="0"/>
      </c>
      <c r="L11491">
        <f t="shared" si="1"/>
      </c>
      <c r="M11491">
        <f t="shared" si="2"/>
      </c>
    </row>
    <row r="11492">
      <c r="G11492" s="9">
        <f t="shared" si="0"/>
      </c>
      <c r="L11492">
        <f t="shared" si="1"/>
      </c>
      <c r="M11492">
        <f t="shared" si="2"/>
      </c>
    </row>
    <row r="11493">
      <c r="G11493" s="9">
        <f t="shared" si="0"/>
      </c>
      <c r="L11493">
        <f t="shared" si="1"/>
      </c>
      <c r="M11493">
        <f t="shared" si="2"/>
      </c>
    </row>
    <row r="11494">
      <c r="G11494" s="9">
        <f t="shared" si="0"/>
      </c>
      <c r="L11494">
        <f t="shared" si="1"/>
      </c>
      <c r="M11494">
        <f t="shared" si="2"/>
      </c>
    </row>
    <row r="11495">
      <c r="G11495" s="9">
        <f t="shared" si="0"/>
      </c>
      <c r="L11495">
        <f t="shared" si="1"/>
      </c>
      <c r="M11495">
        <f t="shared" si="2"/>
      </c>
    </row>
    <row r="11496">
      <c r="G11496" s="9">
        <f t="shared" si="0"/>
      </c>
      <c r="L11496">
        <f t="shared" si="1"/>
      </c>
      <c r="M11496">
        <f t="shared" si="2"/>
      </c>
    </row>
    <row r="11497">
      <c r="G11497" s="9">
        <f t="shared" si="0"/>
      </c>
      <c r="L11497">
        <f t="shared" si="1"/>
      </c>
      <c r="M11497">
        <f t="shared" si="2"/>
      </c>
    </row>
    <row r="11498">
      <c r="G11498" s="9">
        <f t="shared" si="0"/>
      </c>
      <c r="L11498">
        <f t="shared" si="1"/>
      </c>
      <c r="M11498">
        <f t="shared" si="2"/>
      </c>
    </row>
    <row r="11499">
      <c r="G11499" s="9">
        <f t="shared" si="0"/>
      </c>
      <c r="L11499">
        <f t="shared" si="1"/>
      </c>
      <c r="M11499">
        <f t="shared" si="2"/>
      </c>
    </row>
    <row r="11500">
      <c r="G11500" s="9">
        <f t="shared" si="0"/>
      </c>
      <c r="L11500">
        <f t="shared" si="1"/>
      </c>
      <c r="M11500">
        <f t="shared" si="2"/>
      </c>
    </row>
    <row r="11501">
      <c r="G11501" s="9">
        <f t="shared" si="0"/>
      </c>
      <c r="L11501">
        <f t="shared" si="1"/>
      </c>
      <c r="M11501">
        <f t="shared" si="2"/>
      </c>
    </row>
    <row r="11502">
      <c r="G11502" s="9">
        <f t="shared" si="0"/>
      </c>
      <c r="L11502">
        <f t="shared" si="1"/>
      </c>
      <c r="M11502">
        <f t="shared" si="2"/>
      </c>
    </row>
    <row r="11503">
      <c r="G11503" s="9">
        <f t="shared" si="0"/>
      </c>
      <c r="L11503">
        <f t="shared" si="1"/>
      </c>
      <c r="M11503">
        <f t="shared" si="2"/>
      </c>
    </row>
    <row r="11504">
      <c r="G11504" s="9">
        <f t="shared" si="0"/>
      </c>
      <c r="L11504">
        <f t="shared" si="1"/>
      </c>
      <c r="M11504">
        <f t="shared" si="2"/>
      </c>
    </row>
    <row r="11505">
      <c r="G11505" s="9">
        <f t="shared" si="0"/>
      </c>
      <c r="L11505">
        <f t="shared" si="1"/>
      </c>
      <c r="M11505">
        <f t="shared" si="2"/>
      </c>
    </row>
    <row r="11506">
      <c r="G11506" s="9">
        <f t="shared" si="0"/>
      </c>
      <c r="L11506">
        <f t="shared" si="1"/>
      </c>
      <c r="M11506">
        <f t="shared" si="2"/>
      </c>
    </row>
    <row r="11507">
      <c r="G11507" s="9">
        <f t="shared" si="0"/>
      </c>
      <c r="L11507">
        <f t="shared" si="1"/>
      </c>
      <c r="M11507">
        <f t="shared" si="2"/>
      </c>
    </row>
    <row r="11508">
      <c r="G11508" s="9">
        <f t="shared" si="0"/>
      </c>
      <c r="L11508">
        <f t="shared" si="1"/>
      </c>
      <c r="M11508">
        <f t="shared" si="2"/>
      </c>
    </row>
    <row r="11509">
      <c r="G11509" s="9">
        <f t="shared" si="0"/>
      </c>
      <c r="L11509">
        <f t="shared" si="1"/>
      </c>
      <c r="M11509">
        <f t="shared" si="2"/>
      </c>
    </row>
    <row r="11510">
      <c r="G11510" s="9">
        <f t="shared" si="0"/>
      </c>
      <c r="L11510">
        <f t="shared" si="1"/>
      </c>
      <c r="M11510">
        <f t="shared" si="2"/>
      </c>
    </row>
    <row r="11511">
      <c r="G11511" s="9">
        <f t="shared" si="0"/>
      </c>
      <c r="L11511">
        <f t="shared" si="1"/>
      </c>
      <c r="M11511">
        <f t="shared" si="2"/>
      </c>
    </row>
    <row r="11512">
      <c r="G11512" s="9">
        <f t="shared" si="0"/>
      </c>
      <c r="L11512">
        <f t="shared" si="1"/>
      </c>
      <c r="M11512">
        <f t="shared" si="2"/>
      </c>
    </row>
    <row r="11513">
      <c r="G11513" s="9">
        <f t="shared" si="0"/>
      </c>
      <c r="L11513">
        <f t="shared" si="1"/>
      </c>
      <c r="M11513">
        <f t="shared" si="2"/>
      </c>
    </row>
    <row r="11514">
      <c r="G11514" s="9">
        <f t="shared" si="0"/>
      </c>
      <c r="L11514">
        <f t="shared" si="1"/>
      </c>
      <c r="M11514">
        <f t="shared" si="2"/>
      </c>
    </row>
    <row r="11515">
      <c r="G11515" s="9">
        <f t="shared" si="0"/>
      </c>
      <c r="L11515">
        <f t="shared" si="1"/>
      </c>
      <c r="M11515">
        <f t="shared" si="2"/>
      </c>
    </row>
    <row r="11516">
      <c r="G11516" s="9">
        <f t="shared" si="0"/>
      </c>
      <c r="L11516">
        <f t="shared" si="1"/>
      </c>
      <c r="M11516">
        <f t="shared" si="2"/>
      </c>
    </row>
    <row r="11517">
      <c r="G11517" s="9">
        <f t="shared" si="0"/>
      </c>
      <c r="L11517">
        <f t="shared" si="1"/>
      </c>
      <c r="M11517">
        <f t="shared" si="2"/>
      </c>
    </row>
    <row r="11518">
      <c r="G11518" s="9">
        <f t="shared" si="0"/>
      </c>
      <c r="L11518">
        <f t="shared" si="1"/>
      </c>
      <c r="M11518">
        <f t="shared" si="2"/>
      </c>
    </row>
    <row r="11519">
      <c r="G11519" s="9">
        <f t="shared" si="0"/>
      </c>
      <c r="L11519">
        <f t="shared" si="1"/>
      </c>
      <c r="M11519">
        <f t="shared" si="2"/>
      </c>
    </row>
    <row r="11520">
      <c r="G11520" s="9">
        <f t="shared" si="0"/>
      </c>
      <c r="L11520">
        <f t="shared" si="1"/>
      </c>
      <c r="M11520">
        <f t="shared" si="2"/>
      </c>
    </row>
    <row r="11521">
      <c r="G11521" s="9">
        <f t="shared" si="0"/>
      </c>
      <c r="L11521">
        <f t="shared" si="1"/>
      </c>
      <c r="M11521">
        <f t="shared" si="2"/>
      </c>
    </row>
    <row r="11522">
      <c r="G11522" s="9">
        <f t="shared" si="0"/>
      </c>
      <c r="L11522">
        <f t="shared" si="1"/>
      </c>
      <c r="M11522">
        <f t="shared" si="2"/>
      </c>
    </row>
    <row r="11523">
      <c r="G11523" s="9">
        <f t="shared" si="0"/>
      </c>
      <c r="L11523">
        <f t="shared" si="1"/>
      </c>
      <c r="M11523">
        <f t="shared" si="2"/>
      </c>
    </row>
    <row r="11524">
      <c r="G11524" s="9">
        <f t="shared" si="0"/>
      </c>
      <c r="L11524">
        <f t="shared" si="1"/>
      </c>
      <c r="M11524">
        <f t="shared" si="2"/>
      </c>
    </row>
    <row r="11525">
      <c r="G11525" s="9">
        <f t="shared" si="0"/>
      </c>
      <c r="L11525">
        <f t="shared" si="1"/>
      </c>
      <c r="M11525">
        <f t="shared" si="2"/>
      </c>
    </row>
    <row r="11526">
      <c r="G11526" s="9">
        <f t="shared" si="0"/>
      </c>
      <c r="L11526">
        <f t="shared" si="1"/>
      </c>
      <c r="M11526">
        <f t="shared" si="2"/>
      </c>
    </row>
    <row r="11527">
      <c r="G11527" s="9">
        <f t="shared" si="0"/>
      </c>
      <c r="L11527">
        <f t="shared" si="1"/>
      </c>
      <c r="M11527">
        <f t="shared" si="2"/>
      </c>
    </row>
    <row r="11528">
      <c r="G11528" s="9">
        <f t="shared" si="0"/>
      </c>
      <c r="L11528">
        <f t="shared" si="1"/>
      </c>
      <c r="M11528">
        <f t="shared" si="2"/>
      </c>
    </row>
    <row r="11529">
      <c r="G11529" s="9">
        <f t="shared" si="0"/>
      </c>
      <c r="L11529">
        <f t="shared" si="1"/>
      </c>
      <c r="M11529">
        <f t="shared" si="2"/>
      </c>
    </row>
    <row r="11530">
      <c r="G11530" s="9">
        <f t="shared" si="0"/>
      </c>
      <c r="L11530">
        <f t="shared" si="1"/>
      </c>
      <c r="M11530">
        <f t="shared" si="2"/>
      </c>
    </row>
    <row r="11531">
      <c r="G11531" s="9">
        <f t="shared" si="0"/>
      </c>
      <c r="L11531">
        <f t="shared" si="1"/>
      </c>
      <c r="M11531">
        <f t="shared" si="2"/>
      </c>
    </row>
    <row r="11532">
      <c r="G11532" s="9">
        <f t="shared" si="0"/>
      </c>
      <c r="L11532">
        <f t="shared" si="1"/>
      </c>
      <c r="M11532">
        <f t="shared" si="2"/>
      </c>
    </row>
    <row r="11533">
      <c r="G11533" s="9">
        <f t="shared" si="0"/>
      </c>
      <c r="L11533">
        <f t="shared" si="1"/>
      </c>
      <c r="M11533">
        <f t="shared" si="2"/>
      </c>
    </row>
    <row r="11534">
      <c r="G11534" s="9">
        <f t="shared" si="0"/>
      </c>
      <c r="L11534">
        <f t="shared" si="1"/>
      </c>
      <c r="M11534">
        <f t="shared" si="2"/>
      </c>
    </row>
    <row r="11535">
      <c r="G11535" s="9">
        <f t="shared" si="0"/>
      </c>
      <c r="L11535">
        <f t="shared" si="1"/>
      </c>
      <c r="M11535">
        <f t="shared" si="2"/>
      </c>
    </row>
    <row r="11536">
      <c r="G11536" s="9">
        <f t="shared" si="0"/>
      </c>
      <c r="L11536">
        <f t="shared" si="1"/>
      </c>
      <c r="M11536">
        <f t="shared" si="2"/>
      </c>
    </row>
    <row r="11537">
      <c r="G11537" s="9">
        <f t="shared" si="0"/>
      </c>
      <c r="L11537">
        <f t="shared" si="1"/>
      </c>
      <c r="M11537">
        <f t="shared" si="2"/>
      </c>
    </row>
    <row r="11538">
      <c r="G11538" s="9">
        <f t="shared" si="0"/>
      </c>
      <c r="L11538">
        <f t="shared" si="1"/>
      </c>
      <c r="M11538">
        <f t="shared" si="2"/>
      </c>
    </row>
    <row r="11539">
      <c r="G11539" s="9">
        <f t="shared" si="0"/>
      </c>
      <c r="L11539">
        <f t="shared" si="1"/>
      </c>
      <c r="M11539">
        <f t="shared" si="2"/>
      </c>
    </row>
    <row r="11540">
      <c r="G11540" s="9">
        <f t="shared" si="0"/>
      </c>
      <c r="L11540">
        <f t="shared" si="1"/>
      </c>
      <c r="M11540">
        <f t="shared" si="2"/>
      </c>
    </row>
    <row r="11541">
      <c r="G11541" s="9">
        <f t="shared" si="0"/>
      </c>
      <c r="L11541">
        <f t="shared" si="1"/>
      </c>
      <c r="M11541">
        <f t="shared" si="2"/>
      </c>
    </row>
    <row r="11542">
      <c r="G11542" s="9">
        <f t="shared" si="0"/>
      </c>
      <c r="L11542">
        <f t="shared" si="1"/>
      </c>
      <c r="M11542">
        <f t="shared" si="2"/>
      </c>
    </row>
    <row r="11543">
      <c r="G11543" s="9">
        <f t="shared" si="0"/>
      </c>
      <c r="L11543">
        <f t="shared" si="1"/>
      </c>
      <c r="M11543">
        <f t="shared" si="2"/>
      </c>
    </row>
    <row r="11544">
      <c r="G11544" s="9">
        <f t="shared" si="0"/>
      </c>
      <c r="L11544">
        <f t="shared" si="1"/>
      </c>
      <c r="M11544">
        <f t="shared" si="2"/>
      </c>
    </row>
    <row r="11545">
      <c r="G11545" s="9">
        <f t="shared" si="0"/>
      </c>
      <c r="L11545">
        <f t="shared" si="1"/>
      </c>
      <c r="M11545">
        <f t="shared" si="2"/>
      </c>
    </row>
    <row r="11546">
      <c r="G11546" s="9">
        <f t="shared" si="0"/>
      </c>
      <c r="L11546">
        <f t="shared" si="1"/>
      </c>
      <c r="M11546">
        <f t="shared" si="2"/>
      </c>
    </row>
    <row r="11547">
      <c r="G11547" s="9">
        <f t="shared" si="0"/>
      </c>
      <c r="L11547">
        <f t="shared" si="1"/>
      </c>
      <c r="M11547">
        <f t="shared" si="2"/>
      </c>
    </row>
    <row r="11548">
      <c r="G11548" s="9">
        <f t="shared" si="0"/>
      </c>
      <c r="L11548">
        <f t="shared" si="1"/>
      </c>
      <c r="M11548">
        <f t="shared" si="2"/>
      </c>
    </row>
    <row r="11549">
      <c r="G11549" s="9">
        <f t="shared" si="0"/>
      </c>
      <c r="L11549">
        <f t="shared" si="1"/>
      </c>
      <c r="M11549">
        <f t="shared" si="2"/>
      </c>
    </row>
    <row r="11550">
      <c r="G11550" s="9">
        <f t="shared" si="0"/>
      </c>
      <c r="L11550">
        <f t="shared" si="1"/>
      </c>
      <c r="M11550">
        <f t="shared" si="2"/>
      </c>
    </row>
    <row r="11551">
      <c r="G11551" s="9">
        <f t="shared" si="0"/>
      </c>
      <c r="L11551">
        <f t="shared" si="1"/>
      </c>
      <c r="M11551">
        <f t="shared" si="2"/>
      </c>
    </row>
    <row r="11552">
      <c r="G11552" s="9">
        <f t="shared" si="0"/>
      </c>
      <c r="L11552">
        <f t="shared" si="1"/>
      </c>
      <c r="M11552">
        <f t="shared" si="2"/>
      </c>
    </row>
    <row r="11553">
      <c r="G11553" s="9">
        <f t="shared" si="0"/>
      </c>
      <c r="L11553">
        <f t="shared" si="1"/>
      </c>
      <c r="M11553">
        <f t="shared" si="2"/>
      </c>
    </row>
    <row r="11554">
      <c r="G11554" s="9">
        <f t="shared" si="0"/>
      </c>
      <c r="L11554">
        <f t="shared" si="1"/>
      </c>
      <c r="M11554">
        <f t="shared" si="2"/>
      </c>
    </row>
    <row r="11555">
      <c r="G11555" s="9">
        <f t="shared" si="0"/>
      </c>
      <c r="L11555">
        <f t="shared" si="1"/>
      </c>
      <c r="M11555">
        <f t="shared" si="2"/>
      </c>
    </row>
    <row r="11556">
      <c r="G11556" s="9">
        <f t="shared" si="0"/>
      </c>
      <c r="L11556">
        <f t="shared" si="1"/>
      </c>
      <c r="M11556">
        <f t="shared" si="2"/>
      </c>
    </row>
    <row r="11557">
      <c r="G11557" s="9">
        <f t="shared" si="0"/>
      </c>
      <c r="L11557">
        <f t="shared" si="1"/>
      </c>
      <c r="M11557">
        <f t="shared" si="2"/>
      </c>
    </row>
    <row r="11558">
      <c r="G11558" s="9">
        <f t="shared" si="0"/>
      </c>
      <c r="L11558">
        <f t="shared" si="1"/>
      </c>
      <c r="M11558">
        <f t="shared" si="2"/>
      </c>
    </row>
    <row r="11559">
      <c r="G11559" s="9">
        <f t="shared" si="0"/>
      </c>
      <c r="L11559">
        <f t="shared" si="1"/>
      </c>
      <c r="M11559">
        <f t="shared" si="2"/>
      </c>
    </row>
    <row r="11560">
      <c r="G11560" s="9">
        <f t="shared" si="0"/>
      </c>
      <c r="L11560">
        <f t="shared" si="1"/>
      </c>
      <c r="M11560">
        <f t="shared" si="2"/>
      </c>
    </row>
    <row r="11561">
      <c r="G11561" s="9">
        <f t="shared" si="0"/>
      </c>
      <c r="L11561">
        <f t="shared" si="1"/>
      </c>
      <c r="M11561">
        <f t="shared" si="2"/>
      </c>
    </row>
    <row r="11562">
      <c r="G11562" s="9">
        <f t="shared" si="0"/>
      </c>
      <c r="L11562">
        <f t="shared" si="1"/>
      </c>
      <c r="M11562">
        <f t="shared" si="2"/>
      </c>
    </row>
    <row r="11563">
      <c r="G11563" s="9">
        <f t="shared" si="0"/>
      </c>
      <c r="L11563">
        <f t="shared" si="1"/>
      </c>
      <c r="M11563">
        <f t="shared" si="2"/>
      </c>
    </row>
    <row r="11564">
      <c r="G11564" s="9">
        <f t="shared" si="0"/>
      </c>
      <c r="L11564">
        <f t="shared" si="1"/>
      </c>
      <c r="M11564">
        <f t="shared" si="2"/>
      </c>
    </row>
    <row r="11565">
      <c r="G11565" s="9">
        <f t="shared" si="0"/>
      </c>
      <c r="L11565">
        <f t="shared" si="1"/>
      </c>
      <c r="M11565">
        <f t="shared" si="2"/>
      </c>
    </row>
    <row r="11566">
      <c r="G11566" s="9">
        <f t="shared" si="0"/>
      </c>
      <c r="L11566">
        <f t="shared" si="1"/>
      </c>
      <c r="M11566">
        <f t="shared" si="2"/>
      </c>
    </row>
    <row r="11567">
      <c r="G11567" s="9">
        <f t="shared" si="0"/>
      </c>
      <c r="L11567">
        <f t="shared" si="1"/>
      </c>
      <c r="M11567">
        <f t="shared" si="2"/>
      </c>
    </row>
    <row r="11568">
      <c r="G11568" s="9">
        <f t="shared" si="0"/>
      </c>
      <c r="L11568">
        <f t="shared" si="1"/>
      </c>
      <c r="M11568">
        <f t="shared" si="2"/>
      </c>
    </row>
    <row r="11569">
      <c r="G11569" s="9">
        <f t="shared" si="0"/>
      </c>
      <c r="L11569">
        <f t="shared" si="1"/>
      </c>
      <c r="M11569">
        <f t="shared" si="2"/>
      </c>
    </row>
    <row r="11570">
      <c r="G11570" s="9">
        <f t="shared" si="0"/>
      </c>
      <c r="L11570">
        <f t="shared" si="1"/>
      </c>
      <c r="M11570">
        <f t="shared" si="2"/>
      </c>
    </row>
    <row r="11571">
      <c r="G11571" s="9">
        <f t="shared" si="0"/>
      </c>
      <c r="L11571">
        <f t="shared" si="1"/>
      </c>
      <c r="M11571">
        <f t="shared" si="2"/>
      </c>
    </row>
    <row r="11572">
      <c r="G11572" s="9">
        <f t="shared" si="0"/>
      </c>
      <c r="L11572">
        <f t="shared" si="1"/>
      </c>
      <c r="M11572">
        <f t="shared" si="2"/>
      </c>
    </row>
    <row r="11573">
      <c r="G11573" s="9">
        <f t="shared" si="0"/>
      </c>
      <c r="L11573">
        <f t="shared" si="1"/>
      </c>
      <c r="M11573">
        <f t="shared" si="2"/>
      </c>
    </row>
    <row r="11574">
      <c r="G11574" s="9">
        <f t="shared" si="0"/>
      </c>
      <c r="L11574">
        <f t="shared" si="1"/>
      </c>
      <c r="M11574">
        <f t="shared" si="2"/>
      </c>
    </row>
    <row r="11575">
      <c r="G11575" s="9">
        <f t="shared" si="0"/>
      </c>
      <c r="L11575">
        <f t="shared" si="1"/>
      </c>
      <c r="M11575">
        <f t="shared" si="2"/>
      </c>
    </row>
    <row r="11576">
      <c r="G11576" s="9">
        <f t="shared" si="0"/>
      </c>
      <c r="L11576">
        <f t="shared" si="1"/>
      </c>
      <c r="M11576">
        <f t="shared" si="2"/>
      </c>
    </row>
    <row r="11577">
      <c r="G11577" s="9">
        <f t="shared" si="0"/>
      </c>
      <c r="L11577">
        <f t="shared" si="1"/>
      </c>
      <c r="M11577">
        <f t="shared" si="2"/>
      </c>
    </row>
    <row r="11578">
      <c r="G11578" s="9">
        <f t="shared" si="0"/>
      </c>
      <c r="L11578">
        <f t="shared" si="1"/>
      </c>
      <c r="M11578">
        <f t="shared" si="2"/>
      </c>
    </row>
    <row r="11579">
      <c r="G11579" s="9">
        <f t="shared" si="0"/>
      </c>
      <c r="L11579">
        <f t="shared" si="1"/>
      </c>
      <c r="M11579">
        <f t="shared" si="2"/>
      </c>
    </row>
    <row r="11580">
      <c r="G11580" s="9">
        <f t="shared" si="0"/>
      </c>
      <c r="L11580">
        <f t="shared" si="1"/>
      </c>
      <c r="M11580">
        <f t="shared" si="2"/>
      </c>
    </row>
    <row r="11581">
      <c r="G11581" s="9">
        <f t="shared" si="0"/>
      </c>
      <c r="L11581">
        <f t="shared" si="1"/>
      </c>
      <c r="M11581">
        <f t="shared" si="2"/>
      </c>
    </row>
    <row r="11582">
      <c r="G11582" s="9">
        <f t="shared" si="0"/>
      </c>
      <c r="L11582">
        <f t="shared" si="1"/>
      </c>
      <c r="M11582">
        <f t="shared" si="2"/>
      </c>
    </row>
    <row r="11583">
      <c r="G11583" s="9">
        <f t="shared" si="0"/>
      </c>
      <c r="L11583">
        <f t="shared" si="1"/>
      </c>
      <c r="M11583">
        <f t="shared" si="2"/>
      </c>
    </row>
    <row r="11584">
      <c r="G11584" s="9">
        <f t="shared" si="0"/>
      </c>
      <c r="L11584">
        <f t="shared" si="1"/>
      </c>
      <c r="M11584">
        <f t="shared" si="2"/>
      </c>
    </row>
    <row r="11585">
      <c r="G11585" s="9">
        <f t="shared" si="0"/>
      </c>
      <c r="L11585">
        <f t="shared" si="1"/>
      </c>
      <c r="M11585">
        <f t="shared" si="2"/>
      </c>
    </row>
    <row r="11586">
      <c r="G11586" s="9">
        <f t="shared" si="0"/>
      </c>
      <c r="L11586">
        <f t="shared" si="1"/>
      </c>
      <c r="M11586">
        <f t="shared" si="2"/>
      </c>
    </row>
    <row r="11587">
      <c r="G11587" s="9">
        <f t="shared" si="0"/>
      </c>
      <c r="L11587">
        <f t="shared" si="1"/>
      </c>
      <c r="M11587">
        <f t="shared" si="2"/>
      </c>
    </row>
    <row r="11588">
      <c r="G11588" s="9">
        <f t="shared" si="0"/>
      </c>
      <c r="L11588">
        <f t="shared" si="1"/>
      </c>
      <c r="M11588">
        <f t="shared" si="2"/>
      </c>
    </row>
    <row r="11589">
      <c r="G11589" s="9">
        <f t="shared" si="0"/>
      </c>
      <c r="L11589">
        <f t="shared" si="1"/>
      </c>
      <c r="M11589">
        <f t="shared" si="2"/>
      </c>
    </row>
    <row r="11590">
      <c r="G11590" s="9">
        <f t="shared" si="0"/>
      </c>
      <c r="L11590">
        <f t="shared" si="1"/>
      </c>
      <c r="M11590">
        <f t="shared" si="2"/>
      </c>
    </row>
    <row r="11591">
      <c r="G11591" s="9">
        <f t="shared" si="0"/>
      </c>
      <c r="L11591">
        <f t="shared" si="1"/>
      </c>
      <c r="M11591">
        <f t="shared" si="2"/>
      </c>
    </row>
    <row r="11592">
      <c r="G11592" s="9">
        <f t="shared" si="0"/>
      </c>
      <c r="L11592">
        <f t="shared" si="1"/>
      </c>
      <c r="M11592">
        <f t="shared" si="2"/>
      </c>
    </row>
    <row r="11593">
      <c r="G11593" s="9">
        <f t="shared" si="0"/>
      </c>
      <c r="L11593">
        <f t="shared" si="1"/>
      </c>
      <c r="M11593">
        <f t="shared" si="2"/>
      </c>
    </row>
    <row r="11594">
      <c r="G11594" s="9">
        <f t="shared" si="0"/>
      </c>
      <c r="L11594">
        <f t="shared" si="1"/>
      </c>
      <c r="M11594">
        <f t="shared" si="2"/>
      </c>
    </row>
    <row r="11595">
      <c r="G11595" s="9">
        <f t="shared" si="0"/>
      </c>
      <c r="L11595">
        <f t="shared" si="1"/>
      </c>
      <c r="M11595">
        <f t="shared" si="2"/>
      </c>
    </row>
    <row r="11596">
      <c r="G11596" s="9">
        <f t="shared" si="0"/>
      </c>
      <c r="L11596">
        <f t="shared" si="1"/>
      </c>
      <c r="M11596">
        <f t="shared" si="2"/>
      </c>
    </row>
    <row r="11597">
      <c r="G11597" s="9">
        <f t="shared" si="0"/>
      </c>
      <c r="L11597">
        <f t="shared" si="1"/>
      </c>
      <c r="M11597">
        <f t="shared" si="2"/>
      </c>
    </row>
    <row r="11598">
      <c r="G11598" s="9">
        <f t="shared" si="0"/>
      </c>
      <c r="L11598">
        <f t="shared" si="1"/>
      </c>
      <c r="M11598">
        <f t="shared" si="2"/>
      </c>
    </row>
    <row r="11599">
      <c r="G11599" s="9">
        <f t="shared" si="0"/>
      </c>
      <c r="L11599">
        <f t="shared" si="1"/>
      </c>
      <c r="M11599">
        <f t="shared" si="2"/>
      </c>
    </row>
    <row r="11600">
      <c r="G11600" s="9">
        <f t="shared" si="0"/>
      </c>
      <c r="L11600">
        <f t="shared" si="1"/>
      </c>
      <c r="M11600">
        <f t="shared" si="2"/>
      </c>
    </row>
    <row r="11601">
      <c r="G11601" s="9">
        <f t="shared" si="0"/>
      </c>
      <c r="L11601">
        <f t="shared" si="1"/>
      </c>
      <c r="M11601">
        <f t="shared" si="2"/>
      </c>
    </row>
    <row r="11602">
      <c r="G11602" s="9">
        <f t="shared" si="0"/>
      </c>
      <c r="L11602">
        <f t="shared" si="1"/>
      </c>
      <c r="M11602">
        <f t="shared" si="2"/>
      </c>
    </row>
    <row r="11603">
      <c r="G11603" s="9">
        <f t="shared" si="0"/>
      </c>
      <c r="L11603">
        <f t="shared" si="1"/>
      </c>
      <c r="M11603">
        <f t="shared" si="2"/>
      </c>
    </row>
    <row r="11604">
      <c r="G11604" s="9">
        <f t="shared" si="0"/>
      </c>
      <c r="L11604">
        <f t="shared" si="1"/>
      </c>
      <c r="M11604">
        <f t="shared" si="2"/>
      </c>
    </row>
    <row r="11605">
      <c r="G11605" s="9">
        <f t="shared" si="0"/>
      </c>
      <c r="L11605">
        <f t="shared" si="1"/>
      </c>
      <c r="M11605">
        <f t="shared" si="2"/>
      </c>
    </row>
    <row r="11606">
      <c r="G11606" s="9">
        <f t="shared" si="0"/>
      </c>
      <c r="L11606">
        <f t="shared" si="1"/>
      </c>
      <c r="M11606">
        <f t="shared" si="2"/>
      </c>
    </row>
    <row r="11607">
      <c r="G11607" s="9">
        <f t="shared" si="0"/>
      </c>
      <c r="L11607">
        <f t="shared" si="1"/>
      </c>
      <c r="M11607">
        <f t="shared" si="2"/>
      </c>
    </row>
    <row r="11608">
      <c r="G11608" s="9">
        <f t="shared" si="0"/>
      </c>
      <c r="L11608">
        <f t="shared" si="1"/>
      </c>
      <c r="M11608">
        <f t="shared" si="2"/>
      </c>
    </row>
    <row r="11609">
      <c r="G11609" s="9">
        <f t="shared" si="0"/>
      </c>
      <c r="L11609">
        <f t="shared" si="1"/>
      </c>
      <c r="M11609">
        <f t="shared" si="2"/>
      </c>
    </row>
    <row r="11610">
      <c r="G11610" s="9">
        <f t="shared" si="0"/>
      </c>
      <c r="L11610">
        <f t="shared" si="1"/>
      </c>
      <c r="M11610">
        <f t="shared" si="2"/>
      </c>
    </row>
    <row r="11611">
      <c r="G11611" s="9">
        <f t="shared" si="0"/>
      </c>
      <c r="L11611">
        <f t="shared" si="1"/>
      </c>
      <c r="M11611">
        <f t="shared" si="2"/>
      </c>
    </row>
    <row r="11612">
      <c r="G11612" s="9">
        <f t="shared" si="0"/>
      </c>
      <c r="L11612">
        <f t="shared" si="1"/>
      </c>
      <c r="M11612">
        <f t="shared" si="2"/>
      </c>
    </row>
    <row r="11613">
      <c r="G11613" s="9">
        <f t="shared" si="0"/>
      </c>
      <c r="L11613">
        <f t="shared" si="1"/>
      </c>
      <c r="M11613">
        <f t="shared" si="2"/>
      </c>
    </row>
    <row r="11614">
      <c r="G11614" s="9">
        <f t="shared" si="0"/>
      </c>
      <c r="L11614">
        <f t="shared" si="1"/>
      </c>
      <c r="M11614">
        <f t="shared" si="2"/>
      </c>
    </row>
    <row r="11615">
      <c r="G11615" s="9">
        <f t="shared" si="0"/>
      </c>
      <c r="L11615">
        <f t="shared" si="1"/>
      </c>
      <c r="M11615">
        <f t="shared" si="2"/>
      </c>
    </row>
    <row r="11616">
      <c r="G11616" s="9">
        <f t="shared" si="0"/>
      </c>
      <c r="L11616">
        <f t="shared" si="1"/>
      </c>
      <c r="M11616">
        <f t="shared" si="2"/>
      </c>
    </row>
    <row r="11617">
      <c r="G11617" s="9">
        <f t="shared" si="0"/>
      </c>
      <c r="L11617">
        <f t="shared" si="1"/>
      </c>
      <c r="M11617">
        <f t="shared" si="2"/>
      </c>
    </row>
    <row r="11618">
      <c r="G11618" s="9">
        <f t="shared" si="0"/>
      </c>
      <c r="L11618">
        <f t="shared" si="1"/>
      </c>
      <c r="M11618">
        <f t="shared" si="2"/>
      </c>
    </row>
    <row r="11619">
      <c r="G11619" s="9">
        <f t="shared" si="0"/>
      </c>
      <c r="L11619">
        <f t="shared" si="1"/>
      </c>
      <c r="M11619">
        <f t="shared" si="2"/>
      </c>
    </row>
    <row r="11620">
      <c r="G11620" s="9">
        <f t="shared" si="0"/>
      </c>
      <c r="L11620">
        <f t="shared" si="1"/>
      </c>
      <c r="M11620">
        <f t="shared" si="2"/>
      </c>
    </row>
    <row r="11621">
      <c r="G11621" s="9">
        <f t="shared" si="0"/>
      </c>
      <c r="L11621">
        <f t="shared" si="1"/>
      </c>
      <c r="M11621">
        <f t="shared" si="2"/>
      </c>
    </row>
    <row r="11622">
      <c r="G11622" s="9">
        <f t="shared" si="0"/>
      </c>
      <c r="L11622">
        <f t="shared" si="1"/>
      </c>
      <c r="M11622">
        <f t="shared" si="2"/>
      </c>
    </row>
    <row r="11623">
      <c r="G11623" s="9">
        <f t="shared" si="0"/>
      </c>
      <c r="L11623">
        <f t="shared" si="1"/>
      </c>
      <c r="M11623">
        <f t="shared" si="2"/>
      </c>
    </row>
    <row r="11624">
      <c r="G11624" s="9">
        <f t="shared" si="0"/>
      </c>
      <c r="L11624">
        <f t="shared" si="1"/>
      </c>
      <c r="M11624">
        <f t="shared" si="2"/>
      </c>
    </row>
    <row r="11625">
      <c r="G11625" s="9">
        <f t="shared" si="0"/>
      </c>
      <c r="L11625">
        <f t="shared" si="1"/>
      </c>
      <c r="M11625">
        <f t="shared" si="2"/>
      </c>
    </row>
    <row r="11626">
      <c r="G11626" s="9">
        <f t="shared" si="0"/>
      </c>
      <c r="L11626">
        <f t="shared" si="1"/>
      </c>
      <c r="M11626">
        <f t="shared" si="2"/>
      </c>
    </row>
    <row r="11627">
      <c r="G11627" s="9">
        <f t="shared" si="0"/>
      </c>
      <c r="L11627">
        <f t="shared" si="1"/>
      </c>
      <c r="M11627">
        <f t="shared" si="2"/>
      </c>
    </row>
    <row r="11628">
      <c r="G11628" s="9">
        <f t="shared" si="0"/>
      </c>
      <c r="L11628">
        <f t="shared" si="1"/>
      </c>
      <c r="M11628">
        <f t="shared" si="2"/>
      </c>
    </row>
    <row r="11629">
      <c r="G11629" s="9">
        <f t="shared" si="0"/>
      </c>
      <c r="L11629">
        <f t="shared" si="1"/>
      </c>
      <c r="M11629">
        <f t="shared" si="2"/>
      </c>
    </row>
    <row r="11630">
      <c r="G11630" s="9">
        <f t="shared" si="0"/>
      </c>
      <c r="L11630">
        <f t="shared" si="1"/>
      </c>
      <c r="M11630">
        <f t="shared" si="2"/>
      </c>
    </row>
    <row r="11631">
      <c r="G11631" s="9">
        <f t="shared" si="0"/>
      </c>
      <c r="L11631">
        <f t="shared" si="1"/>
      </c>
      <c r="M11631">
        <f t="shared" si="2"/>
      </c>
    </row>
    <row r="11632">
      <c r="G11632" s="9">
        <f t="shared" si="0"/>
      </c>
      <c r="L11632">
        <f t="shared" si="1"/>
      </c>
      <c r="M11632">
        <f t="shared" si="2"/>
      </c>
    </row>
    <row r="11633">
      <c r="G11633" s="9">
        <f t="shared" si="0"/>
      </c>
      <c r="L11633">
        <f t="shared" si="1"/>
      </c>
      <c r="M11633">
        <f t="shared" si="2"/>
      </c>
    </row>
    <row r="11634">
      <c r="G11634" s="9">
        <f t="shared" si="0"/>
      </c>
      <c r="L11634">
        <f t="shared" si="1"/>
      </c>
      <c r="M11634">
        <f t="shared" si="2"/>
      </c>
    </row>
    <row r="11635">
      <c r="G11635" s="9">
        <f t="shared" si="0"/>
      </c>
      <c r="L11635">
        <f t="shared" si="1"/>
      </c>
      <c r="M11635">
        <f t="shared" si="2"/>
      </c>
    </row>
    <row r="11636">
      <c r="G11636" s="9">
        <f t="shared" si="0"/>
      </c>
      <c r="L11636">
        <f t="shared" si="1"/>
      </c>
      <c r="M11636">
        <f t="shared" si="2"/>
      </c>
    </row>
    <row r="11637">
      <c r="G11637" s="9">
        <f t="shared" si="0"/>
      </c>
      <c r="L11637">
        <f t="shared" si="1"/>
      </c>
      <c r="M11637">
        <f t="shared" si="2"/>
      </c>
    </row>
    <row r="11638">
      <c r="G11638" s="9">
        <f t="shared" si="0"/>
      </c>
      <c r="L11638">
        <f t="shared" si="1"/>
      </c>
      <c r="M11638">
        <f t="shared" si="2"/>
      </c>
    </row>
    <row r="11639">
      <c r="G11639" s="9">
        <f t="shared" si="0"/>
      </c>
      <c r="L11639">
        <f t="shared" si="1"/>
      </c>
      <c r="M11639">
        <f t="shared" si="2"/>
      </c>
    </row>
    <row r="11640">
      <c r="G11640" s="9">
        <f t="shared" si="0"/>
      </c>
      <c r="L11640">
        <f t="shared" si="1"/>
      </c>
      <c r="M11640">
        <f t="shared" si="2"/>
      </c>
    </row>
    <row r="11641">
      <c r="G11641" s="9">
        <f t="shared" si="0"/>
      </c>
      <c r="L11641">
        <f t="shared" si="1"/>
      </c>
      <c r="M11641">
        <f t="shared" si="2"/>
      </c>
    </row>
    <row r="11642">
      <c r="G11642" s="9">
        <f t="shared" si="0"/>
      </c>
      <c r="L11642">
        <f t="shared" si="1"/>
      </c>
      <c r="M11642">
        <f t="shared" si="2"/>
      </c>
    </row>
    <row r="11643">
      <c r="G11643" s="9">
        <f t="shared" si="0"/>
      </c>
      <c r="L11643">
        <f t="shared" si="1"/>
      </c>
      <c r="M11643">
        <f t="shared" si="2"/>
      </c>
    </row>
    <row r="11644">
      <c r="G11644" s="9">
        <f t="shared" si="0"/>
      </c>
      <c r="L11644">
        <f t="shared" si="1"/>
      </c>
      <c r="M11644">
        <f t="shared" si="2"/>
      </c>
    </row>
    <row r="11645">
      <c r="G11645" s="9">
        <f t="shared" si="0"/>
      </c>
      <c r="L11645">
        <f t="shared" si="1"/>
      </c>
      <c r="M11645">
        <f t="shared" si="2"/>
      </c>
    </row>
    <row r="11646">
      <c r="G11646" s="9">
        <f t="shared" si="0"/>
      </c>
      <c r="L11646">
        <f t="shared" si="1"/>
      </c>
      <c r="M11646">
        <f t="shared" si="2"/>
      </c>
    </row>
    <row r="11647">
      <c r="G11647" s="9">
        <f t="shared" si="0"/>
      </c>
      <c r="L11647">
        <f t="shared" si="1"/>
      </c>
      <c r="M11647">
        <f t="shared" si="2"/>
      </c>
    </row>
    <row r="11648">
      <c r="G11648" s="9">
        <f t="shared" si="0"/>
      </c>
      <c r="L11648">
        <f t="shared" si="1"/>
      </c>
      <c r="M11648">
        <f t="shared" si="2"/>
      </c>
    </row>
    <row r="11649">
      <c r="G11649" s="9">
        <f t="shared" si="0"/>
      </c>
      <c r="L11649">
        <f t="shared" si="1"/>
      </c>
      <c r="M11649">
        <f t="shared" si="2"/>
      </c>
    </row>
    <row r="11650">
      <c r="G11650" s="9">
        <f t="shared" si="0"/>
      </c>
      <c r="L11650">
        <f t="shared" si="1"/>
      </c>
      <c r="M11650">
        <f t="shared" si="2"/>
      </c>
    </row>
    <row r="11651">
      <c r="G11651" s="9">
        <f t="shared" si="0"/>
      </c>
      <c r="L11651">
        <f t="shared" si="1"/>
      </c>
      <c r="M11651">
        <f t="shared" si="2"/>
      </c>
    </row>
    <row r="11652">
      <c r="G11652" s="9">
        <f t="shared" si="0"/>
      </c>
      <c r="L11652">
        <f t="shared" si="1"/>
      </c>
      <c r="M11652">
        <f t="shared" si="2"/>
      </c>
    </row>
    <row r="11653">
      <c r="G11653" s="9">
        <f t="shared" si="0"/>
      </c>
      <c r="L11653">
        <f t="shared" si="1"/>
      </c>
      <c r="M11653">
        <f t="shared" si="2"/>
      </c>
    </row>
    <row r="11654">
      <c r="G11654" s="9">
        <f t="shared" si="0"/>
      </c>
      <c r="L11654">
        <f t="shared" si="1"/>
      </c>
      <c r="M11654">
        <f t="shared" si="2"/>
      </c>
    </row>
    <row r="11655">
      <c r="G11655" s="9">
        <f t="shared" si="0"/>
      </c>
      <c r="L11655">
        <f t="shared" si="1"/>
      </c>
      <c r="M11655">
        <f t="shared" si="2"/>
      </c>
    </row>
    <row r="11656">
      <c r="G11656" s="9">
        <f t="shared" si="0"/>
      </c>
      <c r="L11656">
        <f t="shared" si="1"/>
      </c>
      <c r="M11656">
        <f t="shared" si="2"/>
      </c>
    </row>
    <row r="11657">
      <c r="G11657" s="9">
        <f t="shared" si="0"/>
      </c>
      <c r="L11657">
        <f t="shared" si="1"/>
      </c>
      <c r="M11657">
        <f t="shared" si="2"/>
      </c>
    </row>
    <row r="11658">
      <c r="G11658" s="9">
        <f t="shared" si="0"/>
      </c>
      <c r="L11658">
        <f t="shared" si="1"/>
      </c>
      <c r="M11658">
        <f t="shared" si="2"/>
      </c>
    </row>
    <row r="11659">
      <c r="G11659" s="9">
        <f t="shared" si="0"/>
      </c>
      <c r="L11659">
        <f t="shared" si="1"/>
      </c>
      <c r="M11659">
        <f t="shared" si="2"/>
      </c>
    </row>
    <row r="11660">
      <c r="G11660" s="9">
        <f t="shared" si="0"/>
      </c>
      <c r="L11660">
        <f t="shared" si="1"/>
      </c>
      <c r="M11660">
        <f t="shared" si="2"/>
      </c>
    </row>
    <row r="11661">
      <c r="G11661" s="9">
        <f t="shared" si="0"/>
      </c>
      <c r="L11661">
        <f t="shared" si="1"/>
      </c>
      <c r="M11661">
        <f t="shared" si="2"/>
      </c>
    </row>
    <row r="11662">
      <c r="G11662" s="9">
        <f t="shared" si="0"/>
      </c>
      <c r="L11662">
        <f t="shared" si="1"/>
      </c>
      <c r="M11662">
        <f t="shared" si="2"/>
      </c>
    </row>
    <row r="11663">
      <c r="G11663" s="9">
        <f t="shared" si="0"/>
      </c>
      <c r="L11663">
        <f t="shared" si="1"/>
      </c>
      <c r="M11663">
        <f t="shared" si="2"/>
      </c>
    </row>
    <row r="11664">
      <c r="G11664" s="9">
        <f t="shared" si="0"/>
      </c>
      <c r="L11664">
        <f t="shared" si="1"/>
      </c>
      <c r="M11664">
        <f t="shared" si="2"/>
      </c>
    </row>
    <row r="11665">
      <c r="G11665" s="9">
        <f t="shared" si="0"/>
      </c>
      <c r="L11665">
        <f t="shared" si="1"/>
      </c>
      <c r="M11665">
        <f t="shared" si="2"/>
      </c>
    </row>
    <row r="11666">
      <c r="G11666" s="9">
        <f t="shared" si="0"/>
      </c>
      <c r="L11666">
        <f t="shared" si="1"/>
      </c>
      <c r="M11666">
        <f t="shared" si="2"/>
      </c>
    </row>
    <row r="11667">
      <c r="G11667" s="9">
        <f t="shared" si="0"/>
      </c>
      <c r="L11667">
        <f t="shared" si="1"/>
      </c>
      <c r="M11667">
        <f t="shared" si="2"/>
      </c>
    </row>
    <row r="11668">
      <c r="G11668" s="9">
        <f t="shared" si="0"/>
      </c>
      <c r="L11668">
        <f t="shared" si="1"/>
      </c>
      <c r="M11668">
        <f t="shared" si="2"/>
      </c>
    </row>
    <row r="11669">
      <c r="G11669" s="9">
        <f t="shared" si="0"/>
      </c>
      <c r="L11669">
        <f t="shared" si="1"/>
      </c>
      <c r="M11669">
        <f t="shared" si="2"/>
      </c>
    </row>
    <row r="11670">
      <c r="G11670" s="9">
        <f t="shared" si="0"/>
      </c>
      <c r="L11670">
        <f t="shared" si="1"/>
      </c>
      <c r="M11670">
        <f t="shared" si="2"/>
      </c>
    </row>
    <row r="11671">
      <c r="G11671" s="9">
        <f t="shared" si="0"/>
      </c>
      <c r="L11671">
        <f t="shared" si="1"/>
      </c>
      <c r="M11671">
        <f t="shared" si="2"/>
      </c>
    </row>
    <row r="11672">
      <c r="G11672" s="9">
        <f t="shared" si="0"/>
      </c>
      <c r="L11672">
        <f t="shared" si="1"/>
      </c>
      <c r="M11672">
        <f t="shared" si="2"/>
      </c>
    </row>
    <row r="11673">
      <c r="G11673" s="9">
        <f t="shared" si="0"/>
      </c>
      <c r="L11673">
        <f t="shared" si="1"/>
      </c>
      <c r="M11673">
        <f t="shared" si="2"/>
      </c>
    </row>
    <row r="11674">
      <c r="G11674" s="9">
        <f t="shared" si="0"/>
      </c>
      <c r="L11674">
        <f t="shared" si="1"/>
      </c>
      <c r="M11674">
        <f t="shared" si="2"/>
      </c>
    </row>
    <row r="11675">
      <c r="G11675" s="9">
        <f t="shared" si="0"/>
      </c>
      <c r="L11675">
        <f t="shared" si="1"/>
      </c>
      <c r="M11675">
        <f t="shared" si="2"/>
      </c>
    </row>
    <row r="11676">
      <c r="G11676" s="9">
        <f t="shared" si="0"/>
      </c>
      <c r="L11676">
        <f t="shared" si="1"/>
      </c>
      <c r="M11676">
        <f t="shared" si="2"/>
      </c>
    </row>
    <row r="11677">
      <c r="G11677" s="9">
        <f t="shared" si="0"/>
      </c>
      <c r="L11677">
        <f t="shared" si="1"/>
      </c>
      <c r="M11677">
        <f t="shared" si="2"/>
      </c>
    </row>
    <row r="11678">
      <c r="G11678" s="9">
        <f t="shared" si="0"/>
      </c>
      <c r="L11678">
        <f t="shared" si="1"/>
      </c>
      <c r="M11678">
        <f t="shared" si="2"/>
      </c>
    </row>
    <row r="11679">
      <c r="G11679" s="9">
        <f t="shared" si="0"/>
      </c>
      <c r="L11679">
        <f t="shared" si="1"/>
      </c>
      <c r="M11679">
        <f t="shared" si="2"/>
      </c>
    </row>
    <row r="11680">
      <c r="G11680" s="9">
        <f t="shared" si="0"/>
      </c>
      <c r="L11680">
        <f t="shared" si="1"/>
      </c>
      <c r="M11680">
        <f t="shared" si="2"/>
      </c>
    </row>
    <row r="11681">
      <c r="G11681" s="9">
        <f t="shared" si="0"/>
      </c>
      <c r="L11681">
        <f t="shared" si="1"/>
      </c>
      <c r="M11681">
        <f t="shared" si="2"/>
      </c>
    </row>
    <row r="11682">
      <c r="G11682" s="9">
        <f t="shared" si="0"/>
      </c>
      <c r="L11682">
        <f t="shared" si="1"/>
      </c>
      <c r="M11682">
        <f t="shared" si="2"/>
      </c>
    </row>
    <row r="11683">
      <c r="G11683" s="9">
        <f t="shared" si="0"/>
      </c>
      <c r="L11683">
        <f t="shared" si="1"/>
      </c>
      <c r="M11683">
        <f t="shared" si="2"/>
      </c>
    </row>
    <row r="11684">
      <c r="G11684" s="9">
        <f t="shared" si="0"/>
      </c>
      <c r="L11684">
        <f t="shared" si="1"/>
      </c>
      <c r="M11684">
        <f t="shared" si="2"/>
      </c>
    </row>
    <row r="11685">
      <c r="G11685" s="9">
        <f t="shared" si="0"/>
      </c>
      <c r="L11685">
        <f t="shared" si="1"/>
      </c>
      <c r="M11685">
        <f t="shared" si="2"/>
      </c>
    </row>
    <row r="11686">
      <c r="G11686" s="9">
        <f t="shared" si="0"/>
      </c>
      <c r="L11686">
        <f t="shared" si="1"/>
      </c>
      <c r="M11686">
        <f t="shared" si="2"/>
      </c>
    </row>
    <row r="11687">
      <c r="G11687" s="9">
        <f t="shared" si="0"/>
      </c>
      <c r="L11687">
        <f t="shared" si="1"/>
      </c>
      <c r="M11687">
        <f t="shared" si="2"/>
      </c>
    </row>
    <row r="11688">
      <c r="G11688" s="9">
        <f t="shared" si="0"/>
      </c>
      <c r="L11688">
        <f t="shared" si="1"/>
      </c>
      <c r="M11688">
        <f t="shared" si="2"/>
      </c>
    </row>
    <row r="11689">
      <c r="G11689" s="9">
        <f t="shared" si="0"/>
      </c>
      <c r="L11689">
        <f t="shared" si="1"/>
      </c>
      <c r="M11689">
        <f t="shared" si="2"/>
      </c>
    </row>
    <row r="11690">
      <c r="G11690" s="9">
        <f t="shared" si="0"/>
      </c>
      <c r="L11690">
        <f t="shared" si="1"/>
      </c>
      <c r="M11690">
        <f t="shared" si="2"/>
      </c>
    </row>
    <row r="11691">
      <c r="G11691" s="9">
        <f t="shared" si="0"/>
      </c>
      <c r="L11691">
        <f t="shared" si="1"/>
      </c>
      <c r="M11691">
        <f t="shared" si="2"/>
      </c>
    </row>
    <row r="11692">
      <c r="G11692" s="9">
        <f t="shared" si="0"/>
      </c>
      <c r="L11692">
        <f t="shared" si="1"/>
      </c>
      <c r="M11692">
        <f t="shared" si="2"/>
      </c>
    </row>
    <row r="11693">
      <c r="G11693" s="9">
        <f t="shared" si="0"/>
      </c>
      <c r="L11693">
        <f t="shared" si="1"/>
      </c>
      <c r="M11693">
        <f t="shared" si="2"/>
      </c>
    </row>
    <row r="11694">
      <c r="G11694" s="9">
        <f t="shared" si="0"/>
      </c>
      <c r="L11694">
        <f t="shared" si="1"/>
      </c>
      <c r="M11694">
        <f t="shared" si="2"/>
      </c>
    </row>
    <row r="11695">
      <c r="G11695" s="9">
        <f t="shared" si="0"/>
      </c>
      <c r="L11695">
        <f t="shared" si="1"/>
      </c>
      <c r="M11695">
        <f t="shared" si="2"/>
      </c>
    </row>
    <row r="11696">
      <c r="G11696" s="9">
        <f t="shared" si="0"/>
      </c>
      <c r="L11696">
        <f t="shared" si="1"/>
      </c>
      <c r="M11696">
        <f t="shared" si="2"/>
      </c>
    </row>
    <row r="11697">
      <c r="G11697" s="9">
        <f t="shared" si="0"/>
      </c>
      <c r="L11697">
        <f t="shared" si="1"/>
      </c>
      <c r="M11697">
        <f t="shared" si="2"/>
      </c>
    </row>
    <row r="11698">
      <c r="G11698" s="9">
        <f t="shared" si="0"/>
      </c>
      <c r="L11698">
        <f t="shared" si="1"/>
      </c>
      <c r="M11698">
        <f t="shared" si="2"/>
      </c>
    </row>
    <row r="11699">
      <c r="G11699" s="9">
        <f t="shared" si="0"/>
      </c>
      <c r="L11699">
        <f t="shared" si="1"/>
      </c>
      <c r="M11699">
        <f t="shared" si="2"/>
      </c>
    </row>
    <row r="11700">
      <c r="G11700" s="9">
        <f t="shared" si="0"/>
      </c>
      <c r="L11700">
        <f t="shared" si="1"/>
      </c>
      <c r="M11700">
        <f t="shared" si="2"/>
      </c>
    </row>
    <row r="11701">
      <c r="G11701" s="9">
        <f t="shared" si="0"/>
      </c>
      <c r="L11701">
        <f t="shared" si="1"/>
      </c>
      <c r="M11701">
        <f t="shared" si="2"/>
      </c>
    </row>
    <row r="11702">
      <c r="G11702" s="9">
        <f t="shared" si="0"/>
      </c>
      <c r="L11702">
        <f t="shared" si="1"/>
      </c>
      <c r="M11702">
        <f t="shared" si="2"/>
      </c>
    </row>
    <row r="11703">
      <c r="G11703" s="9">
        <f t="shared" si="0"/>
      </c>
      <c r="L11703">
        <f t="shared" si="1"/>
      </c>
      <c r="M11703">
        <f t="shared" si="2"/>
      </c>
    </row>
    <row r="11704">
      <c r="G11704" s="9">
        <f t="shared" si="0"/>
      </c>
      <c r="L11704">
        <f t="shared" si="1"/>
      </c>
      <c r="M11704">
        <f t="shared" si="2"/>
      </c>
    </row>
    <row r="11705">
      <c r="G11705" s="9">
        <f t="shared" si="0"/>
      </c>
      <c r="L11705">
        <f t="shared" si="1"/>
      </c>
      <c r="M11705">
        <f t="shared" si="2"/>
      </c>
    </row>
    <row r="11706">
      <c r="G11706" s="9">
        <f t="shared" si="0"/>
      </c>
      <c r="L11706">
        <f t="shared" si="1"/>
      </c>
      <c r="M11706">
        <f t="shared" si="2"/>
      </c>
    </row>
    <row r="11707">
      <c r="G11707" s="9">
        <f t="shared" si="0"/>
      </c>
      <c r="L11707">
        <f t="shared" si="1"/>
      </c>
      <c r="M11707">
        <f t="shared" si="2"/>
      </c>
    </row>
    <row r="11708">
      <c r="G11708" s="9">
        <f t="shared" si="0"/>
      </c>
      <c r="L11708">
        <f t="shared" si="1"/>
      </c>
      <c r="M11708">
        <f t="shared" si="2"/>
      </c>
    </row>
    <row r="11709">
      <c r="G11709" s="9">
        <f t="shared" si="0"/>
      </c>
      <c r="L11709">
        <f t="shared" si="1"/>
      </c>
      <c r="M11709">
        <f t="shared" si="2"/>
      </c>
    </row>
    <row r="11710">
      <c r="G11710" s="9">
        <f t="shared" si="0"/>
      </c>
      <c r="L11710">
        <f t="shared" si="1"/>
      </c>
      <c r="M11710">
        <f t="shared" si="2"/>
      </c>
    </row>
    <row r="11711">
      <c r="G11711" s="9">
        <f t="shared" si="0"/>
      </c>
      <c r="L11711">
        <f t="shared" si="1"/>
      </c>
      <c r="M11711">
        <f t="shared" si="2"/>
      </c>
    </row>
    <row r="11712">
      <c r="G11712" s="9">
        <f t="shared" si="0"/>
      </c>
      <c r="L11712">
        <f t="shared" si="1"/>
      </c>
      <c r="M11712">
        <f t="shared" si="2"/>
      </c>
    </row>
    <row r="11713">
      <c r="G11713" s="9">
        <f t="shared" si="0"/>
      </c>
      <c r="L11713">
        <f t="shared" si="1"/>
      </c>
      <c r="M11713">
        <f t="shared" si="2"/>
      </c>
    </row>
    <row r="11714">
      <c r="G11714" s="9">
        <f t="shared" si="0"/>
      </c>
      <c r="L11714">
        <f t="shared" si="1"/>
      </c>
      <c r="M11714">
        <f t="shared" si="2"/>
      </c>
    </row>
    <row r="11715">
      <c r="G11715" s="9">
        <f t="shared" si="0"/>
      </c>
      <c r="L11715">
        <f t="shared" si="1"/>
      </c>
      <c r="M11715">
        <f t="shared" si="2"/>
      </c>
    </row>
    <row r="11716">
      <c r="G11716" s="9">
        <f t="shared" si="0"/>
      </c>
      <c r="L11716">
        <f t="shared" si="1"/>
      </c>
      <c r="M11716">
        <f t="shared" si="2"/>
      </c>
    </row>
    <row r="11717">
      <c r="G11717" s="9">
        <f t="shared" si="0"/>
      </c>
      <c r="L11717">
        <f t="shared" si="1"/>
      </c>
      <c r="M11717">
        <f t="shared" si="2"/>
      </c>
    </row>
    <row r="11718">
      <c r="G11718" s="9">
        <f t="shared" si="0"/>
      </c>
      <c r="L11718">
        <f t="shared" si="1"/>
      </c>
      <c r="M11718">
        <f t="shared" si="2"/>
      </c>
    </row>
    <row r="11719">
      <c r="G11719" s="9">
        <f t="shared" si="0"/>
      </c>
      <c r="L11719">
        <f t="shared" si="1"/>
      </c>
      <c r="M11719">
        <f t="shared" si="2"/>
      </c>
    </row>
    <row r="11720">
      <c r="G11720" s="9">
        <f t="shared" si="0"/>
      </c>
      <c r="L11720">
        <f t="shared" si="1"/>
      </c>
      <c r="M11720">
        <f t="shared" si="2"/>
      </c>
    </row>
    <row r="11721">
      <c r="G11721" s="9">
        <f t="shared" si="0"/>
      </c>
      <c r="L11721">
        <f t="shared" si="1"/>
      </c>
      <c r="M11721">
        <f t="shared" si="2"/>
      </c>
    </row>
    <row r="11722">
      <c r="G11722" s="9">
        <f t="shared" si="0"/>
      </c>
      <c r="L11722">
        <f t="shared" si="1"/>
      </c>
      <c r="M11722">
        <f t="shared" si="2"/>
      </c>
    </row>
    <row r="11723">
      <c r="G11723" s="9">
        <f t="shared" si="0"/>
      </c>
      <c r="L11723">
        <f t="shared" si="1"/>
      </c>
      <c r="M11723">
        <f t="shared" si="2"/>
      </c>
    </row>
    <row r="11724">
      <c r="G11724" s="9">
        <f t="shared" si="0"/>
      </c>
      <c r="L11724">
        <f t="shared" si="1"/>
      </c>
      <c r="M11724">
        <f t="shared" si="2"/>
      </c>
    </row>
    <row r="11725">
      <c r="G11725" s="9">
        <f t="shared" si="0"/>
      </c>
      <c r="L11725">
        <f t="shared" si="1"/>
      </c>
      <c r="M11725">
        <f t="shared" si="2"/>
      </c>
    </row>
    <row r="11726">
      <c r="G11726" s="9">
        <f t="shared" si="0"/>
      </c>
      <c r="L11726">
        <f t="shared" si="1"/>
      </c>
      <c r="M11726">
        <f t="shared" si="2"/>
      </c>
    </row>
    <row r="11727">
      <c r="G11727" s="9">
        <f t="shared" si="0"/>
      </c>
      <c r="L11727">
        <f t="shared" si="1"/>
      </c>
      <c r="M11727">
        <f t="shared" si="2"/>
      </c>
    </row>
    <row r="11728">
      <c r="G11728" s="9">
        <f t="shared" si="0"/>
      </c>
      <c r="L11728">
        <f t="shared" si="1"/>
      </c>
      <c r="M11728">
        <f t="shared" si="2"/>
      </c>
    </row>
    <row r="11729">
      <c r="G11729" s="9">
        <f t="shared" si="0"/>
      </c>
      <c r="L11729">
        <f t="shared" si="1"/>
      </c>
      <c r="M11729">
        <f t="shared" si="2"/>
      </c>
    </row>
    <row r="11730">
      <c r="G11730" s="9">
        <f t="shared" si="0"/>
      </c>
      <c r="L11730">
        <f t="shared" si="1"/>
      </c>
      <c r="M11730">
        <f t="shared" si="2"/>
      </c>
    </row>
    <row r="11731">
      <c r="G11731" s="9">
        <f t="shared" si="0"/>
      </c>
      <c r="L11731">
        <f t="shared" si="1"/>
      </c>
      <c r="M11731">
        <f t="shared" si="2"/>
      </c>
    </row>
    <row r="11732">
      <c r="G11732" s="9">
        <f t="shared" si="0"/>
      </c>
      <c r="L11732">
        <f t="shared" si="1"/>
      </c>
      <c r="M11732">
        <f t="shared" si="2"/>
      </c>
    </row>
    <row r="11733">
      <c r="G11733" s="9">
        <f t="shared" si="0"/>
      </c>
      <c r="L11733">
        <f t="shared" si="1"/>
      </c>
      <c r="M11733">
        <f t="shared" si="2"/>
      </c>
    </row>
    <row r="11734">
      <c r="G11734" s="9">
        <f t="shared" si="0"/>
      </c>
      <c r="L11734">
        <f t="shared" si="1"/>
      </c>
      <c r="M11734">
        <f t="shared" si="2"/>
      </c>
    </row>
    <row r="11735">
      <c r="G11735" s="9">
        <f t="shared" si="0"/>
      </c>
      <c r="L11735">
        <f t="shared" si="1"/>
      </c>
      <c r="M11735">
        <f t="shared" si="2"/>
      </c>
    </row>
    <row r="11736">
      <c r="G11736" s="9">
        <f t="shared" si="0"/>
      </c>
      <c r="L11736">
        <f t="shared" si="1"/>
      </c>
      <c r="M11736">
        <f t="shared" si="2"/>
      </c>
    </row>
    <row r="11737">
      <c r="G11737" s="9">
        <f t="shared" si="0"/>
      </c>
      <c r="L11737">
        <f t="shared" si="1"/>
      </c>
      <c r="M11737">
        <f t="shared" si="2"/>
      </c>
    </row>
    <row r="11738">
      <c r="G11738" s="9">
        <f t="shared" si="0"/>
      </c>
      <c r="L11738">
        <f t="shared" si="1"/>
      </c>
      <c r="M11738">
        <f t="shared" si="2"/>
      </c>
    </row>
    <row r="11739">
      <c r="G11739" s="9">
        <f t="shared" si="0"/>
      </c>
      <c r="L11739">
        <f t="shared" si="1"/>
      </c>
      <c r="M11739">
        <f t="shared" si="2"/>
      </c>
    </row>
    <row r="11740">
      <c r="G11740" s="9">
        <f t="shared" si="0"/>
      </c>
      <c r="L11740">
        <f t="shared" si="1"/>
      </c>
      <c r="M11740">
        <f t="shared" si="2"/>
      </c>
    </row>
    <row r="11741">
      <c r="G11741" s="9">
        <f t="shared" si="0"/>
      </c>
      <c r="L11741">
        <f t="shared" si="1"/>
      </c>
      <c r="M11741">
        <f t="shared" si="2"/>
      </c>
    </row>
    <row r="11742">
      <c r="G11742" s="9">
        <f t="shared" si="0"/>
      </c>
      <c r="L11742">
        <f t="shared" si="1"/>
      </c>
      <c r="M11742">
        <f t="shared" si="2"/>
      </c>
    </row>
    <row r="11743">
      <c r="G11743" s="9">
        <f t="shared" si="0"/>
      </c>
      <c r="L11743">
        <f t="shared" si="1"/>
      </c>
      <c r="M11743">
        <f t="shared" si="2"/>
      </c>
    </row>
    <row r="11744">
      <c r="G11744" s="9">
        <f t="shared" si="0"/>
      </c>
      <c r="L11744">
        <f t="shared" si="1"/>
      </c>
      <c r="M11744">
        <f t="shared" si="2"/>
      </c>
    </row>
    <row r="11745">
      <c r="G11745" s="9">
        <f t="shared" si="0"/>
      </c>
      <c r="L11745">
        <f t="shared" si="1"/>
      </c>
      <c r="M11745">
        <f t="shared" si="2"/>
      </c>
    </row>
    <row r="11746">
      <c r="G11746" s="9">
        <f t="shared" si="0"/>
      </c>
      <c r="L11746">
        <f t="shared" si="1"/>
      </c>
      <c r="M11746">
        <f t="shared" si="2"/>
      </c>
    </row>
    <row r="11747">
      <c r="G11747" s="9">
        <f t="shared" si="0"/>
      </c>
      <c r="L11747">
        <f t="shared" si="1"/>
      </c>
      <c r="M11747">
        <f t="shared" si="2"/>
      </c>
    </row>
    <row r="11748">
      <c r="G11748" s="9">
        <f t="shared" si="0"/>
      </c>
      <c r="L11748">
        <f t="shared" si="1"/>
      </c>
      <c r="M11748">
        <f t="shared" si="2"/>
      </c>
    </row>
    <row r="11749">
      <c r="G11749" s="9">
        <f t="shared" si="0"/>
      </c>
      <c r="L11749">
        <f t="shared" si="1"/>
      </c>
      <c r="M11749">
        <f t="shared" si="2"/>
      </c>
    </row>
    <row r="11750">
      <c r="G11750" s="9">
        <f t="shared" si="0"/>
      </c>
      <c r="L11750">
        <f t="shared" si="1"/>
      </c>
      <c r="M11750">
        <f t="shared" si="2"/>
      </c>
    </row>
    <row r="11751">
      <c r="G11751" s="9">
        <f t="shared" si="0"/>
      </c>
      <c r="L11751">
        <f t="shared" si="1"/>
      </c>
      <c r="M11751">
        <f t="shared" si="2"/>
      </c>
    </row>
    <row r="11752">
      <c r="G11752" s="9">
        <f t="shared" si="0"/>
      </c>
      <c r="L11752">
        <f t="shared" si="1"/>
      </c>
      <c r="M11752">
        <f t="shared" si="2"/>
      </c>
    </row>
    <row r="11753">
      <c r="G11753" s="9">
        <f t="shared" si="0"/>
      </c>
      <c r="L11753">
        <f t="shared" si="1"/>
      </c>
      <c r="M11753">
        <f t="shared" si="2"/>
      </c>
    </row>
    <row r="11754">
      <c r="G11754" s="9">
        <f t="shared" si="0"/>
      </c>
      <c r="L11754">
        <f t="shared" si="1"/>
      </c>
      <c r="M11754">
        <f t="shared" si="2"/>
      </c>
    </row>
    <row r="11755">
      <c r="G11755" s="9">
        <f t="shared" si="0"/>
      </c>
      <c r="L11755">
        <f t="shared" si="1"/>
      </c>
      <c r="M11755">
        <f t="shared" si="2"/>
      </c>
    </row>
    <row r="11756">
      <c r="G11756" s="9">
        <f t="shared" si="0"/>
      </c>
      <c r="L11756">
        <f t="shared" si="1"/>
      </c>
      <c r="M11756">
        <f t="shared" si="2"/>
      </c>
    </row>
    <row r="11757">
      <c r="G11757" s="9">
        <f t="shared" si="0"/>
      </c>
      <c r="L11757">
        <f t="shared" si="1"/>
      </c>
      <c r="M11757">
        <f t="shared" si="2"/>
      </c>
    </row>
    <row r="11758">
      <c r="G11758" s="9">
        <f t="shared" si="0"/>
      </c>
      <c r="L11758">
        <f t="shared" si="1"/>
      </c>
      <c r="M11758">
        <f t="shared" si="2"/>
      </c>
    </row>
    <row r="11759">
      <c r="G11759" s="9">
        <f t="shared" si="0"/>
      </c>
      <c r="L11759">
        <f t="shared" si="1"/>
      </c>
      <c r="M11759">
        <f t="shared" si="2"/>
      </c>
    </row>
    <row r="11760">
      <c r="G11760" s="9">
        <f t="shared" si="0"/>
      </c>
      <c r="L11760">
        <f t="shared" si="1"/>
      </c>
      <c r="M11760">
        <f t="shared" si="2"/>
      </c>
    </row>
    <row r="11761">
      <c r="G11761" s="9">
        <f t="shared" si="0"/>
      </c>
      <c r="L11761">
        <f t="shared" si="1"/>
      </c>
      <c r="M11761">
        <f t="shared" si="2"/>
      </c>
    </row>
    <row r="11762">
      <c r="G11762" s="9">
        <f t="shared" si="0"/>
      </c>
      <c r="L11762">
        <f t="shared" si="1"/>
      </c>
      <c r="M11762">
        <f t="shared" si="2"/>
      </c>
    </row>
    <row r="11763">
      <c r="G11763" s="9">
        <f t="shared" si="0"/>
      </c>
      <c r="L11763">
        <f t="shared" si="1"/>
      </c>
      <c r="M11763">
        <f t="shared" si="2"/>
      </c>
    </row>
    <row r="11764">
      <c r="G11764" s="9">
        <f t="shared" si="0"/>
      </c>
      <c r="L11764">
        <f t="shared" si="1"/>
      </c>
      <c r="M11764">
        <f t="shared" si="2"/>
      </c>
    </row>
    <row r="11765">
      <c r="G11765" s="9">
        <f t="shared" si="0"/>
      </c>
      <c r="L11765">
        <f t="shared" si="1"/>
      </c>
      <c r="M11765">
        <f t="shared" si="2"/>
      </c>
    </row>
    <row r="11766">
      <c r="G11766" s="9">
        <f t="shared" si="0"/>
      </c>
      <c r="L11766">
        <f t="shared" si="1"/>
      </c>
      <c r="M11766">
        <f t="shared" si="2"/>
      </c>
    </row>
    <row r="11767">
      <c r="G11767" s="9">
        <f t="shared" si="0"/>
      </c>
      <c r="L11767">
        <f t="shared" si="1"/>
      </c>
      <c r="M11767">
        <f t="shared" si="2"/>
      </c>
    </row>
    <row r="11768">
      <c r="G11768" s="9">
        <f t="shared" si="0"/>
      </c>
      <c r="L11768">
        <f t="shared" si="1"/>
      </c>
      <c r="M11768">
        <f t="shared" si="2"/>
      </c>
    </row>
    <row r="11769">
      <c r="G11769" s="9">
        <f t="shared" si="0"/>
      </c>
      <c r="L11769">
        <f t="shared" si="1"/>
      </c>
      <c r="M11769">
        <f t="shared" si="2"/>
      </c>
    </row>
    <row r="11770">
      <c r="G11770" s="9">
        <f t="shared" si="0"/>
      </c>
      <c r="L11770">
        <f t="shared" si="1"/>
      </c>
      <c r="M11770">
        <f t="shared" si="2"/>
      </c>
    </row>
    <row r="11771">
      <c r="G11771" s="9">
        <f t="shared" si="0"/>
      </c>
      <c r="L11771">
        <f t="shared" si="1"/>
      </c>
      <c r="M11771">
        <f t="shared" si="2"/>
      </c>
    </row>
    <row r="11772">
      <c r="G11772" s="9">
        <f t="shared" si="0"/>
      </c>
      <c r="L11772">
        <f t="shared" si="1"/>
      </c>
      <c r="M11772">
        <f t="shared" si="2"/>
      </c>
    </row>
    <row r="11773">
      <c r="G11773" s="9">
        <f t="shared" si="0"/>
      </c>
      <c r="L11773">
        <f t="shared" si="1"/>
      </c>
      <c r="M11773">
        <f t="shared" si="2"/>
      </c>
    </row>
    <row r="11774">
      <c r="G11774" s="9">
        <f t="shared" si="0"/>
      </c>
      <c r="L11774">
        <f t="shared" si="1"/>
      </c>
      <c r="M11774">
        <f t="shared" si="2"/>
      </c>
    </row>
    <row r="11775">
      <c r="G11775" s="9">
        <f t="shared" si="0"/>
      </c>
      <c r="L11775">
        <f t="shared" si="1"/>
      </c>
      <c r="M11775">
        <f t="shared" si="2"/>
      </c>
    </row>
    <row r="11776">
      <c r="G11776" s="9">
        <f t="shared" si="0"/>
      </c>
      <c r="L11776">
        <f t="shared" si="1"/>
      </c>
      <c r="M11776">
        <f t="shared" si="2"/>
      </c>
    </row>
    <row r="11777">
      <c r="G11777" s="9">
        <f t="shared" si="0"/>
      </c>
      <c r="L11777">
        <f t="shared" si="1"/>
      </c>
      <c r="M11777">
        <f t="shared" si="2"/>
      </c>
    </row>
    <row r="11778">
      <c r="G11778" s="9">
        <f t="shared" si="0"/>
      </c>
      <c r="L11778">
        <f t="shared" si="1"/>
      </c>
      <c r="M11778">
        <f t="shared" si="2"/>
      </c>
    </row>
    <row r="11779">
      <c r="G11779" s="9">
        <f t="shared" si="0"/>
      </c>
      <c r="L11779">
        <f t="shared" si="1"/>
      </c>
      <c r="M11779">
        <f t="shared" si="2"/>
      </c>
    </row>
    <row r="11780">
      <c r="G11780" s="9">
        <f t="shared" si="0"/>
      </c>
      <c r="L11780">
        <f t="shared" si="1"/>
      </c>
      <c r="M11780">
        <f t="shared" si="2"/>
      </c>
    </row>
    <row r="11781">
      <c r="G11781" s="9">
        <f t="shared" si="0"/>
      </c>
      <c r="L11781">
        <f t="shared" si="1"/>
      </c>
      <c r="M11781">
        <f t="shared" si="2"/>
      </c>
    </row>
    <row r="11782">
      <c r="G11782" s="9">
        <f t="shared" si="0"/>
      </c>
      <c r="L11782">
        <f t="shared" si="1"/>
      </c>
      <c r="M11782">
        <f t="shared" si="2"/>
      </c>
    </row>
    <row r="11783">
      <c r="G11783" s="9">
        <f t="shared" si="0"/>
      </c>
      <c r="L11783">
        <f t="shared" si="1"/>
      </c>
      <c r="M11783">
        <f t="shared" si="2"/>
      </c>
    </row>
    <row r="11784">
      <c r="G11784" s="9">
        <f t="shared" si="0"/>
      </c>
      <c r="L11784">
        <f t="shared" si="1"/>
      </c>
      <c r="M11784">
        <f t="shared" si="2"/>
      </c>
    </row>
    <row r="11785">
      <c r="G11785" s="9">
        <f t="shared" si="0"/>
      </c>
      <c r="L11785">
        <f t="shared" si="1"/>
      </c>
      <c r="M11785">
        <f t="shared" si="2"/>
      </c>
    </row>
    <row r="11786">
      <c r="G11786" s="9">
        <f t="shared" si="0"/>
      </c>
      <c r="L11786">
        <f t="shared" si="1"/>
      </c>
      <c r="M11786">
        <f t="shared" si="2"/>
      </c>
    </row>
    <row r="11787">
      <c r="G11787" s="9">
        <f t="shared" si="0"/>
      </c>
      <c r="L11787">
        <f t="shared" si="1"/>
      </c>
      <c r="M11787">
        <f t="shared" si="2"/>
      </c>
    </row>
    <row r="11788">
      <c r="G11788" s="9">
        <f t="shared" si="0"/>
      </c>
      <c r="L11788">
        <f t="shared" si="1"/>
      </c>
      <c r="M11788">
        <f t="shared" si="2"/>
      </c>
    </row>
    <row r="11789">
      <c r="G11789" s="9">
        <f t="shared" si="0"/>
      </c>
      <c r="L11789">
        <f t="shared" si="1"/>
      </c>
      <c r="M11789">
        <f t="shared" si="2"/>
      </c>
    </row>
    <row r="11790">
      <c r="G11790" s="9">
        <f t="shared" si="0"/>
      </c>
      <c r="L11790">
        <f t="shared" si="1"/>
      </c>
      <c r="M11790">
        <f t="shared" si="2"/>
      </c>
    </row>
    <row r="11791">
      <c r="G11791" s="9">
        <f t="shared" si="0"/>
      </c>
      <c r="L11791">
        <f t="shared" si="1"/>
      </c>
      <c r="M11791">
        <f t="shared" si="2"/>
      </c>
    </row>
    <row r="11792">
      <c r="G11792" s="9">
        <f t="shared" si="0"/>
      </c>
      <c r="L11792">
        <f t="shared" si="1"/>
      </c>
      <c r="M11792">
        <f t="shared" si="2"/>
      </c>
    </row>
    <row r="11793">
      <c r="G11793" s="9">
        <f t="shared" si="0"/>
      </c>
      <c r="L11793">
        <f t="shared" si="1"/>
      </c>
      <c r="M11793">
        <f t="shared" si="2"/>
      </c>
    </row>
    <row r="11794">
      <c r="G11794" s="9">
        <f t="shared" si="0"/>
      </c>
      <c r="L11794">
        <f t="shared" si="1"/>
      </c>
      <c r="M11794">
        <f t="shared" si="2"/>
      </c>
    </row>
    <row r="11795">
      <c r="G11795" s="9">
        <f t="shared" si="0"/>
      </c>
      <c r="L11795">
        <f t="shared" si="1"/>
      </c>
      <c r="M11795">
        <f t="shared" si="2"/>
      </c>
    </row>
    <row r="11796">
      <c r="G11796" s="9">
        <f t="shared" si="0"/>
      </c>
      <c r="L11796">
        <f t="shared" si="1"/>
      </c>
      <c r="M11796">
        <f t="shared" si="2"/>
      </c>
    </row>
    <row r="11797">
      <c r="G11797" s="9">
        <f t="shared" si="0"/>
      </c>
      <c r="L11797">
        <f t="shared" si="1"/>
      </c>
      <c r="M11797">
        <f t="shared" si="2"/>
      </c>
    </row>
    <row r="11798">
      <c r="G11798" s="9">
        <f t="shared" si="0"/>
      </c>
      <c r="L11798">
        <f t="shared" si="1"/>
      </c>
      <c r="M11798">
        <f t="shared" si="2"/>
      </c>
    </row>
    <row r="11799">
      <c r="G11799" s="9">
        <f t="shared" si="0"/>
      </c>
      <c r="L11799">
        <f t="shared" si="1"/>
      </c>
      <c r="M11799">
        <f t="shared" si="2"/>
      </c>
    </row>
    <row r="11800">
      <c r="G11800" s="9">
        <f t="shared" si="0"/>
      </c>
      <c r="L11800">
        <f t="shared" si="1"/>
      </c>
      <c r="M11800">
        <f t="shared" si="2"/>
      </c>
    </row>
    <row r="11801">
      <c r="G11801" s="9">
        <f t="shared" si="0"/>
      </c>
      <c r="L11801">
        <f t="shared" si="1"/>
      </c>
      <c r="M11801">
        <f t="shared" si="2"/>
      </c>
    </row>
    <row r="11802">
      <c r="G11802" s="9">
        <f t="shared" si="0"/>
      </c>
      <c r="L11802">
        <f t="shared" si="1"/>
      </c>
      <c r="M11802">
        <f t="shared" si="2"/>
      </c>
    </row>
    <row r="11803">
      <c r="G11803" s="9">
        <f t="shared" si="0"/>
      </c>
      <c r="L11803">
        <f t="shared" si="1"/>
      </c>
      <c r="M11803">
        <f t="shared" si="2"/>
      </c>
    </row>
    <row r="11804">
      <c r="G11804" s="9">
        <f t="shared" si="0"/>
      </c>
      <c r="L11804">
        <f t="shared" si="1"/>
      </c>
      <c r="M11804">
        <f t="shared" si="2"/>
      </c>
    </row>
    <row r="11805">
      <c r="G11805" s="9">
        <f t="shared" si="0"/>
      </c>
      <c r="L11805">
        <f t="shared" si="1"/>
      </c>
      <c r="M11805">
        <f t="shared" si="2"/>
      </c>
    </row>
    <row r="11806">
      <c r="G11806" s="9">
        <f t="shared" si="0"/>
      </c>
      <c r="L11806">
        <f t="shared" si="1"/>
      </c>
      <c r="M11806">
        <f t="shared" si="2"/>
      </c>
    </row>
    <row r="11807">
      <c r="G11807" s="9">
        <f t="shared" si="0"/>
      </c>
      <c r="L11807">
        <f t="shared" si="1"/>
      </c>
      <c r="M11807">
        <f t="shared" si="2"/>
      </c>
    </row>
    <row r="11808">
      <c r="G11808" s="9">
        <f t="shared" si="0"/>
      </c>
      <c r="L11808">
        <f t="shared" si="1"/>
      </c>
      <c r="M11808">
        <f t="shared" si="2"/>
      </c>
    </row>
    <row r="11809">
      <c r="G11809" s="9">
        <f t="shared" si="0"/>
      </c>
      <c r="L11809">
        <f t="shared" si="1"/>
      </c>
      <c r="M11809">
        <f t="shared" si="2"/>
      </c>
    </row>
    <row r="11810">
      <c r="G11810" s="9">
        <f t="shared" si="0"/>
      </c>
      <c r="L11810">
        <f t="shared" si="1"/>
      </c>
      <c r="M11810">
        <f t="shared" si="2"/>
      </c>
    </row>
    <row r="11811">
      <c r="G11811" s="9">
        <f t="shared" si="0"/>
      </c>
      <c r="L11811">
        <f t="shared" si="1"/>
      </c>
      <c r="M11811">
        <f t="shared" si="2"/>
      </c>
    </row>
    <row r="11812">
      <c r="G11812" s="9">
        <f t="shared" si="0"/>
      </c>
      <c r="L11812">
        <f t="shared" si="1"/>
      </c>
      <c r="M11812">
        <f t="shared" si="2"/>
      </c>
    </row>
    <row r="11813">
      <c r="G11813" s="9">
        <f t="shared" si="0"/>
      </c>
      <c r="L11813">
        <f t="shared" si="1"/>
      </c>
      <c r="M11813">
        <f t="shared" si="2"/>
      </c>
    </row>
    <row r="11814">
      <c r="G11814" s="9">
        <f t="shared" si="0"/>
      </c>
      <c r="L11814">
        <f t="shared" si="1"/>
      </c>
      <c r="M11814">
        <f t="shared" si="2"/>
      </c>
    </row>
    <row r="11815">
      <c r="G11815" s="9">
        <f t="shared" si="0"/>
      </c>
      <c r="L11815">
        <f t="shared" si="1"/>
      </c>
      <c r="M11815">
        <f t="shared" si="2"/>
      </c>
    </row>
    <row r="11816">
      <c r="G11816" s="9">
        <f t="shared" si="0"/>
      </c>
      <c r="L11816">
        <f t="shared" si="1"/>
      </c>
      <c r="M11816">
        <f t="shared" si="2"/>
      </c>
    </row>
    <row r="11817">
      <c r="G11817" s="9">
        <f t="shared" si="0"/>
      </c>
      <c r="L11817">
        <f t="shared" si="1"/>
      </c>
      <c r="M11817">
        <f t="shared" si="2"/>
      </c>
    </row>
    <row r="11818">
      <c r="G11818" s="9">
        <f t="shared" si="0"/>
      </c>
      <c r="L11818">
        <f t="shared" si="1"/>
      </c>
      <c r="M11818">
        <f t="shared" si="2"/>
      </c>
    </row>
    <row r="11819">
      <c r="G11819" s="9">
        <f t="shared" si="0"/>
      </c>
      <c r="L11819">
        <f t="shared" si="1"/>
      </c>
      <c r="M11819">
        <f t="shared" si="2"/>
      </c>
    </row>
    <row r="11820">
      <c r="G11820" s="9">
        <f t="shared" si="0"/>
      </c>
      <c r="L11820">
        <f t="shared" si="1"/>
      </c>
      <c r="M11820">
        <f t="shared" si="2"/>
      </c>
    </row>
    <row r="11821">
      <c r="G11821" s="9">
        <f t="shared" si="0"/>
      </c>
      <c r="L11821">
        <f t="shared" si="1"/>
      </c>
      <c r="M11821">
        <f t="shared" si="2"/>
      </c>
    </row>
    <row r="11822">
      <c r="G11822" s="9">
        <f t="shared" si="0"/>
      </c>
      <c r="L11822">
        <f t="shared" si="1"/>
      </c>
      <c r="M11822">
        <f t="shared" si="2"/>
      </c>
    </row>
    <row r="11823">
      <c r="G11823" s="9">
        <f t="shared" si="0"/>
      </c>
      <c r="L11823">
        <f t="shared" si="1"/>
      </c>
      <c r="M11823">
        <f t="shared" si="2"/>
      </c>
    </row>
    <row r="11824">
      <c r="G11824" s="9">
        <f t="shared" si="0"/>
      </c>
      <c r="L11824">
        <f t="shared" si="1"/>
      </c>
      <c r="M11824">
        <f t="shared" si="2"/>
      </c>
    </row>
    <row r="11825">
      <c r="G11825" s="9">
        <f t="shared" si="0"/>
      </c>
      <c r="L11825">
        <f t="shared" si="1"/>
      </c>
      <c r="M11825">
        <f t="shared" si="2"/>
      </c>
    </row>
    <row r="11826">
      <c r="G11826" s="9">
        <f t="shared" si="0"/>
      </c>
      <c r="L11826">
        <f t="shared" si="1"/>
      </c>
      <c r="M11826">
        <f t="shared" si="2"/>
      </c>
    </row>
    <row r="11827">
      <c r="G11827" s="9">
        <f t="shared" si="0"/>
      </c>
      <c r="L11827">
        <f t="shared" si="1"/>
      </c>
      <c r="M11827">
        <f t="shared" si="2"/>
      </c>
    </row>
    <row r="11828">
      <c r="G11828" s="9">
        <f t="shared" si="0"/>
      </c>
      <c r="L11828">
        <f t="shared" si="1"/>
      </c>
      <c r="M11828">
        <f t="shared" si="2"/>
      </c>
    </row>
    <row r="11829">
      <c r="G11829" s="9">
        <f t="shared" si="0"/>
      </c>
      <c r="L11829">
        <f t="shared" si="1"/>
      </c>
      <c r="M11829">
        <f t="shared" si="2"/>
      </c>
    </row>
    <row r="11830">
      <c r="G11830" s="9">
        <f t="shared" si="0"/>
      </c>
      <c r="L11830">
        <f t="shared" si="1"/>
      </c>
      <c r="M11830">
        <f t="shared" si="2"/>
      </c>
    </row>
    <row r="11831">
      <c r="G11831" s="9">
        <f t="shared" si="0"/>
      </c>
      <c r="L11831">
        <f t="shared" si="1"/>
      </c>
      <c r="M11831">
        <f t="shared" si="2"/>
      </c>
    </row>
    <row r="11832">
      <c r="G11832" s="9">
        <f t="shared" si="0"/>
      </c>
      <c r="L11832">
        <f t="shared" si="1"/>
      </c>
      <c r="M11832">
        <f t="shared" si="2"/>
      </c>
    </row>
    <row r="11833">
      <c r="G11833" s="9">
        <f t="shared" si="0"/>
      </c>
      <c r="L11833">
        <f t="shared" si="1"/>
      </c>
      <c r="M11833">
        <f t="shared" si="2"/>
      </c>
    </row>
    <row r="11834">
      <c r="G11834" s="9">
        <f t="shared" si="0"/>
      </c>
      <c r="L11834">
        <f t="shared" si="1"/>
      </c>
      <c r="M11834">
        <f t="shared" si="2"/>
      </c>
    </row>
    <row r="11835">
      <c r="G11835" s="9">
        <f t="shared" si="0"/>
      </c>
      <c r="L11835">
        <f t="shared" si="1"/>
      </c>
      <c r="M11835">
        <f t="shared" si="2"/>
      </c>
    </row>
    <row r="11836">
      <c r="G11836" s="9">
        <f t="shared" si="0"/>
      </c>
      <c r="L11836">
        <f t="shared" si="1"/>
      </c>
      <c r="M11836">
        <f t="shared" si="2"/>
      </c>
    </row>
    <row r="11837">
      <c r="G11837" s="9">
        <f t="shared" si="0"/>
      </c>
      <c r="L11837">
        <f t="shared" si="1"/>
      </c>
      <c r="M11837">
        <f t="shared" si="2"/>
      </c>
    </row>
    <row r="11838">
      <c r="G11838" s="9">
        <f t="shared" si="0"/>
      </c>
      <c r="L11838">
        <f t="shared" si="1"/>
      </c>
      <c r="M11838">
        <f t="shared" si="2"/>
      </c>
    </row>
    <row r="11839">
      <c r="G11839" s="9">
        <f t="shared" si="0"/>
      </c>
      <c r="L11839">
        <f t="shared" si="1"/>
      </c>
      <c r="M11839">
        <f t="shared" si="2"/>
      </c>
    </row>
    <row r="11840">
      <c r="G11840" s="9">
        <f t="shared" si="0"/>
      </c>
      <c r="L11840">
        <f t="shared" si="1"/>
      </c>
      <c r="M11840">
        <f t="shared" si="2"/>
      </c>
    </row>
    <row r="11841">
      <c r="G11841" s="9">
        <f t="shared" si="0"/>
      </c>
      <c r="L11841">
        <f t="shared" si="1"/>
      </c>
      <c r="M11841">
        <f t="shared" si="2"/>
      </c>
    </row>
    <row r="11842">
      <c r="G11842" s="9">
        <f t="shared" si="0"/>
      </c>
      <c r="L11842">
        <f t="shared" si="1"/>
      </c>
      <c r="M11842">
        <f t="shared" si="2"/>
      </c>
    </row>
    <row r="11843">
      <c r="G11843" s="9">
        <f t="shared" si="0"/>
      </c>
      <c r="L11843">
        <f t="shared" si="1"/>
      </c>
      <c r="M11843">
        <f t="shared" si="2"/>
      </c>
    </row>
    <row r="11844">
      <c r="G11844" s="9">
        <f t="shared" si="0"/>
      </c>
      <c r="L11844">
        <f t="shared" si="1"/>
      </c>
      <c r="M11844">
        <f t="shared" si="2"/>
      </c>
    </row>
    <row r="11845">
      <c r="G11845" s="9">
        <f t="shared" si="0"/>
      </c>
      <c r="L11845">
        <f t="shared" si="1"/>
      </c>
      <c r="M11845">
        <f t="shared" si="2"/>
      </c>
    </row>
    <row r="11846">
      <c r="G11846" s="9">
        <f t="shared" si="0"/>
      </c>
      <c r="L11846">
        <f t="shared" si="1"/>
      </c>
      <c r="M11846">
        <f t="shared" si="2"/>
      </c>
    </row>
    <row r="11847">
      <c r="G11847" s="9">
        <f t="shared" si="0"/>
      </c>
      <c r="L11847">
        <f t="shared" si="1"/>
      </c>
      <c r="M11847">
        <f t="shared" si="2"/>
      </c>
    </row>
    <row r="11848">
      <c r="G11848" s="9">
        <f t="shared" si="0"/>
      </c>
      <c r="L11848">
        <f t="shared" si="1"/>
      </c>
      <c r="M11848">
        <f t="shared" si="2"/>
      </c>
    </row>
    <row r="11849">
      <c r="G11849" s="9">
        <f t="shared" si="0"/>
      </c>
      <c r="L11849">
        <f t="shared" si="1"/>
      </c>
      <c r="M11849">
        <f t="shared" si="2"/>
      </c>
    </row>
    <row r="11850">
      <c r="G11850" s="9">
        <f t="shared" si="0"/>
      </c>
      <c r="L11850">
        <f t="shared" si="1"/>
      </c>
      <c r="M11850">
        <f t="shared" si="2"/>
      </c>
    </row>
    <row r="11851">
      <c r="G11851" s="9">
        <f t="shared" si="0"/>
      </c>
      <c r="L11851">
        <f t="shared" si="1"/>
      </c>
      <c r="M11851">
        <f t="shared" si="2"/>
      </c>
    </row>
    <row r="11852">
      <c r="G11852" s="9">
        <f t="shared" si="0"/>
      </c>
      <c r="L11852">
        <f t="shared" si="1"/>
      </c>
      <c r="M11852">
        <f t="shared" si="2"/>
      </c>
    </row>
    <row r="11853">
      <c r="G11853" s="9">
        <f t="shared" si="0"/>
      </c>
      <c r="L11853">
        <f t="shared" si="1"/>
      </c>
      <c r="M11853">
        <f t="shared" si="2"/>
      </c>
    </row>
    <row r="11854">
      <c r="G11854" s="9">
        <f t="shared" si="0"/>
      </c>
      <c r="L11854">
        <f t="shared" si="1"/>
      </c>
      <c r="M11854">
        <f t="shared" si="2"/>
      </c>
    </row>
    <row r="11855">
      <c r="G11855" s="9">
        <f t="shared" si="0"/>
      </c>
      <c r="L11855">
        <f t="shared" si="1"/>
      </c>
      <c r="M11855">
        <f t="shared" si="2"/>
      </c>
    </row>
    <row r="11856">
      <c r="G11856" s="9">
        <f t="shared" si="0"/>
      </c>
      <c r="L11856">
        <f t="shared" si="1"/>
      </c>
      <c r="M11856">
        <f t="shared" si="2"/>
      </c>
    </row>
    <row r="11857">
      <c r="G11857" s="9">
        <f t="shared" si="0"/>
      </c>
      <c r="L11857">
        <f t="shared" si="1"/>
      </c>
      <c r="M11857">
        <f t="shared" si="2"/>
      </c>
    </row>
    <row r="11858">
      <c r="G11858" s="9">
        <f t="shared" si="0"/>
      </c>
      <c r="L11858">
        <f t="shared" si="1"/>
      </c>
      <c r="M11858">
        <f t="shared" si="2"/>
      </c>
    </row>
    <row r="11859">
      <c r="G11859" s="9">
        <f t="shared" si="0"/>
      </c>
      <c r="L11859">
        <f t="shared" si="1"/>
      </c>
      <c r="M11859">
        <f t="shared" si="2"/>
      </c>
    </row>
    <row r="11860">
      <c r="G11860" s="9">
        <f t="shared" si="0"/>
      </c>
      <c r="L11860">
        <f t="shared" si="1"/>
      </c>
      <c r="M11860">
        <f t="shared" si="2"/>
      </c>
    </row>
    <row r="11861">
      <c r="G11861" s="9">
        <f t="shared" si="0"/>
      </c>
      <c r="L11861">
        <f t="shared" si="1"/>
      </c>
      <c r="M11861">
        <f t="shared" si="2"/>
      </c>
    </row>
    <row r="11862">
      <c r="G11862" s="9">
        <f t="shared" si="0"/>
      </c>
      <c r="L11862">
        <f t="shared" si="1"/>
      </c>
      <c r="M11862">
        <f t="shared" si="2"/>
      </c>
    </row>
    <row r="11863">
      <c r="G11863" s="9">
        <f t="shared" si="0"/>
      </c>
      <c r="L11863">
        <f t="shared" si="1"/>
      </c>
      <c r="M11863">
        <f t="shared" si="2"/>
      </c>
    </row>
    <row r="11864">
      <c r="G11864" s="9">
        <f t="shared" si="0"/>
      </c>
      <c r="L11864">
        <f t="shared" si="1"/>
      </c>
      <c r="M11864">
        <f t="shared" si="2"/>
      </c>
    </row>
    <row r="11865">
      <c r="G11865" s="9">
        <f t="shared" si="0"/>
      </c>
      <c r="L11865">
        <f t="shared" si="1"/>
      </c>
      <c r="M11865">
        <f t="shared" si="2"/>
      </c>
    </row>
    <row r="11866">
      <c r="G11866" s="9">
        <f t="shared" si="0"/>
      </c>
      <c r="L11866">
        <f t="shared" si="1"/>
      </c>
      <c r="M11866">
        <f t="shared" si="2"/>
      </c>
    </row>
    <row r="11867">
      <c r="G11867" s="9">
        <f t="shared" si="0"/>
      </c>
      <c r="L11867">
        <f t="shared" si="1"/>
      </c>
      <c r="M11867">
        <f t="shared" si="2"/>
      </c>
    </row>
    <row r="11868">
      <c r="G11868" s="9">
        <f t="shared" si="0"/>
      </c>
      <c r="L11868">
        <f t="shared" si="1"/>
      </c>
      <c r="M11868">
        <f t="shared" si="2"/>
      </c>
    </row>
    <row r="11869">
      <c r="G11869" s="9">
        <f t="shared" si="0"/>
      </c>
      <c r="L11869">
        <f t="shared" si="1"/>
      </c>
      <c r="M11869">
        <f t="shared" si="2"/>
      </c>
    </row>
    <row r="11870">
      <c r="G11870" s="9">
        <f t="shared" si="0"/>
      </c>
      <c r="L11870">
        <f t="shared" si="1"/>
      </c>
      <c r="M11870">
        <f t="shared" si="2"/>
      </c>
    </row>
    <row r="11871">
      <c r="G11871" s="9">
        <f t="shared" si="0"/>
      </c>
      <c r="L11871">
        <f t="shared" si="1"/>
      </c>
      <c r="M11871">
        <f t="shared" si="2"/>
      </c>
    </row>
    <row r="11872">
      <c r="G11872" s="9">
        <f t="shared" si="0"/>
      </c>
      <c r="L11872">
        <f t="shared" si="1"/>
      </c>
      <c r="M11872">
        <f t="shared" si="2"/>
      </c>
    </row>
    <row r="11873">
      <c r="G11873" s="9">
        <f t="shared" si="0"/>
      </c>
      <c r="L11873">
        <f t="shared" si="1"/>
      </c>
      <c r="M11873">
        <f t="shared" si="2"/>
      </c>
    </row>
    <row r="11874">
      <c r="G11874" s="9">
        <f t="shared" si="0"/>
      </c>
      <c r="L11874">
        <f t="shared" si="1"/>
      </c>
      <c r="M11874">
        <f t="shared" si="2"/>
      </c>
    </row>
    <row r="11875">
      <c r="G11875" s="9">
        <f t="shared" si="0"/>
      </c>
      <c r="L11875">
        <f t="shared" si="1"/>
      </c>
      <c r="M11875">
        <f t="shared" si="2"/>
      </c>
    </row>
    <row r="11876">
      <c r="G11876" s="9">
        <f t="shared" si="0"/>
      </c>
      <c r="L11876">
        <f t="shared" si="1"/>
      </c>
      <c r="M11876">
        <f t="shared" si="2"/>
      </c>
    </row>
    <row r="11877">
      <c r="G11877" s="9">
        <f t="shared" si="0"/>
      </c>
      <c r="L11877">
        <f t="shared" si="1"/>
      </c>
      <c r="M11877">
        <f t="shared" si="2"/>
      </c>
    </row>
    <row r="11878">
      <c r="G11878" s="9">
        <f t="shared" si="0"/>
      </c>
      <c r="L11878">
        <f t="shared" si="1"/>
      </c>
      <c r="M11878">
        <f t="shared" si="2"/>
      </c>
    </row>
    <row r="11879">
      <c r="G11879" s="9">
        <f t="shared" si="0"/>
      </c>
      <c r="L11879">
        <f t="shared" si="1"/>
      </c>
      <c r="M11879">
        <f t="shared" si="2"/>
      </c>
    </row>
    <row r="11880">
      <c r="G11880" s="9">
        <f t="shared" si="0"/>
      </c>
      <c r="L11880">
        <f t="shared" si="1"/>
      </c>
      <c r="M11880">
        <f t="shared" si="2"/>
      </c>
    </row>
    <row r="11881">
      <c r="G11881" s="9">
        <f t="shared" si="0"/>
      </c>
      <c r="L11881">
        <f t="shared" si="1"/>
      </c>
      <c r="M11881">
        <f t="shared" si="2"/>
      </c>
    </row>
    <row r="11882">
      <c r="G11882" s="9">
        <f t="shared" si="0"/>
      </c>
      <c r="L11882">
        <f t="shared" si="1"/>
      </c>
      <c r="M11882">
        <f t="shared" si="2"/>
      </c>
    </row>
    <row r="11883">
      <c r="G11883" s="9">
        <f t="shared" si="0"/>
      </c>
      <c r="L11883">
        <f t="shared" si="1"/>
      </c>
      <c r="M11883">
        <f t="shared" si="2"/>
      </c>
    </row>
    <row r="11884">
      <c r="G11884" s="9">
        <f t="shared" si="0"/>
      </c>
      <c r="L11884">
        <f t="shared" si="1"/>
      </c>
      <c r="M11884">
        <f t="shared" si="2"/>
      </c>
    </row>
    <row r="11885">
      <c r="G11885" s="9">
        <f t="shared" si="0"/>
      </c>
      <c r="L11885">
        <f t="shared" si="1"/>
      </c>
      <c r="M11885">
        <f t="shared" si="2"/>
      </c>
    </row>
    <row r="11886">
      <c r="G11886" s="9">
        <f t="shared" si="0"/>
      </c>
      <c r="L11886">
        <f t="shared" si="1"/>
      </c>
      <c r="M11886">
        <f t="shared" si="2"/>
      </c>
    </row>
    <row r="11887">
      <c r="G11887" s="9">
        <f t="shared" si="0"/>
      </c>
      <c r="L11887">
        <f t="shared" si="1"/>
      </c>
      <c r="M11887">
        <f t="shared" si="2"/>
      </c>
    </row>
    <row r="11888">
      <c r="G11888" s="9">
        <f t="shared" si="0"/>
      </c>
      <c r="L11888">
        <f t="shared" si="1"/>
      </c>
      <c r="M11888">
        <f t="shared" si="2"/>
      </c>
    </row>
    <row r="11889">
      <c r="G11889" s="9">
        <f t="shared" si="0"/>
      </c>
      <c r="L11889">
        <f t="shared" si="1"/>
      </c>
      <c r="M11889">
        <f t="shared" si="2"/>
      </c>
    </row>
    <row r="11890">
      <c r="G11890" s="9">
        <f t="shared" si="0"/>
      </c>
      <c r="L11890">
        <f t="shared" si="1"/>
      </c>
      <c r="M11890">
        <f t="shared" si="2"/>
      </c>
    </row>
    <row r="11891">
      <c r="G11891" s="9">
        <f t="shared" si="0"/>
      </c>
      <c r="L11891">
        <f t="shared" si="1"/>
      </c>
      <c r="M11891">
        <f t="shared" si="2"/>
      </c>
    </row>
    <row r="11892">
      <c r="G11892" s="9">
        <f t="shared" si="0"/>
      </c>
      <c r="L11892">
        <f t="shared" si="1"/>
      </c>
      <c r="M11892">
        <f t="shared" si="2"/>
      </c>
    </row>
    <row r="11893">
      <c r="G11893" s="9">
        <f t="shared" si="0"/>
      </c>
      <c r="L11893">
        <f t="shared" si="1"/>
      </c>
      <c r="M11893">
        <f t="shared" si="2"/>
      </c>
    </row>
    <row r="11894">
      <c r="G11894" s="9">
        <f t="shared" si="0"/>
      </c>
      <c r="L11894">
        <f t="shared" si="1"/>
      </c>
      <c r="M11894">
        <f t="shared" si="2"/>
      </c>
    </row>
    <row r="11895">
      <c r="G11895" s="9">
        <f t="shared" si="0"/>
      </c>
      <c r="L11895">
        <f t="shared" si="1"/>
      </c>
      <c r="M11895">
        <f t="shared" si="2"/>
      </c>
    </row>
    <row r="11896">
      <c r="G11896" s="9">
        <f t="shared" si="0"/>
      </c>
      <c r="L11896">
        <f t="shared" si="1"/>
      </c>
      <c r="M11896">
        <f t="shared" si="2"/>
      </c>
    </row>
    <row r="11897">
      <c r="G11897" s="9">
        <f t="shared" si="0"/>
      </c>
      <c r="L11897">
        <f t="shared" si="1"/>
      </c>
      <c r="M11897">
        <f t="shared" si="2"/>
      </c>
    </row>
    <row r="11898">
      <c r="G11898" s="9">
        <f t="shared" si="0"/>
      </c>
      <c r="L11898">
        <f t="shared" si="1"/>
      </c>
      <c r="M11898">
        <f t="shared" si="2"/>
      </c>
    </row>
    <row r="11899">
      <c r="G11899" s="9">
        <f t="shared" si="0"/>
      </c>
      <c r="L11899">
        <f t="shared" si="1"/>
      </c>
      <c r="M11899">
        <f t="shared" si="2"/>
      </c>
    </row>
    <row r="11900">
      <c r="G11900" s="9">
        <f t="shared" si="0"/>
      </c>
      <c r="L11900">
        <f t="shared" si="1"/>
      </c>
      <c r="M11900">
        <f t="shared" si="2"/>
      </c>
    </row>
    <row r="11901">
      <c r="G11901" s="9">
        <f t="shared" si="0"/>
      </c>
      <c r="L11901">
        <f t="shared" si="1"/>
      </c>
      <c r="M11901">
        <f t="shared" si="2"/>
      </c>
    </row>
    <row r="11902">
      <c r="G11902" s="9">
        <f t="shared" si="0"/>
      </c>
      <c r="L11902">
        <f t="shared" si="1"/>
      </c>
      <c r="M11902">
        <f t="shared" si="2"/>
      </c>
    </row>
    <row r="11903">
      <c r="G11903" s="9">
        <f t="shared" si="0"/>
      </c>
      <c r="L11903">
        <f t="shared" si="1"/>
      </c>
      <c r="M11903">
        <f t="shared" si="2"/>
      </c>
    </row>
    <row r="11904">
      <c r="G11904" s="9">
        <f t="shared" si="0"/>
      </c>
      <c r="L11904">
        <f t="shared" si="1"/>
      </c>
      <c r="M11904">
        <f t="shared" si="2"/>
      </c>
    </row>
    <row r="11905">
      <c r="G11905" s="9">
        <f t="shared" si="0"/>
      </c>
      <c r="L11905">
        <f t="shared" si="1"/>
      </c>
      <c r="M11905">
        <f t="shared" si="2"/>
      </c>
    </row>
    <row r="11906">
      <c r="G11906" s="9">
        <f t="shared" si="0"/>
      </c>
      <c r="L11906">
        <f t="shared" si="1"/>
      </c>
      <c r="M11906">
        <f t="shared" si="2"/>
      </c>
    </row>
    <row r="11907">
      <c r="G11907" s="9">
        <f t="shared" si="0"/>
      </c>
      <c r="L11907">
        <f t="shared" si="1"/>
      </c>
      <c r="M11907">
        <f t="shared" si="2"/>
      </c>
    </row>
    <row r="11908">
      <c r="G11908" s="9">
        <f t="shared" si="0"/>
      </c>
      <c r="L11908">
        <f t="shared" si="1"/>
      </c>
      <c r="M11908">
        <f t="shared" si="2"/>
      </c>
    </row>
    <row r="11909">
      <c r="G11909" s="9">
        <f t="shared" si="0"/>
      </c>
      <c r="L11909">
        <f t="shared" si="1"/>
      </c>
      <c r="M11909">
        <f t="shared" si="2"/>
      </c>
    </row>
    <row r="11910">
      <c r="G11910" s="9">
        <f t="shared" si="0"/>
      </c>
      <c r="L11910">
        <f t="shared" si="1"/>
      </c>
      <c r="M11910">
        <f t="shared" si="2"/>
      </c>
    </row>
    <row r="11911">
      <c r="G11911" s="9">
        <f t="shared" si="0"/>
      </c>
      <c r="L11911">
        <f t="shared" si="1"/>
      </c>
      <c r="M11911">
        <f t="shared" si="2"/>
      </c>
    </row>
    <row r="11912">
      <c r="G11912" s="9">
        <f t="shared" si="0"/>
      </c>
      <c r="L11912">
        <f t="shared" si="1"/>
      </c>
      <c r="M11912">
        <f t="shared" si="2"/>
      </c>
    </row>
    <row r="11913">
      <c r="G11913" s="9">
        <f t="shared" si="0"/>
      </c>
      <c r="L11913">
        <f t="shared" si="1"/>
      </c>
      <c r="M11913">
        <f t="shared" si="2"/>
      </c>
    </row>
    <row r="11914">
      <c r="G11914" s="9">
        <f t="shared" si="0"/>
      </c>
      <c r="L11914">
        <f t="shared" si="1"/>
      </c>
      <c r="M11914">
        <f t="shared" si="2"/>
      </c>
    </row>
    <row r="11915">
      <c r="G11915" s="9">
        <f t="shared" si="0"/>
      </c>
      <c r="L11915">
        <f t="shared" si="1"/>
      </c>
      <c r="M11915">
        <f t="shared" si="2"/>
      </c>
    </row>
    <row r="11916">
      <c r="G11916" s="9">
        <f t="shared" si="0"/>
      </c>
      <c r="L11916">
        <f t="shared" si="1"/>
      </c>
      <c r="M11916">
        <f t="shared" si="2"/>
      </c>
    </row>
    <row r="11917">
      <c r="G11917" s="9">
        <f t="shared" si="0"/>
      </c>
      <c r="L11917">
        <f t="shared" si="1"/>
      </c>
      <c r="M11917">
        <f t="shared" si="2"/>
      </c>
    </row>
    <row r="11918">
      <c r="G11918" s="9">
        <f t="shared" si="0"/>
      </c>
      <c r="L11918">
        <f t="shared" si="1"/>
      </c>
      <c r="M11918">
        <f t="shared" si="2"/>
      </c>
    </row>
    <row r="11919">
      <c r="G11919" s="9">
        <f t="shared" si="0"/>
      </c>
      <c r="L11919">
        <f t="shared" si="1"/>
      </c>
      <c r="M11919">
        <f t="shared" si="2"/>
      </c>
    </row>
    <row r="11920">
      <c r="G11920" s="9">
        <f t="shared" si="0"/>
      </c>
      <c r="L11920">
        <f t="shared" si="1"/>
      </c>
      <c r="M11920">
        <f t="shared" si="2"/>
      </c>
    </row>
    <row r="11921">
      <c r="G11921" s="9">
        <f t="shared" si="0"/>
      </c>
      <c r="L11921">
        <f t="shared" si="1"/>
      </c>
      <c r="M11921">
        <f t="shared" si="2"/>
      </c>
    </row>
    <row r="11922">
      <c r="G11922" s="9">
        <f t="shared" si="0"/>
      </c>
      <c r="L11922">
        <f t="shared" si="1"/>
      </c>
      <c r="M11922">
        <f t="shared" si="2"/>
      </c>
    </row>
    <row r="11923">
      <c r="G11923" s="9">
        <f t="shared" si="0"/>
      </c>
      <c r="L11923">
        <f t="shared" si="1"/>
      </c>
      <c r="M11923">
        <f t="shared" si="2"/>
      </c>
    </row>
    <row r="11924">
      <c r="G11924" s="9">
        <f t="shared" si="0"/>
      </c>
      <c r="L11924">
        <f t="shared" si="1"/>
      </c>
      <c r="M11924">
        <f t="shared" si="2"/>
      </c>
    </row>
    <row r="11925">
      <c r="G11925" s="9">
        <f t="shared" si="0"/>
      </c>
      <c r="L11925">
        <f t="shared" si="1"/>
      </c>
      <c r="M11925">
        <f t="shared" si="2"/>
      </c>
    </row>
    <row r="11926">
      <c r="G11926" s="9">
        <f t="shared" si="0"/>
      </c>
      <c r="L11926">
        <f t="shared" si="1"/>
      </c>
      <c r="M11926">
        <f t="shared" si="2"/>
      </c>
    </row>
    <row r="11927">
      <c r="G11927" s="9">
        <f t="shared" si="0"/>
      </c>
      <c r="L11927">
        <f t="shared" si="1"/>
      </c>
      <c r="M11927">
        <f t="shared" si="2"/>
      </c>
    </row>
    <row r="11928">
      <c r="G11928" s="9">
        <f t="shared" si="0"/>
      </c>
      <c r="L11928">
        <f t="shared" si="1"/>
      </c>
      <c r="M11928">
        <f t="shared" si="2"/>
      </c>
    </row>
    <row r="11929">
      <c r="G11929" s="9">
        <f t="shared" si="0"/>
      </c>
      <c r="L11929">
        <f t="shared" si="1"/>
      </c>
      <c r="M11929">
        <f t="shared" si="2"/>
      </c>
    </row>
    <row r="11930">
      <c r="G11930" s="9">
        <f t="shared" si="0"/>
      </c>
      <c r="L11930">
        <f t="shared" si="1"/>
      </c>
      <c r="M11930">
        <f t="shared" si="2"/>
      </c>
    </row>
    <row r="11931">
      <c r="G11931" s="9">
        <f t="shared" si="0"/>
      </c>
      <c r="L11931">
        <f t="shared" si="1"/>
      </c>
      <c r="M11931">
        <f t="shared" si="2"/>
      </c>
    </row>
    <row r="11932">
      <c r="G11932" s="9">
        <f t="shared" si="0"/>
      </c>
      <c r="L11932">
        <f t="shared" si="1"/>
      </c>
      <c r="M11932">
        <f t="shared" si="2"/>
      </c>
    </row>
    <row r="11933">
      <c r="G11933" s="9">
        <f t="shared" si="0"/>
      </c>
      <c r="L11933">
        <f t="shared" si="1"/>
      </c>
      <c r="M11933">
        <f t="shared" si="2"/>
      </c>
    </row>
    <row r="11934">
      <c r="G11934" s="9">
        <f t="shared" si="0"/>
      </c>
      <c r="L11934">
        <f t="shared" si="1"/>
      </c>
      <c r="M11934">
        <f t="shared" si="2"/>
      </c>
    </row>
    <row r="11935">
      <c r="G11935" s="9">
        <f t="shared" si="0"/>
      </c>
      <c r="L11935">
        <f t="shared" si="1"/>
      </c>
      <c r="M11935">
        <f t="shared" si="2"/>
      </c>
    </row>
    <row r="11936">
      <c r="G11936" s="9">
        <f t="shared" si="0"/>
      </c>
      <c r="L11936">
        <f t="shared" si="1"/>
      </c>
      <c r="M11936">
        <f t="shared" si="2"/>
      </c>
    </row>
    <row r="11937">
      <c r="G11937" s="9">
        <f t="shared" si="0"/>
      </c>
      <c r="L11937">
        <f t="shared" si="1"/>
      </c>
      <c r="M11937">
        <f t="shared" si="2"/>
      </c>
    </row>
    <row r="11938">
      <c r="G11938" s="9">
        <f t="shared" si="0"/>
      </c>
      <c r="L11938">
        <f t="shared" si="1"/>
      </c>
      <c r="M11938">
        <f t="shared" si="2"/>
      </c>
    </row>
    <row r="11939">
      <c r="G11939" s="9">
        <f t="shared" si="0"/>
      </c>
      <c r="L11939">
        <f t="shared" si="1"/>
      </c>
      <c r="M11939">
        <f t="shared" si="2"/>
      </c>
    </row>
    <row r="11940">
      <c r="G11940" s="9">
        <f t="shared" si="0"/>
      </c>
      <c r="L11940">
        <f t="shared" si="1"/>
      </c>
      <c r="M11940">
        <f t="shared" si="2"/>
      </c>
    </row>
    <row r="11941">
      <c r="G11941" s="9">
        <f t="shared" si="0"/>
      </c>
      <c r="L11941">
        <f t="shared" si="1"/>
      </c>
      <c r="M11941">
        <f t="shared" si="2"/>
      </c>
    </row>
    <row r="11942">
      <c r="G11942" s="9">
        <f t="shared" si="0"/>
      </c>
      <c r="L11942">
        <f t="shared" si="1"/>
      </c>
      <c r="M11942">
        <f t="shared" si="2"/>
      </c>
    </row>
    <row r="11943">
      <c r="G11943" s="9">
        <f t="shared" si="0"/>
      </c>
      <c r="L11943">
        <f t="shared" si="1"/>
      </c>
      <c r="M11943">
        <f t="shared" si="2"/>
      </c>
    </row>
    <row r="11944">
      <c r="G11944" s="9">
        <f t="shared" si="0"/>
      </c>
      <c r="L11944">
        <f t="shared" si="1"/>
      </c>
      <c r="M11944">
        <f t="shared" si="2"/>
      </c>
    </row>
    <row r="11945">
      <c r="G11945" s="9">
        <f t="shared" si="0"/>
      </c>
      <c r="L11945">
        <f t="shared" si="1"/>
      </c>
      <c r="M11945">
        <f t="shared" si="2"/>
      </c>
    </row>
    <row r="11946">
      <c r="G11946" s="9">
        <f t="shared" si="0"/>
      </c>
      <c r="L11946">
        <f t="shared" si="1"/>
      </c>
      <c r="M11946">
        <f t="shared" si="2"/>
      </c>
    </row>
    <row r="11947">
      <c r="G11947" s="9">
        <f t="shared" si="0"/>
      </c>
      <c r="L11947">
        <f t="shared" si="1"/>
      </c>
      <c r="M11947">
        <f t="shared" si="2"/>
      </c>
    </row>
    <row r="11948">
      <c r="G11948" s="9">
        <f t="shared" si="0"/>
      </c>
      <c r="L11948">
        <f t="shared" si="1"/>
      </c>
      <c r="M11948">
        <f t="shared" si="2"/>
      </c>
    </row>
    <row r="11949">
      <c r="G11949" s="9">
        <f t="shared" si="0"/>
      </c>
      <c r="L11949">
        <f t="shared" si="1"/>
      </c>
      <c r="M11949">
        <f t="shared" si="2"/>
      </c>
    </row>
    <row r="11950">
      <c r="G11950" s="9">
        <f t="shared" si="0"/>
      </c>
      <c r="L11950">
        <f t="shared" si="1"/>
      </c>
      <c r="M11950">
        <f t="shared" si="2"/>
      </c>
    </row>
    <row r="11951">
      <c r="G11951" s="9">
        <f t="shared" si="0"/>
      </c>
      <c r="L11951">
        <f t="shared" si="1"/>
      </c>
      <c r="M11951">
        <f t="shared" si="2"/>
      </c>
    </row>
    <row r="11952">
      <c r="G11952" s="9">
        <f t="shared" si="0"/>
      </c>
      <c r="L11952">
        <f t="shared" si="1"/>
      </c>
      <c r="M11952">
        <f t="shared" si="2"/>
      </c>
    </row>
    <row r="11953">
      <c r="G11953" s="9">
        <f t="shared" si="0"/>
      </c>
      <c r="L11953">
        <f t="shared" si="1"/>
      </c>
      <c r="M11953">
        <f t="shared" si="2"/>
      </c>
    </row>
    <row r="11954">
      <c r="G11954" s="9">
        <f t="shared" si="0"/>
      </c>
      <c r="L11954">
        <f t="shared" si="1"/>
      </c>
      <c r="M11954">
        <f t="shared" si="2"/>
      </c>
    </row>
    <row r="11955">
      <c r="G11955" s="9">
        <f t="shared" si="0"/>
      </c>
      <c r="L11955">
        <f t="shared" si="1"/>
      </c>
      <c r="M11955">
        <f t="shared" si="2"/>
      </c>
    </row>
    <row r="11956">
      <c r="G11956" s="9">
        <f t="shared" si="0"/>
      </c>
      <c r="L11956">
        <f t="shared" si="1"/>
      </c>
      <c r="M11956">
        <f t="shared" si="2"/>
      </c>
    </row>
    <row r="11957">
      <c r="G11957" s="9">
        <f t="shared" si="0"/>
      </c>
      <c r="L11957">
        <f t="shared" si="1"/>
      </c>
      <c r="M11957">
        <f t="shared" si="2"/>
      </c>
    </row>
    <row r="11958">
      <c r="G11958" s="9">
        <f t="shared" si="0"/>
      </c>
      <c r="L11958">
        <f t="shared" si="1"/>
      </c>
      <c r="M11958">
        <f t="shared" si="2"/>
      </c>
    </row>
    <row r="11959">
      <c r="G11959" s="9">
        <f t="shared" si="0"/>
      </c>
      <c r="L11959">
        <f t="shared" si="1"/>
      </c>
      <c r="M11959">
        <f t="shared" si="2"/>
      </c>
    </row>
    <row r="11960">
      <c r="G11960" s="9">
        <f t="shared" si="0"/>
      </c>
      <c r="L11960">
        <f t="shared" si="1"/>
      </c>
      <c r="M11960">
        <f t="shared" si="2"/>
      </c>
    </row>
    <row r="11961">
      <c r="G11961" s="9">
        <f t="shared" si="0"/>
      </c>
      <c r="L11961">
        <f t="shared" si="1"/>
      </c>
      <c r="M11961">
        <f t="shared" si="2"/>
      </c>
    </row>
    <row r="11962">
      <c r="G11962" s="9">
        <f t="shared" si="0"/>
      </c>
      <c r="L11962">
        <f t="shared" si="1"/>
      </c>
      <c r="M11962">
        <f t="shared" si="2"/>
      </c>
    </row>
    <row r="11963">
      <c r="G11963" s="9">
        <f t="shared" si="0"/>
      </c>
      <c r="L11963">
        <f t="shared" si="1"/>
      </c>
      <c r="M11963">
        <f t="shared" si="2"/>
      </c>
    </row>
    <row r="11964">
      <c r="G11964" s="9">
        <f t="shared" si="0"/>
      </c>
      <c r="L11964">
        <f t="shared" si="1"/>
      </c>
      <c r="M11964">
        <f t="shared" si="2"/>
      </c>
    </row>
    <row r="11965">
      <c r="G11965" s="9">
        <f t="shared" si="0"/>
      </c>
      <c r="L11965">
        <f t="shared" si="1"/>
      </c>
      <c r="M11965">
        <f t="shared" si="2"/>
      </c>
    </row>
    <row r="11966">
      <c r="G11966" s="9">
        <f t="shared" si="0"/>
      </c>
      <c r="L11966">
        <f t="shared" si="1"/>
      </c>
      <c r="M11966">
        <f t="shared" si="2"/>
      </c>
    </row>
    <row r="11967">
      <c r="G11967" s="9">
        <f t="shared" si="0"/>
      </c>
      <c r="L11967">
        <f t="shared" si="1"/>
      </c>
      <c r="M11967">
        <f t="shared" si="2"/>
      </c>
    </row>
    <row r="11968">
      <c r="G11968" s="9">
        <f t="shared" si="0"/>
      </c>
      <c r="L11968">
        <f t="shared" si="1"/>
      </c>
      <c r="M11968">
        <f t="shared" si="2"/>
      </c>
    </row>
    <row r="11969">
      <c r="G11969" s="9">
        <f t="shared" si="0"/>
      </c>
      <c r="L11969">
        <f t="shared" si="1"/>
      </c>
      <c r="M11969">
        <f t="shared" si="2"/>
      </c>
    </row>
    <row r="11970">
      <c r="G11970" s="9">
        <f t="shared" si="0"/>
      </c>
      <c r="L11970">
        <f t="shared" si="1"/>
      </c>
      <c r="M11970">
        <f t="shared" si="2"/>
      </c>
    </row>
    <row r="11971">
      <c r="G11971" s="9">
        <f t="shared" si="0"/>
      </c>
      <c r="L11971">
        <f t="shared" si="1"/>
      </c>
      <c r="M11971">
        <f t="shared" si="2"/>
      </c>
    </row>
    <row r="11972">
      <c r="G11972" s="9">
        <f t="shared" si="0"/>
      </c>
      <c r="L11972">
        <f t="shared" si="1"/>
      </c>
      <c r="M11972">
        <f t="shared" si="2"/>
      </c>
    </row>
    <row r="11973">
      <c r="G11973" s="9">
        <f t="shared" si="0"/>
      </c>
      <c r="L11973">
        <f t="shared" si="1"/>
      </c>
      <c r="M11973">
        <f t="shared" si="2"/>
      </c>
    </row>
    <row r="11974">
      <c r="G11974" s="9">
        <f t="shared" si="0"/>
      </c>
      <c r="L11974">
        <f t="shared" si="1"/>
      </c>
      <c r="M11974">
        <f t="shared" si="2"/>
      </c>
    </row>
    <row r="11975">
      <c r="G11975" s="9">
        <f t="shared" si="0"/>
      </c>
      <c r="L11975">
        <f t="shared" si="1"/>
      </c>
      <c r="M11975">
        <f t="shared" si="2"/>
      </c>
    </row>
    <row r="11976">
      <c r="G11976" s="9">
        <f t="shared" si="0"/>
      </c>
      <c r="L11976">
        <f t="shared" si="1"/>
      </c>
      <c r="M11976">
        <f t="shared" si="2"/>
      </c>
    </row>
    <row r="11977">
      <c r="G11977" s="9">
        <f t="shared" si="0"/>
      </c>
      <c r="L11977">
        <f t="shared" si="1"/>
      </c>
      <c r="M11977">
        <f t="shared" si="2"/>
      </c>
    </row>
    <row r="11978">
      <c r="G11978" s="9">
        <f t="shared" si="0"/>
      </c>
      <c r="L11978">
        <f t="shared" si="1"/>
      </c>
      <c r="M11978">
        <f t="shared" si="2"/>
      </c>
    </row>
    <row r="11979">
      <c r="G11979" s="9">
        <f t="shared" si="0"/>
      </c>
      <c r="L11979">
        <f t="shared" si="1"/>
      </c>
      <c r="M11979">
        <f t="shared" si="2"/>
      </c>
    </row>
    <row r="11980">
      <c r="G11980" s="9">
        <f t="shared" si="0"/>
      </c>
      <c r="L11980">
        <f t="shared" si="1"/>
      </c>
      <c r="M11980">
        <f t="shared" si="2"/>
      </c>
    </row>
    <row r="11981">
      <c r="G11981" s="9">
        <f t="shared" si="0"/>
      </c>
      <c r="L11981">
        <f t="shared" si="1"/>
      </c>
      <c r="M11981">
        <f t="shared" si="2"/>
      </c>
    </row>
    <row r="11982">
      <c r="G11982" s="9">
        <f t="shared" si="0"/>
      </c>
      <c r="L11982">
        <f t="shared" si="1"/>
      </c>
      <c r="M11982">
        <f t="shared" si="2"/>
      </c>
    </row>
    <row r="11983">
      <c r="G11983" s="9">
        <f t="shared" si="0"/>
      </c>
      <c r="L11983">
        <f t="shared" si="1"/>
      </c>
      <c r="M11983">
        <f t="shared" si="2"/>
      </c>
    </row>
    <row r="11984">
      <c r="G11984" s="9">
        <f t="shared" si="0"/>
      </c>
      <c r="L11984">
        <f t="shared" si="1"/>
      </c>
      <c r="M11984">
        <f t="shared" si="2"/>
      </c>
    </row>
    <row r="11985">
      <c r="G11985" s="9">
        <f t="shared" si="0"/>
      </c>
      <c r="L11985">
        <f t="shared" si="1"/>
      </c>
      <c r="M11985">
        <f t="shared" si="2"/>
      </c>
    </row>
    <row r="11986">
      <c r="G11986" s="9">
        <f t="shared" si="0"/>
      </c>
      <c r="L11986">
        <f t="shared" si="1"/>
      </c>
      <c r="M11986">
        <f t="shared" si="2"/>
      </c>
    </row>
    <row r="11987">
      <c r="G11987" s="9">
        <f t="shared" si="0"/>
      </c>
      <c r="L11987">
        <f t="shared" si="1"/>
      </c>
      <c r="M11987">
        <f t="shared" si="2"/>
      </c>
    </row>
    <row r="11988">
      <c r="G11988" s="9">
        <f t="shared" si="0"/>
      </c>
      <c r="L11988">
        <f t="shared" si="1"/>
      </c>
      <c r="M11988">
        <f t="shared" si="2"/>
      </c>
    </row>
    <row r="11989">
      <c r="G11989" s="9">
        <f t="shared" si="0"/>
      </c>
      <c r="L11989">
        <f t="shared" si="1"/>
      </c>
      <c r="M11989">
        <f t="shared" si="2"/>
      </c>
    </row>
    <row r="11990">
      <c r="G11990" s="9">
        <f t="shared" si="0"/>
      </c>
      <c r="L11990">
        <f t="shared" si="1"/>
      </c>
      <c r="M11990">
        <f t="shared" si="2"/>
      </c>
    </row>
    <row r="11991">
      <c r="G11991" s="9">
        <f t="shared" si="0"/>
      </c>
      <c r="L11991">
        <f t="shared" si="1"/>
      </c>
      <c r="M11991">
        <f t="shared" si="2"/>
      </c>
    </row>
    <row r="11992">
      <c r="G11992" s="9">
        <f t="shared" si="0"/>
      </c>
      <c r="L11992">
        <f t="shared" si="1"/>
      </c>
      <c r="M11992">
        <f t="shared" si="2"/>
      </c>
    </row>
    <row r="11993">
      <c r="G11993" s="9">
        <f t="shared" si="0"/>
      </c>
      <c r="L11993">
        <f t="shared" si="1"/>
      </c>
      <c r="M11993">
        <f t="shared" si="2"/>
      </c>
    </row>
    <row r="11994">
      <c r="G11994" s="9">
        <f t="shared" si="0"/>
      </c>
      <c r="L11994">
        <f t="shared" si="1"/>
      </c>
      <c r="M11994">
        <f t="shared" si="2"/>
      </c>
    </row>
    <row r="11995">
      <c r="G11995" s="9">
        <f t="shared" si="0"/>
      </c>
      <c r="L11995">
        <f t="shared" si="1"/>
      </c>
      <c r="M11995">
        <f t="shared" si="2"/>
      </c>
    </row>
    <row r="11996">
      <c r="G11996" s="9">
        <f t="shared" si="0"/>
      </c>
      <c r="L11996">
        <f t="shared" si="1"/>
      </c>
      <c r="M11996">
        <f t="shared" si="2"/>
      </c>
    </row>
    <row r="11997">
      <c r="G11997" s="9">
        <f t="shared" si="0"/>
      </c>
      <c r="L11997">
        <f t="shared" si="1"/>
      </c>
      <c r="M11997">
        <f t="shared" si="2"/>
      </c>
    </row>
    <row r="11998">
      <c r="G11998" s="9">
        <f t="shared" si="0"/>
      </c>
      <c r="L11998">
        <f t="shared" si="1"/>
      </c>
      <c r="M11998">
        <f t="shared" si="2"/>
      </c>
    </row>
    <row r="11999">
      <c r="G11999" s="9">
        <f t="shared" si="0"/>
      </c>
      <c r="L11999">
        <f t="shared" si="1"/>
      </c>
      <c r="M11999">
        <f t="shared" si="2"/>
      </c>
    </row>
    <row r="12000">
      <c r="G12000" s="9">
        <f t="shared" si="0"/>
      </c>
      <c r="L12000">
        <f t="shared" si="1"/>
      </c>
      <c r="M12000">
        <f t="shared" si="2"/>
      </c>
    </row>
    <row r="12001">
      <c r="G12001" s="9">
        <f t="shared" si="0"/>
      </c>
      <c r="L12001">
        <f t="shared" si="1"/>
      </c>
      <c r="M12001">
        <f t="shared" si="2"/>
      </c>
    </row>
    <row r="12002">
      <c r="G12002" s="9">
        <f t="shared" si="0"/>
      </c>
      <c r="L12002">
        <f t="shared" si="1"/>
      </c>
      <c r="M12002">
        <f t="shared" si="2"/>
      </c>
    </row>
    <row r="12003">
      <c r="G12003" s="9">
        <f t="shared" si="0"/>
      </c>
      <c r="L12003">
        <f t="shared" si="1"/>
      </c>
      <c r="M12003">
        <f t="shared" si="2"/>
      </c>
    </row>
    <row r="12004">
      <c r="G12004" s="9">
        <f t="shared" si="0"/>
      </c>
      <c r="L12004">
        <f t="shared" si="1"/>
      </c>
      <c r="M12004">
        <f t="shared" si="2"/>
      </c>
    </row>
    <row r="12005">
      <c r="G12005" s="9">
        <f t="shared" si="0"/>
      </c>
      <c r="L12005">
        <f t="shared" si="1"/>
      </c>
      <c r="M12005">
        <f t="shared" si="2"/>
      </c>
    </row>
    <row r="12006">
      <c r="G12006" s="9">
        <f t="shared" si="0"/>
      </c>
      <c r="L12006">
        <f t="shared" si="1"/>
      </c>
      <c r="M12006">
        <f t="shared" si="2"/>
      </c>
    </row>
    <row r="12007">
      <c r="G12007" s="9">
        <f t="shared" si="0"/>
      </c>
      <c r="L12007">
        <f t="shared" si="1"/>
      </c>
      <c r="M12007">
        <f t="shared" si="2"/>
      </c>
    </row>
    <row r="12008">
      <c r="G12008" s="9">
        <f t="shared" si="0"/>
      </c>
      <c r="L12008">
        <f t="shared" si="1"/>
      </c>
      <c r="M12008">
        <f t="shared" si="2"/>
      </c>
    </row>
    <row r="12009">
      <c r="G12009" s="9">
        <f t="shared" si="0"/>
      </c>
      <c r="L12009">
        <f t="shared" si="1"/>
      </c>
      <c r="M12009">
        <f t="shared" si="2"/>
      </c>
    </row>
    <row r="12010">
      <c r="G12010" s="9">
        <f t="shared" si="0"/>
      </c>
      <c r="L12010">
        <f t="shared" si="1"/>
      </c>
      <c r="M12010">
        <f t="shared" si="2"/>
      </c>
    </row>
    <row r="12011">
      <c r="G12011" s="9">
        <f t="shared" si="0"/>
      </c>
      <c r="L12011">
        <f t="shared" si="1"/>
      </c>
      <c r="M12011">
        <f t="shared" si="2"/>
      </c>
    </row>
    <row r="12012">
      <c r="G12012" s="9">
        <f t="shared" si="0"/>
      </c>
      <c r="L12012">
        <f t="shared" si="1"/>
      </c>
      <c r="M12012">
        <f t="shared" si="2"/>
      </c>
    </row>
    <row r="12013">
      <c r="G12013" s="9">
        <f t="shared" si="0"/>
      </c>
      <c r="L12013">
        <f t="shared" si="1"/>
      </c>
      <c r="M12013">
        <f t="shared" si="2"/>
      </c>
    </row>
    <row r="12014">
      <c r="G12014" s="9">
        <f t="shared" si="0"/>
      </c>
      <c r="L12014">
        <f t="shared" si="1"/>
      </c>
      <c r="M12014">
        <f t="shared" si="2"/>
      </c>
    </row>
    <row r="12015">
      <c r="G12015" s="9">
        <f t="shared" si="0"/>
      </c>
      <c r="L12015">
        <f t="shared" si="1"/>
      </c>
      <c r="M12015">
        <f t="shared" si="2"/>
      </c>
    </row>
    <row r="12016">
      <c r="G12016" s="9">
        <f t="shared" si="0"/>
      </c>
      <c r="L12016">
        <f t="shared" si="1"/>
      </c>
      <c r="M12016">
        <f t="shared" si="2"/>
      </c>
    </row>
    <row r="12017">
      <c r="G12017" s="9">
        <f t="shared" si="0"/>
      </c>
      <c r="L12017">
        <f t="shared" si="1"/>
      </c>
      <c r="M12017">
        <f t="shared" si="2"/>
      </c>
    </row>
    <row r="12018">
      <c r="G12018" s="9">
        <f t="shared" si="0"/>
      </c>
      <c r="L12018">
        <f t="shared" si="1"/>
      </c>
      <c r="M12018">
        <f t="shared" si="2"/>
      </c>
    </row>
    <row r="12019">
      <c r="G12019" s="9">
        <f t="shared" si="0"/>
      </c>
      <c r="L12019">
        <f t="shared" si="1"/>
      </c>
      <c r="M12019">
        <f t="shared" si="2"/>
      </c>
    </row>
    <row r="12020">
      <c r="G12020" s="9">
        <f t="shared" si="0"/>
      </c>
      <c r="L12020">
        <f t="shared" si="1"/>
      </c>
      <c r="M12020">
        <f t="shared" si="2"/>
      </c>
    </row>
    <row r="12021">
      <c r="G12021" s="9">
        <f t="shared" si="0"/>
      </c>
      <c r="L12021">
        <f t="shared" si="1"/>
      </c>
      <c r="M12021">
        <f t="shared" si="2"/>
      </c>
    </row>
    <row r="12022">
      <c r="G12022" s="9">
        <f t="shared" si="0"/>
      </c>
      <c r="L12022">
        <f t="shared" si="1"/>
      </c>
      <c r="M12022">
        <f t="shared" si="2"/>
      </c>
    </row>
    <row r="12023">
      <c r="G12023" s="9">
        <f t="shared" si="0"/>
      </c>
      <c r="L12023">
        <f t="shared" si="1"/>
      </c>
      <c r="M12023">
        <f t="shared" si="2"/>
      </c>
    </row>
    <row r="12024">
      <c r="G12024" s="9">
        <f t="shared" si="0"/>
      </c>
      <c r="L12024">
        <f t="shared" si="1"/>
      </c>
      <c r="M12024">
        <f t="shared" si="2"/>
      </c>
    </row>
    <row r="12025">
      <c r="G12025" s="9">
        <f t="shared" si="0"/>
      </c>
      <c r="L12025">
        <f t="shared" si="1"/>
      </c>
      <c r="M12025">
        <f t="shared" si="2"/>
      </c>
    </row>
    <row r="12026">
      <c r="G12026" s="9">
        <f t="shared" si="0"/>
      </c>
      <c r="L12026">
        <f t="shared" si="1"/>
      </c>
      <c r="M12026">
        <f t="shared" si="2"/>
      </c>
    </row>
    <row r="12027">
      <c r="G12027" s="9">
        <f t="shared" si="0"/>
      </c>
      <c r="L12027">
        <f t="shared" si="1"/>
      </c>
      <c r="M12027">
        <f t="shared" si="2"/>
      </c>
    </row>
    <row r="12028">
      <c r="G12028" s="9">
        <f t="shared" si="0"/>
      </c>
      <c r="L12028">
        <f t="shared" si="1"/>
      </c>
      <c r="M12028">
        <f t="shared" si="2"/>
      </c>
    </row>
    <row r="12029">
      <c r="G12029" s="9">
        <f t="shared" si="0"/>
      </c>
      <c r="L12029">
        <f t="shared" si="1"/>
      </c>
      <c r="M12029">
        <f t="shared" si="2"/>
      </c>
    </row>
    <row r="12030">
      <c r="G12030" s="9">
        <f t="shared" si="0"/>
      </c>
      <c r="L12030">
        <f t="shared" si="1"/>
      </c>
      <c r="M12030">
        <f t="shared" si="2"/>
      </c>
    </row>
    <row r="12031">
      <c r="G12031" s="9">
        <f t="shared" si="0"/>
      </c>
      <c r="L12031">
        <f t="shared" si="1"/>
      </c>
      <c r="M12031">
        <f t="shared" si="2"/>
      </c>
    </row>
    <row r="12032">
      <c r="G12032" s="9">
        <f t="shared" si="0"/>
      </c>
      <c r="L12032">
        <f t="shared" si="1"/>
      </c>
      <c r="M12032">
        <f t="shared" si="2"/>
      </c>
    </row>
    <row r="12033">
      <c r="G12033" s="9">
        <f t="shared" si="0"/>
      </c>
      <c r="L12033">
        <f t="shared" si="1"/>
      </c>
      <c r="M12033">
        <f t="shared" si="2"/>
      </c>
    </row>
    <row r="12034">
      <c r="G12034" s="9">
        <f t="shared" si="0"/>
      </c>
      <c r="L12034">
        <f t="shared" si="1"/>
      </c>
      <c r="M12034">
        <f t="shared" si="2"/>
      </c>
    </row>
    <row r="12035">
      <c r="G12035" s="9">
        <f t="shared" si="0"/>
      </c>
      <c r="L12035">
        <f t="shared" si="1"/>
      </c>
      <c r="M12035">
        <f t="shared" si="2"/>
      </c>
    </row>
    <row r="12036">
      <c r="G12036" s="9">
        <f t="shared" si="0"/>
      </c>
      <c r="L12036">
        <f t="shared" si="1"/>
      </c>
      <c r="M12036">
        <f t="shared" si="2"/>
      </c>
    </row>
    <row r="12037">
      <c r="G12037" s="9">
        <f t="shared" si="0"/>
      </c>
      <c r="L12037">
        <f t="shared" si="1"/>
      </c>
      <c r="M12037">
        <f t="shared" si="2"/>
      </c>
    </row>
    <row r="12038">
      <c r="G12038" s="9">
        <f t="shared" si="0"/>
      </c>
      <c r="L12038">
        <f t="shared" si="1"/>
      </c>
      <c r="M12038">
        <f t="shared" si="2"/>
      </c>
    </row>
    <row r="12039">
      <c r="G12039" s="9">
        <f t="shared" si="0"/>
      </c>
      <c r="L12039">
        <f t="shared" si="1"/>
      </c>
      <c r="M12039">
        <f t="shared" si="2"/>
      </c>
    </row>
    <row r="12040">
      <c r="G12040" s="9">
        <f t="shared" si="0"/>
      </c>
      <c r="L12040">
        <f t="shared" si="1"/>
      </c>
      <c r="M12040">
        <f t="shared" si="2"/>
      </c>
    </row>
    <row r="12041">
      <c r="G12041" s="9">
        <f t="shared" si="0"/>
      </c>
      <c r="L12041">
        <f t="shared" si="1"/>
      </c>
      <c r="M12041">
        <f t="shared" si="2"/>
      </c>
    </row>
    <row r="12042">
      <c r="G12042" s="9">
        <f t="shared" si="0"/>
      </c>
      <c r="L12042">
        <f t="shared" si="1"/>
      </c>
      <c r="M12042">
        <f t="shared" si="2"/>
      </c>
    </row>
    <row r="12043">
      <c r="G12043" s="9">
        <f t="shared" si="0"/>
      </c>
      <c r="L12043">
        <f t="shared" si="1"/>
      </c>
      <c r="M12043">
        <f t="shared" si="2"/>
      </c>
    </row>
    <row r="12044">
      <c r="G12044" s="9">
        <f t="shared" si="0"/>
      </c>
      <c r="L12044">
        <f t="shared" si="1"/>
      </c>
      <c r="M12044">
        <f t="shared" si="2"/>
      </c>
    </row>
    <row r="12045">
      <c r="G12045" s="9">
        <f t="shared" si="0"/>
      </c>
      <c r="L12045">
        <f t="shared" si="1"/>
      </c>
      <c r="M12045">
        <f t="shared" si="2"/>
      </c>
    </row>
    <row r="12046">
      <c r="G12046" s="9">
        <f t="shared" si="0"/>
      </c>
      <c r="L12046">
        <f t="shared" si="1"/>
      </c>
      <c r="M12046">
        <f t="shared" si="2"/>
      </c>
    </row>
    <row r="12047">
      <c r="G12047" s="9">
        <f t="shared" si="0"/>
      </c>
      <c r="L12047">
        <f t="shared" si="1"/>
      </c>
      <c r="M12047">
        <f t="shared" si="2"/>
      </c>
    </row>
    <row r="12048">
      <c r="G12048" s="9">
        <f t="shared" si="0"/>
      </c>
      <c r="L12048">
        <f t="shared" si="1"/>
      </c>
      <c r="M12048">
        <f t="shared" si="2"/>
      </c>
    </row>
    <row r="12049">
      <c r="G12049" s="9">
        <f t="shared" si="0"/>
      </c>
      <c r="L12049">
        <f t="shared" si="1"/>
      </c>
      <c r="M12049">
        <f t="shared" si="2"/>
      </c>
    </row>
    <row r="12050">
      <c r="G12050" s="9">
        <f t="shared" si="0"/>
      </c>
      <c r="L12050">
        <f t="shared" si="1"/>
      </c>
      <c r="M12050">
        <f t="shared" si="2"/>
      </c>
    </row>
    <row r="12051">
      <c r="G12051" s="9">
        <f t="shared" si="0"/>
      </c>
      <c r="L12051">
        <f t="shared" si="1"/>
      </c>
      <c r="M12051">
        <f t="shared" si="2"/>
      </c>
    </row>
    <row r="12052">
      <c r="G12052" s="9">
        <f t="shared" si="0"/>
      </c>
      <c r="L12052">
        <f t="shared" si="1"/>
      </c>
      <c r="M12052">
        <f t="shared" si="2"/>
      </c>
    </row>
    <row r="12053">
      <c r="G12053" s="9">
        <f t="shared" si="0"/>
      </c>
      <c r="L12053">
        <f t="shared" si="1"/>
      </c>
      <c r="M12053">
        <f t="shared" si="2"/>
      </c>
    </row>
    <row r="12054">
      <c r="G12054" s="9">
        <f t="shared" si="0"/>
      </c>
      <c r="L12054">
        <f t="shared" si="1"/>
      </c>
      <c r="M12054">
        <f t="shared" si="2"/>
      </c>
    </row>
    <row r="12055">
      <c r="G12055" s="9">
        <f t="shared" si="0"/>
      </c>
      <c r="L12055">
        <f t="shared" si="1"/>
      </c>
      <c r="M12055">
        <f t="shared" si="2"/>
      </c>
    </row>
    <row r="12056">
      <c r="G12056" s="9">
        <f t="shared" si="0"/>
      </c>
      <c r="L12056">
        <f t="shared" si="1"/>
      </c>
      <c r="M12056">
        <f t="shared" si="2"/>
      </c>
    </row>
    <row r="12057">
      <c r="G12057" s="9">
        <f t="shared" si="0"/>
      </c>
      <c r="L12057">
        <f t="shared" si="1"/>
      </c>
      <c r="M12057">
        <f t="shared" si="2"/>
      </c>
    </row>
    <row r="12058">
      <c r="G12058" s="9">
        <f t="shared" si="0"/>
      </c>
      <c r="L12058">
        <f t="shared" si="1"/>
      </c>
      <c r="M12058">
        <f t="shared" si="2"/>
      </c>
    </row>
    <row r="12059">
      <c r="G12059" s="9">
        <f t="shared" si="0"/>
      </c>
      <c r="L12059">
        <f t="shared" si="1"/>
      </c>
      <c r="M12059">
        <f t="shared" si="2"/>
      </c>
    </row>
    <row r="12060">
      <c r="G12060" s="9">
        <f t="shared" si="0"/>
      </c>
      <c r="L12060">
        <f t="shared" si="1"/>
      </c>
      <c r="M12060">
        <f t="shared" si="2"/>
      </c>
    </row>
    <row r="12061">
      <c r="G12061" s="9">
        <f t="shared" si="0"/>
      </c>
      <c r="L12061">
        <f t="shared" si="1"/>
      </c>
      <c r="M12061">
        <f t="shared" si="2"/>
      </c>
    </row>
    <row r="12062">
      <c r="G12062" s="9">
        <f t="shared" si="0"/>
      </c>
      <c r="L12062">
        <f t="shared" si="1"/>
      </c>
      <c r="M12062">
        <f t="shared" si="2"/>
      </c>
    </row>
    <row r="12063">
      <c r="G12063" s="9">
        <f t="shared" si="0"/>
      </c>
      <c r="L12063">
        <f t="shared" si="1"/>
      </c>
      <c r="M12063">
        <f t="shared" si="2"/>
      </c>
    </row>
    <row r="12064">
      <c r="G12064" s="9">
        <f t="shared" si="0"/>
      </c>
      <c r="L12064">
        <f t="shared" si="1"/>
      </c>
      <c r="M12064">
        <f t="shared" si="2"/>
      </c>
    </row>
    <row r="12065">
      <c r="G12065" s="9">
        <f t="shared" si="0"/>
      </c>
      <c r="L12065">
        <f t="shared" si="1"/>
      </c>
      <c r="M12065">
        <f t="shared" si="2"/>
      </c>
    </row>
    <row r="12066">
      <c r="G12066" s="9">
        <f t="shared" si="0"/>
      </c>
      <c r="L12066">
        <f t="shared" si="1"/>
      </c>
      <c r="M12066">
        <f t="shared" si="2"/>
      </c>
    </row>
    <row r="12067">
      <c r="G12067" s="9">
        <f t="shared" si="0"/>
      </c>
      <c r="L12067">
        <f t="shared" si="1"/>
      </c>
      <c r="M12067">
        <f t="shared" si="2"/>
      </c>
    </row>
    <row r="12068">
      <c r="G12068" s="9">
        <f t="shared" si="0"/>
      </c>
      <c r="L12068">
        <f t="shared" si="1"/>
      </c>
      <c r="M12068">
        <f t="shared" si="2"/>
      </c>
    </row>
    <row r="12069">
      <c r="G12069" s="9">
        <f t="shared" si="0"/>
      </c>
      <c r="L12069">
        <f t="shared" si="1"/>
      </c>
      <c r="M12069">
        <f t="shared" si="2"/>
      </c>
    </row>
    <row r="12070">
      <c r="G12070" s="9">
        <f t="shared" si="0"/>
      </c>
      <c r="L12070">
        <f t="shared" si="1"/>
      </c>
      <c r="M12070">
        <f t="shared" si="2"/>
      </c>
    </row>
    <row r="12071">
      <c r="G12071" s="9">
        <f t="shared" si="0"/>
      </c>
      <c r="L12071">
        <f t="shared" si="1"/>
      </c>
      <c r="M12071">
        <f t="shared" si="2"/>
      </c>
    </row>
    <row r="12072">
      <c r="G12072" s="9">
        <f t="shared" si="0"/>
      </c>
      <c r="L12072">
        <f t="shared" si="1"/>
      </c>
      <c r="M12072">
        <f t="shared" si="2"/>
      </c>
    </row>
    <row r="12073">
      <c r="G12073" s="9">
        <f t="shared" si="0"/>
      </c>
      <c r="L12073">
        <f t="shared" si="1"/>
      </c>
      <c r="M12073">
        <f t="shared" si="2"/>
      </c>
    </row>
    <row r="12074">
      <c r="G12074" s="9">
        <f t="shared" si="0"/>
      </c>
      <c r="L12074">
        <f t="shared" si="1"/>
      </c>
      <c r="M12074">
        <f t="shared" si="2"/>
      </c>
    </row>
    <row r="12075">
      <c r="G12075" s="9">
        <f t="shared" si="0"/>
      </c>
      <c r="L12075">
        <f t="shared" si="1"/>
      </c>
      <c r="M12075">
        <f t="shared" si="2"/>
      </c>
    </row>
    <row r="12076">
      <c r="G12076" s="9">
        <f t="shared" si="0"/>
      </c>
      <c r="L12076">
        <f t="shared" si="1"/>
      </c>
      <c r="M12076">
        <f t="shared" si="2"/>
      </c>
    </row>
    <row r="12077">
      <c r="G12077" s="9">
        <f t="shared" si="0"/>
      </c>
      <c r="L12077">
        <f t="shared" si="1"/>
      </c>
      <c r="M12077">
        <f t="shared" si="2"/>
      </c>
    </row>
    <row r="12078">
      <c r="G12078" s="9">
        <f t="shared" si="0"/>
      </c>
      <c r="L12078">
        <f t="shared" si="1"/>
      </c>
      <c r="M12078">
        <f t="shared" si="2"/>
      </c>
    </row>
    <row r="12079">
      <c r="G12079" s="9">
        <f t="shared" si="0"/>
      </c>
      <c r="L12079">
        <f t="shared" si="1"/>
      </c>
      <c r="M12079">
        <f t="shared" si="2"/>
      </c>
    </row>
    <row r="12080">
      <c r="G12080" s="9">
        <f t="shared" si="0"/>
      </c>
      <c r="L12080">
        <f t="shared" si="1"/>
      </c>
      <c r="M12080">
        <f t="shared" si="2"/>
      </c>
    </row>
    <row r="12081">
      <c r="G12081" s="9">
        <f t="shared" si="0"/>
      </c>
      <c r="L12081">
        <f t="shared" si="1"/>
      </c>
      <c r="M12081">
        <f t="shared" si="2"/>
      </c>
    </row>
    <row r="12082">
      <c r="G12082" s="9">
        <f t="shared" si="0"/>
      </c>
      <c r="L12082">
        <f t="shared" si="1"/>
      </c>
      <c r="M12082">
        <f t="shared" si="2"/>
      </c>
    </row>
    <row r="12083">
      <c r="G12083" s="9">
        <f t="shared" si="0"/>
      </c>
      <c r="L12083">
        <f t="shared" si="1"/>
      </c>
      <c r="M12083">
        <f t="shared" si="2"/>
      </c>
    </row>
    <row r="12084">
      <c r="G12084" s="9">
        <f t="shared" si="0"/>
      </c>
      <c r="L12084">
        <f t="shared" si="1"/>
      </c>
      <c r="M12084">
        <f t="shared" si="2"/>
      </c>
    </row>
    <row r="12085">
      <c r="G12085" s="9">
        <f t="shared" si="0"/>
      </c>
      <c r="L12085">
        <f t="shared" si="1"/>
      </c>
      <c r="M12085">
        <f t="shared" si="2"/>
      </c>
    </row>
    <row r="12086">
      <c r="G12086" s="9">
        <f t="shared" si="0"/>
      </c>
      <c r="L12086">
        <f t="shared" si="1"/>
      </c>
      <c r="M12086">
        <f t="shared" si="2"/>
      </c>
    </row>
    <row r="12087">
      <c r="G12087" s="9">
        <f t="shared" si="0"/>
      </c>
      <c r="L12087">
        <f t="shared" si="1"/>
      </c>
      <c r="M12087">
        <f t="shared" si="2"/>
      </c>
    </row>
    <row r="12088">
      <c r="G12088" s="9">
        <f t="shared" si="0"/>
      </c>
      <c r="L12088">
        <f t="shared" si="1"/>
      </c>
      <c r="M12088">
        <f t="shared" si="2"/>
      </c>
    </row>
    <row r="12089">
      <c r="G12089" s="9">
        <f t="shared" si="0"/>
      </c>
      <c r="L12089">
        <f t="shared" si="1"/>
      </c>
      <c r="M12089">
        <f t="shared" si="2"/>
      </c>
    </row>
    <row r="12090">
      <c r="G12090" s="9">
        <f t="shared" si="0"/>
      </c>
      <c r="L12090">
        <f t="shared" si="1"/>
      </c>
      <c r="M12090">
        <f t="shared" si="2"/>
      </c>
    </row>
    <row r="12091">
      <c r="G12091" s="9">
        <f t="shared" si="0"/>
      </c>
      <c r="L12091">
        <f t="shared" si="1"/>
      </c>
      <c r="M12091">
        <f t="shared" si="2"/>
      </c>
    </row>
    <row r="12092">
      <c r="G12092" s="9">
        <f t="shared" si="0"/>
      </c>
      <c r="L12092">
        <f t="shared" si="1"/>
      </c>
      <c r="M12092">
        <f t="shared" si="2"/>
      </c>
    </row>
    <row r="12093">
      <c r="G12093" s="9">
        <f t="shared" si="0"/>
      </c>
      <c r="L12093">
        <f t="shared" si="1"/>
      </c>
      <c r="M12093">
        <f t="shared" si="2"/>
      </c>
    </row>
    <row r="12094">
      <c r="G12094" s="9">
        <f t="shared" si="0"/>
      </c>
      <c r="L12094">
        <f t="shared" si="1"/>
      </c>
      <c r="M12094">
        <f t="shared" si="2"/>
      </c>
    </row>
    <row r="12095">
      <c r="G12095" s="9">
        <f t="shared" si="0"/>
      </c>
      <c r="L12095">
        <f t="shared" si="1"/>
      </c>
      <c r="M12095">
        <f t="shared" si="2"/>
      </c>
    </row>
    <row r="12096">
      <c r="G12096" s="9">
        <f t="shared" si="0"/>
      </c>
      <c r="L12096">
        <f t="shared" si="1"/>
      </c>
      <c r="M12096">
        <f t="shared" si="2"/>
      </c>
    </row>
    <row r="12097">
      <c r="G12097" s="9">
        <f t="shared" si="0"/>
      </c>
      <c r="L12097">
        <f t="shared" si="1"/>
      </c>
      <c r="M12097">
        <f t="shared" si="2"/>
      </c>
    </row>
    <row r="12098">
      <c r="G12098" s="9">
        <f t="shared" si="0"/>
      </c>
      <c r="L12098">
        <f t="shared" si="1"/>
      </c>
      <c r="M12098">
        <f t="shared" si="2"/>
      </c>
    </row>
    <row r="12099">
      <c r="G12099" s="9">
        <f t="shared" si="0"/>
      </c>
      <c r="L12099">
        <f t="shared" si="1"/>
      </c>
      <c r="M12099">
        <f t="shared" si="2"/>
      </c>
    </row>
    <row r="12100">
      <c r="G12100" s="9">
        <f t="shared" si="0"/>
      </c>
      <c r="L12100">
        <f t="shared" si="1"/>
      </c>
      <c r="M12100">
        <f t="shared" si="2"/>
      </c>
    </row>
    <row r="12101">
      <c r="G12101" s="9">
        <f t="shared" si="0"/>
      </c>
      <c r="L12101">
        <f t="shared" si="1"/>
      </c>
      <c r="M12101">
        <f t="shared" si="2"/>
      </c>
    </row>
    <row r="12102">
      <c r="G12102" s="9">
        <f t="shared" si="0"/>
      </c>
      <c r="L12102">
        <f t="shared" si="1"/>
      </c>
      <c r="M12102">
        <f t="shared" si="2"/>
      </c>
    </row>
    <row r="12103">
      <c r="G12103" s="9">
        <f t="shared" si="0"/>
      </c>
      <c r="L12103">
        <f t="shared" si="1"/>
      </c>
      <c r="M12103">
        <f t="shared" si="2"/>
      </c>
    </row>
    <row r="12104">
      <c r="G12104" s="9">
        <f t="shared" si="0"/>
      </c>
      <c r="L12104">
        <f t="shared" si="1"/>
      </c>
      <c r="M12104">
        <f t="shared" si="2"/>
      </c>
    </row>
    <row r="12105">
      <c r="G12105" s="9">
        <f t="shared" si="0"/>
      </c>
      <c r="L12105">
        <f t="shared" si="1"/>
      </c>
      <c r="M12105">
        <f t="shared" si="2"/>
      </c>
    </row>
    <row r="12106">
      <c r="G12106" s="9">
        <f t="shared" si="0"/>
      </c>
      <c r="L12106">
        <f t="shared" si="1"/>
      </c>
      <c r="M12106">
        <f t="shared" si="2"/>
      </c>
    </row>
    <row r="12107">
      <c r="G12107" s="9">
        <f t="shared" si="0"/>
      </c>
      <c r="L12107">
        <f t="shared" si="1"/>
      </c>
      <c r="M12107">
        <f t="shared" si="2"/>
      </c>
    </row>
    <row r="12108">
      <c r="G12108" s="9">
        <f t="shared" si="0"/>
      </c>
      <c r="L12108">
        <f t="shared" si="1"/>
      </c>
      <c r="M12108">
        <f t="shared" si="2"/>
      </c>
    </row>
    <row r="12109">
      <c r="G12109" s="9">
        <f t="shared" si="0"/>
      </c>
      <c r="L12109">
        <f t="shared" si="1"/>
      </c>
      <c r="M12109">
        <f t="shared" si="2"/>
      </c>
    </row>
    <row r="12110">
      <c r="G12110" s="9">
        <f t="shared" si="0"/>
      </c>
      <c r="L12110">
        <f t="shared" si="1"/>
      </c>
      <c r="M12110">
        <f t="shared" si="2"/>
      </c>
    </row>
    <row r="12111">
      <c r="G12111" s="9">
        <f t="shared" si="0"/>
      </c>
      <c r="L12111">
        <f t="shared" si="1"/>
      </c>
      <c r="M12111">
        <f t="shared" si="2"/>
      </c>
    </row>
    <row r="12112">
      <c r="G12112" s="9">
        <f t="shared" si="0"/>
      </c>
      <c r="L12112">
        <f t="shared" si="1"/>
      </c>
      <c r="M12112">
        <f t="shared" si="2"/>
      </c>
    </row>
    <row r="12113">
      <c r="G12113" s="9">
        <f t="shared" si="0"/>
      </c>
      <c r="L12113">
        <f t="shared" si="1"/>
      </c>
      <c r="M12113">
        <f t="shared" si="2"/>
      </c>
    </row>
    <row r="12114">
      <c r="G12114" s="9">
        <f t="shared" si="0"/>
      </c>
      <c r="L12114">
        <f t="shared" si="1"/>
      </c>
      <c r="M12114">
        <f t="shared" si="2"/>
      </c>
    </row>
    <row r="12115">
      <c r="G12115" s="9">
        <f t="shared" si="0"/>
      </c>
      <c r="L12115">
        <f t="shared" si="1"/>
      </c>
      <c r="M12115">
        <f t="shared" si="2"/>
      </c>
    </row>
    <row r="12116">
      <c r="G12116" s="9">
        <f t="shared" si="0"/>
      </c>
      <c r="L12116">
        <f t="shared" si="1"/>
      </c>
      <c r="M12116">
        <f t="shared" si="2"/>
      </c>
    </row>
    <row r="12117">
      <c r="G12117" s="9">
        <f t="shared" si="0"/>
      </c>
      <c r="L12117">
        <f t="shared" si="1"/>
      </c>
      <c r="M12117">
        <f t="shared" si="2"/>
      </c>
    </row>
    <row r="12118">
      <c r="G12118" s="9">
        <f t="shared" si="0"/>
      </c>
      <c r="L12118">
        <f t="shared" si="1"/>
      </c>
      <c r="M12118">
        <f t="shared" si="2"/>
      </c>
    </row>
    <row r="12119">
      <c r="G12119" s="9">
        <f t="shared" si="0"/>
      </c>
      <c r="L12119">
        <f t="shared" si="1"/>
      </c>
      <c r="M12119">
        <f t="shared" si="2"/>
      </c>
    </row>
    <row r="12120">
      <c r="G12120" s="9">
        <f t="shared" si="0"/>
      </c>
      <c r="L12120">
        <f t="shared" si="1"/>
      </c>
      <c r="M12120">
        <f t="shared" si="2"/>
      </c>
    </row>
    <row r="12121">
      <c r="G12121" s="9">
        <f t="shared" si="0"/>
      </c>
      <c r="L12121">
        <f t="shared" si="1"/>
      </c>
      <c r="M12121">
        <f t="shared" si="2"/>
      </c>
    </row>
    <row r="12122">
      <c r="G12122" s="9">
        <f t="shared" si="0"/>
      </c>
      <c r="L12122">
        <f t="shared" si="1"/>
      </c>
      <c r="M12122">
        <f t="shared" si="2"/>
      </c>
    </row>
    <row r="12123">
      <c r="G12123" s="9">
        <f t="shared" si="0"/>
      </c>
      <c r="L12123">
        <f t="shared" si="1"/>
      </c>
      <c r="M12123">
        <f t="shared" si="2"/>
      </c>
    </row>
    <row r="12124">
      <c r="G12124" s="9">
        <f t="shared" si="0"/>
      </c>
      <c r="L12124">
        <f t="shared" si="1"/>
      </c>
      <c r="M12124">
        <f t="shared" si="2"/>
      </c>
    </row>
    <row r="12125">
      <c r="G12125" s="9">
        <f t="shared" si="0"/>
      </c>
      <c r="L12125">
        <f t="shared" si="1"/>
      </c>
      <c r="M12125">
        <f t="shared" si="2"/>
      </c>
    </row>
    <row r="12126">
      <c r="G12126" s="9">
        <f t="shared" si="0"/>
      </c>
      <c r="L12126">
        <f t="shared" si="1"/>
      </c>
      <c r="M12126">
        <f t="shared" si="2"/>
      </c>
    </row>
    <row r="12127">
      <c r="G12127" s="9">
        <f t="shared" si="0"/>
      </c>
      <c r="L12127">
        <f t="shared" si="1"/>
      </c>
      <c r="M12127">
        <f t="shared" si="2"/>
      </c>
    </row>
    <row r="12128">
      <c r="G12128" s="9">
        <f t="shared" si="0"/>
      </c>
      <c r="L12128">
        <f t="shared" si="1"/>
      </c>
      <c r="M12128">
        <f t="shared" si="2"/>
      </c>
    </row>
    <row r="12129">
      <c r="G12129" s="9">
        <f t="shared" si="0"/>
      </c>
      <c r="L12129">
        <f t="shared" si="1"/>
      </c>
      <c r="M12129">
        <f t="shared" si="2"/>
      </c>
    </row>
    <row r="12130">
      <c r="G12130" s="9">
        <f t="shared" si="0"/>
      </c>
      <c r="L12130">
        <f t="shared" si="1"/>
      </c>
      <c r="M12130">
        <f t="shared" si="2"/>
      </c>
    </row>
    <row r="12131">
      <c r="G12131" s="9">
        <f t="shared" si="0"/>
      </c>
      <c r="L12131">
        <f t="shared" si="1"/>
      </c>
      <c r="M12131">
        <f t="shared" si="2"/>
      </c>
    </row>
    <row r="12132">
      <c r="G12132" s="9">
        <f t="shared" si="0"/>
      </c>
      <c r="L12132">
        <f t="shared" si="1"/>
      </c>
      <c r="M12132">
        <f t="shared" si="2"/>
      </c>
    </row>
    <row r="12133">
      <c r="G12133" s="9">
        <f t="shared" si="0"/>
      </c>
      <c r="L12133">
        <f t="shared" si="1"/>
      </c>
      <c r="M12133">
        <f t="shared" si="2"/>
      </c>
    </row>
    <row r="12134">
      <c r="G12134" s="9">
        <f t="shared" si="0"/>
      </c>
      <c r="L12134">
        <f t="shared" si="1"/>
      </c>
      <c r="M12134">
        <f t="shared" si="2"/>
      </c>
    </row>
    <row r="12135">
      <c r="G12135" s="9">
        <f t="shared" si="0"/>
      </c>
      <c r="L12135">
        <f t="shared" si="1"/>
      </c>
      <c r="M12135">
        <f t="shared" si="2"/>
      </c>
    </row>
    <row r="12136">
      <c r="G12136" s="9">
        <f t="shared" si="0"/>
      </c>
      <c r="L12136">
        <f t="shared" si="1"/>
      </c>
      <c r="M12136">
        <f t="shared" si="2"/>
      </c>
    </row>
    <row r="12137">
      <c r="G12137" s="9">
        <f t="shared" si="0"/>
      </c>
      <c r="L12137">
        <f t="shared" si="1"/>
      </c>
      <c r="M12137">
        <f t="shared" si="2"/>
      </c>
    </row>
    <row r="12138">
      <c r="G12138" s="9">
        <f t="shared" si="0"/>
      </c>
      <c r="L12138">
        <f t="shared" si="1"/>
      </c>
      <c r="M12138">
        <f t="shared" si="2"/>
      </c>
    </row>
    <row r="12139">
      <c r="G12139" s="9">
        <f t="shared" si="0"/>
      </c>
      <c r="L12139">
        <f t="shared" si="1"/>
      </c>
      <c r="M12139">
        <f t="shared" si="2"/>
      </c>
    </row>
    <row r="12140">
      <c r="G12140" s="9">
        <f t="shared" si="0"/>
      </c>
      <c r="L12140">
        <f t="shared" si="1"/>
      </c>
      <c r="M12140">
        <f t="shared" si="2"/>
      </c>
    </row>
    <row r="12141">
      <c r="G12141" s="9">
        <f t="shared" si="0"/>
      </c>
      <c r="L12141">
        <f t="shared" si="1"/>
      </c>
      <c r="M12141">
        <f t="shared" si="2"/>
      </c>
    </row>
    <row r="12142">
      <c r="G12142" s="9">
        <f t="shared" si="0"/>
      </c>
      <c r="L12142">
        <f t="shared" si="1"/>
      </c>
      <c r="M12142">
        <f t="shared" si="2"/>
      </c>
    </row>
    <row r="12143">
      <c r="G12143" s="9">
        <f t="shared" si="0"/>
      </c>
      <c r="L12143">
        <f t="shared" si="1"/>
      </c>
      <c r="M12143">
        <f t="shared" si="2"/>
      </c>
    </row>
    <row r="12144">
      <c r="G12144" s="9">
        <f t="shared" si="0"/>
      </c>
      <c r="L12144">
        <f t="shared" si="1"/>
      </c>
      <c r="M12144">
        <f t="shared" si="2"/>
      </c>
    </row>
    <row r="12145">
      <c r="G12145" s="9">
        <f t="shared" si="0"/>
      </c>
      <c r="L12145">
        <f t="shared" si="1"/>
      </c>
      <c r="M12145">
        <f t="shared" si="2"/>
      </c>
    </row>
    <row r="12146">
      <c r="G12146" s="9">
        <f t="shared" si="0"/>
      </c>
      <c r="L12146">
        <f t="shared" si="1"/>
      </c>
      <c r="M12146">
        <f t="shared" si="2"/>
      </c>
    </row>
    <row r="12147">
      <c r="G12147" s="9">
        <f t="shared" si="0"/>
      </c>
      <c r="L12147">
        <f t="shared" si="1"/>
      </c>
      <c r="M12147">
        <f t="shared" si="2"/>
      </c>
    </row>
    <row r="12148">
      <c r="G12148" s="9">
        <f t="shared" si="0"/>
      </c>
      <c r="L12148">
        <f t="shared" si="1"/>
      </c>
      <c r="M12148">
        <f t="shared" si="2"/>
      </c>
    </row>
    <row r="12149">
      <c r="G12149" s="9">
        <f t="shared" si="0"/>
      </c>
      <c r="L12149">
        <f t="shared" si="1"/>
      </c>
      <c r="M12149">
        <f t="shared" si="2"/>
      </c>
    </row>
    <row r="12150">
      <c r="G12150" s="9">
        <f t="shared" si="0"/>
      </c>
      <c r="L12150">
        <f t="shared" si="1"/>
      </c>
      <c r="M12150">
        <f t="shared" si="2"/>
      </c>
    </row>
    <row r="12151">
      <c r="G12151" s="9">
        <f t="shared" si="0"/>
      </c>
      <c r="L12151">
        <f t="shared" si="1"/>
      </c>
      <c r="M12151">
        <f t="shared" si="2"/>
      </c>
    </row>
    <row r="12152">
      <c r="G12152" s="9">
        <f t="shared" si="0"/>
      </c>
      <c r="L12152">
        <f t="shared" si="1"/>
      </c>
      <c r="M12152">
        <f t="shared" si="2"/>
      </c>
    </row>
    <row r="12153">
      <c r="G12153" s="9">
        <f t="shared" si="0"/>
      </c>
      <c r="L12153">
        <f t="shared" si="1"/>
      </c>
      <c r="M12153">
        <f t="shared" si="2"/>
      </c>
    </row>
    <row r="12154">
      <c r="G12154" s="9">
        <f t="shared" si="0"/>
      </c>
      <c r="L12154">
        <f t="shared" si="1"/>
      </c>
      <c r="M12154">
        <f t="shared" si="2"/>
      </c>
    </row>
    <row r="12155">
      <c r="G12155" s="9">
        <f t="shared" si="0"/>
      </c>
      <c r="L12155">
        <f t="shared" si="1"/>
      </c>
      <c r="M12155">
        <f t="shared" si="2"/>
      </c>
    </row>
    <row r="12156">
      <c r="G12156" s="9">
        <f t="shared" si="0"/>
      </c>
      <c r="L12156">
        <f t="shared" si="1"/>
      </c>
      <c r="M12156">
        <f t="shared" si="2"/>
      </c>
    </row>
    <row r="12157">
      <c r="G12157" s="9">
        <f t="shared" si="0"/>
      </c>
      <c r="L12157">
        <f t="shared" si="1"/>
      </c>
      <c r="M12157">
        <f t="shared" si="2"/>
      </c>
    </row>
    <row r="12158">
      <c r="G12158" s="9">
        <f t="shared" si="0"/>
      </c>
      <c r="L12158">
        <f t="shared" si="1"/>
      </c>
      <c r="M12158">
        <f t="shared" si="2"/>
      </c>
    </row>
    <row r="12159">
      <c r="G12159" s="9">
        <f t="shared" si="0"/>
      </c>
      <c r="L12159">
        <f t="shared" si="1"/>
      </c>
      <c r="M12159">
        <f t="shared" si="2"/>
      </c>
    </row>
    <row r="12160">
      <c r="G12160" s="9">
        <f t="shared" si="0"/>
      </c>
      <c r="L12160">
        <f t="shared" si="1"/>
      </c>
      <c r="M12160">
        <f t="shared" si="2"/>
      </c>
    </row>
    <row r="12161">
      <c r="G12161" s="9">
        <f t="shared" si="0"/>
      </c>
      <c r="L12161">
        <f t="shared" si="1"/>
      </c>
      <c r="M12161">
        <f t="shared" si="2"/>
      </c>
    </row>
    <row r="12162">
      <c r="G12162" s="9">
        <f t="shared" si="0"/>
      </c>
      <c r="L12162">
        <f t="shared" si="1"/>
      </c>
      <c r="M12162">
        <f t="shared" si="2"/>
      </c>
    </row>
    <row r="12163">
      <c r="G12163" s="9">
        <f t="shared" si="0"/>
      </c>
      <c r="L12163">
        <f t="shared" si="1"/>
      </c>
      <c r="M12163">
        <f t="shared" si="2"/>
      </c>
    </row>
    <row r="12164">
      <c r="G12164" s="9">
        <f t="shared" si="0"/>
      </c>
      <c r="L12164">
        <f t="shared" si="1"/>
      </c>
      <c r="M12164">
        <f t="shared" si="2"/>
      </c>
    </row>
    <row r="12165">
      <c r="G12165" s="9">
        <f t="shared" si="0"/>
      </c>
      <c r="L12165">
        <f t="shared" si="1"/>
      </c>
      <c r="M12165">
        <f t="shared" si="2"/>
      </c>
    </row>
    <row r="12166">
      <c r="G12166" s="9">
        <f t="shared" si="0"/>
      </c>
      <c r="L12166">
        <f t="shared" si="1"/>
      </c>
      <c r="M12166">
        <f t="shared" si="2"/>
      </c>
    </row>
    <row r="12167">
      <c r="G12167" s="9">
        <f t="shared" si="0"/>
      </c>
      <c r="L12167">
        <f t="shared" si="1"/>
      </c>
      <c r="M12167">
        <f t="shared" si="2"/>
      </c>
    </row>
    <row r="12168">
      <c r="G12168" s="9">
        <f t="shared" si="0"/>
      </c>
      <c r="L12168">
        <f t="shared" si="1"/>
      </c>
      <c r="M12168">
        <f t="shared" si="2"/>
      </c>
    </row>
    <row r="12169">
      <c r="G12169" s="9">
        <f t="shared" si="0"/>
      </c>
      <c r="L12169">
        <f t="shared" si="1"/>
      </c>
      <c r="M12169">
        <f t="shared" si="2"/>
      </c>
    </row>
    <row r="12170">
      <c r="G12170" s="9">
        <f t="shared" si="0"/>
      </c>
      <c r="L12170">
        <f t="shared" si="1"/>
      </c>
      <c r="M12170">
        <f t="shared" si="2"/>
      </c>
    </row>
    <row r="12171">
      <c r="G12171" s="9">
        <f t="shared" si="0"/>
      </c>
      <c r="L12171">
        <f t="shared" si="1"/>
      </c>
      <c r="M12171">
        <f t="shared" si="2"/>
      </c>
    </row>
    <row r="12172">
      <c r="G12172" s="9">
        <f t="shared" si="0"/>
      </c>
      <c r="L12172">
        <f t="shared" si="1"/>
      </c>
      <c r="M12172">
        <f t="shared" si="2"/>
      </c>
    </row>
    <row r="12173">
      <c r="G12173" s="9">
        <f t="shared" si="0"/>
      </c>
      <c r="L12173">
        <f t="shared" si="1"/>
      </c>
      <c r="M12173">
        <f t="shared" si="2"/>
      </c>
    </row>
    <row r="12174">
      <c r="G12174" s="9">
        <f t="shared" si="0"/>
      </c>
      <c r="L12174">
        <f t="shared" si="1"/>
      </c>
      <c r="M12174">
        <f t="shared" si="2"/>
      </c>
    </row>
    <row r="12175">
      <c r="G12175" s="9">
        <f t="shared" si="0"/>
      </c>
      <c r="L12175">
        <f t="shared" si="1"/>
      </c>
      <c r="M12175">
        <f t="shared" si="2"/>
      </c>
    </row>
    <row r="12176">
      <c r="G12176" s="9">
        <f t="shared" si="0"/>
      </c>
      <c r="L12176">
        <f t="shared" si="1"/>
      </c>
      <c r="M12176">
        <f t="shared" si="2"/>
      </c>
    </row>
    <row r="12177">
      <c r="G12177" s="9">
        <f t="shared" si="0"/>
      </c>
      <c r="L12177">
        <f t="shared" si="1"/>
      </c>
      <c r="M12177">
        <f t="shared" si="2"/>
      </c>
    </row>
    <row r="12178">
      <c r="G12178" s="9">
        <f t="shared" si="0"/>
      </c>
      <c r="L12178">
        <f t="shared" si="1"/>
      </c>
      <c r="M12178">
        <f t="shared" si="2"/>
      </c>
    </row>
    <row r="12179">
      <c r="G12179" s="9">
        <f t="shared" si="0"/>
      </c>
      <c r="L12179">
        <f t="shared" si="1"/>
      </c>
      <c r="M12179">
        <f t="shared" si="2"/>
      </c>
    </row>
    <row r="12180">
      <c r="G12180" s="9">
        <f t="shared" si="0"/>
      </c>
      <c r="L12180">
        <f t="shared" si="1"/>
      </c>
      <c r="M12180">
        <f t="shared" si="2"/>
      </c>
    </row>
    <row r="12181">
      <c r="G12181" s="9">
        <f t="shared" si="0"/>
      </c>
      <c r="L12181">
        <f t="shared" si="1"/>
      </c>
      <c r="M12181">
        <f t="shared" si="2"/>
      </c>
    </row>
    <row r="12182">
      <c r="G12182" s="9">
        <f t="shared" si="0"/>
      </c>
      <c r="L12182">
        <f t="shared" si="1"/>
      </c>
      <c r="M12182">
        <f t="shared" si="2"/>
      </c>
    </row>
    <row r="12183">
      <c r="G12183" s="9">
        <f t="shared" si="0"/>
      </c>
      <c r="L12183">
        <f t="shared" si="1"/>
      </c>
      <c r="M12183">
        <f t="shared" si="2"/>
      </c>
    </row>
    <row r="12184">
      <c r="G12184" s="9">
        <f t="shared" si="0"/>
      </c>
      <c r="L12184">
        <f t="shared" si="1"/>
      </c>
      <c r="M12184">
        <f t="shared" si="2"/>
      </c>
    </row>
    <row r="12185">
      <c r="G12185" s="9">
        <f t="shared" si="0"/>
      </c>
      <c r="L12185">
        <f t="shared" si="1"/>
      </c>
      <c r="M12185">
        <f t="shared" si="2"/>
      </c>
    </row>
    <row r="12186">
      <c r="G12186" s="9">
        <f t="shared" si="0"/>
      </c>
      <c r="L12186">
        <f t="shared" si="1"/>
      </c>
      <c r="M12186">
        <f t="shared" si="2"/>
      </c>
    </row>
    <row r="12187">
      <c r="G12187" s="9">
        <f t="shared" si="0"/>
      </c>
      <c r="L12187">
        <f t="shared" si="1"/>
      </c>
      <c r="M12187">
        <f t="shared" si="2"/>
      </c>
    </row>
    <row r="12188">
      <c r="G12188" s="9">
        <f t="shared" si="0"/>
      </c>
      <c r="L12188">
        <f t="shared" si="1"/>
      </c>
      <c r="M12188">
        <f t="shared" si="2"/>
      </c>
    </row>
    <row r="12189">
      <c r="G12189" s="9">
        <f t="shared" si="0"/>
      </c>
      <c r="L12189">
        <f t="shared" si="1"/>
      </c>
      <c r="M12189">
        <f t="shared" si="2"/>
      </c>
    </row>
    <row r="12190">
      <c r="G12190" s="9">
        <f t="shared" si="0"/>
      </c>
      <c r="L12190">
        <f t="shared" si="1"/>
      </c>
      <c r="M12190">
        <f t="shared" si="2"/>
      </c>
    </row>
    <row r="12191">
      <c r="G12191" s="9">
        <f t="shared" si="0"/>
      </c>
      <c r="L12191">
        <f t="shared" si="1"/>
      </c>
      <c r="M12191">
        <f t="shared" si="2"/>
      </c>
    </row>
    <row r="12192">
      <c r="G12192" s="9">
        <f t="shared" si="0"/>
      </c>
      <c r="L12192">
        <f t="shared" si="1"/>
      </c>
      <c r="M12192">
        <f t="shared" si="2"/>
      </c>
    </row>
    <row r="12193">
      <c r="G12193" s="9">
        <f t="shared" si="0"/>
      </c>
      <c r="L12193">
        <f t="shared" si="1"/>
      </c>
      <c r="M12193">
        <f t="shared" si="2"/>
      </c>
    </row>
    <row r="12194">
      <c r="G12194" s="9">
        <f t="shared" si="0"/>
      </c>
      <c r="L12194">
        <f t="shared" si="1"/>
      </c>
      <c r="M12194">
        <f t="shared" si="2"/>
      </c>
    </row>
    <row r="12195">
      <c r="G12195" s="9">
        <f t="shared" si="0"/>
      </c>
      <c r="L12195">
        <f t="shared" si="1"/>
      </c>
      <c r="M12195">
        <f t="shared" si="2"/>
      </c>
    </row>
    <row r="12196">
      <c r="G12196" s="9">
        <f t="shared" si="0"/>
      </c>
      <c r="L12196">
        <f t="shared" si="1"/>
      </c>
      <c r="M12196">
        <f t="shared" si="2"/>
      </c>
    </row>
    <row r="12197">
      <c r="G12197" s="9">
        <f t="shared" si="0"/>
      </c>
      <c r="L12197">
        <f t="shared" si="1"/>
      </c>
      <c r="M12197">
        <f t="shared" si="2"/>
      </c>
    </row>
    <row r="12198">
      <c r="G12198" s="9">
        <f t="shared" si="0"/>
      </c>
      <c r="L12198">
        <f t="shared" si="1"/>
      </c>
      <c r="M12198">
        <f t="shared" si="2"/>
      </c>
    </row>
    <row r="12199">
      <c r="G12199" s="9">
        <f t="shared" si="0"/>
      </c>
      <c r="L12199">
        <f t="shared" si="1"/>
      </c>
      <c r="M12199">
        <f t="shared" si="2"/>
      </c>
    </row>
    <row r="12200">
      <c r="G12200" s="9">
        <f t="shared" si="0"/>
      </c>
      <c r="L12200">
        <f t="shared" si="1"/>
      </c>
      <c r="M12200">
        <f t="shared" si="2"/>
      </c>
    </row>
    <row r="12201">
      <c r="G12201" s="9">
        <f t="shared" si="0"/>
      </c>
      <c r="L12201">
        <f t="shared" si="1"/>
      </c>
      <c r="M12201">
        <f t="shared" si="2"/>
      </c>
    </row>
    <row r="12202">
      <c r="G12202" s="9">
        <f t="shared" si="0"/>
      </c>
      <c r="L12202">
        <f t="shared" si="1"/>
      </c>
      <c r="M12202">
        <f t="shared" si="2"/>
      </c>
    </row>
    <row r="12203">
      <c r="G12203" s="9">
        <f t="shared" si="0"/>
      </c>
      <c r="L12203">
        <f t="shared" si="1"/>
      </c>
      <c r="M12203">
        <f t="shared" si="2"/>
      </c>
    </row>
    <row r="12204">
      <c r="G12204" s="9">
        <f t="shared" si="0"/>
      </c>
      <c r="L12204">
        <f t="shared" si="1"/>
      </c>
      <c r="M12204">
        <f t="shared" si="2"/>
      </c>
    </row>
    <row r="12205">
      <c r="G12205" s="9">
        <f t="shared" si="0"/>
      </c>
      <c r="L12205">
        <f t="shared" si="1"/>
      </c>
      <c r="M12205">
        <f t="shared" si="2"/>
      </c>
    </row>
    <row r="12206">
      <c r="G12206" s="9">
        <f t="shared" si="0"/>
      </c>
      <c r="L12206">
        <f t="shared" si="1"/>
      </c>
      <c r="M12206">
        <f t="shared" si="2"/>
      </c>
    </row>
    <row r="12207">
      <c r="G12207" s="9">
        <f t="shared" si="0"/>
      </c>
      <c r="L12207">
        <f t="shared" si="1"/>
      </c>
      <c r="M12207">
        <f t="shared" si="2"/>
      </c>
    </row>
    <row r="12208">
      <c r="G12208" s="9">
        <f t="shared" si="0"/>
      </c>
      <c r="L12208">
        <f t="shared" si="1"/>
      </c>
      <c r="M12208">
        <f t="shared" si="2"/>
      </c>
    </row>
    <row r="12209">
      <c r="G12209" s="9">
        <f t="shared" si="0"/>
      </c>
      <c r="L12209">
        <f t="shared" si="1"/>
      </c>
      <c r="M12209">
        <f t="shared" si="2"/>
      </c>
    </row>
    <row r="12210">
      <c r="G12210" s="9">
        <f t="shared" si="0"/>
      </c>
      <c r="L12210">
        <f t="shared" si="1"/>
      </c>
      <c r="M12210">
        <f t="shared" si="2"/>
      </c>
    </row>
    <row r="12211">
      <c r="G12211" s="9">
        <f t="shared" si="0"/>
      </c>
      <c r="L12211">
        <f t="shared" si="1"/>
      </c>
      <c r="M12211">
        <f t="shared" si="2"/>
      </c>
    </row>
    <row r="12212">
      <c r="G12212" s="9">
        <f t="shared" si="0"/>
      </c>
      <c r="L12212">
        <f t="shared" si="1"/>
      </c>
      <c r="M12212">
        <f t="shared" si="2"/>
      </c>
    </row>
    <row r="12213">
      <c r="G12213" s="9">
        <f t="shared" si="0"/>
      </c>
      <c r="L12213">
        <f t="shared" si="1"/>
      </c>
      <c r="M12213">
        <f t="shared" si="2"/>
      </c>
    </row>
    <row r="12214">
      <c r="G12214" s="9">
        <f t="shared" si="0"/>
      </c>
      <c r="L12214">
        <f t="shared" si="1"/>
      </c>
      <c r="M12214">
        <f t="shared" si="2"/>
      </c>
    </row>
    <row r="12215">
      <c r="G12215" s="9">
        <f t="shared" si="0"/>
      </c>
      <c r="L12215">
        <f t="shared" si="1"/>
      </c>
      <c r="M12215">
        <f t="shared" si="2"/>
      </c>
    </row>
    <row r="12216">
      <c r="G12216" s="9">
        <f t="shared" si="0"/>
      </c>
      <c r="L12216">
        <f t="shared" si="1"/>
      </c>
      <c r="M12216">
        <f t="shared" si="2"/>
      </c>
    </row>
    <row r="12217">
      <c r="G12217" s="9">
        <f t="shared" si="0"/>
      </c>
      <c r="L12217">
        <f t="shared" si="1"/>
      </c>
      <c r="M12217">
        <f t="shared" si="2"/>
      </c>
    </row>
    <row r="12218">
      <c r="G12218" s="9">
        <f t="shared" si="0"/>
      </c>
      <c r="L12218">
        <f t="shared" si="1"/>
      </c>
      <c r="M12218">
        <f t="shared" si="2"/>
      </c>
    </row>
    <row r="12219">
      <c r="G12219" s="9">
        <f t="shared" si="0"/>
      </c>
      <c r="L12219">
        <f t="shared" si="1"/>
      </c>
      <c r="M12219">
        <f t="shared" si="2"/>
      </c>
    </row>
    <row r="12220">
      <c r="G12220" s="9">
        <f t="shared" si="0"/>
      </c>
      <c r="L12220">
        <f t="shared" si="1"/>
      </c>
      <c r="M12220">
        <f t="shared" si="2"/>
      </c>
    </row>
    <row r="12221">
      <c r="G12221" s="9">
        <f t="shared" si="0"/>
      </c>
      <c r="L12221">
        <f t="shared" si="1"/>
      </c>
      <c r="M12221">
        <f t="shared" si="2"/>
      </c>
    </row>
    <row r="12222">
      <c r="G12222" s="9">
        <f t="shared" si="0"/>
      </c>
      <c r="L12222">
        <f t="shared" si="1"/>
      </c>
      <c r="M12222">
        <f t="shared" si="2"/>
      </c>
    </row>
    <row r="12223">
      <c r="G12223" s="9">
        <f t="shared" si="0"/>
      </c>
      <c r="L12223">
        <f t="shared" si="1"/>
      </c>
      <c r="M12223">
        <f t="shared" si="2"/>
      </c>
    </row>
    <row r="12224">
      <c r="G12224" s="9">
        <f t="shared" si="0"/>
      </c>
      <c r="L12224">
        <f t="shared" si="1"/>
      </c>
      <c r="M12224">
        <f t="shared" si="2"/>
      </c>
    </row>
    <row r="12225">
      <c r="G12225" s="9">
        <f t="shared" si="0"/>
      </c>
      <c r="L12225">
        <f t="shared" si="1"/>
      </c>
      <c r="M12225">
        <f t="shared" si="2"/>
      </c>
    </row>
    <row r="12226">
      <c r="G12226" s="9">
        <f t="shared" si="0"/>
      </c>
      <c r="L12226">
        <f t="shared" si="1"/>
      </c>
      <c r="M12226">
        <f t="shared" si="2"/>
      </c>
    </row>
    <row r="12227">
      <c r="G12227" s="9">
        <f t="shared" si="0"/>
      </c>
      <c r="L12227">
        <f t="shared" si="1"/>
      </c>
      <c r="M12227">
        <f t="shared" si="2"/>
      </c>
    </row>
    <row r="12228">
      <c r="G12228" s="9">
        <f t="shared" si="0"/>
      </c>
      <c r="L12228">
        <f t="shared" si="1"/>
      </c>
      <c r="M12228">
        <f t="shared" si="2"/>
      </c>
    </row>
    <row r="12229">
      <c r="G12229" s="9">
        <f t="shared" si="0"/>
      </c>
      <c r="L12229">
        <f t="shared" si="1"/>
      </c>
      <c r="M12229">
        <f t="shared" si="2"/>
      </c>
    </row>
    <row r="12230">
      <c r="G12230" s="9">
        <f t="shared" si="0"/>
      </c>
      <c r="L12230">
        <f t="shared" si="1"/>
      </c>
      <c r="M12230">
        <f t="shared" si="2"/>
      </c>
    </row>
    <row r="12231">
      <c r="G12231" s="9">
        <f t="shared" si="0"/>
      </c>
      <c r="L12231">
        <f t="shared" si="1"/>
      </c>
      <c r="M12231">
        <f t="shared" si="2"/>
      </c>
    </row>
    <row r="12232">
      <c r="G12232" s="9">
        <f t="shared" si="0"/>
      </c>
      <c r="L12232">
        <f t="shared" si="1"/>
      </c>
      <c r="M12232">
        <f t="shared" si="2"/>
      </c>
    </row>
    <row r="12233">
      <c r="G12233" s="9">
        <f t="shared" si="0"/>
      </c>
      <c r="L12233">
        <f t="shared" si="1"/>
      </c>
      <c r="M12233">
        <f t="shared" si="2"/>
      </c>
    </row>
    <row r="12234">
      <c r="G12234" s="9">
        <f t="shared" si="0"/>
      </c>
      <c r="L12234">
        <f t="shared" si="1"/>
      </c>
      <c r="M12234">
        <f t="shared" si="2"/>
      </c>
    </row>
    <row r="12235">
      <c r="G12235" s="9">
        <f t="shared" si="0"/>
      </c>
      <c r="L12235">
        <f t="shared" si="1"/>
      </c>
      <c r="M12235">
        <f t="shared" si="2"/>
      </c>
    </row>
    <row r="12236">
      <c r="G12236" s="9">
        <f t="shared" si="0"/>
      </c>
      <c r="L12236">
        <f t="shared" si="1"/>
      </c>
      <c r="M12236">
        <f t="shared" si="2"/>
      </c>
    </row>
    <row r="12237">
      <c r="G12237" s="9">
        <f t="shared" si="0"/>
      </c>
      <c r="L12237">
        <f t="shared" si="1"/>
      </c>
      <c r="M12237">
        <f t="shared" si="2"/>
      </c>
    </row>
    <row r="12238">
      <c r="G12238" s="9">
        <f t="shared" si="0"/>
      </c>
      <c r="L12238">
        <f t="shared" si="1"/>
      </c>
      <c r="M12238">
        <f t="shared" si="2"/>
      </c>
    </row>
    <row r="12239">
      <c r="G12239" s="9">
        <f t="shared" si="0"/>
      </c>
      <c r="L12239">
        <f t="shared" si="1"/>
      </c>
      <c r="M12239">
        <f t="shared" si="2"/>
      </c>
    </row>
    <row r="12240">
      <c r="G12240" s="9">
        <f t="shared" si="0"/>
      </c>
      <c r="L12240">
        <f t="shared" si="1"/>
      </c>
      <c r="M12240">
        <f t="shared" si="2"/>
      </c>
    </row>
    <row r="12241">
      <c r="G12241" s="9">
        <f t="shared" si="0"/>
      </c>
      <c r="L12241">
        <f t="shared" si="1"/>
      </c>
      <c r="M12241">
        <f t="shared" si="2"/>
      </c>
    </row>
    <row r="12242">
      <c r="G12242" s="9">
        <f t="shared" si="0"/>
      </c>
      <c r="L12242">
        <f t="shared" si="1"/>
      </c>
      <c r="M12242">
        <f t="shared" si="2"/>
      </c>
    </row>
    <row r="12243">
      <c r="G12243" s="9">
        <f t="shared" si="0"/>
      </c>
      <c r="L12243">
        <f t="shared" si="1"/>
      </c>
      <c r="M12243">
        <f t="shared" si="2"/>
      </c>
    </row>
    <row r="12244">
      <c r="G12244" s="9">
        <f t="shared" si="0"/>
      </c>
      <c r="L12244">
        <f t="shared" si="1"/>
      </c>
      <c r="M12244">
        <f t="shared" si="2"/>
      </c>
    </row>
    <row r="12245">
      <c r="G12245" s="9">
        <f t="shared" si="0"/>
      </c>
      <c r="L12245">
        <f t="shared" si="1"/>
      </c>
      <c r="M12245">
        <f t="shared" si="2"/>
      </c>
    </row>
    <row r="12246">
      <c r="G12246" s="9">
        <f t="shared" si="0"/>
      </c>
      <c r="L12246">
        <f t="shared" si="1"/>
      </c>
      <c r="M12246">
        <f t="shared" si="2"/>
      </c>
    </row>
    <row r="12247">
      <c r="G12247" s="9">
        <f t="shared" si="0"/>
      </c>
      <c r="L12247">
        <f t="shared" si="1"/>
      </c>
      <c r="M12247">
        <f t="shared" si="2"/>
      </c>
    </row>
    <row r="12248">
      <c r="G12248" s="9">
        <f t="shared" si="0"/>
      </c>
      <c r="L12248">
        <f t="shared" si="1"/>
      </c>
      <c r="M12248">
        <f t="shared" si="2"/>
      </c>
    </row>
    <row r="12249">
      <c r="G12249" s="9">
        <f t="shared" si="0"/>
      </c>
      <c r="L12249">
        <f t="shared" si="1"/>
      </c>
      <c r="M12249">
        <f t="shared" si="2"/>
      </c>
    </row>
    <row r="12250">
      <c r="G12250" s="9">
        <f t="shared" si="0"/>
      </c>
      <c r="L12250">
        <f t="shared" si="1"/>
      </c>
      <c r="M12250">
        <f t="shared" si="2"/>
      </c>
    </row>
    <row r="12251">
      <c r="G12251" s="9">
        <f t="shared" si="0"/>
      </c>
      <c r="L12251">
        <f t="shared" si="1"/>
      </c>
      <c r="M12251">
        <f t="shared" si="2"/>
      </c>
    </row>
    <row r="12252">
      <c r="G12252" s="9">
        <f t="shared" si="0"/>
      </c>
      <c r="L12252">
        <f t="shared" si="1"/>
      </c>
      <c r="M12252">
        <f t="shared" si="2"/>
      </c>
    </row>
    <row r="12253">
      <c r="G12253" s="9">
        <f t="shared" si="0"/>
      </c>
      <c r="L12253">
        <f t="shared" si="1"/>
      </c>
      <c r="M12253">
        <f t="shared" si="2"/>
      </c>
    </row>
    <row r="12254">
      <c r="G12254" s="9">
        <f t="shared" si="0"/>
      </c>
      <c r="L12254">
        <f t="shared" si="1"/>
      </c>
      <c r="M12254">
        <f t="shared" si="2"/>
      </c>
    </row>
    <row r="12255">
      <c r="G12255" s="9">
        <f t="shared" si="0"/>
      </c>
      <c r="L12255">
        <f t="shared" si="1"/>
      </c>
      <c r="M12255">
        <f t="shared" si="2"/>
      </c>
    </row>
    <row r="12256">
      <c r="G12256" s="9">
        <f t="shared" si="0"/>
      </c>
      <c r="L12256">
        <f t="shared" si="1"/>
      </c>
      <c r="M12256">
        <f t="shared" si="2"/>
      </c>
    </row>
    <row r="12257">
      <c r="G12257" s="9">
        <f t="shared" si="0"/>
      </c>
      <c r="L12257">
        <f t="shared" si="1"/>
      </c>
      <c r="M12257">
        <f t="shared" si="2"/>
      </c>
    </row>
    <row r="12258">
      <c r="G12258" s="9">
        <f t="shared" si="0"/>
      </c>
      <c r="L12258">
        <f t="shared" si="1"/>
      </c>
      <c r="M12258">
        <f t="shared" si="2"/>
      </c>
    </row>
    <row r="12259">
      <c r="G12259" s="9">
        <f t="shared" si="0"/>
      </c>
      <c r="L12259">
        <f t="shared" si="1"/>
      </c>
      <c r="M12259">
        <f t="shared" si="2"/>
      </c>
    </row>
    <row r="12260">
      <c r="G12260" s="9">
        <f t="shared" si="0"/>
      </c>
      <c r="L12260">
        <f t="shared" si="1"/>
      </c>
      <c r="M12260">
        <f t="shared" si="2"/>
      </c>
    </row>
    <row r="12261">
      <c r="G12261" s="9">
        <f t="shared" si="0"/>
      </c>
      <c r="L12261">
        <f t="shared" si="1"/>
      </c>
      <c r="M12261">
        <f t="shared" si="2"/>
      </c>
    </row>
    <row r="12262">
      <c r="G12262" s="9">
        <f t="shared" si="0"/>
      </c>
      <c r="L12262">
        <f t="shared" si="1"/>
      </c>
      <c r="M12262">
        <f t="shared" si="2"/>
      </c>
    </row>
    <row r="12263">
      <c r="G12263" s="9">
        <f t="shared" si="0"/>
      </c>
      <c r="L12263">
        <f t="shared" si="1"/>
      </c>
      <c r="M12263">
        <f t="shared" si="2"/>
      </c>
    </row>
    <row r="12264">
      <c r="G12264" s="9">
        <f t="shared" si="0"/>
      </c>
      <c r="L12264">
        <f t="shared" si="1"/>
      </c>
      <c r="M12264">
        <f t="shared" si="2"/>
      </c>
    </row>
    <row r="12265">
      <c r="G12265" s="9">
        <f t="shared" si="0"/>
      </c>
      <c r="L12265">
        <f t="shared" si="1"/>
      </c>
      <c r="M12265">
        <f t="shared" si="2"/>
      </c>
    </row>
    <row r="12266">
      <c r="G12266" s="9">
        <f t="shared" si="0"/>
      </c>
      <c r="L12266">
        <f t="shared" si="1"/>
      </c>
      <c r="M12266">
        <f t="shared" si="2"/>
      </c>
    </row>
    <row r="12267">
      <c r="G12267" s="9">
        <f t="shared" si="0"/>
      </c>
      <c r="L12267">
        <f t="shared" si="1"/>
      </c>
      <c r="M12267">
        <f t="shared" si="2"/>
      </c>
    </row>
    <row r="12268">
      <c r="G12268" s="9">
        <f t="shared" si="0"/>
      </c>
      <c r="L12268">
        <f t="shared" si="1"/>
      </c>
      <c r="M12268">
        <f t="shared" si="2"/>
      </c>
    </row>
    <row r="12269">
      <c r="G12269" s="9">
        <f t="shared" si="0"/>
      </c>
      <c r="L12269">
        <f t="shared" si="1"/>
      </c>
      <c r="M12269">
        <f t="shared" si="2"/>
      </c>
    </row>
    <row r="12270">
      <c r="G12270" s="9">
        <f t="shared" si="0"/>
      </c>
      <c r="L12270">
        <f t="shared" si="1"/>
      </c>
      <c r="M12270">
        <f t="shared" si="2"/>
      </c>
    </row>
    <row r="12271">
      <c r="G12271" s="9">
        <f t="shared" si="0"/>
      </c>
      <c r="L12271">
        <f t="shared" si="1"/>
      </c>
      <c r="M12271">
        <f t="shared" si="2"/>
      </c>
    </row>
    <row r="12272">
      <c r="G12272" s="9">
        <f t="shared" si="0"/>
      </c>
      <c r="L12272">
        <f t="shared" si="1"/>
      </c>
      <c r="M12272">
        <f t="shared" si="2"/>
      </c>
    </row>
    <row r="12273">
      <c r="G12273" s="9">
        <f t="shared" si="0"/>
      </c>
      <c r="L12273">
        <f t="shared" si="1"/>
      </c>
      <c r="M12273">
        <f t="shared" si="2"/>
      </c>
    </row>
    <row r="12274">
      <c r="G12274" s="9">
        <f t="shared" si="0"/>
      </c>
      <c r="L12274">
        <f t="shared" si="1"/>
      </c>
      <c r="M12274">
        <f t="shared" si="2"/>
      </c>
    </row>
    <row r="12275">
      <c r="G12275" s="9">
        <f t="shared" si="0"/>
      </c>
      <c r="L12275">
        <f t="shared" si="1"/>
      </c>
      <c r="M12275">
        <f t="shared" si="2"/>
      </c>
    </row>
    <row r="12276">
      <c r="G12276" s="9">
        <f t="shared" si="0"/>
      </c>
      <c r="L12276">
        <f t="shared" si="1"/>
      </c>
      <c r="M12276">
        <f t="shared" si="2"/>
      </c>
    </row>
    <row r="12277">
      <c r="G12277" s="9">
        <f t="shared" si="0"/>
      </c>
      <c r="L12277">
        <f t="shared" si="1"/>
      </c>
      <c r="M12277">
        <f t="shared" si="2"/>
      </c>
    </row>
    <row r="12278">
      <c r="G12278" s="9">
        <f t="shared" si="0"/>
      </c>
      <c r="L12278">
        <f t="shared" si="1"/>
      </c>
      <c r="M12278">
        <f t="shared" si="2"/>
      </c>
    </row>
    <row r="12279">
      <c r="G12279" s="9">
        <f t="shared" si="0"/>
      </c>
      <c r="L12279">
        <f t="shared" si="1"/>
      </c>
      <c r="M12279">
        <f t="shared" si="2"/>
      </c>
    </row>
    <row r="12280">
      <c r="G12280" s="9">
        <f t="shared" si="0"/>
      </c>
      <c r="L12280">
        <f t="shared" si="1"/>
      </c>
      <c r="M12280">
        <f t="shared" si="2"/>
      </c>
    </row>
    <row r="12281">
      <c r="G12281" s="9">
        <f t="shared" si="0"/>
      </c>
      <c r="L12281">
        <f t="shared" si="1"/>
      </c>
      <c r="M12281">
        <f t="shared" si="2"/>
      </c>
    </row>
    <row r="12282">
      <c r="G12282" s="9">
        <f t="shared" si="0"/>
      </c>
      <c r="L12282">
        <f t="shared" si="1"/>
      </c>
      <c r="M12282">
        <f t="shared" si="2"/>
      </c>
    </row>
    <row r="12283">
      <c r="G12283" s="9">
        <f t="shared" si="0"/>
      </c>
      <c r="L12283">
        <f t="shared" si="1"/>
      </c>
      <c r="M12283">
        <f t="shared" si="2"/>
      </c>
    </row>
    <row r="12284">
      <c r="G12284" s="9">
        <f t="shared" si="0"/>
      </c>
      <c r="L12284">
        <f t="shared" si="1"/>
      </c>
      <c r="M12284">
        <f t="shared" si="2"/>
      </c>
    </row>
    <row r="12285">
      <c r="G12285" s="9">
        <f t="shared" si="0"/>
      </c>
      <c r="L12285">
        <f t="shared" si="1"/>
      </c>
      <c r="M12285">
        <f t="shared" si="2"/>
      </c>
    </row>
    <row r="12286">
      <c r="G12286" s="9">
        <f t="shared" si="0"/>
      </c>
      <c r="L12286">
        <f t="shared" si="1"/>
      </c>
      <c r="M12286">
        <f t="shared" si="2"/>
      </c>
    </row>
    <row r="12287">
      <c r="G12287" s="9">
        <f t="shared" si="0"/>
      </c>
      <c r="L12287">
        <f t="shared" si="1"/>
      </c>
      <c r="M12287">
        <f t="shared" si="2"/>
      </c>
    </row>
    <row r="12288">
      <c r="G12288" s="9">
        <f t="shared" si="0"/>
      </c>
      <c r="L12288">
        <f t="shared" si="1"/>
      </c>
      <c r="M12288">
        <f t="shared" si="2"/>
      </c>
    </row>
    <row r="12289">
      <c r="G12289" s="9">
        <f t="shared" si="0"/>
      </c>
      <c r="L12289">
        <f t="shared" si="1"/>
      </c>
      <c r="M12289">
        <f t="shared" si="2"/>
      </c>
    </row>
    <row r="12290">
      <c r="G12290" s="9">
        <f t="shared" si="0"/>
      </c>
      <c r="L12290">
        <f t="shared" si="1"/>
      </c>
      <c r="M12290">
        <f t="shared" si="2"/>
      </c>
    </row>
    <row r="12291">
      <c r="G12291" s="9">
        <f t="shared" si="0"/>
      </c>
      <c r="L12291">
        <f t="shared" si="1"/>
      </c>
      <c r="M12291">
        <f t="shared" si="2"/>
      </c>
    </row>
    <row r="12292">
      <c r="G12292" s="9">
        <f t="shared" si="0"/>
      </c>
      <c r="L12292">
        <f t="shared" si="1"/>
      </c>
      <c r="M12292">
        <f t="shared" si="2"/>
      </c>
    </row>
    <row r="12293">
      <c r="G12293" s="9">
        <f t="shared" si="0"/>
      </c>
      <c r="L12293">
        <f t="shared" si="1"/>
      </c>
      <c r="M12293">
        <f t="shared" si="2"/>
      </c>
    </row>
    <row r="12294">
      <c r="G12294" s="9">
        <f t="shared" si="0"/>
      </c>
      <c r="L12294">
        <f t="shared" si="1"/>
      </c>
      <c r="M12294">
        <f t="shared" si="2"/>
      </c>
    </row>
    <row r="12295">
      <c r="G12295" s="9">
        <f t="shared" si="0"/>
      </c>
      <c r="L12295">
        <f t="shared" si="1"/>
      </c>
      <c r="M12295">
        <f t="shared" si="2"/>
      </c>
    </row>
    <row r="12296">
      <c r="G12296" s="9">
        <f t="shared" si="0"/>
      </c>
      <c r="L12296">
        <f t="shared" si="1"/>
      </c>
      <c r="M12296">
        <f t="shared" si="2"/>
      </c>
    </row>
    <row r="12297">
      <c r="G12297" s="9">
        <f t="shared" si="0"/>
      </c>
      <c r="L12297">
        <f t="shared" si="1"/>
      </c>
      <c r="M12297">
        <f t="shared" si="2"/>
      </c>
    </row>
    <row r="12298">
      <c r="G12298" s="9">
        <f t="shared" si="0"/>
      </c>
      <c r="L12298">
        <f t="shared" si="1"/>
      </c>
      <c r="M12298">
        <f t="shared" si="2"/>
      </c>
    </row>
    <row r="12299">
      <c r="G12299" s="9">
        <f t="shared" si="0"/>
      </c>
      <c r="L12299">
        <f t="shared" si="1"/>
      </c>
      <c r="M12299">
        <f t="shared" si="2"/>
      </c>
    </row>
    <row r="12300">
      <c r="G12300" s="9">
        <f t="shared" si="0"/>
      </c>
      <c r="L12300">
        <f t="shared" si="1"/>
      </c>
      <c r="M12300">
        <f t="shared" si="2"/>
      </c>
    </row>
    <row r="12301">
      <c r="G12301" s="9">
        <f t="shared" si="0"/>
      </c>
      <c r="L12301">
        <f t="shared" si="1"/>
      </c>
      <c r="M12301">
        <f t="shared" si="2"/>
      </c>
    </row>
    <row r="12302">
      <c r="G12302" s="9">
        <f t="shared" si="0"/>
      </c>
      <c r="L12302">
        <f t="shared" si="1"/>
      </c>
      <c r="M12302">
        <f t="shared" si="2"/>
      </c>
    </row>
    <row r="12303">
      <c r="G12303" s="9">
        <f t="shared" si="0"/>
      </c>
      <c r="L12303">
        <f t="shared" si="1"/>
      </c>
      <c r="M12303">
        <f t="shared" si="2"/>
      </c>
    </row>
    <row r="12304">
      <c r="G12304" s="9">
        <f t="shared" si="0"/>
      </c>
      <c r="L12304">
        <f t="shared" si="1"/>
      </c>
      <c r="M12304">
        <f t="shared" si="2"/>
      </c>
    </row>
    <row r="12305">
      <c r="G12305" s="9">
        <f t="shared" si="0"/>
      </c>
      <c r="L12305">
        <f t="shared" si="1"/>
      </c>
      <c r="M12305">
        <f t="shared" si="2"/>
      </c>
    </row>
    <row r="12306">
      <c r="G12306" s="9">
        <f t="shared" si="0"/>
      </c>
      <c r="L12306">
        <f t="shared" si="1"/>
      </c>
      <c r="M12306">
        <f t="shared" si="2"/>
      </c>
    </row>
    <row r="12307">
      <c r="G12307" s="9">
        <f t="shared" si="0"/>
      </c>
      <c r="L12307">
        <f t="shared" si="1"/>
      </c>
      <c r="M12307">
        <f t="shared" si="2"/>
      </c>
    </row>
    <row r="12308">
      <c r="G12308" s="9">
        <f t="shared" si="0"/>
      </c>
      <c r="L12308">
        <f t="shared" si="1"/>
      </c>
      <c r="M12308">
        <f t="shared" si="2"/>
      </c>
    </row>
    <row r="12309">
      <c r="G12309" s="9">
        <f t="shared" si="0"/>
      </c>
      <c r="L12309">
        <f t="shared" si="1"/>
      </c>
      <c r="M12309">
        <f t="shared" si="2"/>
      </c>
    </row>
    <row r="12310">
      <c r="G12310" s="9">
        <f t="shared" si="0"/>
      </c>
      <c r="L12310">
        <f t="shared" si="1"/>
      </c>
      <c r="M12310">
        <f t="shared" si="2"/>
      </c>
    </row>
    <row r="12311">
      <c r="G12311" s="9">
        <f t="shared" si="0"/>
      </c>
      <c r="L12311">
        <f t="shared" si="1"/>
      </c>
      <c r="M12311">
        <f t="shared" si="2"/>
      </c>
    </row>
    <row r="12312">
      <c r="G12312" s="9">
        <f t="shared" si="0"/>
      </c>
      <c r="L12312">
        <f t="shared" si="1"/>
      </c>
      <c r="M12312">
        <f t="shared" si="2"/>
      </c>
    </row>
    <row r="12313">
      <c r="G12313" s="9">
        <f t="shared" si="0"/>
      </c>
      <c r="L12313">
        <f t="shared" si="1"/>
      </c>
      <c r="M12313">
        <f t="shared" si="2"/>
      </c>
    </row>
    <row r="12314">
      <c r="G12314" s="9">
        <f t="shared" si="0"/>
      </c>
      <c r="L12314">
        <f t="shared" si="1"/>
      </c>
      <c r="M12314">
        <f t="shared" si="2"/>
      </c>
    </row>
    <row r="12315">
      <c r="G12315" s="9">
        <f t="shared" si="0"/>
      </c>
      <c r="L12315">
        <f t="shared" si="1"/>
      </c>
      <c r="M12315">
        <f t="shared" si="2"/>
      </c>
    </row>
    <row r="12316">
      <c r="G12316" s="9">
        <f t="shared" si="0"/>
      </c>
      <c r="L12316">
        <f t="shared" si="1"/>
      </c>
      <c r="M12316">
        <f t="shared" si="2"/>
      </c>
    </row>
    <row r="12317">
      <c r="G12317" s="9">
        <f t="shared" si="0"/>
      </c>
      <c r="L12317">
        <f t="shared" si="1"/>
      </c>
      <c r="M12317">
        <f t="shared" si="2"/>
      </c>
    </row>
    <row r="12318">
      <c r="G12318" s="9">
        <f t="shared" si="0"/>
      </c>
      <c r="L12318">
        <f t="shared" si="1"/>
      </c>
      <c r="M12318">
        <f t="shared" si="2"/>
      </c>
    </row>
    <row r="12319">
      <c r="G12319" s="9">
        <f t="shared" si="0"/>
      </c>
      <c r="L12319">
        <f t="shared" si="1"/>
      </c>
      <c r="M12319">
        <f t="shared" si="2"/>
      </c>
    </row>
    <row r="12320">
      <c r="G12320" s="9">
        <f t="shared" si="0"/>
      </c>
      <c r="L12320">
        <f t="shared" si="1"/>
      </c>
      <c r="M12320">
        <f t="shared" si="2"/>
      </c>
    </row>
    <row r="12321">
      <c r="G12321" s="9">
        <f t="shared" si="0"/>
      </c>
      <c r="L12321">
        <f t="shared" si="1"/>
      </c>
      <c r="M12321">
        <f t="shared" si="2"/>
      </c>
    </row>
    <row r="12322">
      <c r="G12322" s="9">
        <f t="shared" si="0"/>
      </c>
      <c r="L12322">
        <f t="shared" si="1"/>
      </c>
      <c r="M12322">
        <f t="shared" si="2"/>
      </c>
    </row>
    <row r="12323">
      <c r="G12323" s="9">
        <f t="shared" si="0"/>
      </c>
      <c r="L12323">
        <f t="shared" si="1"/>
      </c>
      <c r="M12323">
        <f t="shared" si="2"/>
      </c>
    </row>
    <row r="12324">
      <c r="G12324" s="9">
        <f t="shared" si="0"/>
      </c>
      <c r="L12324">
        <f t="shared" si="1"/>
      </c>
      <c r="M12324">
        <f t="shared" si="2"/>
      </c>
    </row>
    <row r="12325">
      <c r="G12325" s="9">
        <f t="shared" si="0"/>
      </c>
      <c r="L12325">
        <f t="shared" si="1"/>
      </c>
      <c r="M12325">
        <f t="shared" si="2"/>
      </c>
    </row>
    <row r="12326">
      <c r="G12326" s="9">
        <f t="shared" si="0"/>
      </c>
      <c r="L12326">
        <f t="shared" si="1"/>
      </c>
      <c r="M12326">
        <f t="shared" si="2"/>
      </c>
    </row>
    <row r="12327">
      <c r="G12327" s="9">
        <f t="shared" si="0"/>
      </c>
      <c r="L12327">
        <f t="shared" si="1"/>
      </c>
      <c r="M12327">
        <f t="shared" si="2"/>
      </c>
    </row>
    <row r="12328">
      <c r="G12328" s="9">
        <f t="shared" si="0"/>
      </c>
      <c r="L12328">
        <f t="shared" si="1"/>
      </c>
      <c r="M12328">
        <f t="shared" si="2"/>
      </c>
    </row>
    <row r="12329">
      <c r="G12329" s="9">
        <f t="shared" si="0"/>
      </c>
      <c r="L12329">
        <f t="shared" si="1"/>
      </c>
      <c r="M12329">
        <f t="shared" si="2"/>
      </c>
    </row>
    <row r="12330">
      <c r="G12330" s="9">
        <f t="shared" si="0"/>
      </c>
      <c r="L12330">
        <f t="shared" si="1"/>
      </c>
      <c r="M12330">
        <f t="shared" si="2"/>
      </c>
    </row>
    <row r="12331">
      <c r="G12331" s="9">
        <f t="shared" si="0"/>
      </c>
      <c r="L12331">
        <f t="shared" si="1"/>
      </c>
      <c r="M12331">
        <f t="shared" si="2"/>
      </c>
    </row>
    <row r="12332">
      <c r="G12332" s="9">
        <f t="shared" si="0"/>
      </c>
      <c r="L12332">
        <f t="shared" si="1"/>
      </c>
      <c r="M12332">
        <f t="shared" si="2"/>
      </c>
    </row>
    <row r="12333">
      <c r="G12333" s="9">
        <f t="shared" si="0"/>
      </c>
      <c r="L12333">
        <f t="shared" si="1"/>
      </c>
      <c r="M12333">
        <f t="shared" si="2"/>
      </c>
    </row>
    <row r="12334">
      <c r="G12334" s="9">
        <f t="shared" si="0"/>
      </c>
      <c r="L12334">
        <f t="shared" si="1"/>
      </c>
      <c r="M12334">
        <f t="shared" si="2"/>
      </c>
    </row>
    <row r="12335">
      <c r="G12335" s="9">
        <f t="shared" si="0"/>
      </c>
      <c r="L12335">
        <f t="shared" si="1"/>
      </c>
      <c r="M12335">
        <f t="shared" si="2"/>
      </c>
    </row>
    <row r="12336">
      <c r="G12336" s="9">
        <f t="shared" si="0"/>
      </c>
      <c r="L12336">
        <f t="shared" si="1"/>
      </c>
      <c r="M12336">
        <f t="shared" si="2"/>
      </c>
    </row>
    <row r="12337">
      <c r="G12337" s="9">
        <f t="shared" si="0"/>
      </c>
      <c r="L12337">
        <f t="shared" si="1"/>
      </c>
      <c r="M12337">
        <f t="shared" si="2"/>
      </c>
    </row>
    <row r="12338">
      <c r="G12338" s="9">
        <f t="shared" si="0"/>
      </c>
      <c r="L12338">
        <f t="shared" si="1"/>
      </c>
      <c r="M12338">
        <f t="shared" si="2"/>
      </c>
    </row>
    <row r="12339">
      <c r="G12339" s="9">
        <f t="shared" si="0"/>
      </c>
      <c r="L12339">
        <f t="shared" si="1"/>
      </c>
      <c r="M12339">
        <f t="shared" si="2"/>
      </c>
    </row>
    <row r="12340">
      <c r="G12340" s="9">
        <f t="shared" si="0"/>
      </c>
      <c r="L12340">
        <f t="shared" si="1"/>
      </c>
      <c r="M12340">
        <f t="shared" si="2"/>
      </c>
    </row>
    <row r="12341">
      <c r="G12341" s="9">
        <f t="shared" si="0"/>
      </c>
      <c r="L12341">
        <f t="shared" si="1"/>
      </c>
      <c r="M12341">
        <f t="shared" si="2"/>
      </c>
    </row>
    <row r="12342">
      <c r="G12342" s="9">
        <f t="shared" si="0"/>
      </c>
      <c r="L12342">
        <f t="shared" si="1"/>
      </c>
      <c r="M12342">
        <f t="shared" si="2"/>
      </c>
    </row>
    <row r="12343">
      <c r="G12343" s="9">
        <f t="shared" si="0"/>
      </c>
      <c r="L12343">
        <f t="shared" si="1"/>
      </c>
      <c r="M12343">
        <f t="shared" si="2"/>
      </c>
    </row>
    <row r="12344">
      <c r="G12344" s="9">
        <f t="shared" si="0"/>
      </c>
      <c r="L12344">
        <f t="shared" si="1"/>
      </c>
      <c r="M12344">
        <f t="shared" si="2"/>
      </c>
    </row>
    <row r="12345">
      <c r="G12345" s="9">
        <f t="shared" si="0"/>
      </c>
      <c r="L12345">
        <f t="shared" si="1"/>
      </c>
      <c r="M12345">
        <f t="shared" si="2"/>
      </c>
    </row>
    <row r="12346">
      <c r="G12346" s="9">
        <f t="shared" si="0"/>
      </c>
      <c r="L12346">
        <f t="shared" si="1"/>
      </c>
      <c r="M12346">
        <f t="shared" si="2"/>
      </c>
    </row>
    <row r="12347">
      <c r="G12347" s="9">
        <f t="shared" si="0"/>
      </c>
      <c r="L12347">
        <f t="shared" si="1"/>
      </c>
      <c r="M12347">
        <f t="shared" si="2"/>
      </c>
    </row>
    <row r="12348">
      <c r="G12348" s="9">
        <f t="shared" si="0"/>
      </c>
      <c r="L12348">
        <f t="shared" si="1"/>
      </c>
      <c r="M12348">
        <f t="shared" si="2"/>
      </c>
    </row>
    <row r="12349">
      <c r="G12349" s="9">
        <f t="shared" si="0"/>
      </c>
      <c r="L12349">
        <f t="shared" si="1"/>
      </c>
      <c r="M12349">
        <f t="shared" si="2"/>
      </c>
    </row>
    <row r="12350">
      <c r="G12350" s="9">
        <f t="shared" si="0"/>
      </c>
      <c r="L12350">
        <f t="shared" si="1"/>
      </c>
      <c r="M12350">
        <f t="shared" si="2"/>
      </c>
    </row>
    <row r="12351">
      <c r="G12351" s="9">
        <f t="shared" si="0"/>
      </c>
      <c r="L12351">
        <f t="shared" si="1"/>
      </c>
      <c r="M12351">
        <f t="shared" si="2"/>
      </c>
    </row>
    <row r="12352">
      <c r="G12352" s="9">
        <f t="shared" si="0"/>
      </c>
      <c r="L12352">
        <f t="shared" si="1"/>
      </c>
      <c r="M12352">
        <f t="shared" si="2"/>
      </c>
    </row>
    <row r="12353">
      <c r="G12353" s="9">
        <f t="shared" si="0"/>
      </c>
      <c r="L12353">
        <f t="shared" si="1"/>
      </c>
      <c r="M12353">
        <f t="shared" si="2"/>
      </c>
    </row>
    <row r="12354">
      <c r="G12354" s="9">
        <f t="shared" si="0"/>
      </c>
      <c r="L12354">
        <f t="shared" si="1"/>
      </c>
      <c r="M12354">
        <f t="shared" si="2"/>
      </c>
    </row>
    <row r="12355">
      <c r="G12355" s="9">
        <f t="shared" si="0"/>
      </c>
      <c r="L12355">
        <f t="shared" si="1"/>
      </c>
      <c r="M12355">
        <f t="shared" si="2"/>
      </c>
    </row>
    <row r="12356">
      <c r="G12356" s="9">
        <f t="shared" si="0"/>
      </c>
      <c r="L12356">
        <f t="shared" si="1"/>
      </c>
      <c r="M12356">
        <f t="shared" si="2"/>
      </c>
    </row>
    <row r="12357">
      <c r="G12357" s="9">
        <f t="shared" si="0"/>
      </c>
      <c r="L12357">
        <f t="shared" si="1"/>
      </c>
      <c r="M12357">
        <f t="shared" si="2"/>
      </c>
    </row>
    <row r="12358">
      <c r="G12358" s="9">
        <f t="shared" si="0"/>
      </c>
      <c r="L12358">
        <f t="shared" si="1"/>
      </c>
      <c r="M12358">
        <f t="shared" si="2"/>
      </c>
    </row>
    <row r="12359">
      <c r="G12359" s="9">
        <f t="shared" si="0"/>
      </c>
      <c r="L12359">
        <f t="shared" si="1"/>
      </c>
      <c r="M12359">
        <f t="shared" si="2"/>
      </c>
    </row>
    <row r="12360">
      <c r="G12360" s="9">
        <f t="shared" si="0"/>
      </c>
      <c r="L12360">
        <f t="shared" si="1"/>
      </c>
      <c r="M12360">
        <f t="shared" si="2"/>
      </c>
    </row>
    <row r="12361">
      <c r="G12361" s="9">
        <f t="shared" si="0"/>
      </c>
      <c r="L12361">
        <f t="shared" si="1"/>
      </c>
      <c r="M12361">
        <f t="shared" si="2"/>
      </c>
    </row>
    <row r="12362">
      <c r="G12362" s="9">
        <f t="shared" si="0"/>
      </c>
      <c r="L12362">
        <f t="shared" si="1"/>
      </c>
      <c r="M12362">
        <f t="shared" si="2"/>
      </c>
    </row>
    <row r="12363">
      <c r="G12363" s="9">
        <f t="shared" si="0"/>
      </c>
      <c r="L12363">
        <f t="shared" si="1"/>
      </c>
      <c r="M12363">
        <f t="shared" si="2"/>
      </c>
    </row>
    <row r="12364">
      <c r="G12364" s="9">
        <f t="shared" si="0"/>
      </c>
      <c r="L12364">
        <f t="shared" si="1"/>
      </c>
      <c r="M12364">
        <f t="shared" si="2"/>
      </c>
    </row>
    <row r="12365">
      <c r="G12365" s="9">
        <f t="shared" si="0"/>
      </c>
      <c r="L12365">
        <f t="shared" si="1"/>
      </c>
      <c r="M12365">
        <f t="shared" si="2"/>
      </c>
    </row>
    <row r="12366">
      <c r="G12366" s="9">
        <f t="shared" si="0"/>
      </c>
      <c r="L12366">
        <f t="shared" si="1"/>
      </c>
      <c r="M12366">
        <f t="shared" si="2"/>
      </c>
    </row>
    <row r="12367">
      <c r="G12367" s="9">
        <f t="shared" si="0"/>
      </c>
      <c r="L12367">
        <f t="shared" si="1"/>
      </c>
      <c r="M12367">
        <f t="shared" si="2"/>
      </c>
    </row>
    <row r="12368">
      <c r="G12368" s="9">
        <f t="shared" si="0"/>
      </c>
      <c r="L12368">
        <f t="shared" si="1"/>
      </c>
      <c r="M12368">
        <f t="shared" si="2"/>
      </c>
    </row>
    <row r="12369">
      <c r="G12369" s="9">
        <f t="shared" si="0"/>
      </c>
      <c r="L12369">
        <f t="shared" si="1"/>
      </c>
      <c r="M12369">
        <f t="shared" si="2"/>
      </c>
    </row>
    <row r="12370">
      <c r="G12370" s="9">
        <f t="shared" si="0"/>
      </c>
      <c r="L12370">
        <f t="shared" si="1"/>
      </c>
      <c r="M12370">
        <f t="shared" si="2"/>
      </c>
    </row>
    <row r="12371">
      <c r="G12371" s="9">
        <f t="shared" si="0"/>
      </c>
      <c r="L12371">
        <f t="shared" si="1"/>
      </c>
      <c r="M12371">
        <f t="shared" si="2"/>
      </c>
    </row>
    <row r="12372">
      <c r="G12372" s="9">
        <f t="shared" si="0"/>
      </c>
      <c r="L12372">
        <f t="shared" si="1"/>
      </c>
      <c r="M12372">
        <f t="shared" si="2"/>
      </c>
    </row>
    <row r="12373">
      <c r="G12373" s="9">
        <f t="shared" si="0"/>
      </c>
      <c r="L12373">
        <f t="shared" si="1"/>
      </c>
      <c r="M12373">
        <f t="shared" si="2"/>
      </c>
    </row>
    <row r="12374">
      <c r="G12374" s="9">
        <f t="shared" si="0"/>
      </c>
      <c r="L12374">
        <f t="shared" si="1"/>
      </c>
      <c r="M12374">
        <f t="shared" si="2"/>
      </c>
    </row>
    <row r="12375">
      <c r="G12375" s="9">
        <f t="shared" si="0"/>
      </c>
      <c r="L12375">
        <f t="shared" si="1"/>
      </c>
      <c r="M12375">
        <f t="shared" si="2"/>
      </c>
    </row>
    <row r="12376">
      <c r="G12376" s="9">
        <f t="shared" si="0"/>
      </c>
      <c r="L12376">
        <f t="shared" si="1"/>
      </c>
      <c r="M12376">
        <f t="shared" si="2"/>
      </c>
    </row>
    <row r="12377">
      <c r="G12377" s="9">
        <f t="shared" si="0"/>
      </c>
      <c r="L12377">
        <f t="shared" si="1"/>
      </c>
      <c r="M12377">
        <f t="shared" si="2"/>
      </c>
    </row>
    <row r="12378">
      <c r="G12378" s="9">
        <f t="shared" si="0"/>
      </c>
      <c r="L12378">
        <f t="shared" si="1"/>
      </c>
      <c r="M12378">
        <f t="shared" si="2"/>
      </c>
    </row>
    <row r="12379">
      <c r="G12379" s="9">
        <f t="shared" si="0"/>
      </c>
      <c r="L12379">
        <f t="shared" si="1"/>
      </c>
      <c r="M12379">
        <f t="shared" si="2"/>
      </c>
    </row>
    <row r="12380">
      <c r="G12380" s="9">
        <f t="shared" si="0"/>
      </c>
      <c r="L12380">
        <f t="shared" si="1"/>
      </c>
      <c r="M12380">
        <f t="shared" si="2"/>
      </c>
    </row>
    <row r="12381">
      <c r="G12381" s="9">
        <f t="shared" si="0"/>
      </c>
      <c r="L12381">
        <f t="shared" si="1"/>
      </c>
      <c r="M12381">
        <f t="shared" si="2"/>
      </c>
    </row>
    <row r="12382">
      <c r="G12382" s="9">
        <f t="shared" si="0"/>
      </c>
      <c r="L12382">
        <f t="shared" si="1"/>
      </c>
      <c r="M12382">
        <f t="shared" si="2"/>
      </c>
    </row>
    <row r="12383">
      <c r="G12383" s="9">
        <f t="shared" si="0"/>
      </c>
      <c r="L12383">
        <f t="shared" si="1"/>
      </c>
      <c r="M12383">
        <f t="shared" si="2"/>
      </c>
    </row>
    <row r="12384">
      <c r="G12384" s="9">
        <f t="shared" si="0"/>
      </c>
      <c r="L12384">
        <f t="shared" si="1"/>
      </c>
      <c r="M12384">
        <f t="shared" si="2"/>
      </c>
    </row>
    <row r="12385">
      <c r="G12385" s="9">
        <f t="shared" si="0"/>
      </c>
      <c r="L12385">
        <f t="shared" si="1"/>
      </c>
      <c r="M12385">
        <f t="shared" si="2"/>
      </c>
    </row>
    <row r="12386">
      <c r="G12386" s="9">
        <f t="shared" si="0"/>
      </c>
      <c r="L12386">
        <f t="shared" si="1"/>
      </c>
      <c r="M12386">
        <f t="shared" si="2"/>
      </c>
    </row>
    <row r="12387">
      <c r="G12387" s="9">
        <f t="shared" si="0"/>
      </c>
      <c r="L12387">
        <f t="shared" si="1"/>
      </c>
      <c r="M12387">
        <f t="shared" si="2"/>
      </c>
    </row>
    <row r="12388">
      <c r="G12388" s="9">
        <f t="shared" si="0"/>
      </c>
      <c r="L12388">
        <f t="shared" si="1"/>
      </c>
      <c r="M12388">
        <f t="shared" si="2"/>
      </c>
    </row>
    <row r="12389">
      <c r="G12389" s="9">
        <f t="shared" si="0"/>
      </c>
      <c r="L12389">
        <f t="shared" si="1"/>
      </c>
      <c r="M12389">
        <f t="shared" si="2"/>
      </c>
    </row>
    <row r="12390">
      <c r="G12390" s="9">
        <f t="shared" si="0"/>
      </c>
      <c r="L12390">
        <f t="shared" si="1"/>
      </c>
      <c r="M12390">
        <f t="shared" si="2"/>
      </c>
    </row>
    <row r="12391">
      <c r="G12391" s="9">
        <f t="shared" si="0"/>
      </c>
      <c r="L12391">
        <f t="shared" si="1"/>
      </c>
      <c r="M12391">
        <f t="shared" si="2"/>
      </c>
    </row>
    <row r="12392">
      <c r="G12392" s="9">
        <f t="shared" si="0"/>
      </c>
      <c r="L12392">
        <f t="shared" si="1"/>
      </c>
      <c r="M12392">
        <f t="shared" si="2"/>
      </c>
    </row>
    <row r="12393">
      <c r="G12393" s="9">
        <f t="shared" si="0"/>
      </c>
      <c r="L12393">
        <f t="shared" si="1"/>
      </c>
      <c r="M12393">
        <f t="shared" si="2"/>
      </c>
    </row>
    <row r="12394">
      <c r="G12394" s="9">
        <f t="shared" si="0"/>
      </c>
      <c r="L12394">
        <f t="shared" si="1"/>
      </c>
      <c r="M12394">
        <f t="shared" si="2"/>
      </c>
    </row>
    <row r="12395">
      <c r="G12395" s="9">
        <f t="shared" si="0"/>
      </c>
      <c r="L12395">
        <f t="shared" si="1"/>
      </c>
      <c r="M12395">
        <f t="shared" si="2"/>
      </c>
    </row>
    <row r="12396">
      <c r="G12396" s="9">
        <f t="shared" si="0"/>
      </c>
      <c r="L12396">
        <f t="shared" si="1"/>
      </c>
      <c r="M12396">
        <f t="shared" si="2"/>
      </c>
    </row>
    <row r="12397">
      <c r="G12397" s="9">
        <f t="shared" si="0"/>
      </c>
      <c r="L12397">
        <f t="shared" si="1"/>
      </c>
      <c r="M12397">
        <f t="shared" si="2"/>
      </c>
    </row>
    <row r="12398">
      <c r="G12398" s="9">
        <f t="shared" si="0"/>
      </c>
      <c r="L12398">
        <f t="shared" si="1"/>
      </c>
      <c r="M12398">
        <f t="shared" si="2"/>
      </c>
    </row>
    <row r="12399">
      <c r="G12399" s="9">
        <f t="shared" si="0"/>
      </c>
      <c r="L12399">
        <f t="shared" si="1"/>
      </c>
      <c r="M12399">
        <f t="shared" si="2"/>
      </c>
    </row>
    <row r="12400">
      <c r="G12400" s="9">
        <f t="shared" si="0"/>
      </c>
      <c r="L12400">
        <f t="shared" si="1"/>
      </c>
      <c r="M12400">
        <f t="shared" si="2"/>
      </c>
    </row>
    <row r="12401">
      <c r="G12401" s="9">
        <f t="shared" si="0"/>
      </c>
      <c r="L12401">
        <f t="shared" si="1"/>
      </c>
      <c r="M12401">
        <f t="shared" si="2"/>
      </c>
    </row>
    <row r="12402">
      <c r="G12402" s="9">
        <f t="shared" si="0"/>
      </c>
      <c r="L12402">
        <f t="shared" si="1"/>
      </c>
      <c r="M12402">
        <f t="shared" si="2"/>
      </c>
    </row>
    <row r="12403">
      <c r="G12403" s="9">
        <f t="shared" si="0"/>
      </c>
      <c r="L12403">
        <f t="shared" si="1"/>
      </c>
      <c r="M12403">
        <f t="shared" si="2"/>
      </c>
    </row>
    <row r="12404">
      <c r="G12404" s="9">
        <f t="shared" si="0"/>
      </c>
      <c r="L12404">
        <f t="shared" si="1"/>
      </c>
      <c r="M12404">
        <f t="shared" si="2"/>
      </c>
    </row>
    <row r="12405">
      <c r="G12405" s="9">
        <f t="shared" si="0"/>
      </c>
      <c r="L12405">
        <f t="shared" si="1"/>
      </c>
      <c r="M12405">
        <f t="shared" si="2"/>
      </c>
    </row>
    <row r="12406">
      <c r="G12406" s="9">
        <f t="shared" si="0"/>
      </c>
      <c r="L12406">
        <f t="shared" si="1"/>
      </c>
      <c r="M12406">
        <f t="shared" si="2"/>
      </c>
    </row>
    <row r="12407">
      <c r="G12407" s="9">
        <f t="shared" si="0"/>
      </c>
      <c r="L12407">
        <f t="shared" si="1"/>
      </c>
      <c r="M12407">
        <f t="shared" si="2"/>
      </c>
    </row>
    <row r="12408">
      <c r="G12408" s="9">
        <f t="shared" si="0"/>
      </c>
      <c r="L12408">
        <f t="shared" si="1"/>
      </c>
      <c r="M12408">
        <f t="shared" si="2"/>
      </c>
    </row>
    <row r="12409">
      <c r="G12409" s="9">
        <f t="shared" si="0"/>
      </c>
      <c r="L12409">
        <f t="shared" si="1"/>
      </c>
      <c r="M12409">
        <f t="shared" si="2"/>
      </c>
    </row>
    <row r="12410">
      <c r="G12410" s="9">
        <f t="shared" si="0"/>
      </c>
      <c r="L12410">
        <f t="shared" si="1"/>
      </c>
      <c r="M12410">
        <f t="shared" si="2"/>
      </c>
    </row>
    <row r="12411">
      <c r="G12411" s="9">
        <f t="shared" si="0"/>
      </c>
      <c r="L12411">
        <f t="shared" si="1"/>
      </c>
      <c r="M12411">
        <f t="shared" si="2"/>
      </c>
    </row>
    <row r="12412">
      <c r="G12412" s="9">
        <f t="shared" si="0"/>
      </c>
      <c r="L12412">
        <f t="shared" si="1"/>
      </c>
      <c r="M12412">
        <f t="shared" si="2"/>
      </c>
    </row>
    <row r="12413">
      <c r="G12413" s="9">
        <f t="shared" si="0"/>
      </c>
      <c r="L12413">
        <f t="shared" si="1"/>
      </c>
      <c r="M12413">
        <f t="shared" si="2"/>
      </c>
    </row>
    <row r="12414">
      <c r="G12414" s="9">
        <f t="shared" si="0"/>
      </c>
      <c r="L12414">
        <f t="shared" si="1"/>
      </c>
      <c r="M12414">
        <f t="shared" si="2"/>
      </c>
    </row>
    <row r="12415">
      <c r="G12415" s="9">
        <f t="shared" si="0"/>
      </c>
      <c r="L12415">
        <f t="shared" si="1"/>
      </c>
      <c r="M12415">
        <f t="shared" si="2"/>
      </c>
    </row>
    <row r="12416">
      <c r="G12416" s="9">
        <f t="shared" si="0"/>
      </c>
      <c r="L12416">
        <f t="shared" si="1"/>
      </c>
      <c r="M12416">
        <f t="shared" si="2"/>
      </c>
    </row>
    <row r="12417">
      <c r="G12417" s="9">
        <f t="shared" si="0"/>
      </c>
      <c r="L12417">
        <f t="shared" si="1"/>
      </c>
      <c r="M12417">
        <f t="shared" si="2"/>
      </c>
    </row>
    <row r="12418">
      <c r="G12418" s="9">
        <f t="shared" si="0"/>
      </c>
      <c r="L12418">
        <f t="shared" si="1"/>
      </c>
      <c r="M12418">
        <f t="shared" si="2"/>
      </c>
    </row>
    <row r="12419">
      <c r="G12419" s="9">
        <f t="shared" si="0"/>
      </c>
      <c r="L12419">
        <f t="shared" si="1"/>
      </c>
      <c r="M12419">
        <f t="shared" si="2"/>
      </c>
    </row>
    <row r="12420">
      <c r="G12420" s="9">
        <f t="shared" si="0"/>
      </c>
      <c r="L12420">
        <f t="shared" si="1"/>
      </c>
      <c r="M12420">
        <f t="shared" si="2"/>
      </c>
    </row>
    <row r="12421">
      <c r="G12421" s="9">
        <f t="shared" si="0"/>
      </c>
      <c r="L12421">
        <f t="shared" si="1"/>
      </c>
      <c r="M12421">
        <f t="shared" si="2"/>
      </c>
    </row>
    <row r="12422">
      <c r="G12422" s="9">
        <f t="shared" si="0"/>
      </c>
      <c r="L12422">
        <f t="shared" si="1"/>
      </c>
      <c r="M12422">
        <f t="shared" si="2"/>
      </c>
    </row>
    <row r="12423">
      <c r="G12423" s="9">
        <f t="shared" si="0"/>
      </c>
      <c r="L12423">
        <f t="shared" si="1"/>
      </c>
      <c r="M12423">
        <f t="shared" si="2"/>
      </c>
    </row>
    <row r="12424">
      <c r="G12424" s="9">
        <f t="shared" si="0"/>
      </c>
      <c r="L12424">
        <f t="shared" si="1"/>
      </c>
      <c r="M12424">
        <f t="shared" si="2"/>
      </c>
    </row>
    <row r="12425">
      <c r="G12425" s="9">
        <f t="shared" si="0"/>
      </c>
      <c r="L12425">
        <f t="shared" si="1"/>
      </c>
      <c r="M12425">
        <f t="shared" si="2"/>
      </c>
    </row>
    <row r="12426">
      <c r="G12426" s="9">
        <f t="shared" si="0"/>
      </c>
      <c r="L12426">
        <f t="shared" si="1"/>
      </c>
      <c r="M12426">
        <f t="shared" si="2"/>
      </c>
    </row>
    <row r="12427">
      <c r="G12427" s="9">
        <f t="shared" si="0"/>
      </c>
      <c r="L12427">
        <f t="shared" si="1"/>
      </c>
      <c r="M12427">
        <f t="shared" si="2"/>
      </c>
    </row>
    <row r="12428">
      <c r="G12428" s="9">
        <f t="shared" si="0"/>
      </c>
      <c r="L12428">
        <f t="shared" si="1"/>
      </c>
      <c r="M12428">
        <f t="shared" si="2"/>
      </c>
    </row>
    <row r="12429">
      <c r="G12429" s="9">
        <f t="shared" si="0"/>
      </c>
      <c r="L12429">
        <f t="shared" si="1"/>
      </c>
      <c r="M12429">
        <f t="shared" si="2"/>
      </c>
    </row>
    <row r="12430">
      <c r="G12430" s="9">
        <f t="shared" si="0"/>
      </c>
      <c r="L12430">
        <f t="shared" si="1"/>
      </c>
      <c r="M12430">
        <f t="shared" si="2"/>
      </c>
    </row>
    <row r="12431">
      <c r="G12431" s="9">
        <f t="shared" si="0"/>
      </c>
      <c r="L12431">
        <f t="shared" si="1"/>
      </c>
      <c r="M12431">
        <f t="shared" si="2"/>
      </c>
    </row>
    <row r="12432">
      <c r="G12432" s="9">
        <f t="shared" si="0"/>
      </c>
      <c r="L12432">
        <f t="shared" si="1"/>
      </c>
      <c r="M12432">
        <f t="shared" si="2"/>
      </c>
    </row>
    <row r="12433">
      <c r="G12433" s="9">
        <f t="shared" si="0"/>
      </c>
      <c r="L12433">
        <f t="shared" si="1"/>
      </c>
      <c r="M12433">
        <f t="shared" si="2"/>
      </c>
    </row>
    <row r="12434">
      <c r="G12434" s="9">
        <f t="shared" si="0"/>
      </c>
      <c r="L12434">
        <f t="shared" si="1"/>
      </c>
      <c r="M12434">
        <f t="shared" si="2"/>
      </c>
    </row>
    <row r="12435">
      <c r="G12435" s="9">
        <f t="shared" si="0"/>
      </c>
      <c r="L12435">
        <f t="shared" si="1"/>
      </c>
      <c r="M12435">
        <f t="shared" si="2"/>
      </c>
    </row>
    <row r="12436">
      <c r="G12436" s="9">
        <f t="shared" si="0"/>
      </c>
      <c r="L12436">
        <f t="shared" si="1"/>
      </c>
      <c r="M12436">
        <f t="shared" si="2"/>
      </c>
    </row>
    <row r="12437">
      <c r="G12437" s="9">
        <f t="shared" si="0"/>
      </c>
      <c r="L12437">
        <f t="shared" si="1"/>
      </c>
      <c r="M12437">
        <f t="shared" si="2"/>
      </c>
    </row>
    <row r="12438">
      <c r="G12438" s="9">
        <f t="shared" si="0"/>
      </c>
      <c r="L12438">
        <f t="shared" si="1"/>
      </c>
      <c r="M12438">
        <f t="shared" si="2"/>
      </c>
    </row>
    <row r="12439">
      <c r="G12439" s="9">
        <f t="shared" si="0"/>
      </c>
      <c r="L12439">
        <f t="shared" si="1"/>
      </c>
      <c r="M12439">
        <f t="shared" si="2"/>
      </c>
    </row>
    <row r="12440">
      <c r="G12440" s="9">
        <f t="shared" si="0"/>
      </c>
      <c r="L12440">
        <f t="shared" si="1"/>
      </c>
      <c r="M12440">
        <f t="shared" si="2"/>
      </c>
    </row>
    <row r="12441">
      <c r="G12441" s="9">
        <f t="shared" si="0"/>
      </c>
      <c r="L12441">
        <f t="shared" si="1"/>
      </c>
      <c r="M12441">
        <f t="shared" si="2"/>
      </c>
    </row>
    <row r="12442">
      <c r="G12442" s="9">
        <f t="shared" si="0"/>
      </c>
      <c r="L12442">
        <f t="shared" si="1"/>
      </c>
      <c r="M12442">
        <f t="shared" si="2"/>
      </c>
    </row>
    <row r="12443">
      <c r="G12443" s="9">
        <f t="shared" si="0"/>
      </c>
      <c r="L12443">
        <f t="shared" si="1"/>
      </c>
      <c r="M12443">
        <f t="shared" si="2"/>
      </c>
    </row>
    <row r="12444">
      <c r="G12444" s="9">
        <f t="shared" si="0"/>
      </c>
      <c r="L12444">
        <f t="shared" si="1"/>
      </c>
      <c r="M12444">
        <f t="shared" si="2"/>
      </c>
    </row>
    <row r="12445">
      <c r="G12445" s="9">
        <f t="shared" si="0"/>
      </c>
      <c r="L12445">
        <f t="shared" si="1"/>
      </c>
      <c r="M12445">
        <f t="shared" si="2"/>
      </c>
    </row>
    <row r="12446">
      <c r="G12446" s="9">
        <f t="shared" si="0"/>
      </c>
      <c r="L12446">
        <f t="shared" si="1"/>
      </c>
      <c r="M12446">
        <f t="shared" si="2"/>
      </c>
    </row>
    <row r="12447">
      <c r="G12447" s="9">
        <f t="shared" si="0"/>
      </c>
      <c r="L12447">
        <f t="shared" si="1"/>
      </c>
      <c r="M12447">
        <f t="shared" si="2"/>
      </c>
    </row>
    <row r="12448">
      <c r="G12448" s="9">
        <f t="shared" si="0"/>
      </c>
      <c r="L12448">
        <f t="shared" si="1"/>
      </c>
      <c r="M12448">
        <f t="shared" si="2"/>
      </c>
    </row>
    <row r="12449">
      <c r="G12449" s="9">
        <f t="shared" si="0"/>
      </c>
      <c r="L12449">
        <f t="shared" si="1"/>
      </c>
      <c r="M12449">
        <f t="shared" si="2"/>
      </c>
    </row>
    <row r="12450">
      <c r="G12450" s="9">
        <f t="shared" si="0"/>
      </c>
      <c r="L12450">
        <f t="shared" si="1"/>
      </c>
      <c r="M12450">
        <f t="shared" si="2"/>
      </c>
    </row>
    <row r="12451">
      <c r="G12451" s="9">
        <f t="shared" si="0"/>
      </c>
      <c r="L12451">
        <f t="shared" si="1"/>
      </c>
      <c r="M12451">
        <f t="shared" si="2"/>
      </c>
    </row>
    <row r="12452">
      <c r="G12452" s="9">
        <f t="shared" si="0"/>
      </c>
      <c r="L12452">
        <f t="shared" si="1"/>
      </c>
      <c r="M12452">
        <f t="shared" si="2"/>
      </c>
    </row>
    <row r="12453">
      <c r="G12453" s="9">
        <f t="shared" si="0"/>
      </c>
      <c r="L12453">
        <f t="shared" si="1"/>
      </c>
      <c r="M12453">
        <f t="shared" si="2"/>
      </c>
    </row>
    <row r="12454">
      <c r="G12454" s="9">
        <f t="shared" si="0"/>
      </c>
      <c r="L12454">
        <f t="shared" si="1"/>
      </c>
      <c r="M12454">
        <f t="shared" si="2"/>
      </c>
    </row>
    <row r="12455">
      <c r="G12455" s="9">
        <f t="shared" si="0"/>
      </c>
      <c r="L12455">
        <f t="shared" si="1"/>
      </c>
      <c r="M12455">
        <f t="shared" si="2"/>
      </c>
    </row>
    <row r="12456">
      <c r="G12456" s="9">
        <f t="shared" si="0"/>
      </c>
      <c r="L12456">
        <f t="shared" si="1"/>
      </c>
      <c r="M12456">
        <f t="shared" si="2"/>
      </c>
    </row>
    <row r="12457">
      <c r="G12457" s="9">
        <f t="shared" si="0"/>
      </c>
      <c r="L12457">
        <f t="shared" si="1"/>
      </c>
      <c r="M12457">
        <f t="shared" si="2"/>
      </c>
    </row>
    <row r="12458">
      <c r="G12458" s="9">
        <f t="shared" si="0"/>
      </c>
      <c r="L12458">
        <f t="shared" si="1"/>
      </c>
      <c r="M12458">
        <f t="shared" si="2"/>
      </c>
    </row>
    <row r="12459">
      <c r="G12459" s="9">
        <f t="shared" si="0"/>
      </c>
      <c r="L12459">
        <f t="shared" si="1"/>
      </c>
      <c r="M12459">
        <f t="shared" si="2"/>
      </c>
    </row>
    <row r="12460">
      <c r="G12460" s="9">
        <f t="shared" si="0"/>
      </c>
      <c r="L12460">
        <f t="shared" si="1"/>
      </c>
      <c r="M12460">
        <f t="shared" si="2"/>
      </c>
    </row>
    <row r="12461">
      <c r="G12461" s="9">
        <f t="shared" si="0"/>
      </c>
      <c r="L12461">
        <f t="shared" si="1"/>
      </c>
      <c r="M12461">
        <f t="shared" si="2"/>
      </c>
    </row>
    <row r="12462">
      <c r="G12462" s="9">
        <f t="shared" si="0"/>
      </c>
      <c r="L12462">
        <f t="shared" si="1"/>
      </c>
      <c r="M12462">
        <f t="shared" si="2"/>
      </c>
    </row>
    <row r="12463">
      <c r="G12463" s="9">
        <f t="shared" si="0"/>
      </c>
      <c r="L12463">
        <f t="shared" si="1"/>
      </c>
      <c r="M12463">
        <f t="shared" si="2"/>
      </c>
    </row>
    <row r="12464">
      <c r="G12464" s="9">
        <f t="shared" si="0"/>
      </c>
      <c r="L12464">
        <f t="shared" si="1"/>
      </c>
      <c r="M12464">
        <f t="shared" si="2"/>
      </c>
    </row>
    <row r="12465">
      <c r="G12465" s="9">
        <f t="shared" si="0"/>
      </c>
      <c r="L12465">
        <f t="shared" si="1"/>
      </c>
      <c r="M12465">
        <f t="shared" si="2"/>
      </c>
    </row>
    <row r="12466">
      <c r="G12466" s="9">
        <f t="shared" si="0"/>
      </c>
      <c r="L12466">
        <f t="shared" si="1"/>
      </c>
      <c r="M12466">
        <f t="shared" si="2"/>
      </c>
    </row>
    <row r="12467">
      <c r="G12467" s="9">
        <f t="shared" si="0"/>
      </c>
      <c r="L12467">
        <f t="shared" si="1"/>
      </c>
      <c r="M12467">
        <f t="shared" si="2"/>
      </c>
    </row>
    <row r="12468">
      <c r="G12468" s="9">
        <f t="shared" si="0"/>
      </c>
      <c r="L12468">
        <f t="shared" si="1"/>
      </c>
      <c r="M12468">
        <f t="shared" si="2"/>
      </c>
    </row>
    <row r="12469">
      <c r="G12469" s="9">
        <f t="shared" si="0"/>
      </c>
      <c r="L12469">
        <f t="shared" si="1"/>
      </c>
      <c r="M12469">
        <f t="shared" si="2"/>
      </c>
    </row>
    <row r="12470">
      <c r="G12470" s="9">
        <f t="shared" si="0"/>
      </c>
      <c r="L12470">
        <f t="shared" si="1"/>
      </c>
      <c r="M12470">
        <f t="shared" si="2"/>
      </c>
    </row>
    <row r="12471">
      <c r="G12471" s="9">
        <f t="shared" si="0"/>
      </c>
      <c r="L12471">
        <f t="shared" si="1"/>
      </c>
      <c r="M12471">
        <f t="shared" si="2"/>
      </c>
    </row>
    <row r="12472">
      <c r="G12472" s="9">
        <f t="shared" si="0"/>
      </c>
      <c r="L12472">
        <f t="shared" si="1"/>
      </c>
      <c r="M12472">
        <f t="shared" si="2"/>
      </c>
    </row>
    <row r="12473">
      <c r="G12473" s="9">
        <f t="shared" si="0"/>
      </c>
      <c r="L12473">
        <f t="shared" si="1"/>
      </c>
      <c r="M12473">
        <f t="shared" si="2"/>
      </c>
    </row>
    <row r="12474">
      <c r="G12474" s="9">
        <f t="shared" si="0"/>
      </c>
      <c r="L12474">
        <f t="shared" si="1"/>
      </c>
      <c r="M12474">
        <f t="shared" si="2"/>
      </c>
    </row>
    <row r="12475">
      <c r="G12475" s="9">
        <f t="shared" si="0"/>
      </c>
      <c r="L12475">
        <f t="shared" si="1"/>
      </c>
      <c r="M12475">
        <f t="shared" si="2"/>
      </c>
    </row>
    <row r="12476">
      <c r="G12476" s="9">
        <f t="shared" si="0"/>
      </c>
      <c r="L12476">
        <f t="shared" si="1"/>
      </c>
      <c r="M12476">
        <f t="shared" si="2"/>
      </c>
    </row>
    <row r="12477">
      <c r="G12477" s="9">
        <f t="shared" si="0"/>
      </c>
      <c r="L12477">
        <f t="shared" si="1"/>
      </c>
      <c r="M12477">
        <f t="shared" si="2"/>
      </c>
    </row>
    <row r="12478">
      <c r="G12478" s="9">
        <f t="shared" si="0"/>
      </c>
      <c r="L12478">
        <f t="shared" si="1"/>
      </c>
      <c r="M12478">
        <f t="shared" si="2"/>
      </c>
    </row>
    <row r="12479">
      <c r="G12479" s="9">
        <f t="shared" si="0"/>
      </c>
      <c r="L12479">
        <f t="shared" si="1"/>
      </c>
      <c r="M12479">
        <f t="shared" si="2"/>
      </c>
    </row>
    <row r="12480">
      <c r="G12480" s="9">
        <f t="shared" si="0"/>
      </c>
      <c r="L12480">
        <f t="shared" si="1"/>
      </c>
      <c r="M12480">
        <f t="shared" si="2"/>
      </c>
    </row>
    <row r="12481">
      <c r="G12481" s="9">
        <f t="shared" si="0"/>
      </c>
      <c r="L12481">
        <f t="shared" si="1"/>
      </c>
      <c r="M12481">
        <f t="shared" si="2"/>
      </c>
    </row>
    <row r="12482">
      <c r="G12482" s="9">
        <f t="shared" si="0"/>
      </c>
      <c r="L12482">
        <f t="shared" si="1"/>
      </c>
      <c r="M12482">
        <f t="shared" si="2"/>
      </c>
    </row>
    <row r="12483">
      <c r="G12483" s="9">
        <f t="shared" si="0"/>
      </c>
      <c r="L12483">
        <f t="shared" si="1"/>
      </c>
      <c r="M12483">
        <f t="shared" si="2"/>
      </c>
    </row>
    <row r="12484">
      <c r="G12484" s="9">
        <f t="shared" si="0"/>
      </c>
      <c r="L12484">
        <f t="shared" si="1"/>
      </c>
      <c r="M12484">
        <f t="shared" si="2"/>
      </c>
    </row>
    <row r="12485">
      <c r="G12485" s="9">
        <f t="shared" si="0"/>
      </c>
      <c r="L12485">
        <f t="shared" si="1"/>
      </c>
      <c r="M12485">
        <f t="shared" si="2"/>
      </c>
    </row>
    <row r="12486">
      <c r="G12486" s="9">
        <f t="shared" si="0"/>
      </c>
      <c r="L12486">
        <f t="shared" si="1"/>
      </c>
      <c r="M12486">
        <f t="shared" si="2"/>
      </c>
    </row>
    <row r="12487">
      <c r="G12487" s="9">
        <f t="shared" si="0"/>
      </c>
      <c r="L12487">
        <f t="shared" si="1"/>
      </c>
      <c r="M12487">
        <f t="shared" si="2"/>
      </c>
    </row>
    <row r="12488">
      <c r="G12488" s="9">
        <f t="shared" si="0"/>
      </c>
      <c r="L12488">
        <f t="shared" si="1"/>
      </c>
      <c r="M12488">
        <f t="shared" si="2"/>
      </c>
    </row>
    <row r="12489">
      <c r="G12489" s="9">
        <f t="shared" si="0"/>
      </c>
      <c r="L12489">
        <f t="shared" si="1"/>
      </c>
      <c r="M12489">
        <f t="shared" si="2"/>
      </c>
    </row>
    <row r="12490">
      <c r="G12490" s="9">
        <f t="shared" si="0"/>
      </c>
      <c r="L12490">
        <f t="shared" si="1"/>
      </c>
      <c r="M12490">
        <f t="shared" si="2"/>
      </c>
    </row>
    <row r="12491">
      <c r="G12491" s="9">
        <f t="shared" si="0"/>
      </c>
      <c r="L12491">
        <f t="shared" si="1"/>
      </c>
      <c r="M12491">
        <f t="shared" si="2"/>
      </c>
    </row>
    <row r="12492">
      <c r="G12492" s="9">
        <f t="shared" si="0"/>
      </c>
      <c r="L12492">
        <f t="shared" si="1"/>
      </c>
      <c r="M12492">
        <f t="shared" si="2"/>
      </c>
    </row>
    <row r="12493">
      <c r="G12493" s="9">
        <f t="shared" si="0"/>
      </c>
      <c r="L12493">
        <f t="shared" si="1"/>
      </c>
      <c r="M12493">
        <f t="shared" si="2"/>
      </c>
    </row>
    <row r="12494">
      <c r="G12494" s="9">
        <f t="shared" si="0"/>
      </c>
      <c r="L12494">
        <f t="shared" si="1"/>
      </c>
      <c r="M12494">
        <f t="shared" si="2"/>
      </c>
    </row>
    <row r="12495">
      <c r="G12495" s="9">
        <f t="shared" si="0"/>
      </c>
      <c r="L12495">
        <f t="shared" si="1"/>
      </c>
      <c r="M12495">
        <f t="shared" si="2"/>
      </c>
    </row>
    <row r="12496">
      <c r="G12496" s="9">
        <f t="shared" si="0"/>
      </c>
      <c r="L12496">
        <f t="shared" si="1"/>
      </c>
      <c r="M12496">
        <f t="shared" si="2"/>
      </c>
    </row>
    <row r="12497">
      <c r="G12497" s="9">
        <f t="shared" si="0"/>
      </c>
      <c r="L12497">
        <f t="shared" si="1"/>
      </c>
      <c r="M12497">
        <f t="shared" si="2"/>
      </c>
    </row>
    <row r="12498">
      <c r="G12498" s="9">
        <f t="shared" si="0"/>
      </c>
      <c r="L12498">
        <f t="shared" si="1"/>
      </c>
      <c r="M12498">
        <f t="shared" si="2"/>
      </c>
    </row>
    <row r="12499">
      <c r="G12499" s="9">
        <f t="shared" si="0"/>
      </c>
      <c r="L12499">
        <f t="shared" si="1"/>
      </c>
      <c r="M12499">
        <f t="shared" si="2"/>
      </c>
    </row>
    <row r="12500">
      <c r="G12500" s="9">
        <f t="shared" si="0"/>
      </c>
      <c r="L12500">
        <f t="shared" si="1"/>
      </c>
      <c r="M12500">
        <f t="shared" si="2"/>
      </c>
    </row>
    <row r="12501">
      <c r="G12501" s="9">
        <f t="shared" si="0"/>
      </c>
      <c r="L12501">
        <f t="shared" si="1"/>
      </c>
      <c r="M12501">
        <f t="shared" si="2"/>
      </c>
    </row>
    <row r="12502">
      <c r="G12502" s="9">
        <f t="shared" si="0"/>
      </c>
      <c r="L12502">
        <f t="shared" si="1"/>
      </c>
      <c r="M12502">
        <f t="shared" si="2"/>
      </c>
    </row>
    <row r="12503">
      <c r="G12503" s="9">
        <f t="shared" si="0"/>
      </c>
      <c r="L12503">
        <f t="shared" si="1"/>
      </c>
      <c r="M12503">
        <f t="shared" si="2"/>
      </c>
    </row>
    <row r="12504">
      <c r="G12504" s="9">
        <f t="shared" si="0"/>
      </c>
      <c r="L12504">
        <f t="shared" si="1"/>
      </c>
      <c r="M12504">
        <f t="shared" si="2"/>
      </c>
    </row>
    <row r="12505">
      <c r="G12505" s="9">
        <f t="shared" si="0"/>
      </c>
      <c r="L12505">
        <f t="shared" si="1"/>
      </c>
      <c r="M12505">
        <f t="shared" si="2"/>
      </c>
    </row>
    <row r="12506">
      <c r="G12506" s="9">
        <f t="shared" si="0"/>
      </c>
      <c r="L12506">
        <f t="shared" si="1"/>
      </c>
      <c r="M12506">
        <f t="shared" si="2"/>
      </c>
    </row>
    <row r="12507">
      <c r="G12507" s="9">
        <f t="shared" si="0"/>
      </c>
      <c r="L12507">
        <f t="shared" si="1"/>
      </c>
      <c r="M12507">
        <f t="shared" si="2"/>
      </c>
    </row>
    <row r="12508">
      <c r="G12508" s="9">
        <f t="shared" si="0"/>
      </c>
      <c r="L12508">
        <f t="shared" si="1"/>
      </c>
      <c r="M12508">
        <f t="shared" si="2"/>
      </c>
    </row>
    <row r="12509">
      <c r="G12509" s="9">
        <f t="shared" si="0"/>
      </c>
      <c r="L12509">
        <f t="shared" si="1"/>
      </c>
      <c r="M12509">
        <f t="shared" si="2"/>
      </c>
    </row>
    <row r="12510">
      <c r="G12510" s="9">
        <f t="shared" si="0"/>
      </c>
      <c r="L12510">
        <f t="shared" si="1"/>
      </c>
      <c r="M12510">
        <f t="shared" si="2"/>
      </c>
    </row>
    <row r="12511">
      <c r="G12511" s="9">
        <f t="shared" si="0"/>
      </c>
      <c r="L12511">
        <f t="shared" si="1"/>
      </c>
      <c r="M12511">
        <f t="shared" si="2"/>
      </c>
    </row>
    <row r="12512">
      <c r="G12512" s="9">
        <f t="shared" si="0"/>
      </c>
      <c r="L12512">
        <f t="shared" si="1"/>
      </c>
      <c r="M12512">
        <f t="shared" si="2"/>
      </c>
    </row>
    <row r="12513">
      <c r="G12513" s="9">
        <f t="shared" si="0"/>
      </c>
      <c r="L12513">
        <f t="shared" si="1"/>
      </c>
      <c r="M12513">
        <f t="shared" si="2"/>
      </c>
    </row>
    <row r="12514">
      <c r="G12514" s="9">
        <f t="shared" si="0"/>
      </c>
      <c r="L12514">
        <f t="shared" si="1"/>
      </c>
      <c r="M12514">
        <f t="shared" si="2"/>
      </c>
    </row>
    <row r="12515">
      <c r="G12515" s="9">
        <f t="shared" si="0"/>
      </c>
      <c r="L12515">
        <f t="shared" si="1"/>
      </c>
      <c r="M12515">
        <f t="shared" si="2"/>
      </c>
    </row>
    <row r="12516">
      <c r="G12516" s="9">
        <f t="shared" si="0"/>
      </c>
      <c r="L12516">
        <f t="shared" si="1"/>
      </c>
      <c r="M12516">
        <f t="shared" si="2"/>
      </c>
    </row>
    <row r="12517">
      <c r="G12517" s="9">
        <f t="shared" si="0"/>
      </c>
      <c r="L12517">
        <f t="shared" si="1"/>
      </c>
      <c r="M12517">
        <f t="shared" si="2"/>
      </c>
    </row>
    <row r="12518">
      <c r="G12518" s="9">
        <f t="shared" si="0"/>
      </c>
      <c r="L12518">
        <f t="shared" si="1"/>
      </c>
      <c r="M12518">
        <f t="shared" si="2"/>
      </c>
    </row>
    <row r="12519">
      <c r="G12519" s="9">
        <f t="shared" si="0"/>
      </c>
      <c r="L12519">
        <f t="shared" si="1"/>
      </c>
      <c r="M12519">
        <f t="shared" si="2"/>
      </c>
    </row>
    <row r="12520">
      <c r="G12520" s="9">
        <f t="shared" si="0"/>
      </c>
      <c r="L12520">
        <f t="shared" si="1"/>
      </c>
      <c r="M12520">
        <f t="shared" si="2"/>
      </c>
    </row>
    <row r="12521">
      <c r="G12521" s="9">
        <f t="shared" si="0"/>
      </c>
      <c r="L12521">
        <f t="shared" si="1"/>
      </c>
      <c r="M12521">
        <f t="shared" si="2"/>
      </c>
    </row>
    <row r="12522">
      <c r="G12522" s="9">
        <f t="shared" si="0"/>
      </c>
      <c r="L12522">
        <f t="shared" si="1"/>
      </c>
      <c r="M12522">
        <f t="shared" si="2"/>
      </c>
    </row>
    <row r="12523">
      <c r="G12523" s="9">
        <f t="shared" si="0"/>
      </c>
      <c r="L12523">
        <f t="shared" si="1"/>
      </c>
      <c r="M12523">
        <f t="shared" si="2"/>
      </c>
    </row>
    <row r="12524">
      <c r="G12524" s="9">
        <f t="shared" si="0"/>
      </c>
      <c r="L12524">
        <f t="shared" si="1"/>
      </c>
      <c r="M12524">
        <f t="shared" si="2"/>
      </c>
    </row>
    <row r="12525">
      <c r="G12525" s="9">
        <f t="shared" si="0"/>
      </c>
      <c r="L12525">
        <f t="shared" si="1"/>
      </c>
      <c r="M12525">
        <f t="shared" si="2"/>
      </c>
    </row>
    <row r="12526">
      <c r="G12526" s="9">
        <f t="shared" si="0"/>
      </c>
      <c r="L12526">
        <f t="shared" si="1"/>
      </c>
      <c r="M12526">
        <f t="shared" si="2"/>
      </c>
    </row>
    <row r="12527">
      <c r="G12527" s="9">
        <f t="shared" si="0"/>
      </c>
      <c r="L12527">
        <f t="shared" si="1"/>
      </c>
      <c r="M12527">
        <f t="shared" si="2"/>
      </c>
    </row>
    <row r="12528">
      <c r="G12528" s="9">
        <f t="shared" si="0"/>
      </c>
      <c r="L12528">
        <f t="shared" si="1"/>
      </c>
      <c r="M12528">
        <f t="shared" si="2"/>
      </c>
    </row>
    <row r="12529">
      <c r="G12529" s="9">
        <f t="shared" si="0"/>
      </c>
      <c r="L12529">
        <f t="shared" si="1"/>
      </c>
      <c r="M12529">
        <f t="shared" si="2"/>
      </c>
    </row>
    <row r="12530">
      <c r="G12530" s="9">
        <f t="shared" si="0"/>
      </c>
      <c r="L12530">
        <f t="shared" si="1"/>
      </c>
      <c r="M12530">
        <f t="shared" si="2"/>
      </c>
    </row>
    <row r="12531">
      <c r="G12531" s="9">
        <f t="shared" si="0"/>
      </c>
      <c r="L12531">
        <f t="shared" si="1"/>
      </c>
      <c r="M12531">
        <f t="shared" si="2"/>
      </c>
    </row>
    <row r="12532">
      <c r="G12532" s="9">
        <f t="shared" si="0"/>
      </c>
      <c r="L12532">
        <f t="shared" si="1"/>
      </c>
      <c r="M12532">
        <f t="shared" si="2"/>
      </c>
    </row>
    <row r="12533">
      <c r="G12533" s="9">
        <f t="shared" si="0"/>
      </c>
      <c r="L12533">
        <f t="shared" si="1"/>
      </c>
      <c r="M12533">
        <f t="shared" si="2"/>
      </c>
    </row>
    <row r="12534">
      <c r="G12534" s="9">
        <f t="shared" si="0"/>
      </c>
      <c r="L12534">
        <f t="shared" si="1"/>
      </c>
      <c r="M12534">
        <f t="shared" si="2"/>
      </c>
    </row>
    <row r="12535">
      <c r="G12535" s="9">
        <f t="shared" si="0"/>
      </c>
      <c r="L12535">
        <f t="shared" si="1"/>
      </c>
      <c r="M12535">
        <f t="shared" si="2"/>
      </c>
    </row>
    <row r="12536">
      <c r="G12536" s="9">
        <f t="shared" si="0"/>
      </c>
      <c r="L12536">
        <f t="shared" si="1"/>
      </c>
      <c r="M12536">
        <f t="shared" si="2"/>
      </c>
    </row>
    <row r="12537">
      <c r="G12537" s="9">
        <f t="shared" si="0"/>
      </c>
      <c r="L12537">
        <f t="shared" si="1"/>
      </c>
      <c r="M12537">
        <f t="shared" si="2"/>
      </c>
    </row>
    <row r="12538">
      <c r="G12538" s="9">
        <f t="shared" si="0"/>
      </c>
      <c r="L12538">
        <f t="shared" si="1"/>
      </c>
      <c r="M12538">
        <f t="shared" si="2"/>
      </c>
    </row>
    <row r="12539">
      <c r="G12539" s="9">
        <f t="shared" si="0"/>
      </c>
      <c r="L12539">
        <f t="shared" si="1"/>
      </c>
      <c r="M12539">
        <f t="shared" si="2"/>
      </c>
    </row>
    <row r="12540">
      <c r="G12540" s="9">
        <f t="shared" si="0"/>
      </c>
      <c r="L12540">
        <f t="shared" si="1"/>
      </c>
      <c r="M12540">
        <f t="shared" si="2"/>
      </c>
    </row>
    <row r="12541">
      <c r="G12541" s="9">
        <f t="shared" si="0"/>
      </c>
      <c r="L12541">
        <f t="shared" si="1"/>
      </c>
      <c r="M12541">
        <f t="shared" si="2"/>
      </c>
    </row>
    <row r="12542">
      <c r="G12542" s="9">
        <f t="shared" si="0"/>
      </c>
      <c r="L12542">
        <f t="shared" si="1"/>
      </c>
      <c r="M12542">
        <f t="shared" si="2"/>
      </c>
    </row>
    <row r="12543">
      <c r="G12543" s="9">
        <f t="shared" si="0"/>
      </c>
      <c r="L12543">
        <f t="shared" si="1"/>
      </c>
      <c r="M12543">
        <f t="shared" si="2"/>
      </c>
    </row>
    <row r="12544">
      <c r="G12544" s="9">
        <f t="shared" si="0"/>
      </c>
      <c r="L12544">
        <f t="shared" si="1"/>
      </c>
      <c r="M12544">
        <f t="shared" si="2"/>
      </c>
    </row>
    <row r="12545">
      <c r="G12545" s="9">
        <f t="shared" si="0"/>
      </c>
      <c r="L12545">
        <f t="shared" si="1"/>
      </c>
      <c r="M12545">
        <f t="shared" si="2"/>
      </c>
    </row>
    <row r="12546">
      <c r="G12546" s="9">
        <f t="shared" si="0"/>
      </c>
      <c r="L12546">
        <f t="shared" si="1"/>
      </c>
      <c r="M12546">
        <f t="shared" si="2"/>
      </c>
    </row>
    <row r="12547">
      <c r="G12547" s="9">
        <f t="shared" si="0"/>
      </c>
      <c r="L12547">
        <f t="shared" si="1"/>
      </c>
      <c r="M12547">
        <f t="shared" si="2"/>
      </c>
    </row>
    <row r="12548">
      <c r="G12548" s="9">
        <f t="shared" si="0"/>
      </c>
      <c r="L12548">
        <f t="shared" si="1"/>
      </c>
      <c r="M12548">
        <f t="shared" si="2"/>
      </c>
    </row>
    <row r="12549">
      <c r="G12549" s="9">
        <f t="shared" si="0"/>
      </c>
      <c r="L12549">
        <f t="shared" si="1"/>
      </c>
      <c r="M12549">
        <f t="shared" si="2"/>
      </c>
    </row>
    <row r="12550">
      <c r="G12550" s="9">
        <f t="shared" si="0"/>
      </c>
      <c r="L12550">
        <f t="shared" si="1"/>
      </c>
      <c r="M12550">
        <f t="shared" si="2"/>
      </c>
    </row>
    <row r="12551">
      <c r="G12551" s="9">
        <f t="shared" si="0"/>
      </c>
      <c r="L12551">
        <f t="shared" si="1"/>
      </c>
      <c r="M12551">
        <f t="shared" si="2"/>
      </c>
    </row>
    <row r="12552">
      <c r="G12552" s="9">
        <f t="shared" si="0"/>
      </c>
      <c r="L12552">
        <f t="shared" si="1"/>
      </c>
      <c r="M12552">
        <f t="shared" si="2"/>
      </c>
    </row>
    <row r="12553">
      <c r="G12553" s="9">
        <f t="shared" si="0"/>
      </c>
      <c r="L12553">
        <f t="shared" si="1"/>
      </c>
      <c r="M12553">
        <f t="shared" si="2"/>
      </c>
    </row>
    <row r="12554">
      <c r="G12554" s="9">
        <f t="shared" si="0"/>
      </c>
      <c r="L12554">
        <f t="shared" si="1"/>
      </c>
      <c r="M12554">
        <f t="shared" si="2"/>
      </c>
    </row>
    <row r="12555">
      <c r="G12555" s="9">
        <f t="shared" si="0"/>
      </c>
      <c r="L12555">
        <f t="shared" si="1"/>
      </c>
      <c r="M12555">
        <f t="shared" si="2"/>
      </c>
    </row>
    <row r="12556">
      <c r="G12556" s="9">
        <f t="shared" si="0"/>
      </c>
      <c r="L12556">
        <f t="shared" si="1"/>
      </c>
      <c r="M12556">
        <f t="shared" si="2"/>
      </c>
    </row>
    <row r="12557">
      <c r="G12557" s="9">
        <f t="shared" si="0"/>
      </c>
      <c r="L12557">
        <f t="shared" si="1"/>
      </c>
      <c r="M12557">
        <f t="shared" si="2"/>
      </c>
    </row>
    <row r="12558">
      <c r="G12558" s="9">
        <f t="shared" si="0"/>
      </c>
      <c r="L12558">
        <f t="shared" si="1"/>
      </c>
      <c r="M12558">
        <f t="shared" si="2"/>
      </c>
    </row>
    <row r="12559">
      <c r="G12559" s="9">
        <f t="shared" si="0"/>
      </c>
      <c r="L12559">
        <f t="shared" si="1"/>
      </c>
      <c r="M12559">
        <f t="shared" si="2"/>
      </c>
    </row>
    <row r="12560">
      <c r="G12560" s="9">
        <f t="shared" si="0"/>
      </c>
      <c r="L12560">
        <f t="shared" si="1"/>
      </c>
      <c r="M12560">
        <f t="shared" si="2"/>
      </c>
    </row>
    <row r="12561">
      <c r="G12561" s="9">
        <f t="shared" si="0"/>
      </c>
      <c r="L12561">
        <f t="shared" si="1"/>
      </c>
      <c r="M12561">
        <f t="shared" si="2"/>
      </c>
    </row>
    <row r="12562">
      <c r="G12562" s="9">
        <f t="shared" si="0"/>
      </c>
      <c r="L12562">
        <f t="shared" si="1"/>
      </c>
      <c r="M12562">
        <f t="shared" si="2"/>
      </c>
    </row>
    <row r="12563">
      <c r="G12563" s="9">
        <f t="shared" si="0"/>
      </c>
      <c r="L12563">
        <f t="shared" si="1"/>
      </c>
      <c r="M12563">
        <f t="shared" si="2"/>
      </c>
    </row>
    <row r="12564">
      <c r="G12564" s="9">
        <f t="shared" si="0"/>
      </c>
      <c r="L12564">
        <f t="shared" si="1"/>
      </c>
      <c r="M12564">
        <f t="shared" si="2"/>
      </c>
    </row>
    <row r="12565">
      <c r="G12565" s="9">
        <f t="shared" si="0"/>
      </c>
      <c r="L12565">
        <f t="shared" si="1"/>
      </c>
      <c r="M12565">
        <f t="shared" si="2"/>
      </c>
    </row>
    <row r="12566">
      <c r="G12566" s="9">
        <f t="shared" si="0"/>
      </c>
      <c r="L12566">
        <f t="shared" si="1"/>
      </c>
      <c r="M12566">
        <f t="shared" si="2"/>
      </c>
    </row>
    <row r="12567">
      <c r="G12567" s="9">
        <f t="shared" si="0"/>
      </c>
      <c r="L12567">
        <f t="shared" si="1"/>
      </c>
      <c r="M12567">
        <f t="shared" si="2"/>
      </c>
    </row>
    <row r="12568">
      <c r="G12568" s="9">
        <f t="shared" si="0"/>
      </c>
      <c r="L12568">
        <f t="shared" si="1"/>
      </c>
      <c r="M12568">
        <f t="shared" si="2"/>
      </c>
    </row>
    <row r="12569">
      <c r="G12569" s="9">
        <f t="shared" si="0"/>
      </c>
      <c r="L12569">
        <f t="shared" si="1"/>
      </c>
      <c r="M12569">
        <f t="shared" si="2"/>
      </c>
    </row>
    <row r="12570">
      <c r="G12570" s="9">
        <f t="shared" si="0"/>
      </c>
      <c r="L12570">
        <f t="shared" si="1"/>
      </c>
      <c r="M12570">
        <f t="shared" si="2"/>
      </c>
    </row>
    <row r="12571">
      <c r="G12571" s="9">
        <f t="shared" si="0"/>
      </c>
      <c r="L12571">
        <f t="shared" si="1"/>
      </c>
      <c r="M12571">
        <f t="shared" si="2"/>
      </c>
    </row>
    <row r="12572">
      <c r="G12572" s="9">
        <f t="shared" si="0"/>
      </c>
      <c r="L12572">
        <f t="shared" si="1"/>
      </c>
      <c r="M12572">
        <f t="shared" si="2"/>
      </c>
    </row>
    <row r="12573">
      <c r="G12573" s="9">
        <f t="shared" si="0"/>
      </c>
      <c r="L12573">
        <f t="shared" si="1"/>
      </c>
      <c r="M12573">
        <f t="shared" si="2"/>
      </c>
    </row>
    <row r="12574">
      <c r="G12574" s="9">
        <f t="shared" si="0"/>
      </c>
      <c r="L12574">
        <f t="shared" si="1"/>
      </c>
      <c r="M12574">
        <f t="shared" si="2"/>
      </c>
    </row>
    <row r="12575">
      <c r="G12575" s="9">
        <f t="shared" si="0"/>
      </c>
      <c r="L12575">
        <f t="shared" si="1"/>
      </c>
      <c r="M12575">
        <f t="shared" si="2"/>
      </c>
    </row>
    <row r="12576">
      <c r="G12576" s="9">
        <f t="shared" si="0"/>
      </c>
      <c r="L12576">
        <f t="shared" si="1"/>
      </c>
      <c r="M12576">
        <f t="shared" si="2"/>
      </c>
    </row>
    <row r="12577">
      <c r="G12577" s="9">
        <f t="shared" si="0"/>
      </c>
      <c r="L12577">
        <f t="shared" si="1"/>
      </c>
      <c r="M12577">
        <f t="shared" si="2"/>
      </c>
    </row>
    <row r="12578">
      <c r="G12578" s="9">
        <f t="shared" si="0"/>
      </c>
      <c r="L12578">
        <f t="shared" si="1"/>
      </c>
      <c r="M12578">
        <f t="shared" si="2"/>
      </c>
    </row>
    <row r="12579">
      <c r="G12579" s="9">
        <f t="shared" si="0"/>
      </c>
      <c r="L12579">
        <f t="shared" si="1"/>
      </c>
      <c r="M12579">
        <f t="shared" si="2"/>
      </c>
    </row>
    <row r="12580">
      <c r="G12580" s="9">
        <f t="shared" si="0"/>
      </c>
      <c r="L12580">
        <f t="shared" si="1"/>
      </c>
      <c r="M12580">
        <f t="shared" si="2"/>
      </c>
    </row>
    <row r="12581">
      <c r="G12581" s="9">
        <f t="shared" si="0"/>
      </c>
      <c r="L12581">
        <f t="shared" si="1"/>
      </c>
      <c r="M12581">
        <f t="shared" si="2"/>
      </c>
    </row>
    <row r="12582">
      <c r="G12582" s="9">
        <f t="shared" si="0"/>
      </c>
      <c r="L12582">
        <f t="shared" si="1"/>
      </c>
      <c r="M12582">
        <f t="shared" si="2"/>
      </c>
    </row>
    <row r="12583">
      <c r="G12583" s="9">
        <f t="shared" si="0"/>
      </c>
      <c r="L12583">
        <f t="shared" si="1"/>
      </c>
      <c r="M12583">
        <f t="shared" si="2"/>
      </c>
    </row>
    <row r="12584">
      <c r="G12584" s="9">
        <f t="shared" si="0"/>
      </c>
      <c r="L12584">
        <f t="shared" si="1"/>
      </c>
      <c r="M12584">
        <f t="shared" si="2"/>
      </c>
    </row>
    <row r="12585">
      <c r="G12585" s="9">
        <f t="shared" si="0"/>
      </c>
      <c r="L12585">
        <f t="shared" si="1"/>
      </c>
      <c r="M12585">
        <f t="shared" si="2"/>
      </c>
    </row>
    <row r="12586">
      <c r="G12586" s="9">
        <f t="shared" si="0"/>
      </c>
      <c r="L12586">
        <f t="shared" si="1"/>
      </c>
      <c r="M12586">
        <f t="shared" si="2"/>
      </c>
    </row>
    <row r="12587">
      <c r="G12587" s="9">
        <f t="shared" si="0"/>
      </c>
      <c r="L12587">
        <f t="shared" si="1"/>
      </c>
      <c r="M12587">
        <f t="shared" si="2"/>
      </c>
    </row>
    <row r="12588">
      <c r="G12588" s="9">
        <f t="shared" si="0"/>
      </c>
      <c r="L12588">
        <f t="shared" si="1"/>
      </c>
      <c r="M12588">
        <f t="shared" si="2"/>
      </c>
    </row>
    <row r="12589">
      <c r="G12589" s="9">
        <f t="shared" si="0"/>
      </c>
      <c r="L12589">
        <f t="shared" si="1"/>
      </c>
      <c r="M12589">
        <f t="shared" si="2"/>
      </c>
    </row>
    <row r="12590">
      <c r="G12590" s="9">
        <f t="shared" si="0"/>
      </c>
      <c r="L12590">
        <f t="shared" si="1"/>
      </c>
      <c r="M12590">
        <f t="shared" si="2"/>
      </c>
    </row>
    <row r="12591">
      <c r="G12591" s="9">
        <f t="shared" si="0"/>
      </c>
      <c r="L12591">
        <f t="shared" si="1"/>
      </c>
      <c r="M12591">
        <f t="shared" si="2"/>
      </c>
    </row>
    <row r="12592">
      <c r="G12592" s="9">
        <f t="shared" si="0"/>
      </c>
      <c r="L12592">
        <f t="shared" si="1"/>
      </c>
      <c r="M12592">
        <f t="shared" si="2"/>
      </c>
    </row>
    <row r="12593">
      <c r="G12593" s="9">
        <f t="shared" si="0"/>
      </c>
      <c r="L12593">
        <f t="shared" si="1"/>
      </c>
      <c r="M12593">
        <f t="shared" si="2"/>
      </c>
    </row>
    <row r="12594">
      <c r="G12594" s="9">
        <f t="shared" si="0"/>
      </c>
      <c r="L12594">
        <f t="shared" si="1"/>
      </c>
      <c r="M12594">
        <f t="shared" si="2"/>
      </c>
    </row>
    <row r="12595">
      <c r="G12595" s="9">
        <f t="shared" si="0"/>
      </c>
      <c r="L12595">
        <f t="shared" si="1"/>
      </c>
      <c r="M12595">
        <f t="shared" si="2"/>
      </c>
    </row>
    <row r="12596">
      <c r="G12596" s="9">
        <f t="shared" si="0"/>
      </c>
      <c r="L12596">
        <f t="shared" si="1"/>
      </c>
      <c r="M12596">
        <f t="shared" si="2"/>
      </c>
    </row>
    <row r="12597">
      <c r="G12597" s="9">
        <f t="shared" si="0"/>
      </c>
      <c r="L12597">
        <f t="shared" si="1"/>
      </c>
      <c r="M12597">
        <f t="shared" si="2"/>
      </c>
    </row>
    <row r="12598">
      <c r="G12598" s="9">
        <f t="shared" si="0"/>
      </c>
      <c r="L12598">
        <f t="shared" si="1"/>
      </c>
      <c r="M12598">
        <f t="shared" si="2"/>
      </c>
    </row>
    <row r="12599">
      <c r="G12599" s="9">
        <f t="shared" si="0"/>
      </c>
      <c r="L12599">
        <f t="shared" si="1"/>
      </c>
      <c r="M12599">
        <f t="shared" si="2"/>
      </c>
    </row>
    <row r="12600">
      <c r="G12600" s="9">
        <f t="shared" si="0"/>
      </c>
      <c r="L12600">
        <f t="shared" si="1"/>
      </c>
      <c r="M12600">
        <f t="shared" si="2"/>
      </c>
    </row>
    <row r="12601">
      <c r="G12601" s="9">
        <f t="shared" si="0"/>
      </c>
      <c r="L12601">
        <f t="shared" si="1"/>
      </c>
      <c r="M12601">
        <f t="shared" si="2"/>
      </c>
    </row>
    <row r="12602">
      <c r="G12602" s="9">
        <f t="shared" si="0"/>
      </c>
      <c r="L12602">
        <f t="shared" si="1"/>
      </c>
      <c r="M12602">
        <f t="shared" si="2"/>
      </c>
    </row>
    <row r="12603">
      <c r="G12603" s="9">
        <f t="shared" si="0"/>
      </c>
      <c r="L12603">
        <f t="shared" si="1"/>
      </c>
      <c r="M12603">
        <f t="shared" si="2"/>
      </c>
    </row>
    <row r="12604">
      <c r="G12604" s="9">
        <f t="shared" si="0"/>
      </c>
      <c r="L12604">
        <f t="shared" si="1"/>
      </c>
      <c r="M12604">
        <f t="shared" si="2"/>
      </c>
    </row>
    <row r="12605">
      <c r="G12605" s="9">
        <f t="shared" si="0"/>
      </c>
      <c r="L12605">
        <f t="shared" si="1"/>
      </c>
      <c r="M12605">
        <f t="shared" si="2"/>
      </c>
    </row>
    <row r="12606">
      <c r="G12606" s="9">
        <f t="shared" si="0"/>
      </c>
      <c r="L12606">
        <f t="shared" si="1"/>
      </c>
      <c r="M12606">
        <f t="shared" si="2"/>
      </c>
    </row>
    <row r="12607">
      <c r="G12607" s="9">
        <f t="shared" si="0"/>
      </c>
      <c r="L12607">
        <f t="shared" si="1"/>
      </c>
      <c r="M12607">
        <f t="shared" si="2"/>
      </c>
    </row>
    <row r="12608">
      <c r="G12608" s="9">
        <f t="shared" si="0"/>
      </c>
      <c r="L12608">
        <f t="shared" si="1"/>
      </c>
      <c r="M12608">
        <f t="shared" si="2"/>
      </c>
    </row>
    <row r="12609">
      <c r="G12609" s="9">
        <f t="shared" si="0"/>
      </c>
      <c r="L12609">
        <f t="shared" si="1"/>
      </c>
      <c r="M12609">
        <f t="shared" si="2"/>
      </c>
    </row>
    <row r="12610">
      <c r="G12610" s="9">
        <f t="shared" si="0"/>
      </c>
      <c r="L12610">
        <f t="shared" si="1"/>
      </c>
      <c r="M12610">
        <f t="shared" si="2"/>
      </c>
    </row>
    <row r="12611">
      <c r="G12611" s="9">
        <f t="shared" si="0"/>
      </c>
      <c r="L12611">
        <f t="shared" si="1"/>
      </c>
      <c r="M12611">
        <f t="shared" si="2"/>
      </c>
    </row>
    <row r="12612">
      <c r="G12612" s="9">
        <f t="shared" si="0"/>
      </c>
      <c r="L12612">
        <f t="shared" si="1"/>
      </c>
      <c r="M12612">
        <f t="shared" si="2"/>
      </c>
    </row>
    <row r="12613">
      <c r="G12613" s="9">
        <f t="shared" si="0"/>
      </c>
      <c r="L12613">
        <f t="shared" si="1"/>
      </c>
      <c r="M12613">
        <f t="shared" si="2"/>
      </c>
    </row>
    <row r="12614">
      <c r="G12614" s="9">
        <f t="shared" si="0"/>
      </c>
      <c r="L12614">
        <f t="shared" si="1"/>
      </c>
      <c r="M12614">
        <f t="shared" si="2"/>
      </c>
    </row>
    <row r="12615">
      <c r="G12615" s="9">
        <f t="shared" si="0"/>
      </c>
      <c r="L12615">
        <f t="shared" si="1"/>
      </c>
      <c r="M12615">
        <f t="shared" si="2"/>
      </c>
    </row>
    <row r="12616">
      <c r="G12616" s="9">
        <f t="shared" si="0"/>
      </c>
      <c r="L12616">
        <f t="shared" si="1"/>
      </c>
      <c r="M12616">
        <f t="shared" si="2"/>
      </c>
    </row>
    <row r="12617">
      <c r="G12617" s="9">
        <f t="shared" si="0"/>
      </c>
      <c r="L12617">
        <f t="shared" si="1"/>
      </c>
      <c r="M12617">
        <f t="shared" si="2"/>
      </c>
    </row>
    <row r="12618">
      <c r="G12618" s="9">
        <f t="shared" si="0"/>
      </c>
      <c r="L12618">
        <f t="shared" si="1"/>
      </c>
      <c r="M12618">
        <f t="shared" si="2"/>
      </c>
    </row>
    <row r="12619">
      <c r="G12619" s="9">
        <f t="shared" si="0"/>
      </c>
      <c r="L12619">
        <f t="shared" si="1"/>
      </c>
      <c r="M12619">
        <f t="shared" si="2"/>
      </c>
    </row>
    <row r="12620">
      <c r="G12620" s="9">
        <f t="shared" si="0"/>
      </c>
      <c r="L12620">
        <f t="shared" si="1"/>
      </c>
      <c r="M12620">
        <f t="shared" si="2"/>
      </c>
    </row>
    <row r="12621">
      <c r="G12621" s="9">
        <f t="shared" si="0"/>
      </c>
      <c r="L12621">
        <f t="shared" si="1"/>
      </c>
      <c r="M12621">
        <f t="shared" si="2"/>
      </c>
    </row>
    <row r="12622">
      <c r="G12622" s="9">
        <f t="shared" si="0"/>
      </c>
      <c r="L12622">
        <f t="shared" si="1"/>
      </c>
      <c r="M12622">
        <f t="shared" si="2"/>
      </c>
    </row>
    <row r="12623">
      <c r="G12623" s="9">
        <f t="shared" si="0"/>
      </c>
      <c r="L12623">
        <f t="shared" si="1"/>
      </c>
      <c r="M12623">
        <f t="shared" si="2"/>
      </c>
    </row>
    <row r="12624">
      <c r="G12624" s="9">
        <f t="shared" si="0"/>
      </c>
      <c r="L12624">
        <f t="shared" si="1"/>
      </c>
      <c r="M12624">
        <f t="shared" si="2"/>
      </c>
    </row>
    <row r="12625">
      <c r="G12625" s="9">
        <f t="shared" si="0"/>
      </c>
      <c r="L12625">
        <f t="shared" si="1"/>
      </c>
      <c r="M12625">
        <f t="shared" si="2"/>
      </c>
    </row>
    <row r="12626">
      <c r="G12626" s="9">
        <f t="shared" si="0"/>
      </c>
      <c r="L12626">
        <f t="shared" si="1"/>
      </c>
      <c r="M12626">
        <f t="shared" si="2"/>
      </c>
    </row>
    <row r="12627">
      <c r="G12627" s="9">
        <f t="shared" si="0"/>
      </c>
      <c r="L12627">
        <f t="shared" si="1"/>
      </c>
      <c r="M12627">
        <f t="shared" si="2"/>
      </c>
    </row>
    <row r="12628">
      <c r="G12628" s="9">
        <f t="shared" si="0"/>
      </c>
      <c r="L12628">
        <f t="shared" si="1"/>
      </c>
      <c r="M12628">
        <f t="shared" si="2"/>
      </c>
    </row>
    <row r="12629">
      <c r="G12629" s="9">
        <f t="shared" si="0"/>
      </c>
      <c r="L12629">
        <f t="shared" si="1"/>
      </c>
      <c r="M12629">
        <f t="shared" si="2"/>
      </c>
    </row>
    <row r="12630">
      <c r="G12630" s="9">
        <f t="shared" si="0"/>
      </c>
      <c r="L12630">
        <f t="shared" si="1"/>
      </c>
      <c r="M12630">
        <f t="shared" si="2"/>
      </c>
    </row>
    <row r="12631">
      <c r="G12631" s="9">
        <f t="shared" si="0"/>
      </c>
      <c r="L12631">
        <f t="shared" si="1"/>
      </c>
      <c r="M12631">
        <f t="shared" si="2"/>
      </c>
    </row>
    <row r="12632">
      <c r="G12632" s="9">
        <f t="shared" si="0"/>
      </c>
      <c r="L12632">
        <f t="shared" si="1"/>
      </c>
      <c r="M12632">
        <f t="shared" si="2"/>
      </c>
    </row>
    <row r="12633">
      <c r="G12633" s="9">
        <f t="shared" si="0"/>
      </c>
      <c r="L12633">
        <f t="shared" si="1"/>
      </c>
      <c r="M12633">
        <f t="shared" si="2"/>
      </c>
    </row>
    <row r="12634">
      <c r="G12634" s="9">
        <f t="shared" si="0"/>
      </c>
      <c r="L12634">
        <f t="shared" si="1"/>
      </c>
      <c r="M12634">
        <f t="shared" si="2"/>
      </c>
    </row>
    <row r="12635">
      <c r="G12635" s="9">
        <f t="shared" si="0"/>
      </c>
      <c r="L12635">
        <f t="shared" si="1"/>
      </c>
      <c r="M12635">
        <f t="shared" si="2"/>
      </c>
    </row>
    <row r="12636">
      <c r="G12636" s="9">
        <f t="shared" si="0"/>
      </c>
      <c r="L12636">
        <f t="shared" si="1"/>
      </c>
      <c r="M12636">
        <f t="shared" si="2"/>
      </c>
    </row>
    <row r="12637">
      <c r="G12637" s="9">
        <f t="shared" si="0"/>
      </c>
      <c r="L12637">
        <f t="shared" si="1"/>
      </c>
      <c r="M12637">
        <f t="shared" si="2"/>
      </c>
    </row>
    <row r="12638">
      <c r="G12638" s="9">
        <f t="shared" si="0"/>
      </c>
      <c r="L12638">
        <f t="shared" si="1"/>
      </c>
      <c r="M12638">
        <f t="shared" si="2"/>
      </c>
    </row>
    <row r="12639">
      <c r="G12639" s="9">
        <f t="shared" si="0"/>
      </c>
      <c r="L12639">
        <f t="shared" si="1"/>
      </c>
      <c r="M12639">
        <f t="shared" si="2"/>
      </c>
    </row>
    <row r="12640">
      <c r="G12640" s="9">
        <f t="shared" si="0"/>
      </c>
      <c r="L12640">
        <f t="shared" si="1"/>
      </c>
      <c r="M12640">
        <f t="shared" si="2"/>
      </c>
    </row>
    <row r="12641">
      <c r="G12641" s="9">
        <f t="shared" si="0"/>
      </c>
      <c r="L12641">
        <f t="shared" si="1"/>
      </c>
      <c r="M12641">
        <f t="shared" si="2"/>
      </c>
    </row>
    <row r="12642">
      <c r="G12642" s="9">
        <f t="shared" si="0"/>
      </c>
      <c r="L12642">
        <f t="shared" si="1"/>
      </c>
      <c r="M12642">
        <f t="shared" si="2"/>
      </c>
    </row>
    <row r="12643">
      <c r="G12643" s="9">
        <f t="shared" si="0"/>
      </c>
      <c r="L12643">
        <f t="shared" si="1"/>
      </c>
      <c r="M12643">
        <f t="shared" si="2"/>
      </c>
    </row>
    <row r="12644">
      <c r="G12644" s="9">
        <f t="shared" si="0"/>
      </c>
      <c r="L12644">
        <f t="shared" si="1"/>
      </c>
      <c r="M12644">
        <f t="shared" si="2"/>
      </c>
    </row>
    <row r="12645">
      <c r="G12645" s="9">
        <f t="shared" si="0"/>
      </c>
      <c r="L12645">
        <f t="shared" si="1"/>
      </c>
      <c r="M12645">
        <f t="shared" si="2"/>
      </c>
    </row>
    <row r="12646">
      <c r="G12646" s="9">
        <f t="shared" si="0"/>
      </c>
      <c r="L12646">
        <f t="shared" si="1"/>
      </c>
      <c r="M12646">
        <f t="shared" si="2"/>
      </c>
    </row>
    <row r="12647">
      <c r="G12647" s="9">
        <f t="shared" si="0"/>
      </c>
      <c r="L12647">
        <f t="shared" si="1"/>
      </c>
      <c r="M12647">
        <f t="shared" si="2"/>
      </c>
    </row>
    <row r="12648">
      <c r="G12648" s="9">
        <f t="shared" si="0"/>
      </c>
      <c r="L12648">
        <f t="shared" si="1"/>
      </c>
      <c r="M12648">
        <f t="shared" si="2"/>
      </c>
    </row>
    <row r="12649">
      <c r="G12649" s="9">
        <f t="shared" si="0"/>
      </c>
      <c r="L12649">
        <f t="shared" si="1"/>
      </c>
      <c r="M12649">
        <f t="shared" si="2"/>
      </c>
    </row>
    <row r="12650">
      <c r="G12650" s="9">
        <f t="shared" si="0"/>
      </c>
      <c r="L12650">
        <f t="shared" si="1"/>
      </c>
      <c r="M12650">
        <f t="shared" si="2"/>
      </c>
    </row>
    <row r="12651">
      <c r="G12651" s="9">
        <f t="shared" si="0"/>
      </c>
      <c r="L12651">
        <f t="shared" si="1"/>
      </c>
      <c r="M12651">
        <f t="shared" si="2"/>
      </c>
    </row>
    <row r="12652">
      <c r="G12652" s="9">
        <f t="shared" si="0"/>
      </c>
      <c r="L12652">
        <f t="shared" si="1"/>
      </c>
      <c r="M12652">
        <f t="shared" si="2"/>
      </c>
    </row>
    <row r="12653">
      <c r="G12653" s="9">
        <f t="shared" si="0"/>
      </c>
      <c r="L12653">
        <f t="shared" si="1"/>
      </c>
      <c r="M12653">
        <f t="shared" si="2"/>
      </c>
    </row>
    <row r="12654">
      <c r="G12654" s="9">
        <f t="shared" si="0"/>
      </c>
      <c r="L12654">
        <f t="shared" si="1"/>
      </c>
      <c r="M12654">
        <f t="shared" si="2"/>
      </c>
    </row>
    <row r="12655">
      <c r="G12655" s="9">
        <f t="shared" si="0"/>
      </c>
      <c r="L12655">
        <f t="shared" si="1"/>
      </c>
      <c r="M12655">
        <f t="shared" si="2"/>
      </c>
    </row>
    <row r="12656">
      <c r="G12656" s="9">
        <f t="shared" si="0"/>
      </c>
      <c r="L12656">
        <f t="shared" si="1"/>
      </c>
      <c r="M12656">
        <f t="shared" si="2"/>
      </c>
    </row>
    <row r="12657">
      <c r="G12657" s="9">
        <f t="shared" si="0"/>
      </c>
      <c r="L12657">
        <f t="shared" si="1"/>
      </c>
      <c r="M12657">
        <f t="shared" si="2"/>
      </c>
    </row>
    <row r="12658">
      <c r="G12658" s="9">
        <f t="shared" si="0"/>
      </c>
      <c r="L12658">
        <f t="shared" si="1"/>
      </c>
      <c r="M12658">
        <f t="shared" si="2"/>
      </c>
    </row>
    <row r="12659">
      <c r="G12659" s="9">
        <f t="shared" si="0"/>
      </c>
      <c r="L12659">
        <f t="shared" si="1"/>
      </c>
      <c r="M12659">
        <f t="shared" si="2"/>
      </c>
    </row>
    <row r="12660">
      <c r="G12660" s="9">
        <f t="shared" si="0"/>
      </c>
      <c r="L12660">
        <f t="shared" si="1"/>
      </c>
      <c r="M12660">
        <f t="shared" si="2"/>
      </c>
    </row>
    <row r="12661">
      <c r="G12661" s="9">
        <f t="shared" si="0"/>
      </c>
      <c r="L12661">
        <f t="shared" si="1"/>
      </c>
      <c r="M12661">
        <f t="shared" si="2"/>
      </c>
    </row>
    <row r="12662">
      <c r="G12662" s="9">
        <f t="shared" si="0"/>
      </c>
      <c r="L12662">
        <f t="shared" si="1"/>
      </c>
      <c r="M12662">
        <f t="shared" si="2"/>
      </c>
    </row>
    <row r="12663">
      <c r="G12663" s="9">
        <f t="shared" si="0"/>
      </c>
      <c r="L12663">
        <f t="shared" si="1"/>
      </c>
      <c r="M12663">
        <f t="shared" si="2"/>
      </c>
    </row>
    <row r="12664">
      <c r="G12664" s="9">
        <f t="shared" si="0"/>
      </c>
      <c r="L12664">
        <f t="shared" si="1"/>
      </c>
      <c r="M12664">
        <f t="shared" si="2"/>
      </c>
    </row>
    <row r="12665">
      <c r="G12665" s="9">
        <f t="shared" si="0"/>
      </c>
      <c r="L12665">
        <f t="shared" si="1"/>
      </c>
      <c r="M12665">
        <f t="shared" si="2"/>
      </c>
    </row>
    <row r="12666">
      <c r="G12666" s="9">
        <f t="shared" si="0"/>
      </c>
      <c r="L12666">
        <f t="shared" si="1"/>
      </c>
      <c r="M12666">
        <f t="shared" si="2"/>
      </c>
    </row>
    <row r="12667">
      <c r="G12667" s="9">
        <f t="shared" si="0"/>
      </c>
      <c r="L12667">
        <f t="shared" si="1"/>
      </c>
      <c r="M12667">
        <f t="shared" si="2"/>
      </c>
    </row>
    <row r="12668">
      <c r="G12668" s="9">
        <f t="shared" si="0"/>
      </c>
      <c r="L12668">
        <f t="shared" si="1"/>
      </c>
      <c r="M12668">
        <f t="shared" si="2"/>
      </c>
    </row>
    <row r="12669">
      <c r="G12669" s="9">
        <f t="shared" si="0"/>
      </c>
      <c r="L12669">
        <f t="shared" si="1"/>
      </c>
      <c r="M12669">
        <f t="shared" si="2"/>
      </c>
    </row>
    <row r="12670">
      <c r="G12670" s="9">
        <f t="shared" si="0"/>
      </c>
      <c r="L12670">
        <f t="shared" si="1"/>
      </c>
      <c r="M12670">
        <f t="shared" si="2"/>
      </c>
    </row>
    <row r="12671">
      <c r="G12671" s="9">
        <f t="shared" si="0"/>
      </c>
      <c r="L12671">
        <f t="shared" si="1"/>
      </c>
      <c r="M12671">
        <f t="shared" si="2"/>
      </c>
    </row>
    <row r="12672">
      <c r="G12672" s="9">
        <f t="shared" si="0"/>
      </c>
      <c r="L12672">
        <f t="shared" si="1"/>
      </c>
      <c r="M12672">
        <f t="shared" si="2"/>
      </c>
    </row>
    <row r="12673">
      <c r="G12673" s="9">
        <f t="shared" si="0"/>
      </c>
      <c r="L12673">
        <f t="shared" si="1"/>
      </c>
      <c r="M12673">
        <f t="shared" si="2"/>
      </c>
    </row>
    <row r="12674">
      <c r="G12674" s="9">
        <f t="shared" si="0"/>
      </c>
      <c r="L12674">
        <f t="shared" si="1"/>
      </c>
      <c r="M12674">
        <f t="shared" si="2"/>
      </c>
    </row>
    <row r="12675">
      <c r="G12675" s="9">
        <f t="shared" si="0"/>
      </c>
      <c r="L12675">
        <f t="shared" si="1"/>
      </c>
      <c r="M12675">
        <f t="shared" si="2"/>
      </c>
    </row>
    <row r="12676">
      <c r="G12676" s="9">
        <f t="shared" si="0"/>
      </c>
      <c r="L12676">
        <f t="shared" si="1"/>
      </c>
      <c r="M12676">
        <f t="shared" si="2"/>
      </c>
    </row>
    <row r="12677">
      <c r="G12677" s="9">
        <f t="shared" si="0"/>
      </c>
      <c r="L12677">
        <f t="shared" si="1"/>
      </c>
      <c r="M12677">
        <f t="shared" si="2"/>
      </c>
    </row>
    <row r="12678">
      <c r="G12678" s="9">
        <f t="shared" si="0"/>
      </c>
      <c r="L12678">
        <f t="shared" si="1"/>
      </c>
      <c r="M12678">
        <f t="shared" si="2"/>
      </c>
    </row>
    <row r="12679">
      <c r="G12679" s="9">
        <f t="shared" si="0"/>
      </c>
      <c r="L12679">
        <f t="shared" si="1"/>
      </c>
      <c r="M12679">
        <f t="shared" si="2"/>
      </c>
    </row>
    <row r="12680">
      <c r="G12680" s="9">
        <f t="shared" si="0"/>
      </c>
      <c r="L12680">
        <f t="shared" si="1"/>
      </c>
      <c r="M12680">
        <f t="shared" si="2"/>
      </c>
    </row>
    <row r="12681">
      <c r="G12681" s="9">
        <f t="shared" si="0"/>
      </c>
      <c r="L12681">
        <f t="shared" si="1"/>
      </c>
      <c r="M12681">
        <f t="shared" si="2"/>
      </c>
    </row>
    <row r="12682">
      <c r="G12682" s="9">
        <f t="shared" si="0"/>
      </c>
      <c r="L12682">
        <f t="shared" si="1"/>
      </c>
      <c r="M12682">
        <f t="shared" si="2"/>
      </c>
    </row>
    <row r="12683">
      <c r="G12683" s="9">
        <f t="shared" si="0"/>
      </c>
      <c r="L12683">
        <f t="shared" si="1"/>
      </c>
      <c r="M12683">
        <f t="shared" si="2"/>
      </c>
    </row>
    <row r="12684">
      <c r="G12684" s="9">
        <f t="shared" si="0"/>
      </c>
      <c r="L12684">
        <f t="shared" si="1"/>
      </c>
      <c r="M12684">
        <f t="shared" si="2"/>
      </c>
    </row>
    <row r="12685">
      <c r="G12685" s="9">
        <f t="shared" si="0"/>
      </c>
      <c r="L12685">
        <f t="shared" si="1"/>
      </c>
      <c r="M12685">
        <f t="shared" si="2"/>
      </c>
    </row>
    <row r="12686">
      <c r="G12686" s="9">
        <f t="shared" si="0"/>
      </c>
      <c r="L12686">
        <f t="shared" si="1"/>
      </c>
      <c r="M12686">
        <f t="shared" si="2"/>
      </c>
    </row>
    <row r="12687">
      <c r="G12687" s="9">
        <f t="shared" si="0"/>
      </c>
      <c r="L12687">
        <f t="shared" si="1"/>
      </c>
      <c r="M12687">
        <f t="shared" si="2"/>
      </c>
    </row>
    <row r="12688">
      <c r="G12688" s="9">
        <f t="shared" si="0"/>
      </c>
      <c r="L12688">
        <f t="shared" si="1"/>
      </c>
      <c r="M12688">
        <f t="shared" si="2"/>
      </c>
    </row>
    <row r="12689">
      <c r="G12689" s="9">
        <f t="shared" si="0"/>
      </c>
      <c r="L12689">
        <f t="shared" si="1"/>
      </c>
      <c r="M12689">
        <f t="shared" si="2"/>
      </c>
    </row>
    <row r="12690">
      <c r="G12690" s="9">
        <f t="shared" si="0"/>
      </c>
      <c r="L12690">
        <f t="shared" si="1"/>
      </c>
      <c r="M12690">
        <f t="shared" si="2"/>
      </c>
    </row>
    <row r="12691">
      <c r="G12691" s="9">
        <f t="shared" si="0"/>
      </c>
      <c r="L12691">
        <f t="shared" si="1"/>
      </c>
      <c r="M12691">
        <f t="shared" si="2"/>
      </c>
    </row>
    <row r="12692">
      <c r="G12692" s="9">
        <f t="shared" si="0"/>
      </c>
      <c r="L12692">
        <f t="shared" si="1"/>
      </c>
      <c r="M12692">
        <f t="shared" si="2"/>
      </c>
    </row>
    <row r="12693">
      <c r="G12693" s="9">
        <f t="shared" si="0"/>
      </c>
      <c r="L12693">
        <f t="shared" si="1"/>
      </c>
      <c r="M12693">
        <f t="shared" si="2"/>
      </c>
    </row>
    <row r="12694">
      <c r="G12694" s="9">
        <f t="shared" si="0"/>
      </c>
      <c r="L12694">
        <f t="shared" si="1"/>
      </c>
      <c r="M12694">
        <f t="shared" si="2"/>
      </c>
    </row>
    <row r="12695">
      <c r="G12695" s="9">
        <f t="shared" si="0"/>
      </c>
      <c r="L12695">
        <f t="shared" si="1"/>
      </c>
      <c r="M12695">
        <f t="shared" si="2"/>
      </c>
    </row>
    <row r="12696">
      <c r="G12696" s="9">
        <f t="shared" si="0"/>
      </c>
      <c r="L12696">
        <f t="shared" si="1"/>
      </c>
      <c r="M12696">
        <f t="shared" si="2"/>
      </c>
    </row>
    <row r="12697">
      <c r="G12697" s="9">
        <f t="shared" si="0"/>
      </c>
      <c r="L12697">
        <f t="shared" si="1"/>
      </c>
      <c r="M12697">
        <f t="shared" si="2"/>
      </c>
    </row>
    <row r="12698">
      <c r="G12698" s="9">
        <f t="shared" si="0"/>
      </c>
      <c r="L12698">
        <f t="shared" si="1"/>
      </c>
      <c r="M12698">
        <f t="shared" si="2"/>
      </c>
    </row>
    <row r="12699">
      <c r="G12699" s="9">
        <f t="shared" si="0"/>
      </c>
      <c r="L12699">
        <f t="shared" si="1"/>
      </c>
      <c r="M12699">
        <f t="shared" si="2"/>
      </c>
    </row>
    <row r="12700">
      <c r="G12700" s="9">
        <f t="shared" si="0"/>
      </c>
      <c r="L12700">
        <f t="shared" si="1"/>
      </c>
      <c r="M12700">
        <f t="shared" si="2"/>
      </c>
    </row>
    <row r="12701">
      <c r="G12701" s="9">
        <f t="shared" si="0"/>
      </c>
      <c r="L12701">
        <f t="shared" si="1"/>
      </c>
      <c r="M12701">
        <f t="shared" si="2"/>
      </c>
    </row>
    <row r="12702">
      <c r="G12702" s="9">
        <f t="shared" si="0"/>
      </c>
      <c r="L12702">
        <f t="shared" si="1"/>
      </c>
      <c r="M12702">
        <f t="shared" si="2"/>
      </c>
    </row>
    <row r="12703">
      <c r="G12703" s="9">
        <f t="shared" si="0"/>
      </c>
      <c r="L12703">
        <f t="shared" si="1"/>
      </c>
      <c r="M12703">
        <f t="shared" si="2"/>
      </c>
    </row>
    <row r="12704">
      <c r="G12704" s="9">
        <f t="shared" si="0"/>
      </c>
      <c r="L12704">
        <f t="shared" si="1"/>
      </c>
      <c r="M12704">
        <f t="shared" si="2"/>
      </c>
    </row>
    <row r="12705">
      <c r="G12705" s="9">
        <f t="shared" si="0"/>
      </c>
      <c r="L12705">
        <f t="shared" si="1"/>
      </c>
      <c r="M12705">
        <f t="shared" si="2"/>
      </c>
    </row>
    <row r="12706">
      <c r="G12706" s="9">
        <f t="shared" si="0"/>
      </c>
      <c r="L12706">
        <f t="shared" si="1"/>
      </c>
      <c r="M12706">
        <f t="shared" si="2"/>
      </c>
    </row>
    <row r="12707">
      <c r="G12707" s="9">
        <f t="shared" si="0"/>
      </c>
      <c r="L12707">
        <f t="shared" si="1"/>
      </c>
      <c r="M12707">
        <f t="shared" si="2"/>
      </c>
    </row>
    <row r="12708">
      <c r="G12708" s="9">
        <f t="shared" si="0"/>
      </c>
      <c r="L12708">
        <f t="shared" si="1"/>
      </c>
      <c r="M12708">
        <f t="shared" si="2"/>
      </c>
    </row>
    <row r="12709">
      <c r="G12709" s="9">
        <f t="shared" si="0"/>
      </c>
      <c r="L12709">
        <f t="shared" si="1"/>
      </c>
      <c r="M12709">
        <f t="shared" si="2"/>
      </c>
    </row>
    <row r="12710">
      <c r="G12710" s="9">
        <f t="shared" si="0"/>
      </c>
      <c r="L12710">
        <f t="shared" si="1"/>
      </c>
      <c r="M12710">
        <f t="shared" si="2"/>
      </c>
    </row>
    <row r="12711">
      <c r="G12711" s="9">
        <f t="shared" si="0"/>
      </c>
      <c r="L12711">
        <f t="shared" si="1"/>
      </c>
      <c r="M12711">
        <f t="shared" si="2"/>
      </c>
    </row>
    <row r="12712">
      <c r="G12712" s="9">
        <f t="shared" si="0"/>
      </c>
      <c r="L12712">
        <f t="shared" si="1"/>
      </c>
      <c r="M12712">
        <f t="shared" si="2"/>
      </c>
    </row>
    <row r="12713">
      <c r="G12713" s="9">
        <f t="shared" si="0"/>
      </c>
      <c r="L12713">
        <f t="shared" si="1"/>
      </c>
      <c r="M12713">
        <f t="shared" si="2"/>
      </c>
    </row>
    <row r="12714">
      <c r="G12714" s="9">
        <f t="shared" si="0"/>
      </c>
      <c r="L12714">
        <f t="shared" si="1"/>
      </c>
      <c r="M12714">
        <f t="shared" si="2"/>
      </c>
    </row>
    <row r="12715">
      <c r="G12715" s="9">
        <f t="shared" si="0"/>
      </c>
      <c r="L12715">
        <f t="shared" si="1"/>
      </c>
      <c r="M12715">
        <f t="shared" si="2"/>
      </c>
    </row>
    <row r="12716">
      <c r="G12716" s="9">
        <f t="shared" si="0"/>
      </c>
      <c r="L12716">
        <f t="shared" si="1"/>
      </c>
      <c r="M12716">
        <f t="shared" si="2"/>
      </c>
    </row>
    <row r="12717">
      <c r="G12717" s="9">
        <f t="shared" si="0"/>
      </c>
      <c r="L12717">
        <f t="shared" si="1"/>
      </c>
      <c r="M12717">
        <f t="shared" si="2"/>
      </c>
    </row>
    <row r="12718">
      <c r="G12718" s="9">
        <f t="shared" si="0"/>
      </c>
      <c r="L12718">
        <f t="shared" si="1"/>
      </c>
      <c r="M12718">
        <f t="shared" si="2"/>
      </c>
    </row>
    <row r="12719">
      <c r="G12719" s="9">
        <f t="shared" si="0"/>
      </c>
      <c r="L12719">
        <f t="shared" si="1"/>
      </c>
      <c r="M12719">
        <f t="shared" si="2"/>
      </c>
    </row>
    <row r="12720">
      <c r="G12720" s="9">
        <f t="shared" si="0"/>
      </c>
      <c r="L12720">
        <f t="shared" si="1"/>
      </c>
      <c r="M12720">
        <f t="shared" si="2"/>
      </c>
    </row>
    <row r="12721">
      <c r="G12721" s="9">
        <f t="shared" si="0"/>
      </c>
      <c r="L12721">
        <f t="shared" si="1"/>
      </c>
      <c r="M12721">
        <f t="shared" si="2"/>
      </c>
    </row>
    <row r="12722">
      <c r="G12722" s="9">
        <f t="shared" si="0"/>
      </c>
      <c r="L12722">
        <f t="shared" si="1"/>
      </c>
      <c r="M12722">
        <f t="shared" si="2"/>
      </c>
    </row>
    <row r="12723">
      <c r="G12723" s="9">
        <f t="shared" si="0"/>
      </c>
      <c r="L12723">
        <f t="shared" si="1"/>
      </c>
      <c r="M12723">
        <f t="shared" si="2"/>
      </c>
    </row>
    <row r="12724">
      <c r="G12724" s="9">
        <f t="shared" si="0"/>
      </c>
      <c r="L12724">
        <f t="shared" si="1"/>
      </c>
      <c r="M12724">
        <f t="shared" si="2"/>
      </c>
    </row>
    <row r="12725">
      <c r="G12725" s="9">
        <f t="shared" si="0"/>
      </c>
      <c r="L12725">
        <f t="shared" si="1"/>
      </c>
      <c r="M12725">
        <f t="shared" si="2"/>
      </c>
    </row>
    <row r="12726">
      <c r="G12726" s="9">
        <f t="shared" si="0"/>
      </c>
      <c r="L12726">
        <f t="shared" si="1"/>
      </c>
      <c r="M12726">
        <f t="shared" si="2"/>
      </c>
    </row>
    <row r="12727">
      <c r="G12727" s="9">
        <f t="shared" si="0"/>
      </c>
      <c r="L12727">
        <f t="shared" si="1"/>
      </c>
      <c r="M12727">
        <f t="shared" si="2"/>
      </c>
    </row>
    <row r="12728">
      <c r="G12728" s="9">
        <f t="shared" si="0"/>
      </c>
      <c r="L12728">
        <f t="shared" si="1"/>
      </c>
      <c r="M12728">
        <f t="shared" si="2"/>
      </c>
    </row>
    <row r="12729">
      <c r="G12729" s="9">
        <f t="shared" si="0"/>
      </c>
      <c r="L12729">
        <f t="shared" si="1"/>
      </c>
      <c r="M12729">
        <f t="shared" si="2"/>
      </c>
    </row>
    <row r="12730">
      <c r="G12730" s="9">
        <f t="shared" si="0"/>
      </c>
      <c r="L12730">
        <f t="shared" si="1"/>
      </c>
      <c r="M12730">
        <f t="shared" si="2"/>
      </c>
    </row>
    <row r="12731">
      <c r="G12731" s="9">
        <f t="shared" si="0"/>
      </c>
      <c r="L12731">
        <f t="shared" si="1"/>
      </c>
      <c r="M12731">
        <f t="shared" si="2"/>
      </c>
    </row>
    <row r="12732">
      <c r="G12732" s="9">
        <f t="shared" si="0"/>
      </c>
      <c r="L12732">
        <f t="shared" si="1"/>
      </c>
      <c r="M12732">
        <f t="shared" si="2"/>
      </c>
    </row>
    <row r="12733">
      <c r="G12733" s="9">
        <f t="shared" si="0"/>
      </c>
      <c r="L12733">
        <f t="shared" si="1"/>
      </c>
      <c r="M12733">
        <f t="shared" si="2"/>
      </c>
    </row>
    <row r="12734">
      <c r="G12734" s="9">
        <f t="shared" si="0"/>
      </c>
      <c r="L12734">
        <f t="shared" si="1"/>
      </c>
      <c r="M12734">
        <f t="shared" si="2"/>
      </c>
    </row>
    <row r="12735">
      <c r="G12735" s="9">
        <f t="shared" si="0"/>
      </c>
      <c r="L12735">
        <f t="shared" si="1"/>
      </c>
      <c r="M12735">
        <f t="shared" si="2"/>
      </c>
    </row>
    <row r="12736">
      <c r="G12736" s="9">
        <f t="shared" si="0"/>
      </c>
      <c r="L12736">
        <f t="shared" si="1"/>
      </c>
      <c r="M12736">
        <f t="shared" si="2"/>
      </c>
    </row>
    <row r="12737">
      <c r="G12737" s="9">
        <f t="shared" si="0"/>
      </c>
      <c r="L12737">
        <f t="shared" si="1"/>
      </c>
      <c r="M12737">
        <f t="shared" si="2"/>
      </c>
    </row>
    <row r="12738">
      <c r="G12738" s="9">
        <f t="shared" si="0"/>
      </c>
      <c r="L12738">
        <f t="shared" si="1"/>
      </c>
      <c r="M12738">
        <f t="shared" si="2"/>
      </c>
    </row>
    <row r="12739">
      <c r="G12739" s="9">
        <f t="shared" si="0"/>
      </c>
      <c r="L12739">
        <f t="shared" si="1"/>
      </c>
      <c r="M12739">
        <f t="shared" si="2"/>
      </c>
    </row>
    <row r="12740">
      <c r="G12740" s="9">
        <f t="shared" si="0"/>
      </c>
      <c r="L12740">
        <f t="shared" si="1"/>
      </c>
      <c r="M12740">
        <f t="shared" si="2"/>
      </c>
    </row>
    <row r="12741">
      <c r="G12741" s="9">
        <f t="shared" si="0"/>
      </c>
      <c r="L12741">
        <f t="shared" si="1"/>
      </c>
      <c r="M12741">
        <f t="shared" si="2"/>
      </c>
    </row>
    <row r="12742">
      <c r="G12742" s="9">
        <f t="shared" si="0"/>
      </c>
      <c r="L12742">
        <f t="shared" si="1"/>
      </c>
      <c r="M12742">
        <f t="shared" si="2"/>
      </c>
    </row>
    <row r="12743">
      <c r="G12743" s="9">
        <f t="shared" si="0"/>
      </c>
      <c r="L12743">
        <f t="shared" si="1"/>
      </c>
      <c r="M12743">
        <f t="shared" si="2"/>
      </c>
    </row>
    <row r="12744">
      <c r="G12744" s="9">
        <f t="shared" si="0"/>
      </c>
      <c r="L12744">
        <f t="shared" si="1"/>
      </c>
      <c r="M12744">
        <f t="shared" si="2"/>
      </c>
    </row>
    <row r="12745">
      <c r="G12745" s="9">
        <f t="shared" si="0"/>
      </c>
      <c r="L12745">
        <f t="shared" si="1"/>
      </c>
      <c r="M12745">
        <f t="shared" si="2"/>
      </c>
    </row>
    <row r="12746">
      <c r="G12746" s="9">
        <f t="shared" si="0"/>
      </c>
      <c r="L12746">
        <f t="shared" si="1"/>
      </c>
      <c r="M12746">
        <f t="shared" si="2"/>
      </c>
    </row>
    <row r="12747">
      <c r="G12747" s="9">
        <f t="shared" si="0"/>
      </c>
      <c r="L12747">
        <f t="shared" si="1"/>
      </c>
      <c r="M12747">
        <f t="shared" si="2"/>
      </c>
    </row>
    <row r="12748">
      <c r="G12748" s="9">
        <f t="shared" si="0"/>
      </c>
      <c r="L12748">
        <f t="shared" si="1"/>
      </c>
      <c r="M12748">
        <f t="shared" si="2"/>
      </c>
    </row>
    <row r="12749">
      <c r="G12749" s="9">
        <f t="shared" si="0"/>
      </c>
      <c r="L12749">
        <f t="shared" si="1"/>
      </c>
      <c r="M12749">
        <f t="shared" si="2"/>
      </c>
    </row>
    <row r="12750">
      <c r="G12750" s="9">
        <f t="shared" si="0"/>
      </c>
      <c r="L12750">
        <f t="shared" si="1"/>
      </c>
      <c r="M12750">
        <f t="shared" si="2"/>
      </c>
    </row>
    <row r="12751">
      <c r="G12751" s="9">
        <f t="shared" si="0"/>
      </c>
      <c r="L12751">
        <f t="shared" si="1"/>
      </c>
      <c r="M12751">
        <f t="shared" si="2"/>
      </c>
    </row>
    <row r="12752">
      <c r="G12752" s="9">
        <f t="shared" si="0"/>
      </c>
      <c r="L12752">
        <f t="shared" si="1"/>
      </c>
      <c r="M12752">
        <f t="shared" si="2"/>
      </c>
    </row>
    <row r="12753">
      <c r="G12753" s="9">
        <f t="shared" si="0"/>
      </c>
      <c r="L12753">
        <f t="shared" si="1"/>
      </c>
      <c r="M12753">
        <f t="shared" si="2"/>
      </c>
    </row>
    <row r="12754">
      <c r="G12754" s="9">
        <f t="shared" si="0"/>
      </c>
      <c r="L12754">
        <f t="shared" si="1"/>
      </c>
      <c r="M12754">
        <f t="shared" si="2"/>
      </c>
    </row>
    <row r="12755">
      <c r="G12755" s="9">
        <f t="shared" si="0"/>
      </c>
      <c r="L12755">
        <f t="shared" si="1"/>
      </c>
      <c r="M12755">
        <f t="shared" si="2"/>
      </c>
    </row>
    <row r="12756">
      <c r="G12756" s="9">
        <f t="shared" si="0"/>
      </c>
      <c r="L12756">
        <f t="shared" si="1"/>
      </c>
      <c r="M12756">
        <f t="shared" si="2"/>
      </c>
    </row>
    <row r="12757">
      <c r="G12757" s="9">
        <f t="shared" si="0"/>
      </c>
      <c r="L12757">
        <f t="shared" si="1"/>
      </c>
      <c r="M12757">
        <f t="shared" si="2"/>
      </c>
    </row>
    <row r="12758">
      <c r="G12758" s="9">
        <f t="shared" si="0"/>
      </c>
      <c r="L12758">
        <f t="shared" si="1"/>
      </c>
      <c r="M12758">
        <f t="shared" si="2"/>
      </c>
    </row>
    <row r="12759">
      <c r="G12759" s="9">
        <f t="shared" si="0"/>
      </c>
      <c r="L12759">
        <f t="shared" si="1"/>
      </c>
      <c r="M12759">
        <f t="shared" si="2"/>
      </c>
    </row>
    <row r="12760">
      <c r="G12760" s="9">
        <f t="shared" si="0"/>
      </c>
      <c r="L12760">
        <f t="shared" si="1"/>
      </c>
      <c r="M12760">
        <f t="shared" si="2"/>
      </c>
    </row>
    <row r="12761">
      <c r="G12761" s="9">
        <f t="shared" si="0"/>
      </c>
      <c r="L12761">
        <f t="shared" si="1"/>
      </c>
      <c r="M12761">
        <f t="shared" si="2"/>
      </c>
    </row>
    <row r="12762">
      <c r="G12762" s="9">
        <f t="shared" si="0"/>
      </c>
      <c r="L12762">
        <f t="shared" si="1"/>
      </c>
      <c r="M12762">
        <f t="shared" si="2"/>
      </c>
    </row>
    <row r="12763">
      <c r="G12763" s="9">
        <f t="shared" si="0"/>
      </c>
      <c r="L12763">
        <f t="shared" si="1"/>
      </c>
      <c r="M12763">
        <f t="shared" si="2"/>
      </c>
    </row>
    <row r="12764">
      <c r="G12764" s="9">
        <f t="shared" si="0"/>
      </c>
      <c r="L12764">
        <f t="shared" si="1"/>
      </c>
      <c r="M12764">
        <f t="shared" si="2"/>
      </c>
    </row>
    <row r="12765">
      <c r="G12765" s="9">
        <f t="shared" si="0"/>
      </c>
      <c r="L12765">
        <f t="shared" si="1"/>
      </c>
      <c r="M12765">
        <f t="shared" si="2"/>
      </c>
    </row>
    <row r="12766">
      <c r="G12766" s="9">
        <f t="shared" si="0"/>
      </c>
      <c r="L12766">
        <f t="shared" si="1"/>
      </c>
      <c r="M12766">
        <f t="shared" si="2"/>
      </c>
    </row>
    <row r="12767">
      <c r="G12767" s="9">
        <f t="shared" si="0"/>
      </c>
      <c r="L12767">
        <f t="shared" si="1"/>
      </c>
      <c r="M12767">
        <f t="shared" si="2"/>
      </c>
    </row>
    <row r="12768">
      <c r="G12768" s="9">
        <f t="shared" si="0"/>
      </c>
      <c r="L12768">
        <f t="shared" si="1"/>
      </c>
      <c r="M12768">
        <f t="shared" si="2"/>
      </c>
    </row>
    <row r="12769">
      <c r="G12769" s="9">
        <f t="shared" si="0"/>
      </c>
      <c r="L12769">
        <f t="shared" si="1"/>
      </c>
      <c r="M12769">
        <f t="shared" si="2"/>
      </c>
    </row>
    <row r="12770">
      <c r="G12770" s="9">
        <f t="shared" si="0"/>
      </c>
      <c r="L12770">
        <f t="shared" si="1"/>
      </c>
      <c r="M12770">
        <f t="shared" si="2"/>
      </c>
    </row>
    <row r="12771">
      <c r="G12771" s="9">
        <f t="shared" si="0"/>
      </c>
      <c r="L12771">
        <f t="shared" si="1"/>
      </c>
      <c r="M12771">
        <f t="shared" si="2"/>
      </c>
    </row>
    <row r="12772">
      <c r="G12772" s="9">
        <f t="shared" si="0"/>
      </c>
      <c r="L12772">
        <f t="shared" si="1"/>
      </c>
      <c r="M12772">
        <f t="shared" si="2"/>
      </c>
    </row>
    <row r="12773">
      <c r="G12773" s="9">
        <f t="shared" si="0"/>
      </c>
      <c r="L12773">
        <f t="shared" si="1"/>
      </c>
      <c r="M12773">
        <f t="shared" si="2"/>
      </c>
    </row>
    <row r="12774">
      <c r="G12774" s="9">
        <f t="shared" si="0"/>
      </c>
      <c r="L12774">
        <f t="shared" si="1"/>
      </c>
      <c r="M12774">
        <f t="shared" si="2"/>
      </c>
    </row>
    <row r="12775">
      <c r="G12775" s="9">
        <f t="shared" si="0"/>
      </c>
      <c r="L12775">
        <f t="shared" si="1"/>
      </c>
      <c r="M12775">
        <f t="shared" si="2"/>
      </c>
    </row>
    <row r="12776">
      <c r="G12776" s="9">
        <f t="shared" si="0"/>
      </c>
      <c r="L12776">
        <f t="shared" si="1"/>
      </c>
      <c r="M12776">
        <f t="shared" si="2"/>
      </c>
    </row>
    <row r="12777">
      <c r="G12777" s="9">
        <f t="shared" si="0"/>
      </c>
      <c r="L12777">
        <f t="shared" si="1"/>
      </c>
      <c r="M12777">
        <f t="shared" si="2"/>
      </c>
    </row>
    <row r="12778">
      <c r="G12778" s="9">
        <f t="shared" si="0"/>
      </c>
      <c r="L12778">
        <f t="shared" si="1"/>
      </c>
      <c r="M12778">
        <f t="shared" si="2"/>
      </c>
    </row>
    <row r="12779">
      <c r="G12779" s="9">
        <f t="shared" si="0"/>
      </c>
      <c r="L12779">
        <f t="shared" si="1"/>
      </c>
      <c r="M12779">
        <f t="shared" si="2"/>
      </c>
    </row>
    <row r="12780">
      <c r="G12780" s="9">
        <f t="shared" si="0"/>
      </c>
      <c r="L12780">
        <f t="shared" si="1"/>
      </c>
      <c r="M12780">
        <f t="shared" si="2"/>
      </c>
    </row>
    <row r="12781">
      <c r="G12781" s="9">
        <f t="shared" si="0"/>
      </c>
      <c r="L12781">
        <f t="shared" si="1"/>
      </c>
      <c r="M12781">
        <f t="shared" si="2"/>
      </c>
    </row>
    <row r="12782">
      <c r="G12782" s="9">
        <f t="shared" si="0"/>
      </c>
      <c r="L12782">
        <f t="shared" si="1"/>
      </c>
      <c r="M12782">
        <f t="shared" si="2"/>
      </c>
    </row>
    <row r="12783">
      <c r="G12783" s="9">
        <f t="shared" si="0"/>
      </c>
      <c r="L12783">
        <f t="shared" si="1"/>
      </c>
      <c r="M12783">
        <f t="shared" si="2"/>
      </c>
    </row>
    <row r="12784">
      <c r="G12784" s="9">
        <f t="shared" si="0"/>
      </c>
      <c r="L12784">
        <f t="shared" si="1"/>
      </c>
      <c r="M12784">
        <f t="shared" si="2"/>
      </c>
    </row>
    <row r="12785">
      <c r="G12785" s="9">
        <f t="shared" si="0"/>
      </c>
      <c r="L12785">
        <f t="shared" si="1"/>
      </c>
      <c r="M12785">
        <f t="shared" si="2"/>
      </c>
    </row>
    <row r="12786">
      <c r="G12786" s="9">
        <f t="shared" si="0"/>
      </c>
      <c r="L12786">
        <f t="shared" si="1"/>
      </c>
      <c r="M12786">
        <f t="shared" si="2"/>
      </c>
    </row>
    <row r="12787">
      <c r="G12787" s="9">
        <f t="shared" si="0"/>
      </c>
      <c r="L12787">
        <f t="shared" si="1"/>
      </c>
      <c r="M12787">
        <f t="shared" si="2"/>
      </c>
    </row>
    <row r="12788">
      <c r="G12788" s="9">
        <f t="shared" si="0"/>
      </c>
      <c r="L12788">
        <f t="shared" si="1"/>
      </c>
      <c r="M12788">
        <f t="shared" si="2"/>
      </c>
    </row>
    <row r="12789">
      <c r="G12789" s="9">
        <f t="shared" si="0"/>
      </c>
      <c r="L12789">
        <f t="shared" si="1"/>
      </c>
      <c r="M12789">
        <f t="shared" si="2"/>
      </c>
    </row>
    <row r="12790">
      <c r="G12790" s="9">
        <f t="shared" si="0"/>
      </c>
      <c r="L12790">
        <f t="shared" si="1"/>
      </c>
      <c r="M12790">
        <f t="shared" si="2"/>
      </c>
    </row>
    <row r="12791">
      <c r="G12791" s="9">
        <f t="shared" si="0"/>
      </c>
      <c r="L12791">
        <f t="shared" si="1"/>
      </c>
      <c r="M12791">
        <f t="shared" si="2"/>
      </c>
    </row>
    <row r="12792">
      <c r="G12792" s="9">
        <f t="shared" si="0"/>
      </c>
      <c r="L12792">
        <f t="shared" si="1"/>
      </c>
      <c r="M12792">
        <f t="shared" si="2"/>
      </c>
    </row>
    <row r="12793">
      <c r="G12793" s="9">
        <f t="shared" si="0"/>
      </c>
      <c r="L12793">
        <f t="shared" si="1"/>
      </c>
      <c r="M12793">
        <f t="shared" si="2"/>
      </c>
    </row>
    <row r="12794">
      <c r="G12794" s="9">
        <f t="shared" si="0"/>
      </c>
      <c r="L12794">
        <f t="shared" si="1"/>
      </c>
      <c r="M12794">
        <f t="shared" si="2"/>
      </c>
    </row>
    <row r="12795">
      <c r="G12795" s="9">
        <f t="shared" si="0"/>
      </c>
      <c r="L12795">
        <f t="shared" si="1"/>
      </c>
      <c r="M12795">
        <f t="shared" si="2"/>
      </c>
    </row>
    <row r="12796">
      <c r="G12796" s="9">
        <f t="shared" si="0"/>
      </c>
      <c r="L12796">
        <f t="shared" si="1"/>
      </c>
      <c r="M12796">
        <f t="shared" si="2"/>
      </c>
    </row>
    <row r="12797">
      <c r="G12797" s="9">
        <f t="shared" si="0"/>
      </c>
      <c r="L12797">
        <f t="shared" si="1"/>
      </c>
      <c r="M12797">
        <f t="shared" si="2"/>
      </c>
    </row>
    <row r="12798">
      <c r="G12798" s="9">
        <f t="shared" si="0"/>
      </c>
      <c r="L12798">
        <f t="shared" si="1"/>
      </c>
      <c r="M12798">
        <f t="shared" si="2"/>
      </c>
    </row>
    <row r="12799">
      <c r="G12799" s="9">
        <f t="shared" si="0"/>
      </c>
      <c r="L12799">
        <f t="shared" si="1"/>
      </c>
      <c r="M12799">
        <f t="shared" si="2"/>
      </c>
    </row>
    <row r="12800">
      <c r="G12800" s="9">
        <f t="shared" si="0"/>
      </c>
      <c r="L12800">
        <f t="shared" si="1"/>
      </c>
      <c r="M12800">
        <f t="shared" si="2"/>
      </c>
    </row>
    <row r="12801">
      <c r="G12801" s="9">
        <f t="shared" si="0"/>
      </c>
      <c r="L12801">
        <f t="shared" si="1"/>
      </c>
      <c r="M12801">
        <f t="shared" si="2"/>
      </c>
    </row>
    <row r="12802">
      <c r="G12802" s="9">
        <f t="shared" si="0"/>
      </c>
      <c r="L12802">
        <f t="shared" si="1"/>
      </c>
      <c r="M12802">
        <f t="shared" si="2"/>
      </c>
    </row>
    <row r="12803">
      <c r="G12803" s="9">
        <f t="shared" si="0"/>
      </c>
      <c r="L12803">
        <f t="shared" si="1"/>
      </c>
      <c r="M12803">
        <f t="shared" si="2"/>
      </c>
    </row>
    <row r="12804">
      <c r="G12804" s="9">
        <f t="shared" si="0"/>
      </c>
      <c r="L12804">
        <f t="shared" si="1"/>
      </c>
      <c r="M12804">
        <f t="shared" si="2"/>
      </c>
    </row>
    <row r="12805">
      <c r="G12805" s="9">
        <f t="shared" si="0"/>
      </c>
      <c r="L12805">
        <f t="shared" si="1"/>
      </c>
      <c r="M12805">
        <f t="shared" si="2"/>
      </c>
    </row>
    <row r="12806">
      <c r="G12806" s="9">
        <f t="shared" si="0"/>
      </c>
      <c r="L12806">
        <f t="shared" si="1"/>
      </c>
      <c r="M12806">
        <f t="shared" si="2"/>
      </c>
    </row>
    <row r="12807">
      <c r="G12807" s="9">
        <f t="shared" si="0"/>
      </c>
      <c r="L12807">
        <f t="shared" si="1"/>
      </c>
      <c r="M12807">
        <f t="shared" si="2"/>
      </c>
    </row>
    <row r="12808">
      <c r="G12808" s="9">
        <f t="shared" si="0"/>
      </c>
      <c r="L12808">
        <f t="shared" si="1"/>
      </c>
      <c r="M12808">
        <f t="shared" si="2"/>
      </c>
    </row>
    <row r="12809">
      <c r="G12809" s="9">
        <f t="shared" si="0"/>
      </c>
      <c r="L12809">
        <f t="shared" si="1"/>
      </c>
      <c r="M12809">
        <f t="shared" si="2"/>
      </c>
    </row>
    <row r="12810">
      <c r="G12810" s="9">
        <f t="shared" si="0"/>
      </c>
      <c r="L12810">
        <f t="shared" si="1"/>
      </c>
      <c r="M12810">
        <f t="shared" si="2"/>
      </c>
    </row>
    <row r="12811">
      <c r="G12811" s="9">
        <f t="shared" si="0"/>
      </c>
      <c r="L12811">
        <f t="shared" si="1"/>
      </c>
      <c r="M12811">
        <f t="shared" si="2"/>
      </c>
    </row>
    <row r="12812">
      <c r="G12812" s="9">
        <f t="shared" si="0"/>
      </c>
      <c r="L12812">
        <f t="shared" si="1"/>
      </c>
      <c r="M12812">
        <f t="shared" si="2"/>
      </c>
    </row>
    <row r="12813">
      <c r="G12813" s="9">
        <f t="shared" si="0"/>
      </c>
      <c r="L12813">
        <f t="shared" si="1"/>
      </c>
      <c r="M12813">
        <f t="shared" si="2"/>
      </c>
    </row>
    <row r="12814">
      <c r="G12814" s="9">
        <f t="shared" si="0"/>
      </c>
      <c r="L12814">
        <f t="shared" si="1"/>
      </c>
      <c r="M12814">
        <f t="shared" si="2"/>
      </c>
    </row>
    <row r="12815">
      <c r="G12815" s="9">
        <f t="shared" si="0"/>
      </c>
      <c r="L12815">
        <f t="shared" si="1"/>
      </c>
      <c r="M12815">
        <f t="shared" si="2"/>
      </c>
    </row>
    <row r="12816">
      <c r="G12816" s="9">
        <f t="shared" si="0"/>
      </c>
      <c r="L12816">
        <f t="shared" si="1"/>
      </c>
      <c r="M12816">
        <f t="shared" si="2"/>
      </c>
    </row>
    <row r="12817">
      <c r="G12817" s="9">
        <f t="shared" si="0"/>
      </c>
      <c r="L12817">
        <f t="shared" si="1"/>
      </c>
      <c r="M12817">
        <f t="shared" si="2"/>
      </c>
    </row>
    <row r="12818">
      <c r="G12818" s="9">
        <f t="shared" si="0"/>
      </c>
      <c r="L12818">
        <f t="shared" si="1"/>
      </c>
      <c r="M12818">
        <f t="shared" si="2"/>
      </c>
    </row>
    <row r="12819">
      <c r="G12819" s="9">
        <f t="shared" si="0"/>
      </c>
      <c r="L12819">
        <f t="shared" si="1"/>
      </c>
      <c r="M12819">
        <f t="shared" si="2"/>
      </c>
    </row>
    <row r="12820">
      <c r="G12820" s="9">
        <f t="shared" si="0"/>
      </c>
      <c r="L12820">
        <f t="shared" si="1"/>
      </c>
      <c r="M12820">
        <f t="shared" si="2"/>
      </c>
    </row>
    <row r="12821">
      <c r="G12821" s="9">
        <f t="shared" si="0"/>
      </c>
      <c r="L12821">
        <f t="shared" si="1"/>
      </c>
      <c r="M12821">
        <f t="shared" si="2"/>
      </c>
    </row>
    <row r="12822">
      <c r="G12822" s="9">
        <f t="shared" si="0"/>
      </c>
      <c r="L12822">
        <f t="shared" si="1"/>
      </c>
      <c r="M12822">
        <f t="shared" si="2"/>
      </c>
    </row>
    <row r="12823">
      <c r="G12823" s="9">
        <f t="shared" si="0"/>
      </c>
      <c r="L12823">
        <f t="shared" si="1"/>
      </c>
      <c r="M12823">
        <f t="shared" si="2"/>
      </c>
    </row>
    <row r="12824">
      <c r="G12824" s="9">
        <f t="shared" si="0"/>
      </c>
      <c r="L12824">
        <f t="shared" si="1"/>
      </c>
      <c r="M12824">
        <f t="shared" si="2"/>
      </c>
    </row>
    <row r="12825">
      <c r="G12825" s="9">
        <f t="shared" si="0"/>
      </c>
      <c r="L12825">
        <f t="shared" si="1"/>
      </c>
      <c r="M12825">
        <f t="shared" si="2"/>
      </c>
    </row>
    <row r="12826">
      <c r="G12826" s="9">
        <f t="shared" si="0"/>
      </c>
      <c r="L12826">
        <f t="shared" si="1"/>
      </c>
      <c r="M12826">
        <f t="shared" si="2"/>
      </c>
    </row>
    <row r="12827">
      <c r="G12827" s="9">
        <f t="shared" si="0"/>
      </c>
      <c r="L12827">
        <f t="shared" si="1"/>
      </c>
      <c r="M12827">
        <f t="shared" si="2"/>
      </c>
    </row>
    <row r="12828">
      <c r="G12828" s="9">
        <f t="shared" si="0"/>
      </c>
      <c r="L12828">
        <f t="shared" si="1"/>
      </c>
      <c r="M12828">
        <f t="shared" si="2"/>
      </c>
    </row>
    <row r="12829">
      <c r="G12829" s="9">
        <f t="shared" si="0"/>
      </c>
      <c r="L12829">
        <f t="shared" si="1"/>
      </c>
      <c r="M12829">
        <f t="shared" si="2"/>
      </c>
    </row>
    <row r="12830">
      <c r="G12830" s="9">
        <f t="shared" si="0"/>
      </c>
      <c r="L12830">
        <f t="shared" si="1"/>
      </c>
      <c r="M12830">
        <f t="shared" si="2"/>
      </c>
    </row>
    <row r="12831">
      <c r="G12831" s="9">
        <f t="shared" si="0"/>
      </c>
      <c r="L12831">
        <f t="shared" si="1"/>
      </c>
      <c r="M12831">
        <f t="shared" si="2"/>
      </c>
    </row>
    <row r="12832">
      <c r="G12832" s="9">
        <f t="shared" si="0"/>
      </c>
      <c r="L12832">
        <f t="shared" si="1"/>
      </c>
      <c r="M12832">
        <f t="shared" si="2"/>
      </c>
    </row>
    <row r="12833">
      <c r="G12833" s="9">
        <f t="shared" si="0"/>
      </c>
      <c r="L12833">
        <f t="shared" si="1"/>
      </c>
      <c r="M12833">
        <f t="shared" si="2"/>
      </c>
    </row>
    <row r="12834">
      <c r="G12834" s="9">
        <f t="shared" si="0"/>
      </c>
      <c r="L12834">
        <f t="shared" si="1"/>
      </c>
      <c r="M12834">
        <f t="shared" si="2"/>
      </c>
    </row>
    <row r="12835">
      <c r="G12835" s="9">
        <f t="shared" si="0"/>
      </c>
      <c r="L12835">
        <f t="shared" si="1"/>
      </c>
      <c r="M12835">
        <f t="shared" si="2"/>
      </c>
    </row>
    <row r="12836">
      <c r="G12836" s="9">
        <f t="shared" si="0"/>
      </c>
      <c r="L12836">
        <f t="shared" si="1"/>
      </c>
      <c r="M12836">
        <f t="shared" si="2"/>
      </c>
    </row>
    <row r="12837">
      <c r="G12837" s="9">
        <f t="shared" si="0"/>
      </c>
      <c r="L12837">
        <f t="shared" si="1"/>
      </c>
      <c r="M12837">
        <f t="shared" si="2"/>
      </c>
    </row>
    <row r="12838">
      <c r="G12838" s="9">
        <f t="shared" si="0"/>
      </c>
      <c r="L12838">
        <f t="shared" si="1"/>
      </c>
      <c r="M12838">
        <f t="shared" si="2"/>
      </c>
    </row>
    <row r="12839">
      <c r="G12839" s="9">
        <f t="shared" si="0"/>
      </c>
      <c r="L12839">
        <f t="shared" si="1"/>
      </c>
      <c r="M12839">
        <f t="shared" si="2"/>
      </c>
    </row>
    <row r="12840">
      <c r="G12840" s="9">
        <f t="shared" si="0"/>
      </c>
      <c r="L12840">
        <f t="shared" si="1"/>
      </c>
      <c r="M12840">
        <f t="shared" si="2"/>
      </c>
    </row>
    <row r="12841">
      <c r="G12841" s="9">
        <f t="shared" si="0"/>
      </c>
      <c r="L12841">
        <f t="shared" si="1"/>
      </c>
      <c r="M12841">
        <f t="shared" si="2"/>
      </c>
    </row>
    <row r="12842">
      <c r="G12842" s="9">
        <f t="shared" si="0"/>
      </c>
      <c r="L12842">
        <f t="shared" si="1"/>
      </c>
      <c r="M12842">
        <f t="shared" si="2"/>
      </c>
    </row>
    <row r="12843">
      <c r="G12843" s="9">
        <f t="shared" si="0"/>
      </c>
      <c r="L12843">
        <f t="shared" si="1"/>
      </c>
      <c r="M12843">
        <f t="shared" si="2"/>
      </c>
    </row>
    <row r="12844">
      <c r="G12844" s="9">
        <f t="shared" si="0"/>
      </c>
      <c r="L12844">
        <f t="shared" si="1"/>
      </c>
      <c r="M12844">
        <f t="shared" si="2"/>
      </c>
    </row>
    <row r="12845">
      <c r="G12845" s="9">
        <f t="shared" si="0"/>
      </c>
      <c r="L12845">
        <f t="shared" si="1"/>
      </c>
      <c r="M12845">
        <f t="shared" si="2"/>
      </c>
    </row>
    <row r="12846">
      <c r="G12846" s="9">
        <f t="shared" si="0"/>
      </c>
      <c r="L12846">
        <f t="shared" si="1"/>
      </c>
      <c r="M12846">
        <f t="shared" si="2"/>
      </c>
    </row>
    <row r="12847">
      <c r="G12847" s="9">
        <f t="shared" si="0"/>
      </c>
      <c r="L12847">
        <f t="shared" si="1"/>
      </c>
      <c r="M12847">
        <f t="shared" si="2"/>
      </c>
    </row>
    <row r="12848">
      <c r="G12848" s="9">
        <f t="shared" si="0"/>
      </c>
      <c r="L12848">
        <f t="shared" si="1"/>
      </c>
      <c r="M12848">
        <f t="shared" si="2"/>
      </c>
    </row>
    <row r="12849">
      <c r="G12849" s="9">
        <f t="shared" si="0"/>
      </c>
      <c r="L12849">
        <f t="shared" si="1"/>
      </c>
      <c r="M12849">
        <f t="shared" si="2"/>
      </c>
    </row>
    <row r="12850">
      <c r="G12850" s="9">
        <f t="shared" si="0"/>
      </c>
      <c r="L12850">
        <f t="shared" si="1"/>
      </c>
      <c r="M12850">
        <f t="shared" si="2"/>
      </c>
    </row>
    <row r="12851">
      <c r="G12851" s="9">
        <f t="shared" si="0"/>
      </c>
      <c r="L12851">
        <f t="shared" si="1"/>
      </c>
      <c r="M12851">
        <f t="shared" si="2"/>
      </c>
    </row>
    <row r="12852">
      <c r="G12852" s="9">
        <f t="shared" si="0"/>
      </c>
      <c r="L12852">
        <f t="shared" si="1"/>
      </c>
      <c r="M12852">
        <f t="shared" si="2"/>
      </c>
    </row>
    <row r="12853">
      <c r="G12853" s="9">
        <f t="shared" si="0"/>
      </c>
      <c r="L12853">
        <f t="shared" si="1"/>
      </c>
      <c r="M12853">
        <f t="shared" si="2"/>
      </c>
    </row>
    <row r="12854">
      <c r="G12854" s="9">
        <f t="shared" si="0"/>
      </c>
      <c r="L12854">
        <f t="shared" si="1"/>
      </c>
      <c r="M12854">
        <f t="shared" si="2"/>
      </c>
    </row>
    <row r="12855">
      <c r="G12855" s="9">
        <f t="shared" si="0"/>
      </c>
      <c r="L12855">
        <f t="shared" si="1"/>
      </c>
      <c r="M12855">
        <f t="shared" si="2"/>
      </c>
    </row>
    <row r="12856">
      <c r="G12856" s="9">
        <f t="shared" si="0"/>
      </c>
      <c r="L12856">
        <f t="shared" si="1"/>
      </c>
      <c r="M12856">
        <f t="shared" si="2"/>
      </c>
    </row>
    <row r="12857">
      <c r="G12857" s="9">
        <f t="shared" si="0"/>
      </c>
      <c r="L12857">
        <f t="shared" si="1"/>
      </c>
      <c r="M12857">
        <f t="shared" si="2"/>
      </c>
    </row>
    <row r="12858">
      <c r="G12858" s="9">
        <f t="shared" si="0"/>
      </c>
      <c r="L12858">
        <f t="shared" si="1"/>
      </c>
      <c r="M12858">
        <f t="shared" si="2"/>
      </c>
    </row>
    <row r="12859">
      <c r="G12859" s="9">
        <f t="shared" si="0"/>
      </c>
      <c r="L12859">
        <f t="shared" si="1"/>
      </c>
      <c r="M12859">
        <f t="shared" si="2"/>
      </c>
    </row>
    <row r="12860">
      <c r="G12860" s="9">
        <f t="shared" si="0"/>
      </c>
      <c r="L12860">
        <f t="shared" si="1"/>
      </c>
      <c r="M12860">
        <f t="shared" si="2"/>
      </c>
    </row>
    <row r="12861">
      <c r="G12861" s="9">
        <f t="shared" si="0"/>
      </c>
      <c r="L12861">
        <f t="shared" si="1"/>
      </c>
      <c r="M12861">
        <f t="shared" si="2"/>
      </c>
    </row>
    <row r="12862">
      <c r="G12862" s="9">
        <f t="shared" si="0"/>
      </c>
      <c r="L12862">
        <f t="shared" si="1"/>
      </c>
      <c r="M12862">
        <f t="shared" si="2"/>
      </c>
    </row>
    <row r="12863">
      <c r="G12863" s="9">
        <f t="shared" si="0"/>
      </c>
      <c r="L12863">
        <f t="shared" si="1"/>
      </c>
      <c r="M12863">
        <f t="shared" si="2"/>
      </c>
    </row>
    <row r="12864">
      <c r="G12864" s="9">
        <f t="shared" si="0"/>
      </c>
      <c r="L12864">
        <f t="shared" si="1"/>
      </c>
      <c r="M12864">
        <f t="shared" si="2"/>
      </c>
    </row>
    <row r="12865">
      <c r="G12865" s="9">
        <f t="shared" si="0"/>
      </c>
      <c r="L12865">
        <f t="shared" si="1"/>
      </c>
      <c r="M12865">
        <f t="shared" si="2"/>
      </c>
    </row>
    <row r="12866">
      <c r="G12866" s="9">
        <f t="shared" si="0"/>
      </c>
      <c r="L12866">
        <f t="shared" si="1"/>
      </c>
      <c r="M12866">
        <f t="shared" si="2"/>
      </c>
    </row>
    <row r="12867">
      <c r="G12867" s="9">
        <f t="shared" si="0"/>
      </c>
      <c r="L12867">
        <f t="shared" si="1"/>
      </c>
      <c r="M12867">
        <f t="shared" si="2"/>
      </c>
    </row>
    <row r="12868">
      <c r="G12868" s="9">
        <f t="shared" si="0"/>
      </c>
      <c r="L12868">
        <f t="shared" si="1"/>
      </c>
      <c r="M12868">
        <f t="shared" si="2"/>
      </c>
    </row>
    <row r="12869">
      <c r="G12869" s="9">
        <f t="shared" si="0"/>
      </c>
      <c r="L12869">
        <f t="shared" si="1"/>
      </c>
      <c r="M12869">
        <f t="shared" si="2"/>
      </c>
    </row>
    <row r="12870">
      <c r="G12870" s="9">
        <f t="shared" si="0"/>
      </c>
      <c r="L12870">
        <f t="shared" si="1"/>
      </c>
      <c r="M12870">
        <f t="shared" si="2"/>
      </c>
    </row>
    <row r="12871">
      <c r="G12871" s="9">
        <f t="shared" si="0"/>
      </c>
      <c r="L12871">
        <f t="shared" si="1"/>
      </c>
      <c r="M12871">
        <f t="shared" si="2"/>
      </c>
    </row>
    <row r="12872">
      <c r="G12872" s="9">
        <f t="shared" si="0"/>
      </c>
      <c r="L12872">
        <f t="shared" si="1"/>
      </c>
      <c r="M12872">
        <f t="shared" si="2"/>
      </c>
    </row>
    <row r="12873">
      <c r="G12873" s="9">
        <f t="shared" si="0"/>
      </c>
      <c r="L12873">
        <f t="shared" si="1"/>
      </c>
      <c r="M12873">
        <f t="shared" si="2"/>
      </c>
    </row>
    <row r="12874">
      <c r="G12874" s="9">
        <f t="shared" si="0"/>
      </c>
      <c r="L12874">
        <f t="shared" si="1"/>
      </c>
      <c r="M12874">
        <f t="shared" si="2"/>
      </c>
    </row>
    <row r="12875">
      <c r="G12875" s="9">
        <f t="shared" si="0"/>
      </c>
      <c r="L12875">
        <f t="shared" si="1"/>
      </c>
      <c r="M12875">
        <f t="shared" si="2"/>
      </c>
    </row>
    <row r="12876">
      <c r="G12876" s="9">
        <f t="shared" si="0"/>
      </c>
      <c r="L12876">
        <f t="shared" si="1"/>
      </c>
      <c r="M12876">
        <f t="shared" si="2"/>
      </c>
    </row>
    <row r="12877">
      <c r="G12877" s="9">
        <f t="shared" si="0"/>
      </c>
      <c r="L12877">
        <f t="shared" si="1"/>
      </c>
      <c r="M12877">
        <f t="shared" si="2"/>
      </c>
    </row>
    <row r="12878">
      <c r="G12878" s="9">
        <f t="shared" si="0"/>
      </c>
      <c r="L12878">
        <f t="shared" si="1"/>
      </c>
      <c r="M12878">
        <f t="shared" si="2"/>
      </c>
    </row>
    <row r="12879">
      <c r="G12879" s="9">
        <f t="shared" si="0"/>
      </c>
      <c r="L12879">
        <f t="shared" si="1"/>
      </c>
      <c r="M12879">
        <f t="shared" si="2"/>
      </c>
    </row>
    <row r="12880">
      <c r="G12880" s="9">
        <f t="shared" si="0"/>
      </c>
      <c r="L12880">
        <f t="shared" si="1"/>
      </c>
      <c r="M12880">
        <f t="shared" si="2"/>
      </c>
    </row>
    <row r="12881">
      <c r="G12881" s="9">
        <f t="shared" si="0"/>
      </c>
      <c r="L12881">
        <f t="shared" si="1"/>
      </c>
      <c r="M12881">
        <f t="shared" si="2"/>
      </c>
    </row>
    <row r="12882">
      <c r="G12882" s="9">
        <f t="shared" si="0"/>
      </c>
      <c r="L12882">
        <f t="shared" si="1"/>
      </c>
      <c r="M12882">
        <f t="shared" si="2"/>
      </c>
    </row>
    <row r="12883">
      <c r="G12883" s="9">
        <f t="shared" si="0"/>
      </c>
      <c r="L12883">
        <f t="shared" si="1"/>
      </c>
      <c r="M12883">
        <f t="shared" si="2"/>
      </c>
    </row>
    <row r="12884">
      <c r="G12884" s="9">
        <f t="shared" si="0"/>
      </c>
      <c r="L12884">
        <f t="shared" si="1"/>
      </c>
      <c r="M12884">
        <f t="shared" si="2"/>
      </c>
    </row>
    <row r="12885">
      <c r="G12885" s="9">
        <f t="shared" si="0"/>
      </c>
      <c r="L12885">
        <f t="shared" si="1"/>
      </c>
      <c r="M12885">
        <f t="shared" si="2"/>
      </c>
    </row>
    <row r="12886">
      <c r="G12886" s="9">
        <f t="shared" si="0"/>
      </c>
      <c r="L12886">
        <f t="shared" si="1"/>
      </c>
      <c r="M12886">
        <f t="shared" si="2"/>
      </c>
    </row>
    <row r="12887">
      <c r="G12887" s="9">
        <f t="shared" si="0"/>
      </c>
      <c r="L12887">
        <f t="shared" si="1"/>
      </c>
      <c r="M12887">
        <f t="shared" si="2"/>
      </c>
    </row>
    <row r="12888">
      <c r="G12888" s="9">
        <f t="shared" si="0"/>
      </c>
      <c r="L12888">
        <f t="shared" si="1"/>
      </c>
      <c r="M12888">
        <f t="shared" si="2"/>
      </c>
    </row>
    <row r="12889">
      <c r="G12889" s="9">
        <f t="shared" si="0"/>
      </c>
      <c r="L12889">
        <f t="shared" si="1"/>
      </c>
      <c r="M12889">
        <f t="shared" si="2"/>
      </c>
    </row>
    <row r="12890">
      <c r="G12890" s="9">
        <f t="shared" si="0"/>
      </c>
      <c r="L12890">
        <f t="shared" si="1"/>
      </c>
      <c r="M12890">
        <f t="shared" si="2"/>
      </c>
    </row>
    <row r="12891">
      <c r="G12891" s="9">
        <f t="shared" si="0"/>
      </c>
      <c r="L12891">
        <f t="shared" si="1"/>
      </c>
      <c r="M12891">
        <f t="shared" si="2"/>
      </c>
    </row>
    <row r="12892">
      <c r="G12892" s="9">
        <f t="shared" si="0"/>
      </c>
      <c r="L12892">
        <f t="shared" si="1"/>
      </c>
      <c r="M12892">
        <f t="shared" si="2"/>
      </c>
    </row>
    <row r="12893">
      <c r="G12893" s="9">
        <f t="shared" si="0"/>
      </c>
      <c r="L12893">
        <f t="shared" si="1"/>
      </c>
      <c r="M12893">
        <f t="shared" si="2"/>
      </c>
    </row>
    <row r="12894">
      <c r="G12894" s="9">
        <f t="shared" si="0"/>
      </c>
      <c r="L12894">
        <f t="shared" si="1"/>
      </c>
      <c r="M12894">
        <f t="shared" si="2"/>
      </c>
    </row>
    <row r="12895">
      <c r="G12895" s="9">
        <f t="shared" si="0"/>
      </c>
      <c r="L12895">
        <f t="shared" si="1"/>
      </c>
      <c r="M12895">
        <f t="shared" si="2"/>
      </c>
    </row>
    <row r="12896">
      <c r="G12896" s="9">
        <f t="shared" si="0"/>
      </c>
      <c r="L12896">
        <f t="shared" si="1"/>
      </c>
      <c r="M12896">
        <f t="shared" si="2"/>
      </c>
    </row>
    <row r="12897">
      <c r="G12897" s="9">
        <f t="shared" si="0"/>
      </c>
      <c r="L12897">
        <f t="shared" si="1"/>
      </c>
      <c r="M12897">
        <f t="shared" si="2"/>
      </c>
    </row>
    <row r="12898">
      <c r="G12898" s="9">
        <f t="shared" si="0"/>
      </c>
      <c r="L12898">
        <f t="shared" si="1"/>
      </c>
      <c r="M12898">
        <f t="shared" si="2"/>
      </c>
    </row>
    <row r="12899">
      <c r="G12899" s="9">
        <f t="shared" si="0"/>
      </c>
      <c r="L12899">
        <f t="shared" si="1"/>
      </c>
      <c r="M12899">
        <f t="shared" si="2"/>
      </c>
    </row>
    <row r="12900">
      <c r="G12900" s="9">
        <f t="shared" si="0"/>
      </c>
      <c r="L12900">
        <f t="shared" si="1"/>
      </c>
      <c r="M12900">
        <f t="shared" si="2"/>
      </c>
    </row>
    <row r="12901">
      <c r="G12901" s="9">
        <f t="shared" si="0"/>
      </c>
      <c r="L12901">
        <f t="shared" si="1"/>
      </c>
      <c r="M12901">
        <f t="shared" si="2"/>
      </c>
    </row>
    <row r="12902">
      <c r="G12902" s="9">
        <f t="shared" si="0"/>
      </c>
      <c r="L12902">
        <f t="shared" si="1"/>
      </c>
      <c r="M12902">
        <f t="shared" si="2"/>
      </c>
    </row>
    <row r="12903">
      <c r="G12903" s="9">
        <f t="shared" si="0"/>
      </c>
      <c r="L12903">
        <f t="shared" si="1"/>
      </c>
      <c r="M12903">
        <f t="shared" si="2"/>
      </c>
    </row>
    <row r="12904">
      <c r="G12904" s="9">
        <f t="shared" si="0"/>
      </c>
      <c r="L12904">
        <f t="shared" si="1"/>
      </c>
      <c r="M12904">
        <f t="shared" si="2"/>
      </c>
    </row>
    <row r="12905">
      <c r="G12905" s="9">
        <f t="shared" si="0"/>
      </c>
      <c r="L12905">
        <f t="shared" si="1"/>
      </c>
      <c r="M12905">
        <f t="shared" si="2"/>
      </c>
    </row>
    <row r="12906">
      <c r="G12906" s="9">
        <f t="shared" si="0"/>
      </c>
      <c r="L12906">
        <f t="shared" si="1"/>
      </c>
      <c r="M12906">
        <f t="shared" si="2"/>
      </c>
    </row>
    <row r="12907">
      <c r="G12907" s="9">
        <f t="shared" si="0"/>
      </c>
      <c r="L12907">
        <f t="shared" si="1"/>
      </c>
      <c r="M12907">
        <f t="shared" si="2"/>
      </c>
    </row>
    <row r="12908">
      <c r="G12908" s="9">
        <f t="shared" si="0"/>
      </c>
      <c r="L12908">
        <f t="shared" si="1"/>
      </c>
      <c r="M12908">
        <f t="shared" si="2"/>
      </c>
    </row>
    <row r="12909">
      <c r="G12909" s="9">
        <f t="shared" si="0"/>
      </c>
      <c r="L12909">
        <f t="shared" si="1"/>
      </c>
      <c r="M12909">
        <f t="shared" si="2"/>
      </c>
    </row>
    <row r="12910">
      <c r="G12910" s="9">
        <f t="shared" si="0"/>
      </c>
      <c r="L12910">
        <f t="shared" si="1"/>
      </c>
      <c r="M12910">
        <f t="shared" si="2"/>
      </c>
    </row>
    <row r="12911">
      <c r="G12911" s="9">
        <f t="shared" si="0"/>
      </c>
      <c r="L12911">
        <f t="shared" si="1"/>
      </c>
      <c r="M12911">
        <f t="shared" si="2"/>
      </c>
    </row>
    <row r="12912">
      <c r="G12912" s="9">
        <f t="shared" si="0"/>
      </c>
      <c r="L12912">
        <f t="shared" si="1"/>
      </c>
      <c r="M12912">
        <f t="shared" si="2"/>
      </c>
    </row>
    <row r="12913">
      <c r="G12913" s="9">
        <f t="shared" si="0"/>
      </c>
      <c r="L12913">
        <f t="shared" si="1"/>
      </c>
      <c r="M12913">
        <f t="shared" si="2"/>
      </c>
    </row>
    <row r="12914">
      <c r="G12914" s="9">
        <f t="shared" si="0"/>
      </c>
      <c r="L12914">
        <f t="shared" si="1"/>
      </c>
      <c r="M12914">
        <f t="shared" si="2"/>
      </c>
    </row>
    <row r="12915">
      <c r="G12915" s="9">
        <f t="shared" si="0"/>
      </c>
      <c r="L12915">
        <f t="shared" si="1"/>
      </c>
      <c r="M12915">
        <f t="shared" si="2"/>
      </c>
    </row>
    <row r="12916">
      <c r="G12916" s="9">
        <f t="shared" si="0"/>
      </c>
      <c r="L12916">
        <f t="shared" si="1"/>
      </c>
      <c r="M12916">
        <f t="shared" si="2"/>
      </c>
    </row>
    <row r="12917">
      <c r="G12917" s="9">
        <f t="shared" si="0"/>
      </c>
      <c r="L12917">
        <f t="shared" si="1"/>
      </c>
      <c r="M12917">
        <f t="shared" si="2"/>
      </c>
    </row>
    <row r="12918">
      <c r="G12918" s="9">
        <f t="shared" si="0"/>
      </c>
      <c r="L12918">
        <f t="shared" si="1"/>
      </c>
      <c r="M12918">
        <f t="shared" si="2"/>
      </c>
    </row>
    <row r="12919">
      <c r="G12919" s="9">
        <f t="shared" si="0"/>
      </c>
      <c r="L12919">
        <f t="shared" si="1"/>
      </c>
      <c r="M12919">
        <f t="shared" si="2"/>
      </c>
    </row>
    <row r="12920">
      <c r="G12920" s="9">
        <f t="shared" si="0"/>
      </c>
      <c r="L12920">
        <f t="shared" si="1"/>
      </c>
      <c r="M12920">
        <f t="shared" si="2"/>
      </c>
    </row>
    <row r="12921">
      <c r="G12921" s="9">
        <f t="shared" si="0"/>
      </c>
      <c r="L12921">
        <f t="shared" si="1"/>
      </c>
      <c r="M12921">
        <f t="shared" si="2"/>
      </c>
    </row>
    <row r="12922">
      <c r="G12922" s="9">
        <f t="shared" si="0"/>
      </c>
      <c r="L12922">
        <f t="shared" si="1"/>
      </c>
      <c r="M12922">
        <f t="shared" si="2"/>
      </c>
    </row>
    <row r="12923">
      <c r="G12923" s="9">
        <f t="shared" si="0"/>
      </c>
      <c r="L12923">
        <f t="shared" si="1"/>
      </c>
      <c r="M12923">
        <f t="shared" si="2"/>
      </c>
    </row>
    <row r="12924">
      <c r="G12924" s="9">
        <f t="shared" si="0"/>
      </c>
      <c r="L12924">
        <f t="shared" si="1"/>
      </c>
      <c r="M12924">
        <f t="shared" si="2"/>
      </c>
    </row>
    <row r="12925">
      <c r="G12925" s="9">
        <f t="shared" si="0"/>
      </c>
      <c r="L12925">
        <f t="shared" si="1"/>
      </c>
      <c r="M12925">
        <f t="shared" si="2"/>
      </c>
    </row>
    <row r="12926">
      <c r="G12926" s="9">
        <f t="shared" si="0"/>
      </c>
      <c r="L12926">
        <f t="shared" si="1"/>
      </c>
      <c r="M12926">
        <f t="shared" si="2"/>
      </c>
    </row>
    <row r="12927">
      <c r="G12927" s="9">
        <f t="shared" si="0"/>
      </c>
      <c r="L12927">
        <f t="shared" si="1"/>
      </c>
      <c r="M12927">
        <f t="shared" si="2"/>
      </c>
    </row>
    <row r="12928">
      <c r="G12928" s="9">
        <f t="shared" si="0"/>
      </c>
      <c r="L12928">
        <f t="shared" si="1"/>
      </c>
      <c r="M12928">
        <f t="shared" si="2"/>
      </c>
    </row>
    <row r="12929">
      <c r="G12929" s="9">
        <f t="shared" si="0"/>
      </c>
      <c r="L12929">
        <f t="shared" si="1"/>
      </c>
      <c r="M12929">
        <f t="shared" si="2"/>
      </c>
    </row>
    <row r="12930">
      <c r="G12930" s="9">
        <f t="shared" si="0"/>
      </c>
      <c r="L12930">
        <f t="shared" si="1"/>
      </c>
      <c r="M12930">
        <f t="shared" si="2"/>
      </c>
    </row>
    <row r="12931">
      <c r="G12931" s="9">
        <f t="shared" si="0"/>
      </c>
      <c r="L12931">
        <f t="shared" si="1"/>
      </c>
      <c r="M12931">
        <f t="shared" si="2"/>
      </c>
    </row>
    <row r="12932">
      <c r="G12932" s="9">
        <f t="shared" si="0"/>
      </c>
      <c r="L12932">
        <f t="shared" si="1"/>
      </c>
      <c r="M12932">
        <f t="shared" si="2"/>
      </c>
    </row>
    <row r="12933">
      <c r="G12933" s="9">
        <f t="shared" si="0"/>
      </c>
      <c r="L12933">
        <f t="shared" si="1"/>
      </c>
      <c r="M12933">
        <f t="shared" si="2"/>
      </c>
    </row>
    <row r="12934">
      <c r="G12934" s="9">
        <f t="shared" si="0"/>
      </c>
      <c r="L12934">
        <f t="shared" si="1"/>
      </c>
      <c r="M12934">
        <f t="shared" si="2"/>
      </c>
    </row>
    <row r="12935">
      <c r="G12935" s="9">
        <f t="shared" si="0"/>
      </c>
      <c r="L12935">
        <f t="shared" si="1"/>
      </c>
      <c r="M12935">
        <f t="shared" si="2"/>
      </c>
    </row>
    <row r="12936">
      <c r="G12936" s="9">
        <f t="shared" si="0"/>
      </c>
      <c r="L12936">
        <f t="shared" si="1"/>
      </c>
      <c r="M12936">
        <f t="shared" si="2"/>
      </c>
    </row>
    <row r="12937">
      <c r="G12937" s="9">
        <f t="shared" si="0"/>
      </c>
      <c r="L12937">
        <f t="shared" si="1"/>
      </c>
      <c r="M12937">
        <f t="shared" si="2"/>
      </c>
    </row>
    <row r="12938">
      <c r="G12938" s="9">
        <f t="shared" si="0"/>
      </c>
      <c r="L12938">
        <f t="shared" si="1"/>
      </c>
      <c r="M12938">
        <f t="shared" si="2"/>
      </c>
    </row>
    <row r="12939">
      <c r="G12939" s="9">
        <f t="shared" si="0"/>
      </c>
      <c r="L12939">
        <f t="shared" si="1"/>
      </c>
      <c r="M12939">
        <f t="shared" si="2"/>
      </c>
    </row>
    <row r="12940">
      <c r="G12940" s="9">
        <f t="shared" si="0"/>
      </c>
      <c r="L12940">
        <f t="shared" si="1"/>
      </c>
      <c r="M12940">
        <f t="shared" si="2"/>
      </c>
    </row>
    <row r="12941">
      <c r="G12941" s="9">
        <f t="shared" si="0"/>
      </c>
      <c r="L12941">
        <f t="shared" si="1"/>
      </c>
      <c r="M12941">
        <f t="shared" si="2"/>
      </c>
    </row>
    <row r="12942">
      <c r="G12942" s="9">
        <f t="shared" si="0"/>
      </c>
      <c r="L12942">
        <f t="shared" si="1"/>
      </c>
      <c r="M12942">
        <f t="shared" si="2"/>
      </c>
    </row>
    <row r="12943">
      <c r="G12943" s="9">
        <f t="shared" si="0"/>
      </c>
      <c r="L12943">
        <f t="shared" si="1"/>
      </c>
      <c r="M12943">
        <f t="shared" si="2"/>
      </c>
    </row>
    <row r="12944">
      <c r="G12944" s="9">
        <f t="shared" si="0"/>
      </c>
      <c r="L12944">
        <f t="shared" si="1"/>
      </c>
      <c r="M12944">
        <f t="shared" si="2"/>
      </c>
    </row>
    <row r="12945">
      <c r="G12945" s="9">
        <f t="shared" si="0"/>
      </c>
      <c r="L12945">
        <f t="shared" si="1"/>
      </c>
      <c r="M12945">
        <f t="shared" si="2"/>
      </c>
    </row>
    <row r="12946">
      <c r="G12946" s="9">
        <f t="shared" si="0"/>
      </c>
      <c r="L12946">
        <f t="shared" si="1"/>
      </c>
      <c r="M12946">
        <f t="shared" si="2"/>
      </c>
    </row>
    <row r="12947">
      <c r="G12947" s="9">
        <f t="shared" si="0"/>
      </c>
      <c r="L12947">
        <f t="shared" si="1"/>
      </c>
      <c r="M12947">
        <f t="shared" si="2"/>
      </c>
    </row>
    <row r="12948">
      <c r="G12948" s="9">
        <f t="shared" si="0"/>
      </c>
      <c r="L12948">
        <f t="shared" si="1"/>
      </c>
      <c r="M12948">
        <f t="shared" si="2"/>
      </c>
    </row>
    <row r="12949">
      <c r="G12949" s="9">
        <f t="shared" si="0"/>
      </c>
      <c r="L12949">
        <f t="shared" si="1"/>
      </c>
      <c r="M12949">
        <f t="shared" si="2"/>
      </c>
    </row>
    <row r="12950">
      <c r="G12950" s="9">
        <f t="shared" si="0"/>
      </c>
      <c r="L12950">
        <f t="shared" si="1"/>
      </c>
      <c r="M12950">
        <f t="shared" si="2"/>
      </c>
    </row>
    <row r="12951">
      <c r="G12951" s="9">
        <f t="shared" si="0"/>
      </c>
      <c r="L12951">
        <f t="shared" si="1"/>
      </c>
      <c r="M12951">
        <f t="shared" si="2"/>
      </c>
    </row>
    <row r="12952">
      <c r="G12952" s="9">
        <f t="shared" si="0"/>
      </c>
      <c r="L12952">
        <f t="shared" si="1"/>
      </c>
      <c r="M12952">
        <f t="shared" si="2"/>
      </c>
    </row>
    <row r="12953">
      <c r="G12953" s="9">
        <f t="shared" si="0"/>
      </c>
      <c r="L12953">
        <f t="shared" si="1"/>
      </c>
      <c r="M12953">
        <f t="shared" si="2"/>
      </c>
    </row>
    <row r="12954">
      <c r="G12954" s="9">
        <f t="shared" si="0"/>
      </c>
      <c r="L12954">
        <f t="shared" si="1"/>
      </c>
      <c r="M12954">
        <f t="shared" si="2"/>
      </c>
    </row>
    <row r="12955">
      <c r="G12955" s="9">
        <f t="shared" si="0"/>
      </c>
      <c r="L12955">
        <f t="shared" si="1"/>
      </c>
      <c r="M12955">
        <f t="shared" si="2"/>
      </c>
    </row>
    <row r="12956">
      <c r="G12956" s="9">
        <f t="shared" si="0"/>
      </c>
      <c r="L12956">
        <f t="shared" si="1"/>
      </c>
      <c r="M12956">
        <f t="shared" si="2"/>
      </c>
    </row>
    <row r="12957">
      <c r="G12957" s="9">
        <f t="shared" si="0"/>
      </c>
      <c r="L12957">
        <f t="shared" si="1"/>
      </c>
      <c r="M12957">
        <f t="shared" si="2"/>
      </c>
    </row>
    <row r="12958">
      <c r="G12958" s="9">
        <f t="shared" si="0"/>
      </c>
      <c r="L12958">
        <f t="shared" si="1"/>
      </c>
      <c r="M12958">
        <f t="shared" si="2"/>
      </c>
    </row>
    <row r="12959">
      <c r="G12959" s="9">
        <f t="shared" si="0"/>
      </c>
      <c r="L12959">
        <f t="shared" si="1"/>
      </c>
      <c r="M12959">
        <f t="shared" si="2"/>
      </c>
    </row>
    <row r="12960">
      <c r="G12960" s="9">
        <f t="shared" si="0"/>
      </c>
      <c r="L12960">
        <f t="shared" si="1"/>
      </c>
      <c r="M12960">
        <f t="shared" si="2"/>
      </c>
    </row>
    <row r="12961">
      <c r="G12961" s="9">
        <f t="shared" si="0"/>
      </c>
      <c r="L12961">
        <f t="shared" si="1"/>
      </c>
      <c r="M12961">
        <f t="shared" si="2"/>
      </c>
    </row>
    <row r="12962">
      <c r="G12962" s="9">
        <f t="shared" si="0"/>
      </c>
      <c r="L12962">
        <f t="shared" si="1"/>
      </c>
      <c r="M12962">
        <f t="shared" si="2"/>
      </c>
    </row>
    <row r="12963">
      <c r="G12963" s="9">
        <f t="shared" si="0"/>
      </c>
      <c r="L12963">
        <f t="shared" si="1"/>
      </c>
      <c r="M12963">
        <f t="shared" si="2"/>
      </c>
    </row>
    <row r="12964">
      <c r="G12964" s="9">
        <f t="shared" si="0"/>
      </c>
      <c r="L12964">
        <f t="shared" si="1"/>
      </c>
      <c r="M12964">
        <f t="shared" si="2"/>
      </c>
    </row>
    <row r="12965">
      <c r="G12965" s="9">
        <f t="shared" si="0"/>
      </c>
      <c r="L12965">
        <f t="shared" si="1"/>
      </c>
      <c r="M12965">
        <f t="shared" si="2"/>
      </c>
    </row>
    <row r="12966">
      <c r="G12966" s="9">
        <f t="shared" si="0"/>
      </c>
      <c r="L12966">
        <f t="shared" si="1"/>
      </c>
      <c r="M12966">
        <f t="shared" si="2"/>
      </c>
    </row>
    <row r="12967">
      <c r="G12967" s="9">
        <f t="shared" si="0"/>
      </c>
      <c r="L12967">
        <f t="shared" si="1"/>
      </c>
      <c r="M12967">
        <f t="shared" si="2"/>
      </c>
    </row>
    <row r="12968">
      <c r="G12968" s="9">
        <f t="shared" si="0"/>
      </c>
      <c r="L12968">
        <f t="shared" si="1"/>
      </c>
      <c r="M12968">
        <f t="shared" si="2"/>
      </c>
    </row>
    <row r="12969">
      <c r="G12969" s="9">
        <f t="shared" si="0"/>
      </c>
      <c r="L12969">
        <f t="shared" si="1"/>
      </c>
      <c r="M12969">
        <f t="shared" si="2"/>
      </c>
    </row>
    <row r="12970">
      <c r="G12970" s="9">
        <f t="shared" si="0"/>
      </c>
      <c r="L12970">
        <f t="shared" si="1"/>
      </c>
      <c r="M12970">
        <f t="shared" si="2"/>
      </c>
    </row>
    <row r="12971">
      <c r="G12971" s="9">
        <f t="shared" si="0"/>
      </c>
      <c r="L12971">
        <f t="shared" si="1"/>
      </c>
      <c r="M12971">
        <f t="shared" si="2"/>
      </c>
    </row>
    <row r="12972">
      <c r="G12972" s="9">
        <f t="shared" si="0"/>
      </c>
      <c r="L12972">
        <f t="shared" si="1"/>
      </c>
      <c r="M12972">
        <f t="shared" si="2"/>
      </c>
    </row>
    <row r="12973">
      <c r="G12973" s="9">
        <f t="shared" si="0"/>
      </c>
      <c r="L12973">
        <f t="shared" si="1"/>
      </c>
      <c r="M12973">
        <f t="shared" si="2"/>
      </c>
    </row>
    <row r="12974">
      <c r="G12974" s="9">
        <f t="shared" si="0"/>
      </c>
      <c r="L12974">
        <f t="shared" si="1"/>
      </c>
      <c r="M12974">
        <f t="shared" si="2"/>
      </c>
    </row>
    <row r="12975">
      <c r="G12975" s="9">
        <f t="shared" si="0"/>
      </c>
      <c r="L12975">
        <f t="shared" si="1"/>
      </c>
      <c r="M12975">
        <f t="shared" si="2"/>
      </c>
    </row>
    <row r="12976">
      <c r="G12976" s="9">
        <f t="shared" si="0"/>
      </c>
      <c r="L12976">
        <f t="shared" si="1"/>
      </c>
      <c r="M12976">
        <f t="shared" si="2"/>
      </c>
    </row>
    <row r="12977">
      <c r="G12977" s="9">
        <f t="shared" si="0"/>
      </c>
      <c r="L12977">
        <f t="shared" si="1"/>
      </c>
      <c r="M12977">
        <f t="shared" si="2"/>
      </c>
    </row>
    <row r="12978">
      <c r="G12978" s="9">
        <f t="shared" si="0"/>
      </c>
      <c r="L12978">
        <f t="shared" si="1"/>
      </c>
      <c r="M12978">
        <f t="shared" si="2"/>
      </c>
    </row>
    <row r="12979">
      <c r="G12979" s="9">
        <f t="shared" si="0"/>
      </c>
      <c r="L12979">
        <f t="shared" si="1"/>
      </c>
      <c r="M12979">
        <f t="shared" si="2"/>
      </c>
    </row>
    <row r="12980">
      <c r="G12980" s="9">
        <f t="shared" si="0"/>
      </c>
      <c r="L12980">
        <f t="shared" si="1"/>
      </c>
      <c r="M12980">
        <f t="shared" si="2"/>
      </c>
    </row>
    <row r="12981">
      <c r="G12981" s="9">
        <f t="shared" si="0"/>
      </c>
      <c r="L12981">
        <f t="shared" si="1"/>
      </c>
      <c r="M12981">
        <f t="shared" si="2"/>
      </c>
    </row>
    <row r="12982">
      <c r="G12982" s="9">
        <f t="shared" si="0"/>
      </c>
      <c r="L12982">
        <f t="shared" si="1"/>
      </c>
      <c r="M12982">
        <f t="shared" si="2"/>
      </c>
    </row>
    <row r="12983">
      <c r="G12983" s="9">
        <f t="shared" si="0"/>
      </c>
      <c r="L12983">
        <f t="shared" si="1"/>
      </c>
      <c r="M12983">
        <f t="shared" si="2"/>
      </c>
    </row>
    <row r="12984">
      <c r="G12984" s="9">
        <f t="shared" si="0"/>
      </c>
      <c r="L12984">
        <f t="shared" si="1"/>
      </c>
      <c r="M12984">
        <f t="shared" si="2"/>
      </c>
    </row>
    <row r="12985">
      <c r="G12985" s="9">
        <f t="shared" si="0"/>
      </c>
      <c r="L12985">
        <f t="shared" si="1"/>
      </c>
      <c r="M12985">
        <f t="shared" si="2"/>
      </c>
    </row>
    <row r="12986">
      <c r="G12986" s="9">
        <f t="shared" si="0"/>
      </c>
      <c r="L12986">
        <f t="shared" si="1"/>
      </c>
      <c r="M12986">
        <f t="shared" si="2"/>
      </c>
    </row>
    <row r="12987">
      <c r="G12987" s="9">
        <f t="shared" si="0"/>
      </c>
      <c r="L12987">
        <f t="shared" si="1"/>
      </c>
      <c r="M12987">
        <f t="shared" si="2"/>
      </c>
    </row>
    <row r="12988">
      <c r="G12988" s="9">
        <f t="shared" si="0"/>
      </c>
      <c r="L12988">
        <f t="shared" si="1"/>
      </c>
      <c r="M12988">
        <f t="shared" si="2"/>
      </c>
    </row>
    <row r="12989">
      <c r="G12989" s="9">
        <f t="shared" si="0"/>
      </c>
      <c r="L12989">
        <f t="shared" si="1"/>
      </c>
      <c r="M12989">
        <f t="shared" si="2"/>
      </c>
    </row>
    <row r="12990">
      <c r="G12990" s="9">
        <f t="shared" si="0"/>
      </c>
      <c r="L12990">
        <f t="shared" si="1"/>
      </c>
      <c r="M12990">
        <f t="shared" si="2"/>
      </c>
    </row>
    <row r="12991">
      <c r="G12991" s="9">
        <f t="shared" si="0"/>
      </c>
      <c r="L12991">
        <f t="shared" si="1"/>
      </c>
      <c r="M12991">
        <f t="shared" si="2"/>
      </c>
    </row>
    <row r="12992">
      <c r="G12992" s="9">
        <f t="shared" si="0"/>
      </c>
      <c r="L12992">
        <f t="shared" si="1"/>
      </c>
      <c r="M12992">
        <f t="shared" si="2"/>
      </c>
    </row>
    <row r="12993">
      <c r="G12993" s="9">
        <f t="shared" si="0"/>
      </c>
      <c r="L12993">
        <f t="shared" si="1"/>
      </c>
      <c r="M12993">
        <f t="shared" si="2"/>
      </c>
    </row>
    <row r="12994">
      <c r="G12994" s="9">
        <f t="shared" si="0"/>
      </c>
      <c r="L12994">
        <f t="shared" si="1"/>
      </c>
      <c r="M12994">
        <f t="shared" si="2"/>
      </c>
    </row>
    <row r="12995">
      <c r="G12995" s="9">
        <f t="shared" si="0"/>
      </c>
      <c r="L12995">
        <f t="shared" si="1"/>
      </c>
      <c r="M12995">
        <f t="shared" si="2"/>
      </c>
    </row>
    <row r="12996">
      <c r="G12996" s="9">
        <f t="shared" si="0"/>
      </c>
      <c r="L12996">
        <f t="shared" si="1"/>
      </c>
      <c r="M12996">
        <f t="shared" si="2"/>
      </c>
    </row>
    <row r="12997">
      <c r="G12997" s="9">
        <f t="shared" si="0"/>
      </c>
      <c r="L12997">
        <f t="shared" si="1"/>
      </c>
      <c r="M12997">
        <f t="shared" si="2"/>
      </c>
    </row>
    <row r="12998">
      <c r="G12998" s="9">
        <f t="shared" si="0"/>
      </c>
      <c r="L12998">
        <f t="shared" si="1"/>
      </c>
      <c r="M12998">
        <f t="shared" si="2"/>
      </c>
    </row>
    <row r="12999">
      <c r="G12999" s="9">
        <f t="shared" si="0"/>
      </c>
      <c r="L12999">
        <f t="shared" si="1"/>
      </c>
      <c r="M12999">
        <f t="shared" si="2"/>
      </c>
    </row>
    <row r="13000">
      <c r="G13000" s="9">
        <f t="shared" si="0"/>
      </c>
      <c r="L13000">
        <f t="shared" si="1"/>
      </c>
      <c r="M13000">
        <f t="shared" si="2"/>
      </c>
    </row>
    <row r="13001">
      <c r="G13001" s="9">
        <f t="shared" si="0"/>
      </c>
      <c r="L13001">
        <f t="shared" si="1"/>
      </c>
      <c r="M13001">
        <f t="shared" si="2"/>
      </c>
    </row>
    <row r="13002">
      <c r="G13002" s="9">
        <f t="shared" si="0"/>
      </c>
      <c r="L13002">
        <f t="shared" si="1"/>
      </c>
      <c r="M13002">
        <f t="shared" si="2"/>
      </c>
    </row>
    <row r="13003">
      <c r="G13003" s="9">
        <f t="shared" si="0"/>
      </c>
      <c r="L13003">
        <f t="shared" si="1"/>
      </c>
      <c r="M13003">
        <f t="shared" si="2"/>
      </c>
    </row>
    <row r="13004">
      <c r="G13004" s="9">
        <f t="shared" si="0"/>
      </c>
      <c r="L13004">
        <f t="shared" si="1"/>
      </c>
      <c r="M13004">
        <f t="shared" si="2"/>
      </c>
    </row>
    <row r="13005">
      <c r="G13005" s="9">
        <f t="shared" si="0"/>
      </c>
      <c r="L13005">
        <f t="shared" si="1"/>
      </c>
      <c r="M13005">
        <f t="shared" si="2"/>
      </c>
    </row>
    <row r="13006">
      <c r="G13006" s="9">
        <f t="shared" si="0"/>
      </c>
      <c r="L13006">
        <f t="shared" si="1"/>
      </c>
      <c r="M13006">
        <f t="shared" si="2"/>
      </c>
    </row>
    <row r="13007">
      <c r="G13007" s="9">
        <f t="shared" si="0"/>
      </c>
      <c r="L13007">
        <f t="shared" si="1"/>
      </c>
      <c r="M13007">
        <f t="shared" si="2"/>
      </c>
    </row>
    <row r="13008">
      <c r="G13008" s="9">
        <f t="shared" si="0"/>
      </c>
      <c r="L13008">
        <f t="shared" si="1"/>
      </c>
      <c r="M13008">
        <f t="shared" si="2"/>
      </c>
    </row>
    <row r="13009">
      <c r="G13009" s="9">
        <f t="shared" si="0"/>
      </c>
      <c r="L13009">
        <f t="shared" si="1"/>
      </c>
      <c r="M13009">
        <f t="shared" si="2"/>
      </c>
    </row>
    <row r="13010">
      <c r="G13010" s="9">
        <f t="shared" si="0"/>
      </c>
      <c r="L13010">
        <f t="shared" si="1"/>
      </c>
      <c r="M13010">
        <f t="shared" si="2"/>
      </c>
    </row>
    <row r="13011">
      <c r="G13011" s="9">
        <f t="shared" si="0"/>
      </c>
      <c r="L13011">
        <f t="shared" si="1"/>
      </c>
      <c r="M13011">
        <f t="shared" si="2"/>
      </c>
    </row>
    <row r="13012">
      <c r="G13012" s="9">
        <f t="shared" si="0"/>
      </c>
      <c r="L13012">
        <f t="shared" si="1"/>
      </c>
      <c r="M13012">
        <f t="shared" si="2"/>
      </c>
    </row>
    <row r="13013">
      <c r="G13013" s="9">
        <f t="shared" si="0"/>
      </c>
      <c r="L13013">
        <f t="shared" si="1"/>
      </c>
      <c r="M13013">
        <f t="shared" si="2"/>
      </c>
    </row>
    <row r="13014">
      <c r="G13014" s="9">
        <f t="shared" si="0"/>
      </c>
      <c r="L13014">
        <f t="shared" si="1"/>
      </c>
      <c r="M13014">
        <f t="shared" si="2"/>
      </c>
    </row>
    <row r="13015">
      <c r="G13015" s="9">
        <f t="shared" si="0"/>
      </c>
      <c r="L13015">
        <f t="shared" si="1"/>
      </c>
      <c r="M13015">
        <f t="shared" si="2"/>
      </c>
    </row>
    <row r="13016">
      <c r="G13016" s="9">
        <f t="shared" si="0"/>
      </c>
      <c r="L13016">
        <f t="shared" si="1"/>
      </c>
      <c r="M13016">
        <f t="shared" si="2"/>
      </c>
    </row>
    <row r="13017">
      <c r="G13017" s="9">
        <f t="shared" si="0"/>
      </c>
      <c r="L13017">
        <f t="shared" si="1"/>
      </c>
      <c r="M13017">
        <f t="shared" si="2"/>
      </c>
    </row>
    <row r="13018">
      <c r="G13018" s="9">
        <f t="shared" si="0"/>
      </c>
      <c r="L13018">
        <f t="shared" si="1"/>
      </c>
      <c r="M13018">
        <f t="shared" si="2"/>
      </c>
    </row>
    <row r="13019">
      <c r="G13019" s="9">
        <f t="shared" si="0"/>
      </c>
      <c r="L13019">
        <f t="shared" si="1"/>
      </c>
      <c r="M13019">
        <f t="shared" si="2"/>
      </c>
    </row>
    <row r="13020">
      <c r="G13020" s="9">
        <f t="shared" si="0"/>
      </c>
      <c r="L13020">
        <f t="shared" si="1"/>
      </c>
      <c r="M13020">
        <f t="shared" si="2"/>
      </c>
    </row>
    <row r="13021">
      <c r="G13021" s="9">
        <f t="shared" si="0"/>
      </c>
      <c r="L13021">
        <f t="shared" si="1"/>
      </c>
      <c r="M13021">
        <f t="shared" si="2"/>
      </c>
    </row>
    <row r="13022">
      <c r="G13022" s="9">
        <f t="shared" si="0"/>
      </c>
      <c r="L13022">
        <f t="shared" si="1"/>
      </c>
      <c r="M13022">
        <f t="shared" si="2"/>
      </c>
    </row>
    <row r="13023">
      <c r="G13023" s="9">
        <f t="shared" si="0"/>
      </c>
      <c r="L13023">
        <f t="shared" si="1"/>
      </c>
      <c r="M13023">
        <f t="shared" si="2"/>
      </c>
    </row>
    <row r="13024">
      <c r="G13024" s="9">
        <f t="shared" si="0"/>
      </c>
      <c r="L13024">
        <f t="shared" si="1"/>
      </c>
      <c r="M13024">
        <f t="shared" si="2"/>
      </c>
    </row>
    <row r="13025">
      <c r="G13025" s="9">
        <f t="shared" si="0"/>
      </c>
      <c r="L13025">
        <f t="shared" si="1"/>
      </c>
      <c r="M13025">
        <f t="shared" si="2"/>
      </c>
    </row>
    <row r="13026">
      <c r="G13026" s="9">
        <f t="shared" si="0"/>
      </c>
      <c r="L13026">
        <f t="shared" si="1"/>
      </c>
      <c r="M13026">
        <f t="shared" si="2"/>
      </c>
    </row>
    <row r="13027">
      <c r="G13027" s="9">
        <f t="shared" si="0"/>
      </c>
      <c r="L13027">
        <f t="shared" si="1"/>
      </c>
      <c r="M13027">
        <f t="shared" si="2"/>
      </c>
    </row>
    <row r="13028">
      <c r="G13028" s="9">
        <f t="shared" si="0"/>
      </c>
      <c r="L13028">
        <f t="shared" si="1"/>
      </c>
      <c r="M13028">
        <f t="shared" si="2"/>
      </c>
    </row>
    <row r="13029">
      <c r="G13029" s="9">
        <f t="shared" si="0"/>
      </c>
      <c r="L13029">
        <f t="shared" si="1"/>
      </c>
      <c r="M13029">
        <f t="shared" si="2"/>
      </c>
    </row>
    <row r="13030">
      <c r="G13030" s="9">
        <f t="shared" si="0"/>
      </c>
      <c r="L13030">
        <f t="shared" si="1"/>
      </c>
      <c r="M13030">
        <f t="shared" si="2"/>
      </c>
    </row>
    <row r="13031">
      <c r="G13031" s="9">
        <f t="shared" si="0"/>
      </c>
      <c r="L13031">
        <f t="shared" si="1"/>
      </c>
      <c r="M13031">
        <f t="shared" si="2"/>
      </c>
    </row>
    <row r="13032">
      <c r="G13032" s="9">
        <f t="shared" si="0"/>
      </c>
      <c r="L13032">
        <f t="shared" si="1"/>
      </c>
      <c r="M13032">
        <f t="shared" si="2"/>
      </c>
    </row>
    <row r="13033">
      <c r="G13033" s="9">
        <f t="shared" si="0"/>
      </c>
      <c r="L13033">
        <f t="shared" si="1"/>
      </c>
      <c r="M13033">
        <f t="shared" si="2"/>
      </c>
    </row>
    <row r="13034">
      <c r="G13034" s="9">
        <f t="shared" si="0"/>
      </c>
      <c r="L13034">
        <f t="shared" si="1"/>
      </c>
      <c r="M13034">
        <f t="shared" si="2"/>
      </c>
    </row>
    <row r="13035">
      <c r="G13035" s="9">
        <f t="shared" si="0"/>
      </c>
      <c r="L13035">
        <f t="shared" si="1"/>
      </c>
      <c r="M13035">
        <f t="shared" si="2"/>
      </c>
    </row>
    <row r="13036">
      <c r="G13036" s="9">
        <f t="shared" si="0"/>
      </c>
      <c r="L13036">
        <f t="shared" si="1"/>
      </c>
      <c r="M13036">
        <f t="shared" si="2"/>
      </c>
    </row>
    <row r="13037">
      <c r="G13037" s="9">
        <f t="shared" si="0"/>
      </c>
      <c r="L13037">
        <f t="shared" si="1"/>
      </c>
      <c r="M13037">
        <f t="shared" si="2"/>
      </c>
    </row>
    <row r="13038">
      <c r="G13038" s="9">
        <f t="shared" si="0"/>
      </c>
      <c r="L13038">
        <f t="shared" si="1"/>
      </c>
      <c r="M13038">
        <f t="shared" si="2"/>
      </c>
    </row>
    <row r="13039">
      <c r="G13039" s="9">
        <f t="shared" si="0"/>
      </c>
      <c r="L13039">
        <f t="shared" si="1"/>
      </c>
      <c r="M13039">
        <f t="shared" si="2"/>
      </c>
    </row>
    <row r="13040">
      <c r="G13040" s="9">
        <f t="shared" si="0"/>
      </c>
      <c r="L13040">
        <f t="shared" si="1"/>
      </c>
      <c r="M13040">
        <f t="shared" si="2"/>
      </c>
    </row>
    <row r="13041">
      <c r="G13041" s="9">
        <f t="shared" si="0"/>
      </c>
      <c r="L13041">
        <f t="shared" si="1"/>
      </c>
      <c r="M13041">
        <f t="shared" si="2"/>
      </c>
    </row>
    <row r="13042">
      <c r="G13042" s="9">
        <f t="shared" si="0"/>
      </c>
      <c r="L13042">
        <f t="shared" si="1"/>
      </c>
      <c r="M13042">
        <f t="shared" si="2"/>
      </c>
    </row>
    <row r="13043">
      <c r="G13043" s="9">
        <f t="shared" si="0"/>
      </c>
      <c r="L13043">
        <f t="shared" si="1"/>
      </c>
      <c r="M13043">
        <f t="shared" si="2"/>
      </c>
    </row>
    <row r="13044">
      <c r="G13044" s="9">
        <f t="shared" si="0"/>
      </c>
      <c r="L13044">
        <f t="shared" si="1"/>
      </c>
      <c r="M13044">
        <f t="shared" si="2"/>
      </c>
    </row>
    <row r="13045">
      <c r="G13045" s="9">
        <f t="shared" si="0"/>
      </c>
      <c r="L13045">
        <f t="shared" si="1"/>
      </c>
      <c r="M13045">
        <f t="shared" si="2"/>
      </c>
    </row>
    <row r="13046">
      <c r="G13046" s="9">
        <f t="shared" si="0"/>
      </c>
      <c r="L13046">
        <f t="shared" si="1"/>
      </c>
      <c r="M13046">
        <f t="shared" si="2"/>
      </c>
    </row>
    <row r="13047">
      <c r="G13047" s="9">
        <f t="shared" si="0"/>
      </c>
      <c r="L13047">
        <f t="shared" si="1"/>
      </c>
      <c r="M13047">
        <f t="shared" si="2"/>
      </c>
    </row>
    <row r="13048">
      <c r="G13048" s="9">
        <f t="shared" si="0"/>
      </c>
      <c r="L13048">
        <f t="shared" si="1"/>
      </c>
      <c r="M13048">
        <f t="shared" si="2"/>
      </c>
    </row>
    <row r="13049">
      <c r="G13049" s="9">
        <f t="shared" si="0"/>
      </c>
      <c r="L13049">
        <f t="shared" si="1"/>
      </c>
      <c r="M13049">
        <f t="shared" si="2"/>
      </c>
    </row>
    <row r="13050">
      <c r="G13050" s="9">
        <f t="shared" si="0"/>
      </c>
      <c r="L13050">
        <f t="shared" si="1"/>
      </c>
      <c r="M13050">
        <f t="shared" si="2"/>
      </c>
    </row>
    <row r="13051">
      <c r="G13051" s="9">
        <f t="shared" si="0"/>
      </c>
      <c r="L13051">
        <f t="shared" si="1"/>
      </c>
      <c r="M13051">
        <f t="shared" si="2"/>
      </c>
    </row>
    <row r="13052">
      <c r="G13052" s="9">
        <f t="shared" si="0"/>
      </c>
      <c r="L13052">
        <f t="shared" si="1"/>
      </c>
      <c r="M13052">
        <f t="shared" si="2"/>
      </c>
    </row>
    <row r="13053">
      <c r="G13053" s="9">
        <f t="shared" si="0"/>
      </c>
      <c r="L13053">
        <f t="shared" si="1"/>
      </c>
      <c r="M13053">
        <f t="shared" si="2"/>
      </c>
    </row>
    <row r="13054">
      <c r="G13054" s="9">
        <f t="shared" si="0"/>
      </c>
      <c r="L13054">
        <f t="shared" si="1"/>
      </c>
      <c r="M13054">
        <f t="shared" si="2"/>
      </c>
    </row>
    <row r="13055">
      <c r="G13055" s="9">
        <f t="shared" si="0"/>
      </c>
      <c r="L13055">
        <f t="shared" si="1"/>
      </c>
      <c r="M13055">
        <f t="shared" si="2"/>
      </c>
    </row>
    <row r="13056">
      <c r="G13056" s="9">
        <f t="shared" si="0"/>
      </c>
      <c r="L13056">
        <f t="shared" si="1"/>
      </c>
      <c r="M13056">
        <f t="shared" si="2"/>
      </c>
    </row>
    <row r="13057">
      <c r="G13057" s="9">
        <f t="shared" si="0"/>
      </c>
      <c r="L13057">
        <f t="shared" si="1"/>
      </c>
      <c r="M13057">
        <f t="shared" si="2"/>
      </c>
    </row>
    <row r="13058">
      <c r="G13058" s="9">
        <f t="shared" si="0"/>
      </c>
      <c r="L13058">
        <f t="shared" si="1"/>
      </c>
      <c r="M13058">
        <f t="shared" si="2"/>
      </c>
    </row>
    <row r="13059">
      <c r="G13059" s="9">
        <f t="shared" si="0"/>
      </c>
      <c r="L13059">
        <f t="shared" si="1"/>
      </c>
      <c r="M13059">
        <f t="shared" si="2"/>
      </c>
    </row>
    <row r="13060">
      <c r="G13060" s="9">
        <f t="shared" si="0"/>
      </c>
      <c r="L13060">
        <f t="shared" si="1"/>
      </c>
      <c r="M13060">
        <f t="shared" si="2"/>
      </c>
    </row>
    <row r="13061">
      <c r="G13061" s="9">
        <f t="shared" si="0"/>
      </c>
      <c r="L13061">
        <f t="shared" si="1"/>
      </c>
      <c r="M13061">
        <f t="shared" si="2"/>
      </c>
    </row>
    <row r="13062">
      <c r="G13062" s="9">
        <f t="shared" si="0"/>
      </c>
      <c r="L13062">
        <f t="shared" si="1"/>
      </c>
      <c r="M13062">
        <f t="shared" si="2"/>
      </c>
    </row>
    <row r="13063">
      <c r="G13063" s="9">
        <f t="shared" si="0"/>
      </c>
      <c r="L13063">
        <f t="shared" si="1"/>
      </c>
      <c r="M13063">
        <f t="shared" si="2"/>
      </c>
    </row>
    <row r="13064">
      <c r="G13064" s="9">
        <f t="shared" si="0"/>
      </c>
      <c r="L13064">
        <f t="shared" si="1"/>
      </c>
      <c r="M13064">
        <f t="shared" si="2"/>
      </c>
    </row>
    <row r="13065">
      <c r="G13065" s="9">
        <f t="shared" si="0"/>
      </c>
      <c r="L13065">
        <f t="shared" si="1"/>
      </c>
      <c r="M13065">
        <f t="shared" si="2"/>
      </c>
    </row>
    <row r="13066">
      <c r="G13066" s="9">
        <f t="shared" si="0"/>
      </c>
      <c r="L13066">
        <f t="shared" si="1"/>
      </c>
      <c r="M13066">
        <f t="shared" si="2"/>
      </c>
    </row>
    <row r="13067">
      <c r="G13067" s="9">
        <f t="shared" si="0"/>
      </c>
      <c r="L13067">
        <f t="shared" si="1"/>
      </c>
      <c r="M13067">
        <f t="shared" si="2"/>
      </c>
    </row>
    <row r="13068">
      <c r="G13068" s="9">
        <f t="shared" si="0"/>
      </c>
      <c r="L13068">
        <f t="shared" si="1"/>
      </c>
      <c r="M13068">
        <f t="shared" si="2"/>
      </c>
    </row>
    <row r="13069">
      <c r="G13069" s="9">
        <f t="shared" si="0"/>
      </c>
      <c r="L13069">
        <f t="shared" si="1"/>
      </c>
      <c r="M13069">
        <f t="shared" si="2"/>
      </c>
    </row>
    <row r="13070">
      <c r="G13070" s="9">
        <f t="shared" si="0"/>
      </c>
      <c r="L13070">
        <f t="shared" si="1"/>
      </c>
      <c r="M13070">
        <f t="shared" si="2"/>
      </c>
    </row>
    <row r="13071">
      <c r="G13071" s="9">
        <f t="shared" si="0"/>
      </c>
      <c r="L13071">
        <f t="shared" si="1"/>
      </c>
      <c r="M13071">
        <f t="shared" si="2"/>
      </c>
    </row>
    <row r="13072">
      <c r="G13072" s="9">
        <f t="shared" si="0"/>
      </c>
      <c r="L13072">
        <f t="shared" si="1"/>
      </c>
      <c r="M13072">
        <f t="shared" si="2"/>
      </c>
    </row>
    <row r="13073">
      <c r="G13073" s="9">
        <f t="shared" si="0"/>
      </c>
      <c r="L13073">
        <f t="shared" si="1"/>
      </c>
      <c r="M13073">
        <f t="shared" si="2"/>
      </c>
    </row>
    <row r="13074">
      <c r="G13074" s="9">
        <f t="shared" si="0"/>
      </c>
      <c r="L13074">
        <f t="shared" si="1"/>
      </c>
      <c r="M13074">
        <f t="shared" si="2"/>
      </c>
    </row>
    <row r="13075">
      <c r="G13075" s="9">
        <f t="shared" si="0"/>
      </c>
      <c r="L13075">
        <f t="shared" si="1"/>
      </c>
      <c r="M13075">
        <f t="shared" si="2"/>
      </c>
    </row>
    <row r="13076">
      <c r="G13076" s="9">
        <f t="shared" si="0"/>
      </c>
      <c r="L13076">
        <f t="shared" si="1"/>
      </c>
      <c r="M13076">
        <f t="shared" si="2"/>
      </c>
    </row>
    <row r="13077">
      <c r="G13077" s="9">
        <f t="shared" si="0"/>
      </c>
      <c r="L13077">
        <f t="shared" si="1"/>
      </c>
      <c r="M13077">
        <f t="shared" si="2"/>
      </c>
    </row>
    <row r="13078">
      <c r="G13078" s="9">
        <f t="shared" si="0"/>
      </c>
      <c r="L13078">
        <f t="shared" si="1"/>
      </c>
      <c r="M13078">
        <f t="shared" si="2"/>
      </c>
    </row>
    <row r="13079">
      <c r="G13079" s="9">
        <f t="shared" si="0"/>
      </c>
      <c r="L13079">
        <f t="shared" si="1"/>
      </c>
      <c r="M13079">
        <f t="shared" si="2"/>
      </c>
    </row>
    <row r="13080">
      <c r="G13080" s="9">
        <f t="shared" si="0"/>
      </c>
      <c r="L13080">
        <f t="shared" si="1"/>
      </c>
      <c r="M13080">
        <f t="shared" si="2"/>
      </c>
    </row>
    <row r="13081">
      <c r="G13081" s="9">
        <f t="shared" si="0"/>
      </c>
      <c r="L13081">
        <f t="shared" si="1"/>
      </c>
      <c r="M13081">
        <f t="shared" si="2"/>
      </c>
    </row>
    <row r="13082">
      <c r="G13082" s="9">
        <f t="shared" si="0"/>
      </c>
      <c r="L13082">
        <f t="shared" si="1"/>
      </c>
      <c r="M13082">
        <f t="shared" si="2"/>
      </c>
    </row>
    <row r="13083">
      <c r="G13083" s="9">
        <f t="shared" si="0"/>
      </c>
      <c r="L13083">
        <f t="shared" si="1"/>
      </c>
      <c r="M13083">
        <f t="shared" si="2"/>
      </c>
    </row>
    <row r="13084">
      <c r="G13084" s="9">
        <f t="shared" si="0"/>
      </c>
      <c r="L13084">
        <f t="shared" si="1"/>
      </c>
      <c r="M13084">
        <f t="shared" si="2"/>
      </c>
    </row>
    <row r="13085">
      <c r="G13085" s="9">
        <f t="shared" si="0"/>
      </c>
      <c r="L13085">
        <f t="shared" si="1"/>
      </c>
      <c r="M13085">
        <f t="shared" si="2"/>
      </c>
    </row>
    <row r="13086">
      <c r="G13086" s="9">
        <f t="shared" si="0"/>
      </c>
      <c r="L13086">
        <f t="shared" si="1"/>
      </c>
      <c r="M13086">
        <f t="shared" si="2"/>
      </c>
    </row>
    <row r="13087">
      <c r="G13087" s="9">
        <f t="shared" si="0"/>
      </c>
      <c r="L13087">
        <f t="shared" si="1"/>
      </c>
      <c r="M13087">
        <f t="shared" si="2"/>
      </c>
    </row>
    <row r="13088">
      <c r="G13088" s="9">
        <f t="shared" si="0"/>
      </c>
      <c r="L13088">
        <f t="shared" si="1"/>
      </c>
      <c r="M13088">
        <f t="shared" si="2"/>
      </c>
    </row>
    <row r="13089">
      <c r="G13089" s="9">
        <f t="shared" si="0"/>
      </c>
      <c r="L13089">
        <f t="shared" si="1"/>
      </c>
      <c r="M13089">
        <f t="shared" si="2"/>
      </c>
    </row>
    <row r="13090">
      <c r="G13090" s="9">
        <f t="shared" si="0"/>
      </c>
      <c r="L13090">
        <f t="shared" si="1"/>
      </c>
      <c r="M13090">
        <f t="shared" si="2"/>
      </c>
    </row>
    <row r="13091">
      <c r="G13091" s="9">
        <f t="shared" si="0"/>
      </c>
      <c r="L13091">
        <f t="shared" si="1"/>
      </c>
      <c r="M13091">
        <f t="shared" si="2"/>
      </c>
    </row>
    <row r="13092">
      <c r="G13092" s="9">
        <f t="shared" si="0"/>
      </c>
      <c r="L13092">
        <f t="shared" si="1"/>
      </c>
      <c r="M13092">
        <f t="shared" si="2"/>
      </c>
    </row>
    <row r="13093">
      <c r="G13093" s="9">
        <f t="shared" si="0"/>
      </c>
      <c r="L13093">
        <f t="shared" si="1"/>
      </c>
      <c r="M13093">
        <f t="shared" si="2"/>
      </c>
    </row>
    <row r="13094">
      <c r="G13094" s="9">
        <f t="shared" si="0"/>
      </c>
      <c r="L13094">
        <f t="shared" si="1"/>
      </c>
      <c r="M13094">
        <f t="shared" si="2"/>
      </c>
    </row>
    <row r="13095">
      <c r="G13095" s="9">
        <f t="shared" si="0"/>
      </c>
      <c r="L13095">
        <f t="shared" si="1"/>
      </c>
      <c r="M13095">
        <f t="shared" si="2"/>
      </c>
    </row>
    <row r="13096">
      <c r="G13096" s="9">
        <f t="shared" si="0"/>
      </c>
      <c r="L13096">
        <f t="shared" si="1"/>
      </c>
      <c r="M13096">
        <f t="shared" si="2"/>
      </c>
    </row>
    <row r="13097">
      <c r="G13097" s="9">
        <f t="shared" si="0"/>
      </c>
      <c r="L13097">
        <f t="shared" si="1"/>
      </c>
      <c r="M13097">
        <f t="shared" si="2"/>
      </c>
    </row>
    <row r="13098">
      <c r="G13098" s="9">
        <f t="shared" si="0"/>
      </c>
      <c r="L13098">
        <f t="shared" si="1"/>
      </c>
      <c r="M13098">
        <f t="shared" si="2"/>
      </c>
    </row>
    <row r="13099">
      <c r="G13099" s="9">
        <f t="shared" si="0"/>
      </c>
      <c r="L13099">
        <f t="shared" si="1"/>
      </c>
      <c r="M13099">
        <f t="shared" si="2"/>
      </c>
    </row>
    <row r="13100">
      <c r="G13100" s="9">
        <f t="shared" si="0"/>
      </c>
      <c r="L13100">
        <f t="shared" si="1"/>
      </c>
      <c r="M13100">
        <f t="shared" si="2"/>
      </c>
    </row>
    <row r="13101">
      <c r="G13101" s="9">
        <f t="shared" si="0"/>
      </c>
      <c r="L13101">
        <f t="shared" si="1"/>
      </c>
      <c r="M13101">
        <f t="shared" si="2"/>
      </c>
    </row>
    <row r="13102">
      <c r="G13102" s="9">
        <f t="shared" si="0"/>
      </c>
      <c r="L13102">
        <f t="shared" si="1"/>
      </c>
      <c r="M13102">
        <f t="shared" si="2"/>
      </c>
    </row>
    <row r="13103">
      <c r="G13103" s="9">
        <f t="shared" si="0"/>
      </c>
      <c r="L13103">
        <f t="shared" si="1"/>
      </c>
      <c r="M13103">
        <f t="shared" si="2"/>
      </c>
    </row>
    <row r="13104">
      <c r="G13104" s="9">
        <f t="shared" si="0"/>
      </c>
      <c r="L13104">
        <f t="shared" si="1"/>
      </c>
      <c r="M13104">
        <f t="shared" si="2"/>
      </c>
    </row>
    <row r="13105">
      <c r="G13105" s="9">
        <f t="shared" si="0"/>
      </c>
      <c r="L13105">
        <f t="shared" si="1"/>
      </c>
      <c r="M13105">
        <f t="shared" si="2"/>
      </c>
    </row>
    <row r="13106">
      <c r="G13106" s="9">
        <f t="shared" si="0"/>
      </c>
      <c r="L13106">
        <f t="shared" si="1"/>
      </c>
      <c r="M13106">
        <f t="shared" si="2"/>
      </c>
    </row>
    <row r="13107">
      <c r="G13107" s="9">
        <f t="shared" si="0"/>
      </c>
      <c r="L13107">
        <f t="shared" si="1"/>
      </c>
      <c r="M13107">
        <f t="shared" si="2"/>
      </c>
    </row>
    <row r="13108">
      <c r="G13108" s="9">
        <f t="shared" si="0"/>
      </c>
      <c r="L13108">
        <f t="shared" si="1"/>
      </c>
      <c r="M13108">
        <f t="shared" si="2"/>
      </c>
    </row>
    <row r="13109">
      <c r="G13109" s="9">
        <f t="shared" si="0"/>
      </c>
      <c r="L13109">
        <f t="shared" si="1"/>
      </c>
      <c r="M13109">
        <f t="shared" si="2"/>
      </c>
    </row>
    <row r="13110">
      <c r="G13110" s="9">
        <f t="shared" si="0"/>
      </c>
      <c r="L13110">
        <f t="shared" si="1"/>
      </c>
      <c r="M13110">
        <f t="shared" si="2"/>
      </c>
    </row>
    <row r="13111">
      <c r="G13111" s="9">
        <f t="shared" si="0"/>
      </c>
      <c r="L13111">
        <f t="shared" si="1"/>
      </c>
      <c r="M13111">
        <f t="shared" si="2"/>
      </c>
    </row>
    <row r="13112">
      <c r="G13112" s="9">
        <f t="shared" si="0"/>
      </c>
      <c r="L13112">
        <f t="shared" si="1"/>
      </c>
      <c r="M13112">
        <f t="shared" si="2"/>
      </c>
    </row>
    <row r="13113">
      <c r="G13113" s="9">
        <f t="shared" si="0"/>
      </c>
      <c r="L13113">
        <f t="shared" si="1"/>
      </c>
      <c r="M13113">
        <f t="shared" si="2"/>
      </c>
    </row>
    <row r="13114">
      <c r="G13114" s="9">
        <f t="shared" si="0"/>
      </c>
      <c r="L13114">
        <f t="shared" si="1"/>
      </c>
      <c r="M13114">
        <f t="shared" si="2"/>
      </c>
    </row>
    <row r="13115">
      <c r="G13115" s="9">
        <f t="shared" si="0"/>
      </c>
      <c r="L13115">
        <f t="shared" si="1"/>
      </c>
      <c r="M13115">
        <f t="shared" si="2"/>
      </c>
    </row>
    <row r="13116">
      <c r="G13116" s="9">
        <f t="shared" si="0"/>
      </c>
      <c r="L13116">
        <f t="shared" si="1"/>
      </c>
      <c r="M13116">
        <f t="shared" si="2"/>
      </c>
    </row>
    <row r="13117">
      <c r="G13117" s="9">
        <f t="shared" si="0"/>
      </c>
      <c r="L13117">
        <f t="shared" si="1"/>
      </c>
      <c r="M13117">
        <f t="shared" si="2"/>
      </c>
    </row>
    <row r="13118">
      <c r="G13118" s="9">
        <f t="shared" si="0"/>
      </c>
      <c r="L13118">
        <f t="shared" si="1"/>
      </c>
      <c r="M13118">
        <f t="shared" si="2"/>
      </c>
    </row>
    <row r="13119">
      <c r="G13119" s="9">
        <f t="shared" si="0"/>
      </c>
      <c r="L13119">
        <f t="shared" si="1"/>
      </c>
      <c r="M13119">
        <f t="shared" si="2"/>
      </c>
    </row>
    <row r="13120">
      <c r="G13120" s="9">
        <f t="shared" si="0"/>
      </c>
      <c r="L13120">
        <f t="shared" si="1"/>
      </c>
      <c r="M13120">
        <f t="shared" si="2"/>
      </c>
    </row>
    <row r="13121">
      <c r="G13121" s="9">
        <f t="shared" si="0"/>
      </c>
      <c r="L13121">
        <f t="shared" si="1"/>
      </c>
      <c r="M13121">
        <f t="shared" si="2"/>
      </c>
    </row>
    <row r="13122">
      <c r="G13122" s="9">
        <f t="shared" si="0"/>
      </c>
      <c r="L13122">
        <f t="shared" si="1"/>
      </c>
      <c r="M13122">
        <f t="shared" si="2"/>
      </c>
    </row>
    <row r="13123">
      <c r="G13123" s="9">
        <f t="shared" si="0"/>
      </c>
      <c r="L13123">
        <f t="shared" si="1"/>
      </c>
      <c r="M13123">
        <f t="shared" si="2"/>
      </c>
    </row>
    <row r="13124">
      <c r="G13124" s="9">
        <f t="shared" si="0"/>
      </c>
      <c r="L13124">
        <f t="shared" si="1"/>
      </c>
      <c r="M13124">
        <f t="shared" si="2"/>
      </c>
    </row>
    <row r="13125">
      <c r="G13125" s="9">
        <f t="shared" si="0"/>
      </c>
      <c r="L13125">
        <f t="shared" si="1"/>
      </c>
      <c r="M13125">
        <f t="shared" si="2"/>
      </c>
    </row>
    <row r="13126">
      <c r="G13126" s="9">
        <f t="shared" si="0"/>
      </c>
      <c r="L13126">
        <f t="shared" si="1"/>
      </c>
      <c r="M13126">
        <f t="shared" si="2"/>
      </c>
    </row>
    <row r="13127">
      <c r="G13127" s="9">
        <f t="shared" si="0"/>
      </c>
      <c r="L13127">
        <f t="shared" si="1"/>
      </c>
      <c r="M13127">
        <f t="shared" si="2"/>
      </c>
    </row>
    <row r="13128">
      <c r="G13128" s="9">
        <f t="shared" si="0"/>
      </c>
      <c r="L13128">
        <f t="shared" si="1"/>
      </c>
      <c r="M13128">
        <f t="shared" si="2"/>
      </c>
    </row>
    <row r="13129">
      <c r="G13129" s="9">
        <f t="shared" si="0"/>
      </c>
      <c r="L13129">
        <f t="shared" si="1"/>
      </c>
      <c r="M13129">
        <f t="shared" si="2"/>
      </c>
    </row>
    <row r="13130">
      <c r="G13130" s="9">
        <f t="shared" si="0"/>
      </c>
      <c r="L13130">
        <f t="shared" si="1"/>
      </c>
      <c r="M13130">
        <f t="shared" si="2"/>
      </c>
    </row>
    <row r="13131">
      <c r="G13131" s="9">
        <f t="shared" si="0"/>
      </c>
      <c r="L13131">
        <f t="shared" si="1"/>
      </c>
      <c r="M13131">
        <f t="shared" si="2"/>
      </c>
    </row>
    <row r="13132">
      <c r="G13132" s="9">
        <f t="shared" si="0"/>
      </c>
      <c r="L13132">
        <f t="shared" si="1"/>
      </c>
      <c r="M13132">
        <f t="shared" si="2"/>
      </c>
    </row>
    <row r="13133">
      <c r="G13133" s="9">
        <f t="shared" si="0"/>
      </c>
      <c r="L13133">
        <f t="shared" si="1"/>
      </c>
      <c r="M13133">
        <f t="shared" si="2"/>
      </c>
    </row>
    <row r="13134">
      <c r="G13134" s="9">
        <f t="shared" si="0"/>
      </c>
      <c r="L13134">
        <f t="shared" si="1"/>
      </c>
      <c r="M13134">
        <f t="shared" si="2"/>
      </c>
    </row>
    <row r="13135">
      <c r="G13135" s="9">
        <f t="shared" si="0"/>
      </c>
      <c r="L13135">
        <f t="shared" si="1"/>
      </c>
      <c r="M13135">
        <f t="shared" si="2"/>
      </c>
    </row>
    <row r="13136">
      <c r="G13136" s="9">
        <f t="shared" si="0"/>
      </c>
      <c r="L13136">
        <f t="shared" si="1"/>
      </c>
      <c r="M13136">
        <f t="shared" si="2"/>
      </c>
    </row>
    <row r="13137">
      <c r="G13137" s="9">
        <f t="shared" si="0"/>
      </c>
      <c r="L13137">
        <f t="shared" si="1"/>
      </c>
      <c r="M13137">
        <f t="shared" si="2"/>
      </c>
    </row>
    <row r="13138">
      <c r="G13138" s="9">
        <f t="shared" si="0"/>
      </c>
      <c r="L13138">
        <f t="shared" si="1"/>
      </c>
      <c r="M13138">
        <f t="shared" si="2"/>
      </c>
    </row>
    <row r="13139">
      <c r="G13139" s="9">
        <f t="shared" si="0"/>
      </c>
      <c r="L13139">
        <f t="shared" si="1"/>
      </c>
      <c r="M13139">
        <f t="shared" si="2"/>
      </c>
    </row>
    <row r="13140">
      <c r="G13140" s="9">
        <f t="shared" si="0"/>
      </c>
      <c r="L13140">
        <f t="shared" si="1"/>
      </c>
      <c r="M13140">
        <f t="shared" si="2"/>
      </c>
    </row>
    <row r="13141">
      <c r="G13141" s="9">
        <f t="shared" si="0"/>
      </c>
      <c r="L13141">
        <f t="shared" si="1"/>
      </c>
      <c r="M13141">
        <f t="shared" si="2"/>
      </c>
    </row>
    <row r="13142">
      <c r="G13142" s="9">
        <f t="shared" si="0"/>
      </c>
      <c r="L13142">
        <f t="shared" si="1"/>
      </c>
      <c r="M13142">
        <f t="shared" si="2"/>
      </c>
    </row>
    <row r="13143">
      <c r="G13143" s="9">
        <f t="shared" si="0"/>
      </c>
      <c r="L13143">
        <f t="shared" si="1"/>
      </c>
      <c r="M13143">
        <f t="shared" si="2"/>
      </c>
    </row>
    <row r="13144">
      <c r="G13144" s="9">
        <f t="shared" si="0"/>
      </c>
      <c r="L13144">
        <f t="shared" si="1"/>
      </c>
      <c r="M13144">
        <f t="shared" si="2"/>
      </c>
    </row>
    <row r="13145">
      <c r="G13145" s="9">
        <f t="shared" si="0"/>
      </c>
      <c r="L13145">
        <f t="shared" si="1"/>
      </c>
      <c r="M13145">
        <f t="shared" si="2"/>
      </c>
    </row>
    <row r="13146">
      <c r="G13146" s="9">
        <f t="shared" si="0"/>
      </c>
      <c r="L13146">
        <f t="shared" si="1"/>
      </c>
      <c r="M13146">
        <f t="shared" si="2"/>
      </c>
    </row>
    <row r="13147">
      <c r="G13147" s="9">
        <f t="shared" si="0"/>
      </c>
      <c r="L13147">
        <f t="shared" si="1"/>
      </c>
      <c r="M13147">
        <f t="shared" si="2"/>
      </c>
    </row>
    <row r="13148">
      <c r="G13148" s="9">
        <f t="shared" si="0"/>
      </c>
      <c r="L13148">
        <f t="shared" si="1"/>
      </c>
      <c r="M13148">
        <f t="shared" si="2"/>
      </c>
    </row>
    <row r="13149">
      <c r="G13149" s="9">
        <f t="shared" si="0"/>
      </c>
      <c r="L13149">
        <f t="shared" si="1"/>
      </c>
      <c r="M13149">
        <f t="shared" si="2"/>
      </c>
    </row>
    <row r="13150">
      <c r="G13150" s="9">
        <f t="shared" si="0"/>
      </c>
      <c r="L13150">
        <f t="shared" si="1"/>
      </c>
      <c r="M13150">
        <f t="shared" si="2"/>
      </c>
    </row>
    <row r="13151">
      <c r="G13151" s="9">
        <f t="shared" si="0"/>
      </c>
      <c r="L13151">
        <f t="shared" si="1"/>
      </c>
      <c r="M13151">
        <f t="shared" si="2"/>
      </c>
    </row>
    <row r="13152">
      <c r="G13152" s="9">
        <f t="shared" si="0"/>
      </c>
      <c r="L13152">
        <f t="shared" si="1"/>
      </c>
      <c r="M13152">
        <f t="shared" si="2"/>
      </c>
    </row>
    <row r="13153">
      <c r="G13153" s="9">
        <f t="shared" si="0"/>
      </c>
      <c r="L13153">
        <f t="shared" si="1"/>
      </c>
      <c r="M13153">
        <f t="shared" si="2"/>
      </c>
    </row>
    <row r="13154">
      <c r="G13154" s="9">
        <f t="shared" si="0"/>
      </c>
      <c r="L13154">
        <f t="shared" si="1"/>
      </c>
      <c r="M13154">
        <f t="shared" si="2"/>
      </c>
    </row>
    <row r="13155">
      <c r="G13155" s="9">
        <f t="shared" si="0"/>
      </c>
      <c r="L13155">
        <f t="shared" si="1"/>
      </c>
      <c r="M13155">
        <f t="shared" si="2"/>
      </c>
    </row>
    <row r="13156">
      <c r="G13156" s="9">
        <f t="shared" si="0"/>
      </c>
      <c r="L13156">
        <f t="shared" si="1"/>
      </c>
      <c r="M13156">
        <f t="shared" si="2"/>
      </c>
    </row>
    <row r="13157">
      <c r="G13157" s="9">
        <f t="shared" si="0"/>
      </c>
      <c r="L13157">
        <f t="shared" si="1"/>
      </c>
      <c r="M13157">
        <f t="shared" si="2"/>
      </c>
    </row>
    <row r="13158">
      <c r="G13158" s="9">
        <f t="shared" si="0"/>
      </c>
      <c r="L13158">
        <f t="shared" si="1"/>
      </c>
      <c r="M13158">
        <f t="shared" si="2"/>
      </c>
    </row>
    <row r="13159">
      <c r="G13159" s="9">
        <f t="shared" si="0"/>
      </c>
      <c r="L13159">
        <f t="shared" si="1"/>
      </c>
      <c r="M13159">
        <f t="shared" si="2"/>
      </c>
    </row>
    <row r="13160">
      <c r="G13160" s="9">
        <f t="shared" si="0"/>
      </c>
      <c r="L13160">
        <f t="shared" si="1"/>
      </c>
      <c r="M13160">
        <f t="shared" si="2"/>
      </c>
    </row>
    <row r="13161">
      <c r="G13161" s="9">
        <f t="shared" si="0"/>
      </c>
      <c r="L13161">
        <f t="shared" si="1"/>
      </c>
      <c r="M13161">
        <f t="shared" si="2"/>
      </c>
    </row>
    <row r="13162">
      <c r="G13162" s="9">
        <f t="shared" si="0"/>
      </c>
      <c r="L13162">
        <f t="shared" si="1"/>
      </c>
      <c r="M13162">
        <f t="shared" si="2"/>
      </c>
    </row>
    <row r="13163">
      <c r="G13163" s="9">
        <f t="shared" si="0"/>
      </c>
      <c r="L13163">
        <f t="shared" si="1"/>
      </c>
      <c r="M13163">
        <f t="shared" si="2"/>
      </c>
    </row>
    <row r="13164">
      <c r="G13164" s="9">
        <f t="shared" si="0"/>
      </c>
      <c r="L13164">
        <f t="shared" si="1"/>
      </c>
      <c r="M13164">
        <f t="shared" si="2"/>
      </c>
    </row>
    <row r="13165">
      <c r="G13165" s="9">
        <f t="shared" si="0"/>
      </c>
      <c r="L13165">
        <f t="shared" si="1"/>
      </c>
      <c r="M13165">
        <f t="shared" si="2"/>
      </c>
    </row>
    <row r="13166">
      <c r="G13166" s="9">
        <f t="shared" si="0"/>
      </c>
      <c r="L13166">
        <f t="shared" si="1"/>
      </c>
      <c r="M13166">
        <f t="shared" si="2"/>
      </c>
    </row>
    <row r="13167">
      <c r="G13167" s="9">
        <f t="shared" si="0"/>
      </c>
      <c r="L13167">
        <f t="shared" si="1"/>
      </c>
      <c r="M13167">
        <f t="shared" si="2"/>
      </c>
    </row>
    <row r="13168">
      <c r="G13168" s="9">
        <f t="shared" si="0"/>
      </c>
      <c r="L13168">
        <f t="shared" si="1"/>
      </c>
      <c r="M13168">
        <f t="shared" si="2"/>
      </c>
    </row>
    <row r="13169">
      <c r="G13169" s="9">
        <f t="shared" si="0"/>
      </c>
      <c r="L13169">
        <f t="shared" si="1"/>
      </c>
      <c r="M13169">
        <f t="shared" si="2"/>
      </c>
    </row>
    <row r="13170">
      <c r="G13170" s="9">
        <f t="shared" si="0"/>
      </c>
      <c r="L13170">
        <f t="shared" si="1"/>
      </c>
      <c r="M13170">
        <f t="shared" si="2"/>
      </c>
    </row>
    <row r="13171">
      <c r="G13171" s="9">
        <f t="shared" si="0"/>
      </c>
      <c r="L13171">
        <f t="shared" si="1"/>
      </c>
      <c r="M13171">
        <f t="shared" si="2"/>
      </c>
    </row>
    <row r="13172">
      <c r="G13172" s="9">
        <f t="shared" si="0"/>
      </c>
      <c r="L13172">
        <f t="shared" si="1"/>
      </c>
      <c r="M13172">
        <f t="shared" si="2"/>
      </c>
    </row>
    <row r="13173">
      <c r="G13173" s="9">
        <f t="shared" si="0"/>
      </c>
      <c r="L13173">
        <f t="shared" si="1"/>
      </c>
      <c r="M13173">
        <f t="shared" si="2"/>
      </c>
    </row>
    <row r="13174">
      <c r="G13174" s="9">
        <f t="shared" si="0"/>
      </c>
      <c r="L13174">
        <f t="shared" si="1"/>
      </c>
      <c r="M13174">
        <f t="shared" si="2"/>
      </c>
    </row>
    <row r="13175">
      <c r="G13175" s="9">
        <f t="shared" si="0"/>
      </c>
      <c r="L13175">
        <f t="shared" si="1"/>
      </c>
      <c r="M13175">
        <f t="shared" si="2"/>
      </c>
    </row>
    <row r="13176">
      <c r="G13176" s="9">
        <f t="shared" si="0"/>
      </c>
      <c r="L13176">
        <f t="shared" si="1"/>
      </c>
      <c r="M13176">
        <f t="shared" si="2"/>
      </c>
    </row>
    <row r="13177">
      <c r="G13177" s="9">
        <f t="shared" si="0"/>
      </c>
      <c r="L13177">
        <f t="shared" si="1"/>
      </c>
      <c r="M13177">
        <f t="shared" si="2"/>
      </c>
    </row>
    <row r="13178">
      <c r="G13178" s="9">
        <f t="shared" si="0"/>
      </c>
      <c r="L13178">
        <f t="shared" si="1"/>
      </c>
      <c r="M13178">
        <f t="shared" si="2"/>
      </c>
    </row>
    <row r="13179">
      <c r="G13179" s="9">
        <f t="shared" si="0"/>
      </c>
      <c r="L13179">
        <f t="shared" si="1"/>
      </c>
      <c r="M13179">
        <f t="shared" si="2"/>
      </c>
    </row>
    <row r="13180">
      <c r="G13180" s="9">
        <f t="shared" si="0"/>
      </c>
      <c r="L13180">
        <f t="shared" si="1"/>
      </c>
      <c r="M13180">
        <f t="shared" si="2"/>
      </c>
    </row>
    <row r="13181">
      <c r="G13181" s="9">
        <f t="shared" si="0"/>
      </c>
      <c r="L13181">
        <f t="shared" si="1"/>
      </c>
      <c r="M13181">
        <f t="shared" si="2"/>
      </c>
    </row>
    <row r="13182">
      <c r="G13182" s="9">
        <f t="shared" si="0"/>
      </c>
      <c r="L13182">
        <f t="shared" si="1"/>
      </c>
      <c r="M13182">
        <f t="shared" si="2"/>
      </c>
    </row>
    <row r="13183">
      <c r="G13183" s="9">
        <f t="shared" si="0"/>
      </c>
      <c r="L13183">
        <f t="shared" si="1"/>
      </c>
      <c r="M13183">
        <f t="shared" si="2"/>
      </c>
    </row>
    <row r="13184">
      <c r="G13184" s="9">
        <f t="shared" si="0"/>
      </c>
      <c r="L13184">
        <f t="shared" si="1"/>
      </c>
      <c r="M13184">
        <f t="shared" si="2"/>
      </c>
    </row>
    <row r="13185">
      <c r="G13185" s="9">
        <f t="shared" si="0"/>
      </c>
      <c r="L13185">
        <f t="shared" si="1"/>
      </c>
      <c r="M13185">
        <f t="shared" si="2"/>
      </c>
    </row>
    <row r="13186">
      <c r="G13186" s="9">
        <f t="shared" si="0"/>
      </c>
      <c r="L13186">
        <f t="shared" si="1"/>
      </c>
      <c r="M13186">
        <f t="shared" si="2"/>
      </c>
    </row>
    <row r="13187">
      <c r="G13187" s="9">
        <f t="shared" si="0"/>
      </c>
      <c r="L13187">
        <f t="shared" si="1"/>
      </c>
      <c r="M13187">
        <f t="shared" si="2"/>
      </c>
    </row>
    <row r="13188">
      <c r="G13188" s="9">
        <f t="shared" si="0"/>
      </c>
      <c r="L13188">
        <f t="shared" si="1"/>
      </c>
      <c r="M13188">
        <f t="shared" si="2"/>
      </c>
    </row>
    <row r="13189">
      <c r="G13189" s="9">
        <f t="shared" si="0"/>
      </c>
      <c r="L13189">
        <f t="shared" si="1"/>
      </c>
      <c r="M13189">
        <f t="shared" si="2"/>
      </c>
    </row>
    <row r="13190">
      <c r="G13190" s="9">
        <f t="shared" si="0"/>
      </c>
      <c r="L13190">
        <f t="shared" si="1"/>
      </c>
      <c r="M13190">
        <f t="shared" si="2"/>
      </c>
    </row>
    <row r="13191">
      <c r="G13191" s="9">
        <f t="shared" si="0"/>
      </c>
      <c r="L13191">
        <f t="shared" si="1"/>
      </c>
      <c r="M13191">
        <f t="shared" si="2"/>
      </c>
    </row>
    <row r="13192">
      <c r="G13192" s="9">
        <f t="shared" si="0"/>
      </c>
      <c r="L13192">
        <f t="shared" si="1"/>
      </c>
      <c r="M13192">
        <f t="shared" si="2"/>
      </c>
    </row>
    <row r="13193">
      <c r="G13193" s="9">
        <f t="shared" si="0"/>
      </c>
      <c r="L13193">
        <f t="shared" si="1"/>
      </c>
      <c r="M13193">
        <f t="shared" si="2"/>
      </c>
    </row>
    <row r="13194">
      <c r="G13194" s="9">
        <f t="shared" si="0"/>
      </c>
      <c r="L13194">
        <f t="shared" si="1"/>
      </c>
      <c r="M13194">
        <f t="shared" si="2"/>
      </c>
    </row>
    <row r="13195">
      <c r="G13195" s="9">
        <f t="shared" si="0"/>
      </c>
      <c r="L13195">
        <f t="shared" si="1"/>
      </c>
      <c r="M13195">
        <f t="shared" si="2"/>
      </c>
    </row>
    <row r="13196">
      <c r="G13196" s="9">
        <f t="shared" si="0"/>
      </c>
      <c r="L13196">
        <f t="shared" si="1"/>
      </c>
      <c r="M13196">
        <f t="shared" si="2"/>
      </c>
    </row>
    <row r="13197">
      <c r="G13197" s="9">
        <f t="shared" si="0"/>
      </c>
      <c r="L13197">
        <f t="shared" si="1"/>
      </c>
      <c r="M13197">
        <f t="shared" si="2"/>
      </c>
    </row>
    <row r="13198">
      <c r="G13198" s="9">
        <f t="shared" si="0"/>
      </c>
      <c r="L13198">
        <f t="shared" si="1"/>
      </c>
      <c r="M13198">
        <f t="shared" si="2"/>
      </c>
    </row>
    <row r="13199">
      <c r="G13199" s="9">
        <f t="shared" si="0"/>
      </c>
      <c r="L13199">
        <f t="shared" si="1"/>
      </c>
      <c r="M13199">
        <f t="shared" si="2"/>
      </c>
    </row>
    <row r="13200">
      <c r="G13200" s="9">
        <f t="shared" si="0"/>
      </c>
      <c r="L13200">
        <f t="shared" si="1"/>
      </c>
      <c r="M13200">
        <f t="shared" si="2"/>
      </c>
    </row>
    <row r="13201">
      <c r="G13201" s="9">
        <f t="shared" si="0"/>
      </c>
      <c r="L13201">
        <f t="shared" si="1"/>
      </c>
      <c r="M13201">
        <f t="shared" si="2"/>
      </c>
    </row>
    <row r="13202">
      <c r="G13202" s="9">
        <f t="shared" si="0"/>
      </c>
      <c r="L13202">
        <f t="shared" si="1"/>
      </c>
      <c r="M13202">
        <f t="shared" si="2"/>
      </c>
    </row>
    <row r="13203">
      <c r="G13203" s="9">
        <f t="shared" si="0"/>
      </c>
      <c r="L13203">
        <f t="shared" si="1"/>
      </c>
      <c r="M13203">
        <f t="shared" si="2"/>
      </c>
    </row>
    <row r="13204">
      <c r="G13204" s="9">
        <f t="shared" si="0"/>
      </c>
      <c r="L13204">
        <f t="shared" si="1"/>
      </c>
      <c r="M13204">
        <f t="shared" si="2"/>
      </c>
    </row>
    <row r="13205">
      <c r="G13205" s="9">
        <f t="shared" si="0"/>
      </c>
      <c r="L13205">
        <f t="shared" si="1"/>
      </c>
      <c r="M13205">
        <f t="shared" si="2"/>
      </c>
    </row>
    <row r="13206">
      <c r="G13206" s="9">
        <f t="shared" si="0"/>
      </c>
      <c r="L13206">
        <f t="shared" si="1"/>
      </c>
      <c r="M13206">
        <f t="shared" si="2"/>
      </c>
    </row>
    <row r="13207">
      <c r="G13207" s="9">
        <f t="shared" si="0"/>
      </c>
      <c r="L13207">
        <f t="shared" si="1"/>
      </c>
      <c r="M13207">
        <f t="shared" si="2"/>
      </c>
    </row>
    <row r="13208">
      <c r="G13208" s="9">
        <f t="shared" si="0"/>
      </c>
      <c r="L13208">
        <f t="shared" si="1"/>
      </c>
      <c r="M13208">
        <f t="shared" si="2"/>
      </c>
    </row>
    <row r="13209">
      <c r="G13209" s="9">
        <f t="shared" si="0"/>
      </c>
      <c r="L13209">
        <f t="shared" si="1"/>
      </c>
      <c r="M13209">
        <f t="shared" si="2"/>
      </c>
    </row>
    <row r="13210">
      <c r="G13210" s="9">
        <f t="shared" si="0"/>
      </c>
      <c r="L13210">
        <f t="shared" si="1"/>
      </c>
      <c r="M13210">
        <f t="shared" si="2"/>
      </c>
    </row>
    <row r="13211">
      <c r="G13211" s="9">
        <f t="shared" si="0"/>
      </c>
      <c r="L13211">
        <f t="shared" si="1"/>
      </c>
      <c r="M13211">
        <f t="shared" si="2"/>
      </c>
    </row>
    <row r="13212">
      <c r="G13212" s="9">
        <f t="shared" si="0"/>
      </c>
      <c r="L13212">
        <f t="shared" si="1"/>
      </c>
      <c r="M13212">
        <f t="shared" si="2"/>
      </c>
    </row>
    <row r="13213">
      <c r="G13213" s="9">
        <f t="shared" si="0"/>
      </c>
      <c r="L13213">
        <f t="shared" si="1"/>
      </c>
      <c r="M13213">
        <f t="shared" si="2"/>
      </c>
    </row>
    <row r="13214">
      <c r="G13214" s="9">
        <f t="shared" si="0"/>
      </c>
      <c r="L13214">
        <f t="shared" si="1"/>
      </c>
      <c r="M13214">
        <f t="shared" si="2"/>
      </c>
    </row>
    <row r="13215">
      <c r="G13215" s="9">
        <f t="shared" si="0"/>
      </c>
      <c r="L13215">
        <f t="shared" si="1"/>
      </c>
      <c r="M13215">
        <f t="shared" si="2"/>
      </c>
    </row>
    <row r="13216">
      <c r="G13216" s="9">
        <f t="shared" si="0"/>
      </c>
      <c r="L13216">
        <f t="shared" si="1"/>
      </c>
      <c r="M13216">
        <f t="shared" si="2"/>
      </c>
    </row>
    <row r="13217">
      <c r="G13217" s="9">
        <f t="shared" si="0"/>
      </c>
      <c r="L13217">
        <f t="shared" si="1"/>
      </c>
      <c r="M13217">
        <f t="shared" si="2"/>
      </c>
    </row>
    <row r="13218">
      <c r="G13218" s="9">
        <f t="shared" si="0"/>
      </c>
      <c r="L13218">
        <f t="shared" si="1"/>
      </c>
      <c r="M13218">
        <f t="shared" si="2"/>
      </c>
    </row>
    <row r="13219">
      <c r="G13219" s="9">
        <f t="shared" si="0"/>
      </c>
      <c r="L13219">
        <f t="shared" si="1"/>
      </c>
      <c r="M13219">
        <f t="shared" si="2"/>
      </c>
    </row>
    <row r="13220">
      <c r="G13220" s="9">
        <f t="shared" si="0"/>
      </c>
      <c r="L13220">
        <f t="shared" si="1"/>
      </c>
      <c r="M13220">
        <f t="shared" si="2"/>
      </c>
    </row>
    <row r="13221">
      <c r="G13221" s="9">
        <f t="shared" si="0"/>
      </c>
      <c r="L13221">
        <f t="shared" si="1"/>
      </c>
      <c r="M13221">
        <f t="shared" si="2"/>
      </c>
    </row>
    <row r="13222">
      <c r="G13222" s="9">
        <f t="shared" si="0"/>
      </c>
      <c r="L13222">
        <f t="shared" si="1"/>
      </c>
      <c r="M13222">
        <f t="shared" si="2"/>
      </c>
    </row>
    <row r="13223">
      <c r="G13223" s="9">
        <f t="shared" si="0"/>
      </c>
      <c r="L13223">
        <f t="shared" si="1"/>
      </c>
      <c r="M13223">
        <f t="shared" si="2"/>
      </c>
    </row>
    <row r="13224">
      <c r="G13224" s="9">
        <f t="shared" si="0"/>
      </c>
      <c r="L13224">
        <f t="shared" si="1"/>
      </c>
      <c r="M13224">
        <f t="shared" si="2"/>
      </c>
    </row>
    <row r="13225">
      <c r="G13225" s="9">
        <f t="shared" si="0"/>
      </c>
      <c r="L13225">
        <f t="shared" si="1"/>
      </c>
      <c r="M13225">
        <f t="shared" si="2"/>
      </c>
    </row>
    <row r="13226">
      <c r="G13226" s="9">
        <f t="shared" si="0"/>
      </c>
      <c r="L13226">
        <f t="shared" si="1"/>
      </c>
      <c r="M13226">
        <f t="shared" si="2"/>
      </c>
    </row>
    <row r="13227">
      <c r="G13227" s="9">
        <f t="shared" si="0"/>
      </c>
      <c r="L13227">
        <f t="shared" si="1"/>
      </c>
      <c r="M13227">
        <f t="shared" si="2"/>
      </c>
    </row>
    <row r="13228">
      <c r="G13228" s="9">
        <f t="shared" si="0"/>
      </c>
      <c r="L13228">
        <f t="shared" si="1"/>
      </c>
      <c r="M13228">
        <f t="shared" si="2"/>
      </c>
    </row>
    <row r="13229">
      <c r="G13229" s="9">
        <f t="shared" si="0"/>
      </c>
      <c r="L13229">
        <f t="shared" si="1"/>
      </c>
      <c r="M13229">
        <f t="shared" si="2"/>
      </c>
    </row>
    <row r="13230">
      <c r="G13230" s="9">
        <f t="shared" si="0"/>
      </c>
      <c r="L13230">
        <f t="shared" si="1"/>
      </c>
      <c r="M13230">
        <f t="shared" si="2"/>
      </c>
    </row>
    <row r="13231">
      <c r="G13231" s="9">
        <f t="shared" si="0"/>
      </c>
      <c r="L13231">
        <f t="shared" si="1"/>
      </c>
      <c r="M13231">
        <f t="shared" si="2"/>
      </c>
    </row>
    <row r="13232">
      <c r="G13232" s="9">
        <f t="shared" si="0"/>
      </c>
      <c r="L13232">
        <f t="shared" si="1"/>
      </c>
      <c r="M13232">
        <f t="shared" si="2"/>
      </c>
    </row>
    <row r="13233">
      <c r="G13233" s="9">
        <f t="shared" si="0"/>
      </c>
      <c r="L13233">
        <f t="shared" si="1"/>
      </c>
      <c r="M13233">
        <f t="shared" si="2"/>
      </c>
    </row>
    <row r="13234">
      <c r="G13234" s="9">
        <f t="shared" si="0"/>
      </c>
      <c r="L13234">
        <f t="shared" si="1"/>
      </c>
      <c r="M13234">
        <f t="shared" si="2"/>
      </c>
    </row>
    <row r="13235">
      <c r="G13235" s="9">
        <f t="shared" si="0"/>
      </c>
      <c r="L13235">
        <f t="shared" si="1"/>
      </c>
      <c r="M13235">
        <f t="shared" si="2"/>
      </c>
    </row>
    <row r="13236">
      <c r="G13236" s="9">
        <f t="shared" si="0"/>
      </c>
      <c r="L13236">
        <f t="shared" si="1"/>
      </c>
      <c r="M13236">
        <f t="shared" si="2"/>
      </c>
    </row>
    <row r="13237">
      <c r="G13237" s="9">
        <f t="shared" si="0"/>
      </c>
      <c r="L13237">
        <f t="shared" si="1"/>
      </c>
      <c r="M13237">
        <f t="shared" si="2"/>
      </c>
    </row>
    <row r="13238">
      <c r="G13238" s="9">
        <f t="shared" si="0"/>
      </c>
      <c r="L13238">
        <f t="shared" si="1"/>
      </c>
      <c r="M13238">
        <f t="shared" si="2"/>
      </c>
    </row>
    <row r="13239">
      <c r="G13239" s="9">
        <f t="shared" si="0"/>
      </c>
      <c r="L13239">
        <f t="shared" si="1"/>
      </c>
      <c r="M13239">
        <f t="shared" si="2"/>
      </c>
    </row>
    <row r="13240">
      <c r="G13240" s="9">
        <f t="shared" si="0"/>
      </c>
      <c r="L13240">
        <f t="shared" si="1"/>
      </c>
      <c r="M13240">
        <f t="shared" si="2"/>
      </c>
    </row>
    <row r="13241">
      <c r="G13241" s="9">
        <f t="shared" si="0"/>
      </c>
      <c r="L13241">
        <f t="shared" si="1"/>
      </c>
      <c r="M13241">
        <f t="shared" si="2"/>
      </c>
    </row>
    <row r="13242">
      <c r="G13242" s="9">
        <f t="shared" si="0"/>
      </c>
      <c r="L13242">
        <f t="shared" si="1"/>
      </c>
      <c r="M13242">
        <f t="shared" si="2"/>
      </c>
    </row>
    <row r="13243">
      <c r="G13243" s="9">
        <f t="shared" si="0"/>
      </c>
      <c r="L13243">
        <f t="shared" si="1"/>
      </c>
      <c r="M13243">
        <f t="shared" si="2"/>
      </c>
    </row>
    <row r="13244">
      <c r="G13244" s="9">
        <f t="shared" si="0"/>
      </c>
      <c r="L13244">
        <f t="shared" si="1"/>
      </c>
      <c r="M13244">
        <f t="shared" si="2"/>
      </c>
    </row>
    <row r="13245">
      <c r="G13245" s="9">
        <f t="shared" si="0"/>
      </c>
      <c r="L13245">
        <f t="shared" si="1"/>
      </c>
      <c r="M13245">
        <f t="shared" si="2"/>
      </c>
    </row>
    <row r="13246">
      <c r="G13246" s="9">
        <f t="shared" si="0"/>
      </c>
      <c r="L13246">
        <f t="shared" si="1"/>
      </c>
      <c r="M13246">
        <f t="shared" si="2"/>
      </c>
    </row>
    <row r="13247">
      <c r="G13247" s="9">
        <f t="shared" si="0"/>
      </c>
      <c r="L13247">
        <f t="shared" si="1"/>
      </c>
      <c r="M13247">
        <f t="shared" si="2"/>
      </c>
    </row>
    <row r="13248">
      <c r="G13248" s="9">
        <f t="shared" si="0"/>
      </c>
      <c r="L13248">
        <f t="shared" si="1"/>
      </c>
      <c r="M13248">
        <f t="shared" si="2"/>
      </c>
    </row>
    <row r="13249">
      <c r="G13249" s="9">
        <f t="shared" si="0"/>
      </c>
      <c r="L13249">
        <f t="shared" si="1"/>
      </c>
      <c r="M13249">
        <f t="shared" si="2"/>
      </c>
    </row>
    <row r="13250">
      <c r="G13250" s="9">
        <f t="shared" si="0"/>
      </c>
      <c r="L13250">
        <f t="shared" si="1"/>
      </c>
      <c r="M13250">
        <f t="shared" si="2"/>
      </c>
    </row>
    <row r="13251">
      <c r="G13251" s="9">
        <f t="shared" si="0"/>
      </c>
      <c r="L13251">
        <f t="shared" si="1"/>
      </c>
      <c r="M13251">
        <f t="shared" si="2"/>
      </c>
    </row>
    <row r="13252">
      <c r="G13252" s="9">
        <f t="shared" si="0"/>
      </c>
      <c r="L13252">
        <f t="shared" si="1"/>
      </c>
      <c r="M13252">
        <f t="shared" si="2"/>
      </c>
    </row>
    <row r="13253">
      <c r="G13253" s="9">
        <f t="shared" si="0"/>
      </c>
      <c r="L13253">
        <f t="shared" si="1"/>
      </c>
      <c r="M13253">
        <f t="shared" si="2"/>
      </c>
    </row>
    <row r="13254">
      <c r="G13254" s="9">
        <f t="shared" si="0"/>
      </c>
      <c r="L13254">
        <f t="shared" si="1"/>
      </c>
      <c r="M13254">
        <f t="shared" si="2"/>
      </c>
    </row>
    <row r="13255">
      <c r="G13255" s="9">
        <f t="shared" si="0"/>
      </c>
      <c r="L13255">
        <f t="shared" si="1"/>
      </c>
      <c r="M13255">
        <f t="shared" si="2"/>
      </c>
    </row>
    <row r="13256">
      <c r="G13256" s="9">
        <f t="shared" si="0"/>
      </c>
      <c r="L13256">
        <f t="shared" si="1"/>
      </c>
      <c r="M13256">
        <f t="shared" si="2"/>
      </c>
    </row>
    <row r="13257">
      <c r="G13257" s="9">
        <f t="shared" si="0"/>
      </c>
      <c r="L13257">
        <f t="shared" si="1"/>
      </c>
      <c r="M13257">
        <f t="shared" si="2"/>
      </c>
    </row>
    <row r="13258">
      <c r="G13258" s="9">
        <f t="shared" si="0"/>
      </c>
      <c r="L13258">
        <f t="shared" si="1"/>
      </c>
      <c r="M13258">
        <f t="shared" si="2"/>
      </c>
    </row>
    <row r="13259">
      <c r="G13259" s="9">
        <f t="shared" si="0"/>
      </c>
      <c r="L13259">
        <f t="shared" si="1"/>
      </c>
      <c r="M13259">
        <f t="shared" si="2"/>
      </c>
    </row>
    <row r="13260">
      <c r="G13260" s="9">
        <f t="shared" si="0"/>
      </c>
      <c r="L13260">
        <f t="shared" si="1"/>
      </c>
      <c r="M13260">
        <f t="shared" si="2"/>
      </c>
    </row>
    <row r="13261">
      <c r="G13261" s="9">
        <f t="shared" si="0"/>
      </c>
      <c r="L13261">
        <f t="shared" si="1"/>
      </c>
      <c r="M13261">
        <f t="shared" si="2"/>
      </c>
    </row>
    <row r="13262">
      <c r="G13262" s="9">
        <f t="shared" si="0"/>
      </c>
      <c r="L13262">
        <f t="shared" si="1"/>
      </c>
      <c r="M13262">
        <f t="shared" si="2"/>
      </c>
    </row>
    <row r="13263">
      <c r="G13263" s="9">
        <f t="shared" si="0"/>
      </c>
      <c r="L13263">
        <f t="shared" si="1"/>
      </c>
      <c r="M13263">
        <f t="shared" si="2"/>
      </c>
    </row>
    <row r="13264">
      <c r="G13264" s="9">
        <f t="shared" si="0"/>
      </c>
      <c r="L13264">
        <f t="shared" si="1"/>
      </c>
      <c r="M13264">
        <f t="shared" si="2"/>
      </c>
    </row>
    <row r="13265">
      <c r="G13265" s="9">
        <f t="shared" si="0"/>
      </c>
      <c r="L13265">
        <f t="shared" si="1"/>
      </c>
      <c r="M13265">
        <f t="shared" si="2"/>
      </c>
    </row>
    <row r="13266">
      <c r="G13266" s="9">
        <f t="shared" si="0"/>
      </c>
      <c r="L13266">
        <f t="shared" si="1"/>
      </c>
      <c r="M13266">
        <f t="shared" si="2"/>
      </c>
    </row>
    <row r="13267">
      <c r="G13267" s="9">
        <f t="shared" si="0"/>
      </c>
      <c r="L13267">
        <f t="shared" si="1"/>
      </c>
      <c r="M13267">
        <f t="shared" si="2"/>
      </c>
    </row>
    <row r="13268">
      <c r="G13268" s="9">
        <f t="shared" si="0"/>
      </c>
      <c r="L13268">
        <f t="shared" si="1"/>
      </c>
      <c r="M13268">
        <f t="shared" si="2"/>
      </c>
    </row>
    <row r="13269">
      <c r="G13269" s="9">
        <f t="shared" si="0"/>
      </c>
      <c r="L13269">
        <f t="shared" si="1"/>
      </c>
      <c r="M13269">
        <f t="shared" si="2"/>
      </c>
    </row>
    <row r="13270">
      <c r="G13270" s="9">
        <f t="shared" si="0"/>
      </c>
      <c r="L13270">
        <f t="shared" si="1"/>
      </c>
      <c r="M13270">
        <f t="shared" si="2"/>
      </c>
    </row>
    <row r="13271">
      <c r="G13271" s="9">
        <f t="shared" si="0"/>
      </c>
      <c r="L13271">
        <f t="shared" si="1"/>
      </c>
      <c r="M13271">
        <f t="shared" si="2"/>
      </c>
    </row>
    <row r="13272">
      <c r="G13272" s="9">
        <f t="shared" si="0"/>
      </c>
      <c r="L13272">
        <f t="shared" si="1"/>
      </c>
      <c r="M13272">
        <f t="shared" si="2"/>
      </c>
    </row>
    <row r="13273">
      <c r="G13273" s="9">
        <f t="shared" si="0"/>
      </c>
      <c r="L13273">
        <f t="shared" si="1"/>
      </c>
      <c r="M13273">
        <f t="shared" si="2"/>
      </c>
    </row>
    <row r="13274">
      <c r="G13274" s="9">
        <f t="shared" si="0"/>
      </c>
      <c r="L13274">
        <f t="shared" si="1"/>
      </c>
      <c r="M13274">
        <f t="shared" si="2"/>
      </c>
    </row>
    <row r="13275">
      <c r="G13275" s="9">
        <f t="shared" si="0"/>
      </c>
      <c r="L13275">
        <f t="shared" si="1"/>
      </c>
      <c r="M13275">
        <f t="shared" si="2"/>
      </c>
    </row>
    <row r="13276">
      <c r="G13276" s="9">
        <f t="shared" si="0"/>
      </c>
      <c r="L13276">
        <f t="shared" si="1"/>
      </c>
      <c r="M13276">
        <f t="shared" si="2"/>
      </c>
    </row>
    <row r="13277">
      <c r="G13277" s="9">
        <f t="shared" si="0"/>
      </c>
      <c r="L13277">
        <f t="shared" si="1"/>
      </c>
      <c r="M13277">
        <f t="shared" si="2"/>
      </c>
    </row>
    <row r="13278">
      <c r="G13278" s="9">
        <f t="shared" si="0"/>
      </c>
      <c r="L13278">
        <f t="shared" si="1"/>
      </c>
      <c r="M13278">
        <f t="shared" si="2"/>
      </c>
    </row>
    <row r="13279">
      <c r="G13279" s="9">
        <f t="shared" si="0"/>
      </c>
      <c r="L13279">
        <f t="shared" si="1"/>
      </c>
      <c r="M13279">
        <f t="shared" si="2"/>
      </c>
    </row>
    <row r="13280">
      <c r="G13280" s="9">
        <f t="shared" si="0"/>
      </c>
      <c r="L13280">
        <f t="shared" si="1"/>
      </c>
      <c r="M13280">
        <f t="shared" si="2"/>
      </c>
    </row>
    <row r="13281">
      <c r="G13281" s="9">
        <f t="shared" si="0"/>
      </c>
      <c r="L13281">
        <f t="shared" si="1"/>
      </c>
      <c r="M13281">
        <f t="shared" si="2"/>
      </c>
    </row>
    <row r="13282">
      <c r="G13282" s="9">
        <f t="shared" si="0"/>
      </c>
      <c r="L13282">
        <f t="shared" si="1"/>
      </c>
      <c r="M13282">
        <f t="shared" si="2"/>
      </c>
    </row>
    <row r="13283">
      <c r="G13283" s="9">
        <f t="shared" si="0"/>
      </c>
      <c r="L13283">
        <f t="shared" si="1"/>
      </c>
      <c r="M13283">
        <f t="shared" si="2"/>
      </c>
    </row>
    <row r="13284">
      <c r="G13284" s="9">
        <f t="shared" si="0"/>
      </c>
      <c r="L13284">
        <f t="shared" si="1"/>
      </c>
      <c r="M13284">
        <f t="shared" si="2"/>
      </c>
    </row>
    <row r="13285">
      <c r="G13285" s="9">
        <f t="shared" si="0"/>
      </c>
      <c r="L13285">
        <f t="shared" si="1"/>
      </c>
      <c r="M13285">
        <f t="shared" si="2"/>
      </c>
    </row>
    <row r="13286">
      <c r="G13286" s="9">
        <f t="shared" si="0"/>
      </c>
      <c r="L13286">
        <f t="shared" si="1"/>
      </c>
      <c r="M13286">
        <f t="shared" si="2"/>
      </c>
    </row>
    <row r="13287">
      <c r="G13287" s="9">
        <f t="shared" si="0"/>
      </c>
      <c r="L13287">
        <f t="shared" si="1"/>
      </c>
      <c r="M13287">
        <f t="shared" si="2"/>
      </c>
    </row>
    <row r="13288">
      <c r="G13288" s="9">
        <f t="shared" si="0"/>
      </c>
      <c r="L13288">
        <f t="shared" si="1"/>
      </c>
      <c r="M13288">
        <f t="shared" si="2"/>
      </c>
    </row>
    <row r="13289">
      <c r="G13289" s="9">
        <f t="shared" si="0"/>
      </c>
      <c r="L13289">
        <f t="shared" si="1"/>
      </c>
      <c r="M13289">
        <f t="shared" si="2"/>
      </c>
    </row>
    <row r="13290">
      <c r="G13290" s="9">
        <f t="shared" si="0"/>
      </c>
      <c r="L13290">
        <f t="shared" si="1"/>
      </c>
      <c r="M13290">
        <f t="shared" si="2"/>
      </c>
    </row>
    <row r="13291">
      <c r="G13291" s="9">
        <f t="shared" si="0"/>
      </c>
      <c r="L13291">
        <f t="shared" si="1"/>
      </c>
      <c r="M13291">
        <f t="shared" si="2"/>
      </c>
    </row>
    <row r="13292">
      <c r="G13292" s="9">
        <f t="shared" si="0"/>
      </c>
      <c r="L13292">
        <f t="shared" si="1"/>
      </c>
      <c r="M13292">
        <f t="shared" si="2"/>
      </c>
    </row>
    <row r="13293">
      <c r="G13293" s="9">
        <f t="shared" si="0"/>
      </c>
      <c r="L13293">
        <f t="shared" si="1"/>
      </c>
      <c r="M13293">
        <f t="shared" si="2"/>
      </c>
    </row>
    <row r="13294">
      <c r="G13294" s="9">
        <f t="shared" si="0"/>
      </c>
      <c r="L13294">
        <f t="shared" si="1"/>
      </c>
      <c r="M13294">
        <f t="shared" si="2"/>
      </c>
    </row>
    <row r="13295">
      <c r="G13295" s="9">
        <f t="shared" si="0"/>
      </c>
      <c r="L13295">
        <f t="shared" si="1"/>
      </c>
      <c r="M13295">
        <f t="shared" si="2"/>
      </c>
    </row>
    <row r="13296">
      <c r="G13296" s="9">
        <f t="shared" si="0"/>
      </c>
      <c r="L13296">
        <f t="shared" si="1"/>
      </c>
      <c r="M13296">
        <f t="shared" si="2"/>
      </c>
    </row>
    <row r="13297">
      <c r="G13297" s="9">
        <f t="shared" si="0"/>
      </c>
      <c r="L13297">
        <f t="shared" si="1"/>
      </c>
      <c r="M13297">
        <f t="shared" si="2"/>
      </c>
    </row>
    <row r="13298">
      <c r="G13298" s="9">
        <f t="shared" si="0"/>
      </c>
      <c r="L13298">
        <f t="shared" si="1"/>
      </c>
      <c r="M13298">
        <f t="shared" si="2"/>
      </c>
    </row>
    <row r="13299">
      <c r="G13299" s="9">
        <f t="shared" si="0"/>
      </c>
      <c r="L13299">
        <f t="shared" si="1"/>
      </c>
      <c r="M13299">
        <f t="shared" si="2"/>
      </c>
    </row>
    <row r="13300">
      <c r="G13300" s="9">
        <f t="shared" si="0"/>
      </c>
      <c r="L13300">
        <f t="shared" si="1"/>
      </c>
      <c r="M13300">
        <f t="shared" si="2"/>
      </c>
    </row>
    <row r="13301">
      <c r="G13301" s="9">
        <f t="shared" si="0"/>
      </c>
      <c r="L13301">
        <f t="shared" si="1"/>
      </c>
      <c r="M13301">
        <f t="shared" si="2"/>
      </c>
    </row>
    <row r="13302">
      <c r="G13302" s="9">
        <f t="shared" si="0"/>
      </c>
      <c r="L13302">
        <f t="shared" si="1"/>
      </c>
      <c r="M13302">
        <f t="shared" si="2"/>
      </c>
    </row>
    <row r="13303">
      <c r="G13303" s="9">
        <f t="shared" si="0"/>
      </c>
      <c r="L13303">
        <f t="shared" si="1"/>
      </c>
      <c r="M13303">
        <f t="shared" si="2"/>
      </c>
    </row>
    <row r="13304">
      <c r="G13304" s="9">
        <f t="shared" si="0"/>
      </c>
      <c r="L13304">
        <f t="shared" si="1"/>
      </c>
      <c r="M13304">
        <f t="shared" si="2"/>
      </c>
    </row>
    <row r="13305">
      <c r="G13305" s="9">
        <f t="shared" si="0"/>
      </c>
      <c r="L13305">
        <f t="shared" si="1"/>
      </c>
      <c r="M13305">
        <f t="shared" si="2"/>
      </c>
    </row>
    <row r="13306">
      <c r="G13306" s="9">
        <f t="shared" si="0"/>
      </c>
      <c r="L13306">
        <f t="shared" si="1"/>
      </c>
      <c r="M13306">
        <f t="shared" si="2"/>
      </c>
    </row>
    <row r="13307">
      <c r="G13307" s="9">
        <f t="shared" si="0"/>
      </c>
      <c r="L13307">
        <f t="shared" si="1"/>
      </c>
      <c r="M13307">
        <f t="shared" si="2"/>
      </c>
    </row>
    <row r="13308">
      <c r="G13308" s="9">
        <f t="shared" si="0"/>
      </c>
      <c r="L13308">
        <f t="shared" si="1"/>
      </c>
      <c r="M13308">
        <f t="shared" si="2"/>
      </c>
    </row>
    <row r="13309">
      <c r="G13309" s="9">
        <f t="shared" si="0"/>
      </c>
      <c r="L13309">
        <f t="shared" si="1"/>
      </c>
      <c r="M13309">
        <f t="shared" si="2"/>
      </c>
    </row>
    <row r="13310">
      <c r="G13310" s="9">
        <f t="shared" si="0"/>
      </c>
      <c r="L13310">
        <f t="shared" si="1"/>
      </c>
      <c r="M13310">
        <f t="shared" si="2"/>
      </c>
    </row>
    <row r="13311">
      <c r="G13311" s="9">
        <f t="shared" si="0"/>
      </c>
      <c r="L13311">
        <f t="shared" si="1"/>
      </c>
      <c r="M13311">
        <f t="shared" si="2"/>
      </c>
    </row>
    <row r="13312">
      <c r="G13312" s="9">
        <f t="shared" si="0"/>
      </c>
      <c r="L13312">
        <f t="shared" si="1"/>
      </c>
      <c r="M13312">
        <f t="shared" si="2"/>
      </c>
    </row>
    <row r="13313">
      <c r="G13313" s="9">
        <f t="shared" si="0"/>
      </c>
      <c r="L13313">
        <f t="shared" si="1"/>
      </c>
      <c r="M13313">
        <f t="shared" si="2"/>
      </c>
    </row>
    <row r="13314">
      <c r="G13314" s="9">
        <f t="shared" si="0"/>
      </c>
      <c r="L13314">
        <f t="shared" si="1"/>
      </c>
      <c r="M13314">
        <f t="shared" si="2"/>
      </c>
    </row>
    <row r="13315">
      <c r="G13315" s="9">
        <f t="shared" si="0"/>
      </c>
      <c r="L13315">
        <f t="shared" si="1"/>
      </c>
      <c r="M13315">
        <f t="shared" si="2"/>
      </c>
    </row>
    <row r="13316">
      <c r="G13316" s="9">
        <f t="shared" si="0"/>
      </c>
      <c r="L13316">
        <f t="shared" si="1"/>
      </c>
      <c r="M13316">
        <f t="shared" si="2"/>
      </c>
    </row>
    <row r="13317">
      <c r="G13317" s="9">
        <f t="shared" si="0"/>
      </c>
      <c r="L13317">
        <f t="shared" si="1"/>
      </c>
      <c r="M13317">
        <f t="shared" si="2"/>
      </c>
    </row>
    <row r="13318">
      <c r="G13318" s="9">
        <f t="shared" si="0"/>
      </c>
      <c r="L13318">
        <f t="shared" si="1"/>
      </c>
      <c r="M13318">
        <f t="shared" si="2"/>
      </c>
    </row>
    <row r="13319">
      <c r="G13319" s="9">
        <f t="shared" si="0"/>
      </c>
      <c r="L13319">
        <f t="shared" si="1"/>
      </c>
      <c r="M13319">
        <f t="shared" si="2"/>
      </c>
    </row>
    <row r="13320">
      <c r="G13320" s="9">
        <f t="shared" si="0"/>
      </c>
      <c r="L13320">
        <f t="shared" si="1"/>
      </c>
      <c r="M13320">
        <f t="shared" si="2"/>
      </c>
    </row>
    <row r="13321">
      <c r="G13321" s="9">
        <f t="shared" si="0"/>
      </c>
      <c r="L13321">
        <f t="shared" si="1"/>
      </c>
      <c r="M13321">
        <f t="shared" si="2"/>
      </c>
    </row>
    <row r="13322">
      <c r="G13322" s="9">
        <f t="shared" si="0"/>
      </c>
      <c r="L13322">
        <f t="shared" si="1"/>
      </c>
      <c r="M13322">
        <f t="shared" si="2"/>
      </c>
    </row>
    <row r="13323">
      <c r="G13323" s="9">
        <f t="shared" si="0"/>
      </c>
      <c r="L13323">
        <f t="shared" si="1"/>
      </c>
      <c r="M13323">
        <f t="shared" si="2"/>
      </c>
    </row>
    <row r="13324">
      <c r="G13324" s="9">
        <f t="shared" si="0"/>
      </c>
      <c r="L13324">
        <f t="shared" si="1"/>
      </c>
      <c r="M13324">
        <f t="shared" si="2"/>
      </c>
    </row>
    <row r="13325">
      <c r="G13325" s="9">
        <f t="shared" si="0"/>
      </c>
      <c r="L13325">
        <f t="shared" si="1"/>
      </c>
      <c r="M13325">
        <f t="shared" si="2"/>
      </c>
    </row>
    <row r="13326">
      <c r="G13326" s="9">
        <f t="shared" si="0"/>
      </c>
      <c r="L13326">
        <f t="shared" si="1"/>
      </c>
      <c r="M13326">
        <f t="shared" si="2"/>
      </c>
    </row>
    <row r="13327">
      <c r="G13327" s="9">
        <f t="shared" si="0"/>
      </c>
      <c r="L13327">
        <f t="shared" si="1"/>
      </c>
      <c r="M13327">
        <f t="shared" si="2"/>
      </c>
    </row>
    <row r="13328">
      <c r="G13328" s="9">
        <f t="shared" si="0"/>
      </c>
      <c r="L13328">
        <f t="shared" si="1"/>
      </c>
      <c r="M13328">
        <f t="shared" si="2"/>
      </c>
    </row>
    <row r="13329">
      <c r="G13329" s="9">
        <f t="shared" si="0"/>
      </c>
      <c r="L13329">
        <f t="shared" si="1"/>
      </c>
      <c r="M13329">
        <f t="shared" si="2"/>
      </c>
    </row>
    <row r="13330">
      <c r="G13330" s="9">
        <f t="shared" si="0"/>
      </c>
      <c r="L13330">
        <f t="shared" si="1"/>
      </c>
      <c r="M13330">
        <f t="shared" si="2"/>
      </c>
    </row>
    <row r="13331">
      <c r="G13331" s="9">
        <f t="shared" si="0"/>
      </c>
      <c r="L13331">
        <f t="shared" si="1"/>
      </c>
      <c r="M13331">
        <f t="shared" si="2"/>
      </c>
    </row>
    <row r="13332">
      <c r="G13332" s="9">
        <f t="shared" si="0"/>
      </c>
      <c r="L13332">
        <f t="shared" si="1"/>
      </c>
      <c r="M13332">
        <f t="shared" si="2"/>
      </c>
    </row>
    <row r="13333">
      <c r="G13333" s="9">
        <f t="shared" si="0"/>
      </c>
      <c r="L13333">
        <f t="shared" si="1"/>
      </c>
      <c r="M13333">
        <f t="shared" si="2"/>
      </c>
    </row>
    <row r="13334">
      <c r="G13334" s="9">
        <f t="shared" si="0"/>
      </c>
      <c r="L13334">
        <f t="shared" si="1"/>
      </c>
      <c r="M13334">
        <f t="shared" si="2"/>
      </c>
    </row>
    <row r="13335">
      <c r="G13335" s="9">
        <f t="shared" si="0"/>
      </c>
      <c r="L13335">
        <f t="shared" si="1"/>
      </c>
      <c r="M13335">
        <f t="shared" si="2"/>
      </c>
    </row>
    <row r="13336">
      <c r="G13336" s="9">
        <f t="shared" si="0"/>
      </c>
      <c r="L13336">
        <f t="shared" si="1"/>
      </c>
      <c r="M13336">
        <f t="shared" si="2"/>
      </c>
    </row>
    <row r="13337">
      <c r="G13337" s="9">
        <f t="shared" si="0"/>
      </c>
      <c r="L13337">
        <f t="shared" si="1"/>
      </c>
      <c r="M13337">
        <f t="shared" si="2"/>
      </c>
    </row>
    <row r="13338">
      <c r="G13338" s="9">
        <f t="shared" si="0"/>
      </c>
      <c r="L13338">
        <f t="shared" si="1"/>
      </c>
      <c r="M13338">
        <f t="shared" si="2"/>
      </c>
    </row>
    <row r="13339">
      <c r="G13339" s="9">
        <f t="shared" si="0"/>
      </c>
      <c r="L13339">
        <f t="shared" si="1"/>
      </c>
      <c r="M13339">
        <f t="shared" si="2"/>
      </c>
    </row>
    <row r="13340">
      <c r="G13340" s="9">
        <f t="shared" si="0"/>
      </c>
      <c r="L13340">
        <f t="shared" si="1"/>
      </c>
      <c r="M13340">
        <f t="shared" si="2"/>
      </c>
    </row>
    <row r="13341">
      <c r="G13341" s="9">
        <f t="shared" si="0"/>
      </c>
      <c r="L13341">
        <f t="shared" si="1"/>
      </c>
      <c r="M13341">
        <f t="shared" si="2"/>
      </c>
    </row>
    <row r="13342">
      <c r="G13342" s="9">
        <f t="shared" si="0"/>
      </c>
      <c r="L13342">
        <f t="shared" si="1"/>
      </c>
      <c r="M13342">
        <f t="shared" si="2"/>
      </c>
    </row>
    <row r="13343">
      <c r="G13343" s="9">
        <f t="shared" si="0"/>
      </c>
      <c r="L13343">
        <f t="shared" si="1"/>
      </c>
      <c r="M13343">
        <f t="shared" si="2"/>
      </c>
    </row>
    <row r="13344">
      <c r="G13344" s="9">
        <f t="shared" si="0"/>
      </c>
      <c r="L13344">
        <f t="shared" si="1"/>
      </c>
      <c r="M13344">
        <f t="shared" si="2"/>
      </c>
    </row>
    <row r="13345">
      <c r="G13345" s="9">
        <f t="shared" si="0"/>
      </c>
      <c r="L13345">
        <f t="shared" si="1"/>
      </c>
      <c r="M13345">
        <f t="shared" si="2"/>
      </c>
    </row>
    <row r="13346">
      <c r="G13346" s="9">
        <f t="shared" si="0"/>
      </c>
      <c r="L13346">
        <f t="shared" si="1"/>
      </c>
      <c r="M13346">
        <f t="shared" si="2"/>
      </c>
    </row>
    <row r="13347">
      <c r="G13347" s="9">
        <f t="shared" si="0"/>
      </c>
      <c r="L13347">
        <f t="shared" si="1"/>
      </c>
      <c r="M13347">
        <f t="shared" si="2"/>
      </c>
    </row>
    <row r="13348">
      <c r="G13348" s="9">
        <f t="shared" si="0"/>
      </c>
      <c r="L13348">
        <f t="shared" si="1"/>
      </c>
      <c r="M13348">
        <f t="shared" si="2"/>
      </c>
    </row>
    <row r="13349">
      <c r="G13349" s="9">
        <f t="shared" si="0"/>
      </c>
      <c r="L13349">
        <f t="shared" si="1"/>
      </c>
      <c r="M13349">
        <f t="shared" si="2"/>
      </c>
    </row>
    <row r="13350">
      <c r="G13350" s="9">
        <f t="shared" si="0"/>
      </c>
      <c r="L13350">
        <f t="shared" si="1"/>
      </c>
      <c r="M13350">
        <f t="shared" si="2"/>
      </c>
    </row>
    <row r="13351">
      <c r="G13351" s="9">
        <f t="shared" si="0"/>
      </c>
      <c r="L13351">
        <f t="shared" si="1"/>
      </c>
      <c r="M13351">
        <f t="shared" si="2"/>
      </c>
    </row>
    <row r="13352">
      <c r="G13352" s="9">
        <f t="shared" si="0"/>
      </c>
      <c r="L13352">
        <f t="shared" si="1"/>
      </c>
      <c r="M13352">
        <f t="shared" si="2"/>
      </c>
    </row>
    <row r="13353">
      <c r="G13353" s="9">
        <f t="shared" si="0"/>
      </c>
      <c r="L13353">
        <f t="shared" si="1"/>
      </c>
      <c r="M13353">
        <f t="shared" si="2"/>
      </c>
    </row>
    <row r="13354">
      <c r="G13354" s="9">
        <f t="shared" si="0"/>
      </c>
      <c r="L13354">
        <f t="shared" si="1"/>
      </c>
      <c r="M13354">
        <f t="shared" si="2"/>
      </c>
    </row>
    <row r="13355">
      <c r="G13355" s="9">
        <f t="shared" si="0"/>
      </c>
      <c r="L13355">
        <f t="shared" si="1"/>
      </c>
      <c r="M13355">
        <f t="shared" si="2"/>
      </c>
    </row>
    <row r="13356">
      <c r="G13356" s="9">
        <f t="shared" si="0"/>
      </c>
      <c r="L13356">
        <f t="shared" si="1"/>
      </c>
      <c r="M13356">
        <f t="shared" si="2"/>
      </c>
    </row>
    <row r="13357">
      <c r="G13357" s="9">
        <f t="shared" si="0"/>
      </c>
      <c r="L13357">
        <f t="shared" si="1"/>
      </c>
      <c r="M13357">
        <f t="shared" si="2"/>
      </c>
    </row>
    <row r="13358">
      <c r="G13358" s="9">
        <f t="shared" si="0"/>
      </c>
      <c r="L13358">
        <f t="shared" si="1"/>
      </c>
      <c r="M13358">
        <f t="shared" si="2"/>
      </c>
    </row>
    <row r="13359">
      <c r="G13359" s="9">
        <f t="shared" si="0"/>
      </c>
      <c r="L13359">
        <f t="shared" si="1"/>
      </c>
      <c r="M13359">
        <f t="shared" si="2"/>
      </c>
    </row>
    <row r="13360">
      <c r="G13360" s="9">
        <f t="shared" si="0"/>
      </c>
      <c r="L13360">
        <f t="shared" si="1"/>
      </c>
      <c r="M13360">
        <f t="shared" si="2"/>
      </c>
    </row>
    <row r="13361">
      <c r="G13361" s="9">
        <f t="shared" si="0"/>
      </c>
      <c r="L13361">
        <f t="shared" si="1"/>
      </c>
      <c r="M13361">
        <f t="shared" si="2"/>
      </c>
    </row>
    <row r="13362">
      <c r="G13362" s="9">
        <f t="shared" si="0"/>
      </c>
      <c r="L13362">
        <f t="shared" si="1"/>
      </c>
      <c r="M13362">
        <f t="shared" si="2"/>
      </c>
    </row>
    <row r="13363">
      <c r="G13363" s="9">
        <f t="shared" si="0"/>
      </c>
      <c r="L13363">
        <f t="shared" si="1"/>
      </c>
      <c r="M13363">
        <f t="shared" si="2"/>
      </c>
    </row>
    <row r="13364">
      <c r="G13364" s="9">
        <f t="shared" si="0"/>
      </c>
      <c r="L13364">
        <f t="shared" si="1"/>
      </c>
      <c r="M13364">
        <f t="shared" si="2"/>
      </c>
    </row>
    <row r="13365">
      <c r="G13365" s="9">
        <f t="shared" si="0"/>
      </c>
      <c r="L13365">
        <f t="shared" si="1"/>
      </c>
      <c r="M13365">
        <f t="shared" si="2"/>
      </c>
    </row>
    <row r="13366">
      <c r="G13366" s="9">
        <f t="shared" si="0"/>
      </c>
      <c r="L13366">
        <f t="shared" si="1"/>
      </c>
      <c r="M13366">
        <f t="shared" si="2"/>
      </c>
    </row>
    <row r="13367">
      <c r="G13367" s="9">
        <f t="shared" si="0"/>
      </c>
      <c r="L13367">
        <f t="shared" si="1"/>
      </c>
      <c r="M13367">
        <f t="shared" si="2"/>
      </c>
    </row>
    <row r="13368">
      <c r="G13368" s="9">
        <f t="shared" si="0"/>
      </c>
      <c r="L13368">
        <f t="shared" si="1"/>
      </c>
      <c r="M13368">
        <f t="shared" si="2"/>
      </c>
    </row>
    <row r="13369">
      <c r="G13369" s="9">
        <f t="shared" si="0"/>
      </c>
      <c r="L13369">
        <f t="shared" si="1"/>
      </c>
      <c r="M13369">
        <f t="shared" si="2"/>
      </c>
    </row>
    <row r="13370">
      <c r="G13370" s="9">
        <f t="shared" si="0"/>
      </c>
      <c r="L13370">
        <f t="shared" si="1"/>
      </c>
      <c r="M13370">
        <f t="shared" si="2"/>
      </c>
    </row>
    <row r="13371">
      <c r="G13371" s="9">
        <f t="shared" si="0"/>
      </c>
      <c r="L13371">
        <f t="shared" si="1"/>
      </c>
      <c r="M13371">
        <f t="shared" si="2"/>
      </c>
    </row>
    <row r="13372">
      <c r="G13372" s="9">
        <f t="shared" si="0"/>
      </c>
      <c r="L13372">
        <f t="shared" si="1"/>
      </c>
      <c r="M13372">
        <f t="shared" si="2"/>
      </c>
    </row>
    <row r="13373">
      <c r="G13373" s="9">
        <f t="shared" si="0"/>
      </c>
      <c r="L13373">
        <f t="shared" si="1"/>
      </c>
      <c r="M13373">
        <f t="shared" si="2"/>
      </c>
    </row>
    <row r="13374">
      <c r="G13374" s="9">
        <f t="shared" si="0"/>
      </c>
      <c r="L13374">
        <f t="shared" si="1"/>
      </c>
      <c r="M13374">
        <f t="shared" si="2"/>
      </c>
    </row>
    <row r="13375">
      <c r="G13375" s="9">
        <f t="shared" si="0"/>
      </c>
      <c r="L13375">
        <f t="shared" si="1"/>
      </c>
      <c r="M13375">
        <f t="shared" si="2"/>
      </c>
    </row>
    <row r="13376">
      <c r="G13376" s="9">
        <f t="shared" si="0"/>
      </c>
      <c r="L13376">
        <f t="shared" si="1"/>
      </c>
      <c r="M13376">
        <f t="shared" si="2"/>
      </c>
    </row>
    <row r="13377">
      <c r="G13377" s="9">
        <f t="shared" si="0"/>
      </c>
      <c r="L13377">
        <f t="shared" si="1"/>
      </c>
      <c r="M13377">
        <f t="shared" si="2"/>
      </c>
    </row>
    <row r="13378">
      <c r="G13378" s="9">
        <f t="shared" si="0"/>
      </c>
      <c r="L13378">
        <f t="shared" si="1"/>
      </c>
      <c r="M13378">
        <f t="shared" si="2"/>
      </c>
    </row>
    <row r="13379">
      <c r="G13379" s="9">
        <f t="shared" si="0"/>
      </c>
      <c r="L13379">
        <f t="shared" si="1"/>
      </c>
      <c r="M13379">
        <f t="shared" si="2"/>
      </c>
    </row>
    <row r="13380">
      <c r="G13380" s="9">
        <f t="shared" si="0"/>
      </c>
      <c r="L13380">
        <f t="shared" si="1"/>
      </c>
      <c r="M13380">
        <f t="shared" si="2"/>
      </c>
    </row>
    <row r="13381">
      <c r="G13381" s="9">
        <f t="shared" si="0"/>
      </c>
      <c r="L13381">
        <f t="shared" si="1"/>
      </c>
      <c r="M13381">
        <f t="shared" si="2"/>
      </c>
    </row>
    <row r="13382">
      <c r="G13382" s="9">
        <f t="shared" si="0"/>
      </c>
      <c r="L13382">
        <f t="shared" si="1"/>
      </c>
      <c r="M13382">
        <f t="shared" si="2"/>
      </c>
    </row>
    <row r="13383">
      <c r="G13383" s="9">
        <f t="shared" si="0"/>
      </c>
      <c r="L13383">
        <f t="shared" si="1"/>
      </c>
      <c r="M13383">
        <f t="shared" si="2"/>
      </c>
    </row>
    <row r="13384">
      <c r="G13384" s="9">
        <f t="shared" si="0"/>
      </c>
      <c r="L13384">
        <f t="shared" si="1"/>
      </c>
      <c r="M13384">
        <f t="shared" si="2"/>
      </c>
    </row>
    <row r="13385">
      <c r="G13385" s="9">
        <f t="shared" si="0"/>
      </c>
      <c r="L13385">
        <f t="shared" si="1"/>
      </c>
      <c r="M13385">
        <f t="shared" si="2"/>
      </c>
    </row>
    <row r="13386">
      <c r="G13386" s="9">
        <f t="shared" si="0"/>
      </c>
      <c r="L13386">
        <f t="shared" si="1"/>
      </c>
      <c r="M13386">
        <f t="shared" si="2"/>
      </c>
    </row>
    <row r="13387">
      <c r="G13387" s="9">
        <f t="shared" si="0"/>
      </c>
      <c r="L13387">
        <f t="shared" si="1"/>
      </c>
      <c r="M13387">
        <f t="shared" si="2"/>
      </c>
    </row>
    <row r="13388">
      <c r="G13388" s="9">
        <f t="shared" si="0"/>
      </c>
      <c r="L13388">
        <f t="shared" si="1"/>
      </c>
      <c r="M13388">
        <f t="shared" si="2"/>
      </c>
    </row>
    <row r="13389">
      <c r="G13389" s="9">
        <f t="shared" si="0"/>
      </c>
      <c r="L13389">
        <f t="shared" si="1"/>
      </c>
      <c r="M13389">
        <f t="shared" si="2"/>
      </c>
    </row>
    <row r="13390">
      <c r="G13390" s="9">
        <f t="shared" si="0"/>
      </c>
      <c r="L13390">
        <f t="shared" si="1"/>
      </c>
      <c r="M13390">
        <f t="shared" si="2"/>
      </c>
    </row>
    <row r="13391">
      <c r="G13391" s="9">
        <f t="shared" si="0"/>
      </c>
      <c r="L13391">
        <f t="shared" si="1"/>
      </c>
      <c r="M13391">
        <f t="shared" si="2"/>
      </c>
    </row>
    <row r="13392">
      <c r="G13392" s="9">
        <f t="shared" si="0"/>
      </c>
      <c r="L13392">
        <f t="shared" si="1"/>
      </c>
      <c r="M13392">
        <f t="shared" si="2"/>
      </c>
    </row>
    <row r="13393">
      <c r="G13393" s="9">
        <f t="shared" si="0"/>
      </c>
      <c r="L13393">
        <f t="shared" si="1"/>
      </c>
      <c r="M13393">
        <f t="shared" si="2"/>
      </c>
    </row>
    <row r="13394">
      <c r="G13394" s="9">
        <f t="shared" si="0"/>
      </c>
      <c r="L13394">
        <f t="shared" si="1"/>
      </c>
      <c r="M13394">
        <f t="shared" si="2"/>
      </c>
    </row>
    <row r="13395">
      <c r="G13395" s="9">
        <f t="shared" si="0"/>
      </c>
      <c r="L13395">
        <f t="shared" si="1"/>
      </c>
      <c r="M13395">
        <f t="shared" si="2"/>
      </c>
    </row>
    <row r="13396">
      <c r="G13396" s="9">
        <f t="shared" si="0"/>
      </c>
      <c r="L13396">
        <f t="shared" si="1"/>
      </c>
      <c r="M13396">
        <f t="shared" si="2"/>
      </c>
    </row>
    <row r="13397">
      <c r="G13397" s="9">
        <f t="shared" si="0"/>
      </c>
      <c r="L13397">
        <f t="shared" si="1"/>
      </c>
      <c r="M13397">
        <f t="shared" si="2"/>
      </c>
    </row>
    <row r="13398">
      <c r="G13398" s="9">
        <f t="shared" si="0"/>
      </c>
      <c r="L13398">
        <f t="shared" si="1"/>
      </c>
      <c r="M13398">
        <f t="shared" si="2"/>
      </c>
    </row>
    <row r="13399">
      <c r="G13399" s="9">
        <f t="shared" si="0"/>
      </c>
      <c r="L13399">
        <f t="shared" si="1"/>
      </c>
      <c r="M13399">
        <f t="shared" si="2"/>
      </c>
    </row>
    <row r="13400">
      <c r="G13400" s="9">
        <f t="shared" si="0"/>
      </c>
      <c r="L13400">
        <f t="shared" si="1"/>
      </c>
      <c r="M13400">
        <f t="shared" si="2"/>
      </c>
    </row>
    <row r="13401">
      <c r="G13401" s="9">
        <f t="shared" si="0"/>
      </c>
      <c r="L13401">
        <f t="shared" si="1"/>
      </c>
      <c r="M13401">
        <f t="shared" si="2"/>
      </c>
    </row>
    <row r="13402">
      <c r="G13402" s="9">
        <f t="shared" si="0"/>
      </c>
      <c r="L13402">
        <f t="shared" si="1"/>
      </c>
      <c r="M13402">
        <f t="shared" si="2"/>
      </c>
    </row>
    <row r="13403">
      <c r="G13403" s="9">
        <f t="shared" si="0"/>
      </c>
      <c r="L13403">
        <f t="shared" si="1"/>
      </c>
      <c r="M13403">
        <f t="shared" si="2"/>
      </c>
    </row>
    <row r="13404">
      <c r="G13404" s="9">
        <f t="shared" si="0"/>
      </c>
      <c r="L13404">
        <f t="shared" si="1"/>
      </c>
      <c r="M13404">
        <f t="shared" si="2"/>
      </c>
    </row>
    <row r="13405">
      <c r="G13405" s="9">
        <f t="shared" si="0"/>
      </c>
      <c r="L13405">
        <f t="shared" si="1"/>
      </c>
      <c r="M13405">
        <f t="shared" si="2"/>
      </c>
    </row>
    <row r="13406">
      <c r="G13406" s="9">
        <f t="shared" si="0"/>
      </c>
      <c r="L13406">
        <f t="shared" si="1"/>
      </c>
      <c r="M13406">
        <f t="shared" si="2"/>
      </c>
    </row>
    <row r="13407">
      <c r="G13407" s="9">
        <f t="shared" si="0"/>
      </c>
      <c r="L13407">
        <f t="shared" si="1"/>
      </c>
      <c r="M13407">
        <f t="shared" si="2"/>
      </c>
    </row>
    <row r="13408">
      <c r="G13408" s="9">
        <f t="shared" si="0"/>
      </c>
      <c r="L13408">
        <f t="shared" si="1"/>
      </c>
      <c r="M13408">
        <f t="shared" si="2"/>
      </c>
    </row>
    <row r="13409">
      <c r="G13409" s="9">
        <f t="shared" si="0"/>
      </c>
      <c r="L13409">
        <f t="shared" si="1"/>
      </c>
      <c r="M13409">
        <f t="shared" si="2"/>
      </c>
    </row>
    <row r="13410">
      <c r="G13410" s="9">
        <f t="shared" si="0"/>
      </c>
      <c r="L13410">
        <f t="shared" si="1"/>
      </c>
      <c r="M13410">
        <f t="shared" si="2"/>
      </c>
    </row>
    <row r="13411">
      <c r="G13411" s="9">
        <f t="shared" si="0"/>
      </c>
      <c r="L13411">
        <f t="shared" si="1"/>
      </c>
      <c r="M13411">
        <f t="shared" si="2"/>
      </c>
    </row>
    <row r="13412">
      <c r="G13412" s="9">
        <f t="shared" si="0"/>
      </c>
      <c r="L13412">
        <f t="shared" si="1"/>
      </c>
      <c r="M13412">
        <f t="shared" si="2"/>
      </c>
    </row>
    <row r="13413">
      <c r="G13413" s="9">
        <f t="shared" si="0"/>
      </c>
      <c r="L13413">
        <f t="shared" si="1"/>
      </c>
      <c r="M13413">
        <f t="shared" si="2"/>
      </c>
    </row>
    <row r="13414">
      <c r="G13414" s="9">
        <f t="shared" si="0"/>
      </c>
      <c r="L13414">
        <f t="shared" si="1"/>
      </c>
      <c r="M13414">
        <f t="shared" si="2"/>
      </c>
    </row>
    <row r="13415">
      <c r="G13415" s="9">
        <f t="shared" si="0"/>
      </c>
      <c r="L13415">
        <f t="shared" si="1"/>
      </c>
      <c r="M13415">
        <f t="shared" si="2"/>
      </c>
    </row>
    <row r="13416">
      <c r="G13416" s="9">
        <f t="shared" si="0"/>
      </c>
      <c r="L13416">
        <f t="shared" si="1"/>
      </c>
      <c r="M13416">
        <f t="shared" si="2"/>
      </c>
    </row>
    <row r="13417">
      <c r="G13417" s="9">
        <f t="shared" si="0"/>
      </c>
      <c r="L13417">
        <f t="shared" si="1"/>
      </c>
      <c r="M13417">
        <f t="shared" si="2"/>
      </c>
    </row>
    <row r="13418">
      <c r="G13418" s="9">
        <f t="shared" si="0"/>
      </c>
      <c r="L13418">
        <f t="shared" si="1"/>
      </c>
      <c r="M13418">
        <f t="shared" si="2"/>
      </c>
    </row>
    <row r="13419">
      <c r="G13419" s="9">
        <f t="shared" si="0"/>
      </c>
      <c r="L13419">
        <f t="shared" si="1"/>
      </c>
      <c r="M13419">
        <f t="shared" si="2"/>
      </c>
    </row>
    <row r="13420">
      <c r="G13420" s="9">
        <f t="shared" si="0"/>
      </c>
      <c r="L13420">
        <f t="shared" si="1"/>
      </c>
      <c r="M13420">
        <f t="shared" si="2"/>
      </c>
    </row>
    <row r="13421">
      <c r="G13421" s="9">
        <f t="shared" si="0"/>
      </c>
      <c r="L13421">
        <f t="shared" si="1"/>
      </c>
      <c r="M13421">
        <f t="shared" si="2"/>
      </c>
    </row>
    <row r="13422">
      <c r="G13422" s="9">
        <f t="shared" si="0"/>
      </c>
      <c r="L13422">
        <f t="shared" si="1"/>
      </c>
      <c r="M13422">
        <f t="shared" si="2"/>
      </c>
    </row>
    <row r="13423">
      <c r="G13423" s="9">
        <f t="shared" si="0"/>
      </c>
      <c r="L13423">
        <f t="shared" si="1"/>
      </c>
      <c r="M13423">
        <f t="shared" si="2"/>
      </c>
    </row>
    <row r="13424">
      <c r="G13424" s="9">
        <f t="shared" si="0"/>
      </c>
      <c r="L13424">
        <f t="shared" si="1"/>
      </c>
      <c r="M13424">
        <f t="shared" si="2"/>
      </c>
    </row>
    <row r="13425">
      <c r="G13425" s="9">
        <f t="shared" si="0"/>
      </c>
      <c r="L13425">
        <f t="shared" si="1"/>
      </c>
      <c r="M13425">
        <f t="shared" si="2"/>
      </c>
    </row>
    <row r="13426">
      <c r="G13426" s="9">
        <f t="shared" si="0"/>
      </c>
      <c r="L13426">
        <f t="shared" si="1"/>
      </c>
      <c r="M13426">
        <f t="shared" si="2"/>
      </c>
    </row>
    <row r="13427">
      <c r="G13427" s="9">
        <f t="shared" si="0"/>
      </c>
      <c r="L13427">
        <f t="shared" si="1"/>
      </c>
      <c r="M13427">
        <f t="shared" si="2"/>
      </c>
    </row>
    <row r="13428">
      <c r="G13428" s="9">
        <f t="shared" si="0"/>
      </c>
      <c r="L13428">
        <f t="shared" si="1"/>
      </c>
      <c r="M13428">
        <f t="shared" si="2"/>
      </c>
    </row>
    <row r="13429">
      <c r="G13429" s="9">
        <f t="shared" si="0"/>
      </c>
      <c r="L13429">
        <f t="shared" si="1"/>
      </c>
      <c r="M13429">
        <f t="shared" si="2"/>
      </c>
    </row>
    <row r="13430">
      <c r="G13430" s="9">
        <f t="shared" si="0"/>
      </c>
      <c r="L13430">
        <f t="shared" si="1"/>
      </c>
      <c r="M13430">
        <f t="shared" si="2"/>
      </c>
    </row>
    <row r="13431">
      <c r="G13431" s="9">
        <f t="shared" si="0"/>
      </c>
      <c r="L13431">
        <f t="shared" si="1"/>
      </c>
      <c r="M13431">
        <f t="shared" si="2"/>
      </c>
    </row>
    <row r="13432">
      <c r="G13432" s="9">
        <f t="shared" si="0"/>
      </c>
      <c r="L13432">
        <f t="shared" si="1"/>
      </c>
      <c r="M13432">
        <f t="shared" si="2"/>
      </c>
    </row>
    <row r="13433">
      <c r="G13433" s="9">
        <f t="shared" si="0"/>
      </c>
      <c r="L13433">
        <f t="shared" si="1"/>
      </c>
      <c r="M13433">
        <f t="shared" si="2"/>
      </c>
    </row>
    <row r="13434">
      <c r="G13434" s="9">
        <f t="shared" si="0"/>
      </c>
      <c r="L13434">
        <f t="shared" si="1"/>
      </c>
      <c r="M13434">
        <f t="shared" si="2"/>
      </c>
    </row>
    <row r="13435">
      <c r="G13435" s="9">
        <f t="shared" si="0"/>
      </c>
      <c r="L13435">
        <f t="shared" si="1"/>
      </c>
      <c r="M13435">
        <f t="shared" si="2"/>
      </c>
    </row>
    <row r="13436">
      <c r="G13436" s="9">
        <f t="shared" si="0"/>
      </c>
      <c r="L13436">
        <f t="shared" si="1"/>
      </c>
      <c r="M13436">
        <f t="shared" si="2"/>
      </c>
    </row>
    <row r="13437">
      <c r="G13437" s="9">
        <f t="shared" si="0"/>
      </c>
      <c r="L13437">
        <f t="shared" si="1"/>
      </c>
      <c r="M13437">
        <f t="shared" si="2"/>
      </c>
    </row>
    <row r="13438">
      <c r="G13438" s="9">
        <f t="shared" si="0"/>
      </c>
      <c r="L13438">
        <f t="shared" si="1"/>
      </c>
      <c r="M13438">
        <f t="shared" si="2"/>
      </c>
    </row>
    <row r="13439">
      <c r="G13439" s="9">
        <f t="shared" si="0"/>
      </c>
      <c r="L13439">
        <f t="shared" si="1"/>
      </c>
      <c r="M13439">
        <f t="shared" si="2"/>
      </c>
    </row>
    <row r="13440">
      <c r="G13440" s="9">
        <f t="shared" si="0"/>
      </c>
      <c r="L13440">
        <f t="shared" si="1"/>
      </c>
      <c r="M13440">
        <f t="shared" si="2"/>
      </c>
    </row>
    <row r="13441">
      <c r="G13441" s="9">
        <f t="shared" si="0"/>
      </c>
      <c r="L13441">
        <f t="shared" si="1"/>
      </c>
      <c r="M13441">
        <f t="shared" si="2"/>
      </c>
    </row>
    <row r="13442">
      <c r="G13442" s="9">
        <f t="shared" si="0"/>
      </c>
      <c r="L13442">
        <f t="shared" si="1"/>
      </c>
      <c r="M13442">
        <f t="shared" si="2"/>
      </c>
    </row>
    <row r="13443">
      <c r="G13443" s="9">
        <f t="shared" si="0"/>
      </c>
      <c r="L13443">
        <f t="shared" si="1"/>
      </c>
      <c r="M13443">
        <f t="shared" si="2"/>
      </c>
    </row>
    <row r="13444">
      <c r="G13444" s="9">
        <f t="shared" si="0"/>
      </c>
      <c r="L13444">
        <f t="shared" si="1"/>
      </c>
      <c r="M13444">
        <f t="shared" si="2"/>
      </c>
    </row>
    <row r="13445">
      <c r="G13445" s="9">
        <f t="shared" si="0"/>
      </c>
      <c r="L13445">
        <f t="shared" si="1"/>
      </c>
      <c r="M13445">
        <f t="shared" si="2"/>
      </c>
    </row>
    <row r="13446">
      <c r="G13446" s="9">
        <f t="shared" si="0"/>
      </c>
      <c r="L13446">
        <f t="shared" si="1"/>
      </c>
      <c r="M13446">
        <f t="shared" si="2"/>
      </c>
    </row>
    <row r="13447">
      <c r="G13447" s="9">
        <f t="shared" si="0"/>
      </c>
      <c r="L13447">
        <f t="shared" si="1"/>
      </c>
      <c r="M13447">
        <f t="shared" si="2"/>
      </c>
    </row>
    <row r="13448">
      <c r="G13448" s="9">
        <f t="shared" si="0"/>
      </c>
      <c r="L13448">
        <f t="shared" si="1"/>
      </c>
      <c r="M13448">
        <f t="shared" si="2"/>
      </c>
    </row>
    <row r="13449">
      <c r="G13449" s="9">
        <f t="shared" si="0"/>
      </c>
      <c r="L13449">
        <f t="shared" si="1"/>
      </c>
      <c r="M13449">
        <f t="shared" si="2"/>
      </c>
    </row>
    <row r="13450">
      <c r="G13450" s="9">
        <f t="shared" si="0"/>
      </c>
      <c r="L13450">
        <f t="shared" si="1"/>
      </c>
      <c r="M13450">
        <f t="shared" si="2"/>
      </c>
    </row>
    <row r="13451">
      <c r="G13451" s="9">
        <f t="shared" si="0"/>
      </c>
      <c r="L13451">
        <f t="shared" si="1"/>
      </c>
      <c r="M13451">
        <f t="shared" si="2"/>
      </c>
    </row>
    <row r="13452">
      <c r="G13452" s="9">
        <f t="shared" si="0"/>
      </c>
      <c r="L13452">
        <f t="shared" si="1"/>
      </c>
      <c r="M13452">
        <f t="shared" si="2"/>
      </c>
    </row>
    <row r="13453">
      <c r="G13453" s="9">
        <f t="shared" si="0"/>
      </c>
      <c r="L13453">
        <f t="shared" si="1"/>
      </c>
      <c r="M13453">
        <f t="shared" si="2"/>
      </c>
    </row>
    <row r="13454">
      <c r="G13454" s="9">
        <f t="shared" si="0"/>
      </c>
      <c r="L13454">
        <f t="shared" si="1"/>
      </c>
      <c r="M13454">
        <f t="shared" si="2"/>
      </c>
    </row>
    <row r="13455">
      <c r="G13455" s="9">
        <f t="shared" si="0"/>
      </c>
      <c r="L13455">
        <f t="shared" si="1"/>
      </c>
      <c r="M13455">
        <f t="shared" si="2"/>
      </c>
    </row>
    <row r="13456">
      <c r="G13456" s="9">
        <f t="shared" si="0"/>
      </c>
      <c r="L13456">
        <f t="shared" si="1"/>
      </c>
      <c r="M13456">
        <f t="shared" si="2"/>
      </c>
    </row>
    <row r="13457">
      <c r="G13457" s="9">
        <f t="shared" si="0"/>
      </c>
      <c r="L13457">
        <f t="shared" si="1"/>
      </c>
      <c r="M13457">
        <f t="shared" si="2"/>
      </c>
    </row>
    <row r="13458">
      <c r="G13458" s="9">
        <f t="shared" si="0"/>
      </c>
      <c r="L13458">
        <f t="shared" si="1"/>
      </c>
      <c r="M13458">
        <f t="shared" si="2"/>
      </c>
    </row>
    <row r="13459">
      <c r="G13459" s="9">
        <f t="shared" si="0"/>
      </c>
      <c r="L13459">
        <f t="shared" si="1"/>
      </c>
      <c r="M13459">
        <f t="shared" si="2"/>
      </c>
    </row>
    <row r="13460">
      <c r="G13460" s="9">
        <f t="shared" si="0"/>
      </c>
      <c r="L13460">
        <f t="shared" si="1"/>
      </c>
      <c r="M13460">
        <f t="shared" si="2"/>
      </c>
    </row>
    <row r="13461">
      <c r="G13461" s="9">
        <f t="shared" si="0"/>
      </c>
      <c r="L13461">
        <f t="shared" si="1"/>
      </c>
      <c r="M13461">
        <f t="shared" si="2"/>
      </c>
    </row>
    <row r="13462">
      <c r="G13462" s="9">
        <f t="shared" si="0"/>
      </c>
      <c r="L13462">
        <f t="shared" si="1"/>
      </c>
      <c r="M13462">
        <f t="shared" si="2"/>
      </c>
    </row>
    <row r="13463">
      <c r="G13463" s="9">
        <f t="shared" si="0"/>
      </c>
      <c r="L13463">
        <f t="shared" si="1"/>
      </c>
      <c r="M13463">
        <f t="shared" si="2"/>
      </c>
    </row>
    <row r="13464">
      <c r="G13464" s="9">
        <f t="shared" si="0"/>
      </c>
      <c r="L13464">
        <f t="shared" si="1"/>
      </c>
      <c r="M13464">
        <f t="shared" si="2"/>
      </c>
    </row>
    <row r="13465">
      <c r="G13465" s="9">
        <f t="shared" si="0"/>
      </c>
      <c r="L13465">
        <f t="shared" si="1"/>
      </c>
      <c r="M13465">
        <f t="shared" si="2"/>
      </c>
    </row>
    <row r="13466">
      <c r="G13466" s="9">
        <f t="shared" si="0"/>
      </c>
      <c r="L13466">
        <f t="shared" si="1"/>
      </c>
      <c r="M13466">
        <f t="shared" si="2"/>
      </c>
    </row>
    <row r="13467">
      <c r="G13467" s="9">
        <f t="shared" si="0"/>
      </c>
      <c r="L13467">
        <f t="shared" si="1"/>
      </c>
      <c r="M13467">
        <f t="shared" si="2"/>
      </c>
    </row>
    <row r="13468">
      <c r="G13468" s="9">
        <f t="shared" si="0"/>
      </c>
      <c r="L13468">
        <f t="shared" si="1"/>
      </c>
      <c r="M13468">
        <f t="shared" si="2"/>
      </c>
    </row>
    <row r="13469">
      <c r="G13469" s="9">
        <f t="shared" si="0"/>
      </c>
      <c r="L13469">
        <f t="shared" si="1"/>
      </c>
      <c r="M13469">
        <f t="shared" si="2"/>
      </c>
    </row>
    <row r="13470">
      <c r="G13470" s="9">
        <f t="shared" si="0"/>
      </c>
      <c r="L13470">
        <f t="shared" si="1"/>
      </c>
      <c r="M13470">
        <f t="shared" si="2"/>
      </c>
    </row>
    <row r="13471">
      <c r="G13471" s="9">
        <f t="shared" si="0"/>
      </c>
      <c r="L13471">
        <f t="shared" si="1"/>
      </c>
      <c r="M13471">
        <f t="shared" si="2"/>
      </c>
    </row>
    <row r="13472">
      <c r="G13472" s="9">
        <f t="shared" si="0"/>
      </c>
      <c r="L13472">
        <f t="shared" si="1"/>
      </c>
      <c r="M13472">
        <f t="shared" si="2"/>
      </c>
    </row>
    <row r="13473">
      <c r="G13473" s="9">
        <f t="shared" si="0"/>
      </c>
      <c r="L13473">
        <f t="shared" si="1"/>
      </c>
      <c r="M13473">
        <f t="shared" si="2"/>
      </c>
    </row>
    <row r="13474">
      <c r="G13474" s="9">
        <f t="shared" si="0"/>
      </c>
      <c r="L13474">
        <f t="shared" si="1"/>
      </c>
      <c r="M13474">
        <f t="shared" si="2"/>
      </c>
    </row>
    <row r="13475">
      <c r="G13475" s="9">
        <f t="shared" si="0"/>
      </c>
      <c r="L13475">
        <f t="shared" si="1"/>
      </c>
      <c r="M13475">
        <f t="shared" si="2"/>
      </c>
    </row>
    <row r="13476">
      <c r="G13476" s="9">
        <f t="shared" si="0"/>
      </c>
      <c r="L13476">
        <f t="shared" si="1"/>
      </c>
      <c r="M13476">
        <f t="shared" si="2"/>
      </c>
    </row>
    <row r="13477">
      <c r="G13477" s="9">
        <f t="shared" si="0"/>
      </c>
      <c r="L13477">
        <f t="shared" si="1"/>
      </c>
      <c r="M13477">
        <f t="shared" si="2"/>
      </c>
    </row>
    <row r="13478">
      <c r="G13478" s="9">
        <f t="shared" si="0"/>
      </c>
      <c r="L13478">
        <f t="shared" si="1"/>
      </c>
      <c r="M13478">
        <f t="shared" si="2"/>
      </c>
    </row>
    <row r="13479">
      <c r="G13479" s="9">
        <f t="shared" si="0"/>
      </c>
      <c r="L13479">
        <f t="shared" si="1"/>
      </c>
      <c r="M13479">
        <f t="shared" si="2"/>
      </c>
    </row>
    <row r="13480">
      <c r="G13480" s="9">
        <f t="shared" si="0"/>
      </c>
      <c r="L13480">
        <f t="shared" si="1"/>
      </c>
      <c r="M13480">
        <f t="shared" si="2"/>
      </c>
    </row>
    <row r="13481">
      <c r="G13481" s="9">
        <f t="shared" si="0"/>
      </c>
      <c r="L13481">
        <f t="shared" si="1"/>
      </c>
      <c r="M13481">
        <f t="shared" si="2"/>
      </c>
    </row>
    <row r="13482">
      <c r="G13482" s="9">
        <f t="shared" si="0"/>
      </c>
      <c r="L13482">
        <f t="shared" si="1"/>
      </c>
      <c r="M13482">
        <f t="shared" si="2"/>
      </c>
    </row>
    <row r="13483">
      <c r="G13483" s="9">
        <f t="shared" si="0"/>
      </c>
      <c r="L13483">
        <f t="shared" si="1"/>
      </c>
      <c r="M13483">
        <f t="shared" si="2"/>
      </c>
    </row>
    <row r="13484">
      <c r="G13484" s="9">
        <f t="shared" si="0"/>
      </c>
      <c r="L13484">
        <f t="shared" si="1"/>
      </c>
      <c r="M13484">
        <f t="shared" si="2"/>
      </c>
    </row>
    <row r="13485">
      <c r="G13485" s="9">
        <f t="shared" si="0"/>
      </c>
      <c r="L13485">
        <f t="shared" si="1"/>
      </c>
      <c r="M13485">
        <f t="shared" si="2"/>
      </c>
    </row>
    <row r="13486">
      <c r="G13486" s="9">
        <f t="shared" si="0"/>
      </c>
      <c r="L13486">
        <f t="shared" si="1"/>
      </c>
      <c r="M13486">
        <f t="shared" si="2"/>
      </c>
    </row>
    <row r="13487">
      <c r="G13487" s="9">
        <f t="shared" si="0"/>
      </c>
      <c r="L13487">
        <f t="shared" si="1"/>
      </c>
      <c r="M13487">
        <f t="shared" si="2"/>
      </c>
    </row>
    <row r="13488">
      <c r="G13488" s="9">
        <f t="shared" si="0"/>
      </c>
      <c r="L13488">
        <f t="shared" si="1"/>
      </c>
      <c r="M13488">
        <f t="shared" si="2"/>
      </c>
    </row>
    <row r="13489">
      <c r="G13489" s="9">
        <f t="shared" si="0"/>
      </c>
      <c r="L13489">
        <f t="shared" si="1"/>
      </c>
      <c r="M13489">
        <f t="shared" si="2"/>
      </c>
    </row>
    <row r="13490">
      <c r="G13490" s="9">
        <f t="shared" si="0"/>
      </c>
      <c r="L13490">
        <f t="shared" si="1"/>
      </c>
      <c r="M13490">
        <f t="shared" si="2"/>
      </c>
    </row>
    <row r="13491">
      <c r="G13491" s="9">
        <f t="shared" si="0"/>
      </c>
      <c r="L13491">
        <f t="shared" si="1"/>
      </c>
      <c r="M13491">
        <f t="shared" si="2"/>
      </c>
    </row>
    <row r="13492">
      <c r="G13492" s="9">
        <f t="shared" si="0"/>
      </c>
      <c r="L13492">
        <f t="shared" si="1"/>
      </c>
      <c r="M13492">
        <f t="shared" si="2"/>
      </c>
    </row>
    <row r="13493">
      <c r="G13493" s="9">
        <f t="shared" si="0"/>
      </c>
      <c r="L13493">
        <f t="shared" si="1"/>
      </c>
      <c r="M13493">
        <f t="shared" si="2"/>
      </c>
    </row>
    <row r="13494">
      <c r="G13494" s="9">
        <f t="shared" si="0"/>
      </c>
      <c r="L13494">
        <f t="shared" si="1"/>
      </c>
      <c r="M13494">
        <f t="shared" si="2"/>
      </c>
    </row>
    <row r="13495">
      <c r="G13495" s="9">
        <f t="shared" si="0"/>
      </c>
      <c r="L13495">
        <f t="shared" si="1"/>
      </c>
      <c r="M13495">
        <f t="shared" si="2"/>
      </c>
    </row>
    <row r="13496">
      <c r="G13496" s="9">
        <f t="shared" si="0"/>
      </c>
      <c r="L13496">
        <f t="shared" si="1"/>
      </c>
      <c r="M13496">
        <f t="shared" si="2"/>
      </c>
    </row>
    <row r="13497">
      <c r="G13497" s="9">
        <f t="shared" si="0"/>
      </c>
      <c r="L13497">
        <f t="shared" si="1"/>
      </c>
      <c r="M13497">
        <f t="shared" si="2"/>
      </c>
    </row>
    <row r="13498">
      <c r="G13498" s="9">
        <f t="shared" si="0"/>
      </c>
      <c r="L13498">
        <f t="shared" si="1"/>
      </c>
      <c r="M13498">
        <f t="shared" si="2"/>
      </c>
    </row>
    <row r="13499">
      <c r="G13499" s="9">
        <f t="shared" si="0"/>
      </c>
      <c r="L13499">
        <f t="shared" si="1"/>
      </c>
      <c r="M13499">
        <f t="shared" si="2"/>
      </c>
    </row>
    <row r="13500">
      <c r="G13500" s="9">
        <f t="shared" si="0"/>
      </c>
      <c r="L13500">
        <f t="shared" si="1"/>
      </c>
      <c r="M13500">
        <f t="shared" si="2"/>
      </c>
    </row>
    <row r="13501">
      <c r="G13501" s="9">
        <f t="shared" si="0"/>
      </c>
      <c r="L13501">
        <f t="shared" si="1"/>
      </c>
      <c r="M13501">
        <f t="shared" si="2"/>
      </c>
    </row>
    <row r="13502">
      <c r="G13502" s="9">
        <f t="shared" si="0"/>
      </c>
      <c r="L13502">
        <f t="shared" si="1"/>
      </c>
      <c r="M13502">
        <f t="shared" si="2"/>
      </c>
    </row>
    <row r="13503">
      <c r="G13503" s="9">
        <f t="shared" si="0"/>
      </c>
      <c r="L13503">
        <f t="shared" si="1"/>
      </c>
      <c r="M13503">
        <f t="shared" si="2"/>
      </c>
    </row>
    <row r="13504">
      <c r="G13504" s="9">
        <f t="shared" si="0"/>
      </c>
      <c r="L13504">
        <f t="shared" si="1"/>
      </c>
      <c r="M13504">
        <f t="shared" si="2"/>
      </c>
    </row>
    <row r="13505">
      <c r="G13505" s="9">
        <f t="shared" si="0"/>
      </c>
      <c r="L13505">
        <f t="shared" si="1"/>
      </c>
      <c r="M13505">
        <f t="shared" si="2"/>
      </c>
    </row>
    <row r="13506">
      <c r="G13506" s="9">
        <f t="shared" si="0"/>
      </c>
      <c r="L13506">
        <f t="shared" si="1"/>
      </c>
      <c r="M13506">
        <f t="shared" si="2"/>
      </c>
    </row>
    <row r="13507">
      <c r="G13507" s="9">
        <f t="shared" si="0"/>
      </c>
      <c r="L13507">
        <f t="shared" si="1"/>
      </c>
      <c r="M13507">
        <f t="shared" si="2"/>
      </c>
    </row>
    <row r="13508">
      <c r="G13508" s="9">
        <f t="shared" si="0"/>
      </c>
      <c r="L13508">
        <f t="shared" si="1"/>
      </c>
      <c r="M13508">
        <f t="shared" si="2"/>
      </c>
    </row>
    <row r="13509">
      <c r="G13509" s="9">
        <f t="shared" si="0"/>
      </c>
      <c r="L13509">
        <f t="shared" si="1"/>
      </c>
      <c r="M13509">
        <f t="shared" si="2"/>
      </c>
    </row>
    <row r="13510">
      <c r="G13510" s="9">
        <f t="shared" si="0"/>
      </c>
      <c r="L13510">
        <f t="shared" si="1"/>
      </c>
      <c r="M13510">
        <f t="shared" si="2"/>
      </c>
    </row>
    <row r="13511">
      <c r="G13511" s="9">
        <f t="shared" si="0"/>
      </c>
      <c r="L13511">
        <f t="shared" si="1"/>
      </c>
      <c r="M13511">
        <f t="shared" si="2"/>
      </c>
    </row>
    <row r="13512">
      <c r="G13512" s="9">
        <f t="shared" si="0"/>
      </c>
      <c r="L13512">
        <f t="shared" si="1"/>
      </c>
      <c r="M13512">
        <f t="shared" si="2"/>
      </c>
    </row>
    <row r="13513">
      <c r="G13513" s="9">
        <f t="shared" si="0"/>
      </c>
      <c r="L13513">
        <f t="shared" si="1"/>
      </c>
      <c r="M13513">
        <f t="shared" si="2"/>
      </c>
    </row>
    <row r="13514">
      <c r="G13514" s="9">
        <f t="shared" si="0"/>
      </c>
      <c r="L13514">
        <f t="shared" si="1"/>
      </c>
      <c r="M13514">
        <f t="shared" si="2"/>
      </c>
    </row>
    <row r="13515">
      <c r="G13515" s="9">
        <f t="shared" si="0"/>
      </c>
      <c r="L13515">
        <f t="shared" si="1"/>
      </c>
      <c r="M13515">
        <f t="shared" si="2"/>
      </c>
    </row>
    <row r="13516">
      <c r="G13516" s="9">
        <f t="shared" si="0"/>
      </c>
      <c r="L13516">
        <f t="shared" si="1"/>
      </c>
      <c r="M13516">
        <f t="shared" si="2"/>
      </c>
    </row>
    <row r="13517">
      <c r="G13517" s="9">
        <f t="shared" si="0"/>
      </c>
      <c r="L13517">
        <f t="shared" si="1"/>
      </c>
      <c r="M13517">
        <f t="shared" si="2"/>
      </c>
    </row>
    <row r="13518">
      <c r="G13518" s="9">
        <f t="shared" si="0"/>
      </c>
      <c r="L13518">
        <f t="shared" si="1"/>
      </c>
      <c r="M13518">
        <f t="shared" si="2"/>
      </c>
    </row>
    <row r="13519">
      <c r="G13519" s="9">
        <f t="shared" si="0"/>
      </c>
      <c r="L13519">
        <f t="shared" si="1"/>
      </c>
      <c r="M13519">
        <f t="shared" si="2"/>
      </c>
    </row>
    <row r="13520">
      <c r="G13520" s="9">
        <f t="shared" si="0"/>
      </c>
      <c r="L13520">
        <f t="shared" si="1"/>
      </c>
      <c r="M13520">
        <f t="shared" si="2"/>
      </c>
    </row>
    <row r="13521">
      <c r="G13521" s="9">
        <f t="shared" si="0"/>
      </c>
      <c r="L13521">
        <f t="shared" si="1"/>
      </c>
      <c r="M13521">
        <f t="shared" si="2"/>
      </c>
    </row>
    <row r="13522">
      <c r="G13522" s="9">
        <f t="shared" si="0"/>
      </c>
      <c r="L13522">
        <f t="shared" si="1"/>
      </c>
      <c r="M13522">
        <f t="shared" si="2"/>
      </c>
    </row>
    <row r="13523">
      <c r="G13523" s="9">
        <f t="shared" si="0"/>
      </c>
      <c r="L13523">
        <f t="shared" si="1"/>
      </c>
      <c r="M13523">
        <f t="shared" si="2"/>
      </c>
    </row>
    <row r="13524">
      <c r="G13524" s="9">
        <f t="shared" si="0"/>
      </c>
      <c r="L13524">
        <f t="shared" si="1"/>
      </c>
      <c r="M13524">
        <f t="shared" si="2"/>
      </c>
    </row>
    <row r="13525">
      <c r="G13525" s="9">
        <f t="shared" si="0"/>
      </c>
      <c r="L13525">
        <f t="shared" si="1"/>
      </c>
      <c r="M13525">
        <f t="shared" si="2"/>
      </c>
    </row>
    <row r="13526">
      <c r="G13526" s="9">
        <f t="shared" si="0"/>
      </c>
      <c r="L13526">
        <f t="shared" si="1"/>
      </c>
      <c r="M13526">
        <f t="shared" si="2"/>
      </c>
    </row>
    <row r="13527">
      <c r="G13527" s="9">
        <f t="shared" si="0"/>
      </c>
      <c r="L13527">
        <f t="shared" si="1"/>
      </c>
      <c r="M13527">
        <f t="shared" si="2"/>
      </c>
    </row>
    <row r="13528">
      <c r="G13528" s="9">
        <f t="shared" si="0"/>
      </c>
      <c r="L13528">
        <f t="shared" si="1"/>
      </c>
      <c r="M13528">
        <f t="shared" si="2"/>
      </c>
    </row>
    <row r="13529">
      <c r="G13529" s="9">
        <f t="shared" si="0"/>
      </c>
      <c r="L13529">
        <f t="shared" si="1"/>
      </c>
      <c r="M13529">
        <f t="shared" si="2"/>
      </c>
    </row>
    <row r="13530">
      <c r="G13530" s="9">
        <f t="shared" si="0"/>
      </c>
      <c r="L13530">
        <f t="shared" si="1"/>
      </c>
      <c r="M13530">
        <f t="shared" si="2"/>
      </c>
    </row>
    <row r="13531">
      <c r="G13531" s="9">
        <f t="shared" si="0"/>
      </c>
      <c r="L13531">
        <f t="shared" si="1"/>
      </c>
      <c r="M13531">
        <f t="shared" si="2"/>
      </c>
    </row>
    <row r="13532">
      <c r="G13532" s="9">
        <f t="shared" si="0"/>
      </c>
      <c r="L13532">
        <f t="shared" si="1"/>
      </c>
      <c r="M13532">
        <f t="shared" si="2"/>
      </c>
    </row>
    <row r="13533">
      <c r="G13533" s="9">
        <f t="shared" si="0"/>
      </c>
      <c r="L13533">
        <f t="shared" si="1"/>
      </c>
      <c r="M13533">
        <f t="shared" si="2"/>
      </c>
    </row>
    <row r="13534">
      <c r="G13534" s="9">
        <f t="shared" si="0"/>
      </c>
      <c r="L13534">
        <f t="shared" si="1"/>
      </c>
      <c r="M13534">
        <f t="shared" si="2"/>
      </c>
    </row>
    <row r="13535">
      <c r="G13535" s="9">
        <f t="shared" si="0"/>
      </c>
      <c r="L13535">
        <f t="shared" si="1"/>
      </c>
      <c r="M13535">
        <f t="shared" si="2"/>
      </c>
    </row>
    <row r="13536">
      <c r="G13536" s="9">
        <f t="shared" si="0"/>
      </c>
      <c r="L13536">
        <f t="shared" si="1"/>
      </c>
      <c r="M13536">
        <f t="shared" si="2"/>
      </c>
    </row>
    <row r="13537">
      <c r="G13537" s="9">
        <f t="shared" si="0"/>
      </c>
      <c r="L13537">
        <f t="shared" si="1"/>
      </c>
      <c r="M13537">
        <f t="shared" si="2"/>
      </c>
    </row>
    <row r="13538">
      <c r="G13538" s="9">
        <f t="shared" si="0"/>
      </c>
      <c r="L13538">
        <f t="shared" si="1"/>
      </c>
      <c r="M13538">
        <f t="shared" si="2"/>
      </c>
    </row>
    <row r="13539">
      <c r="G13539" s="9">
        <f t="shared" si="0"/>
      </c>
      <c r="L13539">
        <f t="shared" si="1"/>
      </c>
      <c r="M13539">
        <f t="shared" si="2"/>
      </c>
    </row>
    <row r="13540">
      <c r="G13540" s="9">
        <f t="shared" si="0"/>
      </c>
      <c r="L13540">
        <f t="shared" si="1"/>
      </c>
      <c r="M13540">
        <f t="shared" si="2"/>
      </c>
    </row>
    <row r="13541">
      <c r="G13541" s="9">
        <f t="shared" si="0"/>
      </c>
      <c r="L13541">
        <f t="shared" si="1"/>
      </c>
      <c r="M13541">
        <f t="shared" si="2"/>
      </c>
    </row>
    <row r="13542">
      <c r="G13542" s="9">
        <f t="shared" si="0"/>
      </c>
      <c r="L13542">
        <f t="shared" si="1"/>
      </c>
      <c r="M13542">
        <f t="shared" si="2"/>
      </c>
    </row>
    <row r="13543">
      <c r="G13543" s="9">
        <f t="shared" si="0"/>
      </c>
      <c r="L13543">
        <f t="shared" si="1"/>
      </c>
      <c r="M13543">
        <f t="shared" si="2"/>
      </c>
    </row>
    <row r="13544">
      <c r="G13544" s="9">
        <f t="shared" si="0"/>
      </c>
      <c r="L13544">
        <f t="shared" si="1"/>
      </c>
      <c r="M13544">
        <f t="shared" si="2"/>
      </c>
    </row>
    <row r="13545">
      <c r="G13545" s="9">
        <f t="shared" si="0"/>
      </c>
      <c r="L13545">
        <f t="shared" si="1"/>
      </c>
      <c r="M13545">
        <f t="shared" si="2"/>
      </c>
    </row>
    <row r="13546">
      <c r="G13546" s="9">
        <f t="shared" si="0"/>
      </c>
      <c r="L13546">
        <f t="shared" si="1"/>
      </c>
      <c r="M13546">
        <f t="shared" si="2"/>
      </c>
    </row>
    <row r="13547">
      <c r="G13547" s="9">
        <f t="shared" si="0"/>
      </c>
      <c r="L13547">
        <f t="shared" si="1"/>
      </c>
      <c r="M13547">
        <f t="shared" si="2"/>
      </c>
    </row>
    <row r="13548">
      <c r="G13548" s="9">
        <f t="shared" si="0"/>
      </c>
      <c r="L13548">
        <f t="shared" si="1"/>
      </c>
      <c r="M13548">
        <f t="shared" si="2"/>
      </c>
    </row>
    <row r="13549">
      <c r="G13549" s="9">
        <f t="shared" si="0"/>
      </c>
      <c r="L13549">
        <f t="shared" si="1"/>
      </c>
      <c r="M13549">
        <f t="shared" si="2"/>
      </c>
    </row>
    <row r="13550">
      <c r="G13550" s="9">
        <f t="shared" si="0"/>
      </c>
      <c r="L13550">
        <f t="shared" si="1"/>
      </c>
      <c r="M13550">
        <f t="shared" si="2"/>
      </c>
    </row>
    <row r="13551">
      <c r="G13551" s="9">
        <f t="shared" si="0"/>
      </c>
      <c r="L13551">
        <f t="shared" si="1"/>
      </c>
      <c r="M13551">
        <f t="shared" si="2"/>
      </c>
    </row>
    <row r="13552">
      <c r="G13552" s="9">
        <f t="shared" si="0"/>
      </c>
      <c r="L13552">
        <f t="shared" si="1"/>
      </c>
      <c r="M13552">
        <f t="shared" si="2"/>
      </c>
    </row>
    <row r="13553">
      <c r="G13553" s="9">
        <f t="shared" si="0"/>
      </c>
      <c r="L13553">
        <f t="shared" si="1"/>
      </c>
      <c r="M13553">
        <f t="shared" si="2"/>
      </c>
    </row>
    <row r="13554">
      <c r="G13554" s="9">
        <f t="shared" si="0"/>
      </c>
      <c r="L13554">
        <f t="shared" si="1"/>
      </c>
      <c r="M13554">
        <f t="shared" si="2"/>
      </c>
    </row>
    <row r="13555">
      <c r="G13555" s="9">
        <f t="shared" si="0"/>
      </c>
      <c r="L13555">
        <f t="shared" si="1"/>
      </c>
      <c r="M13555">
        <f t="shared" si="2"/>
      </c>
    </row>
    <row r="13556">
      <c r="G13556" s="9">
        <f t="shared" si="0"/>
      </c>
      <c r="L13556">
        <f t="shared" si="1"/>
      </c>
      <c r="M13556">
        <f t="shared" si="2"/>
      </c>
    </row>
    <row r="13557">
      <c r="G13557" s="9">
        <f t="shared" si="0"/>
      </c>
      <c r="L13557">
        <f t="shared" si="1"/>
      </c>
      <c r="M13557">
        <f t="shared" si="2"/>
      </c>
    </row>
    <row r="13558">
      <c r="G13558" s="9">
        <f t="shared" si="0"/>
      </c>
      <c r="L13558">
        <f t="shared" si="1"/>
      </c>
      <c r="M13558">
        <f t="shared" si="2"/>
      </c>
    </row>
    <row r="13559">
      <c r="G13559" s="9">
        <f t="shared" si="0"/>
      </c>
      <c r="L13559">
        <f t="shared" si="1"/>
      </c>
      <c r="M13559">
        <f t="shared" si="2"/>
      </c>
    </row>
    <row r="13560">
      <c r="G13560" s="9">
        <f t="shared" si="0"/>
      </c>
      <c r="L13560">
        <f t="shared" si="1"/>
      </c>
      <c r="M13560">
        <f t="shared" si="2"/>
      </c>
    </row>
    <row r="13561">
      <c r="G13561" s="9">
        <f t="shared" si="0"/>
      </c>
      <c r="L13561">
        <f t="shared" si="1"/>
      </c>
      <c r="M13561">
        <f t="shared" si="2"/>
      </c>
    </row>
    <row r="13562">
      <c r="G13562" s="9">
        <f t="shared" si="0"/>
      </c>
      <c r="L13562">
        <f t="shared" si="1"/>
      </c>
      <c r="M13562">
        <f t="shared" si="2"/>
      </c>
    </row>
    <row r="13563">
      <c r="G13563" s="9">
        <f t="shared" si="0"/>
      </c>
      <c r="L13563">
        <f t="shared" si="1"/>
      </c>
      <c r="M13563">
        <f t="shared" si="2"/>
      </c>
    </row>
    <row r="13564">
      <c r="G13564" s="9">
        <f t="shared" si="0"/>
      </c>
      <c r="L13564">
        <f t="shared" si="1"/>
      </c>
      <c r="M13564">
        <f t="shared" si="2"/>
      </c>
    </row>
    <row r="13565">
      <c r="G13565" s="9">
        <f t="shared" si="0"/>
      </c>
      <c r="L13565">
        <f t="shared" si="1"/>
      </c>
      <c r="M13565">
        <f t="shared" si="2"/>
      </c>
    </row>
    <row r="13566">
      <c r="G13566" s="9">
        <f t="shared" si="0"/>
      </c>
      <c r="L13566">
        <f t="shared" si="1"/>
      </c>
      <c r="M13566">
        <f t="shared" si="2"/>
      </c>
    </row>
    <row r="13567">
      <c r="G13567" s="9">
        <f t="shared" si="0"/>
      </c>
      <c r="L13567">
        <f t="shared" si="1"/>
      </c>
      <c r="M13567">
        <f t="shared" si="2"/>
      </c>
    </row>
    <row r="13568">
      <c r="G13568" s="9">
        <f t="shared" si="0"/>
      </c>
      <c r="L13568">
        <f t="shared" si="1"/>
      </c>
      <c r="M13568">
        <f t="shared" si="2"/>
      </c>
    </row>
    <row r="13569">
      <c r="G13569" s="9">
        <f t="shared" si="0"/>
      </c>
      <c r="L13569">
        <f t="shared" si="1"/>
      </c>
      <c r="M13569">
        <f t="shared" si="2"/>
      </c>
    </row>
    <row r="13570">
      <c r="G13570" s="9">
        <f t="shared" si="0"/>
      </c>
      <c r="L13570">
        <f t="shared" si="1"/>
      </c>
      <c r="M13570">
        <f t="shared" si="2"/>
      </c>
    </row>
    <row r="13571">
      <c r="G13571" s="9">
        <f t="shared" si="0"/>
      </c>
      <c r="L13571">
        <f t="shared" si="1"/>
      </c>
      <c r="M13571">
        <f t="shared" si="2"/>
      </c>
    </row>
    <row r="13572">
      <c r="G13572" s="9">
        <f t="shared" si="0"/>
      </c>
      <c r="L13572">
        <f t="shared" si="1"/>
      </c>
      <c r="M13572">
        <f t="shared" si="2"/>
      </c>
    </row>
    <row r="13573">
      <c r="G13573" s="9">
        <f t="shared" si="0"/>
      </c>
      <c r="L13573">
        <f t="shared" si="1"/>
      </c>
      <c r="M13573">
        <f t="shared" si="2"/>
      </c>
    </row>
    <row r="13574">
      <c r="G13574" s="9">
        <f t="shared" si="0"/>
      </c>
      <c r="L13574">
        <f t="shared" si="1"/>
      </c>
      <c r="M13574">
        <f t="shared" si="2"/>
      </c>
    </row>
    <row r="13575">
      <c r="G13575" s="9">
        <f t="shared" si="0"/>
      </c>
      <c r="L13575">
        <f t="shared" si="1"/>
      </c>
      <c r="M13575">
        <f t="shared" si="2"/>
      </c>
    </row>
    <row r="13576">
      <c r="G13576" s="9">
        <f t="shared" si="0"/>
      </c>
      <c r="L13576">
        <f t="shared" si="1"/>
      </c>
      <c r="M13576">
        <f t="shared" si="2"/>
      </c>
    </row>
    <row r="13577">
      <c r="G13577" s="9">
        <f t="shared" si="0"/>
      </c>
      <c r="L13577">
        <f t="shared" si="1"/>
      </c>
      <c r="M13577">
        <f t="shared" si="2"/>
      </c>
    </row>
    <row r="13578">
      <c r="G13578" s="9">
        <f t="shared" si="0"/>
      </c>
      <c r="L13578">
        <f t="shared" si="1"/>
      </c>
      <c r="M13578">
        <f t="shared" si="2"/>
      </c>
    </row>
    <row r="13579">
      <c r="G13579" s="9">
        <f t="shared" si="0"/>
      </c>
      <c r="L13579">
        <f t="shared" si="1"/>
      </c>
      <c r="M13579">
        <f t="shared" si="2"/>
      </c>
    </row>
    <row r="13580">
      <c r="G13580" s="9">
        <f t="shared" si="0"/>
      </c>
      <c r="L13580">
        <f t="shared" si="1"/>
      </c>
      <c r="M13580">
        <f t="shared" si="2"/>
      </c>
    </row>
    <row r="13581">
      <c r="G13581" s="9">
        <f t="shared" si="0"/>
      </c>
      <c r="L13581">
        <f t="shared" si="1"/>
      </c>
      <c r="M13581">
        <f t="shared" si="2"/>
      </c>
    </row>
    <row r="13582">
      <c r="G13582" s="9">
        <f t="shared" si="0"/>
      </c>
      <c r="L13582">
        <f t="shared" si="1"/>
      </c>
      <c r="M13582">
        <f t="shared" si="2"/>
      </c>
    </row>
    <row r="13583">
      <c r="G13583" s="9">
        <f t="shared" si="0"/>
      </c>
      <c r="L13583">
        <f t="shared" si="1"/>
      </c>
      <c r="M13583">
        <f t="shared" si="2"/>
      </c>
    </row>
    <row r="13584">
      <c r="G13584" s="9">
        <f t="shared" si="0"/>
      </c>
      <c r="L13584">
        <f t="shared" si="1"/>
      </c>
      <c r="M13584">
        <f t="shared" si="2"/>
      </c>
    </row>
    <row r="13585">
      <c r="G13585" s="9">
        <f t="shared" si="0"/>
      </c>
      <c r="L13585">
        <f t="shared" si="1"/>
      </c>
      <c r="M13585">
        <f t="shared" si="2"/>
      </c>
    </row>
    <row r="13586">
      <c r="G13586" s="9">
        <f t="shared" si="0"/>
      </c>
      <c r="L13586">
        <f t="shared" si="1"/>
      </c>
      <c r="M13586">
        <f t="shared" si="2"/>
      </c>
    </row>
    <row r="13587">
      <c r="G13587" s="9">
        <f t="shared" si="0"/>
      </c>
      <c r="L13587">
        <f t="shared" si="1"/>
      </c>
      <c r="M13587">
        <f t="shared" si="2"/>
      </c>
    </row>
    <row r="13588">
      <c r="G13588" s="9">
        <f t="shared" si="0"/>
      </c>
      <c r="L13588">
        <f t="shared" si="1"/>
      </c>
      <c r="M13588">
        <f t="shared" si="2"/>
      </c>
    </row>
    <row r="13589">
      <c r="G13589" s="9">
        <f t="shared" si="0"/>
      </c>
      <c r="L13589">
        <f t="shared" si="1"/>
      </c>
      <c r="M13589">
        <f t="shared" si="2"/>
      </c>
    </row>
    <row r="13590">
      <c r="G13590" s="9">
        <f t="shared" si="0"/>
      </c>
      <c r="L13590">
        <f t="shared" si="1"/>
      </c>
      <c r="M13590">
        <f t="shared" si="2"/>
      </c>
    </row>
    <row r="13591">
      <c r="G13591" s="9">
        <f t="shared" si="0"/>
      </c>
      <c r="L13591">
        <f t="shared" si="1"/>
      </c>
      <c r="M13591">
        <f t="shared" si="2"/>
      </c>
    </row>
    <row r="13592">
      <c r="G13592" s="9">
        <f t="shared" si="0"/>
      </c>
      <c r="L13592">
        <f t="shared" si="1"/>
      </c>
      <c r="M13592">
        <f t="shared" si="2"/>
      </c>
    </row>
    <row r="13593">
      <c r="G13593" s="9">
        <f t="shared" si="0"/>
      </c>
      <c r="L13593">
        <f t="shared" si="1"/>
      </c>
      <c r="M13593">
        <f t="shared" si="2"/>
      </c>
    </row>
    <row r="13594">
      <c r="G13594" s="9">
        <f t="shared" si="0"/>
      </c>
      <c r="L13594">
        <f t="shared" si="1"/>
      </c>
      <c r="M13594">
        <f t="shared" si="2"/>
      </c>
    </row>
    <row r="13595">
      <c r="G13595" s="9">
        <f t="shared" si="0"/>
      </c>
      <c r="L13595">
        <f t="shared" si="1"/>
      </c>
      <c r="M13595">
        <f t="shared" si="2"/>
      </c>
    </row>
    <row r="13596">
      <c r="G13596" s="9">
        <f t="shared" si="0"/>
      </c>
      <c r="L13596">
        <f t="shared" si="1"/>
      </c>
      <c r="M13596">
        <f t="shared" si="2"/>
      </c>
    </row>
    <row r="13597">
      <c r="G13597" s="9">
        <f t="shared" si="0"/>
      </c>
      <c r="L13597">
        <f t="shared" si="1"/>
      </c>
      <c r="M13597">
        <f t="shared" si="2"/>
      </c>
    </row>
    <row r="13598">
      <c r="G13598" s="9">
        <f t="shared" si="0"/>
      </c>
      <c r="L13598">
        <f t="shared" si="1"/>
      </c>
      <c r="M13598">
        <f t="shared" si="2"/>
      </c>
    </row>
    <row r="13599">
      <c r="G13599" s="9">
        <f t="shared" si="0"/>
      </c>
      <c r="L13599">
        <f t="shared" si="1"/>
      </c>
      <c r="M13599">
        <f t="shared" si="2"/>
      </c>
    </row>
    <row r="13600">
      <c r="G13600" s="9">
        <f t="shared" si="0"/>
      </c>
      <c r="L13600">
        <f t="shared" si="1"/>
      </c>
      <c r="M13600">
        <f t="shared" si="2"/>
      </c>
    </row>
    <row r="13601">
      <c r="G13601" s="9">
        <f t="shared" si="0"/>
      </c>
      <c r="L13601">
        <f t="shared" si="1"/>
      </c>
      <c r="M13601">
        <f t="shared" si="2"/>
      </c>
    </row>
    <row r="13602">
      <c r="G13602" s="9">
        <f t="shared" si="0"/>
      </c>
      <c r="L13602">
        <f t="shared" si="1"/>
      </c>
      <c r="M13602">
        <f t="shared" si="2"/>
      </c>
    </row>
    <row r="13603">
      <c r="G13603" s="9">
        <f t="shared" si="0"/>
      </c>
      <c r="L13603">
        <f t="shared" si="1"/>
      </c>
      <c r="M13603">
        <f t="shared" si="2"/>
      </c>
    </row>
    <row r="13604">
      <c r="G13604" s="9">
        <f t="shared" si="0"/>
      </c>
      <c r="L13604">
        <f t="shared" si="1"/>
      </c>
      <c r="M13604">
        <f t="shared" si="2"/>
      </c>
    </row>
    <row r="13605">
      <c r="G13605" s="9">
        <f t="shared" si="0"/>
      </c>
      <c r="L13605">
        <f t="shared" si="1"/>
      </c>
      <c r="M13605">
        <f t="shared" si="2"/>
      </c>
    </row>
    <row r="13606">
      <c r="G13606" s="9">
        <f t="shared" si="0"/>
      </c>
      <c r="L13606">
        <f t="shared" si="1"/>
      </c>
      <c r="M13606">
        <f t="shared" si="2"/>
      </c>
    </row>
    <row r="13607">
      <c r="G13607" s="9">
        <f t="shared" si="0"/>
      </c>
      <c r="L13607">
        <f t="shared" si="1"/>
      </c>
      <c r="M13607">
        <f t="shared" si="2"/>
      </c>
    </row>
    <row r="13608">
      <c r="G13608" s="9">
        <f t="shared" si="0"/>
      </c>
      <c r="L13608">
        <f t="shared" si="1"/>
      </c>
      <c r="M13608">
        <f t="shared" si="2"/>
      </c>
    </row>
    <row r="13609">
      <c r="G13609" s="9">
        <f t="shared" si="0"/>
      </c>
      <c r="L13609">
        <f t="shared" si="1"/>
      </c>
      <c r="M13609">
        <f t="shared" si="2"/>
      </c>
    </row>
    <row r="13610">
      <c r="G13610" s="9">
        <f t="shared" si="0"/>
      </c>
      <c r="L13610">
        <f t="shared" si="1"/>
      </c>
      <c r="M13610">
        <f t="shared" si="2"/>
      </c>
    </row>
    <row r="13611">
      <c r="G13611" s="9">
        <f t="shared" si="0"/>
      </c>
      <c r="L13611">
        <f t="shared" si="1"/>
      </c>
      <c r="M13611">
        <f t="shared" si="2"/>
      </c>
    </row>
    <row r="13612">
      <c r="G13612" s="9">
        <f t="shared" si="0"/>
      </c>
      <c r="L13612">
        <f t="shared" si="1"/>
      </c>
      <c r="M13612">
        <f t="shared" si="2"/>
      </c>
    </row>
    <row r="13613">
      <c r="G13613" s="9">
        <f t="shared" si="0"/>
      </c>
      <c r="L13613">
        <f t="shared" si="1"/>
      </c>
      <c r="M13613">
        <f t="shared" si="2"/>
      </c>
    </row>
    <row r="13614">
      <c r="G13614" s="9">
        <f t="shared" si="0"/>
      </c>
      <c r="L13614">
        <f t="shared" si="1"/>
      </c>
      <c r="M13614">
        <f t="shared" si="2"/>
      </c>
    </row>
    <row r="13615">
      <c r="G13615" s="9">
        <f t="shared" si="0"/>
      </c>
      <c r="L13615">
        <f t="shared" si="1"/>
      </c>
      <c r="M13615">
        <f t="shared" si="2"/>
      </c>
    </row>
    <row r="13616">
      <c r="G13616" s="9">
        <f t="shared" si="0"/>
      </c>
      <c r="L13616">
        <f t="shared" si="1"/>
      </c>
      <c r="M13616">
        <f t="shared" si="2"/>
      </c>
    </row>
    <row r="13617">
      <c r="G13617" s="9">
        <f t="shared" si="0"/>
      </c>
      <c r="L13617">
        <f t="shared" si="1"/>
      </c>
      <c r="M13617">
        <f t="shared" si="2"/>
      </c>
    </row>
    <row r="13618">
      <c r="G13618" s="9">
        <f t="shared" si="0"/>
      </c>
      <c r="L13618">
        <f t="shared" si="1"/>
      </c>
      <c r="M13618">
        <f t="shared" si="2"/>
      </c>
    </row>
    <row r="13619">
      <c r="G13619" s="9">
        <f t="shared" si="0"/>
      </c>
      <c r="L13619">
        <f t="shared" si="1"/>
      </c>
      <c r="M13619">
        <f t="shared" si="2"/>
      </c>
    </row>
    <row r="13620">
      <c r="G13620" s="9">
        <f t="shared" si="0"/>
      </c>
      <c r="L13620">
        <f t="shared" si="1"/>
      </c>
      <c r="M13620">
        <f t="shared" si="2"/>
      </c>
    </row>
    <row r="13621">
      <c r="G13621" s="9">
        <f t="shared" si="0"/>
      </c>
      <c r="L13621">
        <f t="shared" si="1"/>
      </c>
      <c r="M13621">
        <f t="shared" si="2"/>
      </c>
    </row>
    <row r="13622">
      <c r="G13622" s="9">
        <f t="shared" si="0"/>
      </c>
      <c r="L13622">
        <f t="shared" si="1"/>
      </c>
      <c r="M13622">
        <f t="shared" si="2"/>
      </c>
    </row>
    <row r="13623">
      <c r="G13623" s="9">
        <f t="shared" si="0"/>
      </c>
      <c r="L13623">
        <f t="shared" si="1"/>
      </c>
      <c r="M13623">
        <f t="shared" si="2"/>
      </c>
    </row>
    <row r="13624">
      <c r="G13624" s="9">
        <f t="shared" si="0"/>
      </c>
      <c r="L13624">
        <f t="shared" si="1"/>
      </c>
      <c r="M13624">
        <f t="shared" si="2"/>
      </c>
    </row>
    <row r="13625">
      <c r="G13625" s="9">
        <f t="shared" si="0"/>
      </c>
      <c r="L13625">
        <f t="shared" si="1"/>
      </c>
      <c r="M13625">
        <f t="shared" si="2"/>
      </c>
    </row>
    <row r="13626">
      <c r="G13626" s="9">
        <f t="shared" si="0"/>
      </c>
      <c r="L13626">
        <f t="shared" si="1"/>
      </c>
      <c r="M13626">
        <f t="shared" si="2"/>
      </c>
    </row>
    <row r="13627">
      <c r="G13627" s="9">
        <f t="shared" si="0"/>
      </c>
      <c r="L13627">
        <f t="shared" si="1"/>
      </c>
      <c r="M13627">
        <f t="shared" si="2"/>
      </c>
    </row>
    <row r="13628">
      <c r="G13628" s="9">
        <f t="shared" si="0"/>
      </c>
      <c r="L13628">
        <f t="shared" si="1"/>
      </c>
      <c r="M13628">
        <f t="shared" si="2"/>
      </c>
    </row>
    <row r="13629">
      <c r="G13629" s="9">
        <f t="shared" si="0"/>
      </c>
      <c r="L13629">
        <f t="shared" si="1"/>
      </c>
      <c r="M13629">
        <f t="shared" si="2"/>
      </c>
    </row>
    <row r="13630">
      <c r="G13630" s="9">
        <f t="shared" si="0"/>
      </c>
      <c r="L13630">
        <f t="shared" si="1"/>
      </c>
      <c r="M13630">
        <f t="shared" si="2"/>
      </c>
    </row>
    <row r="13631">
      <c r="G13631" s="9">
        <f t="shared" si="0"/>
      </c>
      <c r="L13631">
        <f t="shared" si="1"/>
      </c>
      <c r="M13631">
        <f t="shared" si="2"/>
      </c>
    </row>
    <row r="13632">
      <c r="G13632" s="9">
        <f t="shared" si="0"/>
      </c>
      <c r="L13632">
        <f t="shared" si="1"/>
      </c>
      <c r="M13632">
        <f t="shared" si="2"/>
      </c>
    </row>
    <row r="13633">
      <c r="G13633" s="9">
        <f t="shared" si="0"/>
      </c>
      <c r="L13633">
        <f t="shared" si="1"/>
      </c>
      <c r="M13633">
        <f t="shared" si="2"/>
      </c>
    </row>
    <row r="13634">
      <c r="G13634" s="9">
        <f t="shared" si="0"/>
      </c>
      <c r="L13634">
        <f t="shared" si="1"/>
      </c>
      <c r="M13634">
        <f t="shared" si="2"/>
      </c>
    </row>
    <row r="13635">
      <c r="G13635" s="9">
        <f t="shared" si="0"/>
      </c>
      <c r="L13635">
        <f t="shared" si="1"/>
      </c>
      <c r="M13635">
        <f t="shared" si="2"/>
      </c>
    </row>
    <row r="13636">
      <c r="G13636" s="9">
        <f t="shared" si="0"/>
      </c>
      <c r="L13636">
        <f t="shared" si="1"/>
      </c>
      <c r="M13636">
        <f t="shared" si="2"/>
      </c>
    </row>
    <row r="13637">
      <c r="G13637" s="9">
        <f t="shared" si="0"/>
      </c>
      <c r="L13637">
        <f t="shared" si="1"/>
      </c>
      <c r="M13637">
        <f t="shared" si="2"/>
      </c>
    </row>
    <row r="13638">
      <c r="G13638" s="9">
        <f t="shared" si="0"/>
      </c>
      <c r="L13638">
        <f t="shared" si="1"/>
      </c>
      <c r="M13638">
        <f t="shared" si="2"/>
      </c>
    </row>
    <row r="13639">
      <c r="G13639" s="9">
        <f t="shared" si="0"/>
      </c>
      <c r="L13639">
        <f t="shared" si="1"/>
      </c>
      <c r="M13639">
        <f t="shared" si="2"/>
      </c>
    </row>
    <row r="13640">
      <c r="G13640" s="9">
        <f t="shared" si="0"/>
      </c>
      <c r="L13640">
        <f t="shared" si="1"/>
      </c>
      <c r="M13640">
        <f t="shared" si="2"/>
      </c>
    </row>
    <row r="13641">
      <c r="G13641" s="9">
        <f t="shared" si="0"/>
      </c>
      <c r="L13641">
        <f t="shared" si="1"/>
      </c>
      <c r="M13641">
        <f t="shared" si="2"/>
      </c>
    </row>
    <row r="13642">
      <c r="G13642" s="9">
        <f t="shared" si="0"/>
      </c>
      <c r="L13642">
        <f t="shared" si="1"/>
      </c>
      <c r="M13642">
        <f t="shared" si="2"/>
      </c>
    </row>
    <row r="13643">
      <c r="G13643" s="9">
        <f t="shared" si="0"/>
      </c>
      <c r="L13643">
        <f t="shared" si="1"/>
      </c>
      <c r="M13643">
        <f t="shared" si="2"/>
      </c>
    </row>
    <row r="13644">
      <c r="G13644" s="9">
        <f t="shared" si="0"/>
      </c>
      <c r="L13644">
        <f t="shared" si="1"/>
      </c>
      <c r="M13644">
        <f t="shared" si="2"/>
      </c>
    </row>
    <row r="13645">
      <c r="G13645" s="9">
        <f t="shared" si="0"/>
      </c>
      <c r="L13645">
        <f t="shared" si="1"/>
      </c>
      <c r="M13645">
        <f t="shared" si="2"/>
      </c>
    </row>
    <row r="13646">
      <c r="G13646" s="9">
        <f t="shared" si="0"/>
      </c>
      <c r="L13646">
        <f t="shared" si="1"/>
      </c>
      <c r="M13646">
        <f t="shared" si="2"/>
      </c>
    </row>
    <row r="13647">
      <c r="G13647" s="9">
        <f t="shared" si="0"/>
      </c>
      <c r="L13647">
        <f t="shared" si="1"/>
      </c>
      <c r="M13647">
        <f t="shared" si="2"/>
      </c>
    </row>
    <row r="13648">
      <c r="G13648" s="9">
        <f t="shared" si="0"/>
      </c>
      <c r="L13648">
        <f t="shared" si="1"/>
      </c>
      <c r="M13648">
        <f t="shared" si="2"/>
      </c>
    </row>
    <row r="13649">
      <c r="G13649" s="9">
        <f t="shared" si="0"/>
      </c>
      <c r="L13649">
        <f t="shared" si="1"/>
      </c>
      <c r="M13649">
        <f t="shared" si="2"/>
      </c>
    </row>
    <row r="13650">
      <c r="G13650" s="9">
        <f t="shared" si="0"/>
      </c>
      <c r="L13650">
        <f t="shared" si="1"/>
      </c>
      <c r="M13650">
        <f t="shared" si="2"/>
      </c>
    </row>
    <row r="13651">
      <c r="G13651" s="9">
        <f t="shared" si="0"/>
      </c>
      <c r="L13651">
        <f t="shared" si="1"/>
      </c>
      <c r="M13651">
        <f t="shared" si="2"/>
      </c>
    </row>
    <row r="13652">
      <c r="G13652" s="9">
        <f t="shared" si="0"/>
      </c>
      <c r="L13652">
        <f t="shared" si="1"/>
      </c>
      <c r="M13652">
        <f t="shared" si="2"/>
      </c>
    </row>
    <row r="13653">
      <c r="G13653" s="9">
        <f t="shared" si="0"/>
      </c>
      <c r="L13653">
        <f t="shared" si="1"/>
      </c>
      <c r="M13653">
        <f t="shared" si="2"/>
      </c>
    </row>
    <row r="13654">
      <c r="G13654" s="9">
        <f t="shared" si="0"/>
      </c>
      <c r="L13654">
        <f t="shared" si="1"/>
      </c>
      <c r="M13654">
        <f t="shared" si="2"/>
      </c>
    </row>
    <row r="13655">
      <c r="G13655" s="9">
        <f t="shared" si="0"/>
      </c>
      <c r="L13655">
        <f t="shared" si="1"/>
      </c>
      <c r="M13655">
        <f t="shared" si="2"/>
      </c>
    </row>
    <row r="13656">
      <c r="G13656" s="9">
        <f t="shared" si="0"/>
      </c>
      <c r="L13656">
        <f t="shared" si="1"/>
      </c>
      <c r="M13656">
        <f t="shared" si="2"/>
      </c>
    </row>
    <row r="13657">
      <c r="G13657" s="9">
        <f t="shared" si="0"/>
      </c>
      <c r="L13657">
        <f t="shared" si="1"/>
      </c>
      <c r="M13657">
        <f t="shared" si="2"/>
      </c>
    </row>
    <row r="13658">
      <c r="G13658" s="9">
        <f t="shared" si="0"/>
      </c>
      <c r="L13658">
        <f t="shared" si="1"/>
      </c>
      <c r="M13658">
        <f t="shared" si="2"/>
      </c>
    </row>
    <row r="13659">
      <c r="G13659" s="9">
        <f t="shared" si="0"/>
      </c>
      <c r="L13659">
        <f t="shared" si="1"/>
      </c>
      <c r="M13659">
        <f t="shared" si="2"/>
      </c>
    </row>
    <row r="13660">
      <c r="G13660" s="9">
        <f t="shared" si="0"/>
      </c>
      <c r="L13660">
        <f t="shared" si="1"/>
      </c>
      <c r="M13660">
        <f t="shared" si="2"/>
      </c>
    </row>
    <row r="13661">
      <c r="G13661" s="9">
        <f t="shared" si="0"/>
      </c>
      <c r="L13661">
        <f t="shared" si="1"/>
      </c>
      <c r="M13661">
        <f t="shared" si="2"/>
      </c>
    </row>
    <row r="13662">
      <c r="G13662" s="9">
        <f t="shared" si="0"/>
      </c>
      <c r="L13662">
        <f t="shared" si="1"/>
      </c>
      <c r="M13662">
        <f t="shared" si="2"/>
      </c>
    </row>
    <row r="13663">
      <c r="G13663" s="9">
        <f t="shared" si="0"/>
      </c>
      <c r="L13663">
        <f t="shared" si="1"/>
      </c>
      <c r="M13663">
        <f t="shared" si="2"/>
      </c>
    </row>
    <row r="13664">
      <c r="G13664" s="9">
        <f t="shared" si="0"/>
      </c>
      <c r="L13664">
        <f t="shared" si="1"/>
      </c>
      <c r="M13664">
        <f t="shared" si="2"/>
      </c>
    </row>
    <row r="13665">
      <c r="G13665" s="9">
        <f t="shared" si="0"/>
      </c>
      <c r="L13665">
        <f t="shared" si="1"/>
      </c>
      <c r="M13665">
        <f t="shared" si="2"/>
      </c>
    </row>
    <row r="13666">
      <c r="G13666" s="9">
        <f t="shared" si="0"/>
      </c>
      <c r="L13666">
        <f t="shared" si="1"/>
      </c>
      <c r="M13666">
        <f t="shared" si="2"/>
      </c>
    </row>
    <row r="13667">
      <c r="G13667" s="9">
        <f t="shared" si="0"/>
      </c>
      <c r="L13667">
        <f t="shared" si="1"/>
      </c>
      <c r="M13667">
        <f t="shared" si="2"/>
      </c>
    </row>
    <row r="13668">
      <c r="G13668" s="9">
        <f t="shared" si="0"/>
      </c>
      <c r="L13668">
        <f t="shared" si="1"/>
      </c>
      <c r="M13668">
        <f t="shared" si="2"/>
      </c>
    </row>
    <row r="13669">
      <c r="G13669" s="9">
        <f t="shared" si="0"/>
      </c>
      <c r="L13669">
        <f t="shared" si="1"/>
      </c>
      <c r="M13669">
        <f t="shared" si="2"/>
      </c>
    </row>
    <row r="13670">
      <c r="G13670" s="9">
        <f t="shared" si="0"/>
      </c>
      <c r="L13670">
        <f t="shared" si="1"/>
      </c>
      <c r="M13670">
        <f t="shared" si="2"/>
      </c>
    </row>
    <row r="13671">
      <c r="G13671" s="9">
        <f t="shared" si="0"/>
      </c>
      <c r="L13671">
        <f t="shared" si="1"/>
      </c>
      <c r="M13671">
        <f t="shared" si="2"/>
      </c>
    </row>
    <row r="13672">
      <c r="G13672" s="9">
        <f t="shared" si="0"/>
      </c>
      <c r="L13672">
        <f t="shared" si="1"/>
      </c>
      <c r="M13672">
        <f t="shared" si="2"/>
      </c>
    </row>
    <row r="13673">
      <c r="G13673" s="9">
        <f t="shared" si="0"/>
      </c>
      <c r="L13673">
        <f t="shared" si="1"/>
      </c>
      <c r="M13673">
        <f t="shared" si="2"/>
      </c>
    </row>
    <row r="13674">
      <c r="G13674" s="9">
        <f t="shared" si="0"/>
      </c>
      <c r="L13674">
        <f t="shared" si="1"/>
      </c>
      <c r="M13674">
        <f t="shared" si="2"/>
      </c>
    </row>
    <row r="13675">
      <c r="G13675" s="9">
        <f t="shared" si="0"/>
      </c>
      <c r="L13675">
        <f t="shared" si="1"/>
      </c>
      <c r="M13675">
        <f t="shared" si="2"/>
      </c>
    </row>
    <row r="13676">
      <c r="G13676" s="9">
        <f t="shared" si="0"/>
      </c>
      <c r="L13676">
        <f t="shared" si="1"/>
      </c>
      <c r="M13676">
        <f t="shared" si="2"/>
      </c>
    </row>
    <row r="13677">
      <c r="G13677" s="9">
        <f t="shared" si="0"/>
      </c>
      <c r="L13677">
        <f t="shared" si="1"/>
      </c>
      <c r="M13677">
        <f t="shared" si="2"/>
      </c>
    </row>
    <row r="13678">
      <c r="G13678" s="9">
        <f t="shared" si="0"/>
      </c>
      <c r="L13678">
        <f t="shared" si="1"/>
      </c>
      <c r="M13678">
        <f t="shared" si="2"/>
      </c>
    </row>
    <row r="13679">
      <c r="G13679" s="9">
        <f t="shared" si="0"/>
      </c>
      <c r="L13679">
        <f t="shared" si="1"/>
      </c>
      <c r="M13679">
        <f t="shared" si="2"/>
      </c>
    </row>
    <row r="13680">
      <c r="G13680" s="9">
        <f t="shared" si="0"/>
      </c>
      <c r="L13680">
        <f t="shared" si="1"/>
      </c>
      <c r="M13680">
        <f t="shared" si="2"/>
      </c>
    </row>
    <row r="13681">
      <c r="G13681" s="9">
        <f t="shared" si="0"/>
      </c>
      <c r="L13681">
        <f t="shared" si="1"/>
      </c>
      <c r="M13681">
        <f t="shared" si="2"/>
      </c>
    </row>
    <row r="13682">
      <c r="G13682" s="9">
        <f t="shared" si="0"/>
      </c>
      <c r="L13682">
        <f t="shared" si="1"/>
      </c>
      <c r="M13682">
        <f t="shared" si="2"/>
      </c>
    </row>
    <row r="13683">
      <c r="G13683" s="9">
        <f t="shared" si="0"/>
      </c>
      <c r="L13683">
        <f t="shared" si="1"/>
      </c>
      <c r="M13683">
        <f t="shared" si="2"/>
      </c>
    </row>
    <row r="13684">
      <c r="G13684" s="9">
        <f t="shared" si="0"/>
      </c>
      <c r="L13684">
        <f t="shared" si="1"/>
      </c>
      <c r="M13684">
        <f t="shared" si="2"/>
      </c>
    </row>
    <row r="13685">
      <c r="G13685" s="9">
        <f t="shared" si="0"/>
      </c>
      <c r="L13685">
        <f t="shared" si="1"/>
      </c>
      <c r="M13685">
        <f t="shared" si="2"/>
      </c>
    </row>
    <row r="13686">
      <c r="G13686" s="9">
        <f t="shared" si="0"/>
      </c>
      <c r="L13686">
        <f t="shared" si="1"/>
      </c>
      <c r="M13686">
        <f t="shared" si="2"/>
      </c>
    </row>
    <row r="13687">
      <c r="G13687" s="9">
        <f t="shared" si="0"/>
      </c>
      <c r="L13687">
        <f t="shared" si="1"/>
      </c>
      <c r="M13687">
        <f t="shared" si="2"/>
      </c>
    </row>
    <row r="13688">
      <c r="G13688" s="9">
        <f t="shared" si="0"/>
      </c>
      <c r="L13688">
        <f t="shared" si="1"/>
      </c>
      <c r="M13688">
        <f t="shared" si="2"/>
      </c>
    </row>
    <row r="13689">
      <c r="G13689" s="9">
        <f t="shared" si="0"/>
      </c>
      <c r="L13689">
        <f t="shared" si="1"/>
      </c>
      <c r="M13689">
        <f t="shared" si="2"/>
      </c>
    </row>
    <row r="13690">
      <c r="G13690" s="9">
        <f t="shared" si="0"/>
      </c>
      <c r="L13690">
        <f t="shared" si="1"/>
      </c>
      <c r="M13690">
        <f t="shared" si="2"/>
      </c>
    </row>
    <row r="13691">
      <c r="G13691" s="9">
        <f t="shared" si="0"/>
      </c>
      <c r="L13691">
        <f t="shared" si="1"/>
      </c>
      <c r="M13691">
        <f t="shared" si="2"/>
      </c>
    </row>
    <row r="13692">
      <c r="G13692" s="9">
        <f t="shared" si="0"/>
      </c>
      <c r="L13692">
        <f t="shared" si="1"/>
      </c>
      <c r="M13692">
        <f t="shared" si="2"/>
      </c>
    </row>
    <row r="13693">
      <c r="G13693" s="9">
        <f t="shared" si="0"/>
      </c>
      <c r="L13693">
        <f t="shared" si="1"/>
      </c>
      <c r="M13693">
        <f t="shared" si="2"/>
      </c>
    </row>
    <row r="13694">
      <c r="G13694" s="9">
        <f t="shared" si="0"/>
      </c>
      <c r="L13694">
        <f t="shared" si="1"/>
      </c>
      <c r="M13694">
        <f t="shared" si="2"/>
      </c>
    </row>
    <row r="13695">
      <c r="G13695" s="9">
        <f t="shared" si="0"/>
      </c>
      <c r="L13695">
        <f t="shared" si="1"/>
      </c>
      <c r="M13695">
        <f t="shared" si="2"/>
      </c>
    </row>
    <row r="13696">
      <c r="G13696" s="9">
        <f t="shared" si="0"/>
      </c>
      <c r="L13696">
        <f t="shared" si="1"/>
      </c>
      <c r="M13696">
        <f t="shared" si="2"/>
      </c>
    </row>
    <row r="13697">
      <c r="G13697" s="9">
        <f t="shared" si="0"/>
      </c>
      <c r="L13697">
        <f t="shared" si="1"/>
      </c>
      <c r="M13697">
        <f t="shared" si="2"/>
      </c>
    </row>
    <row r="13698">
      <c r="G13698" s="9">
        <f t="shared" si="0"/>
      </c>
      <c r="L13698">
        <f t="shared" si="1"/>
      </c>
      <c r="M13698">
        <f t="shared" si="2"/>
      </c>
    </row>
    <row r="13699">
      <c r="G13699" s="9">
        <f t="shared" si="0"/>
      </c>
      <c r="L13699">
        <f t="shared" si="1"/>
      </c>
      <c r="M13699">
        <f t="shared" si="2"/>
      </c>
    </row>
    <row r="13700">
      <c r="G13700" s="9">
        <f t="shared" si="0"/>
      </c>
      <c r="L13700">
        <f t="shared" si="1"/>
      </c>
      <c r="M13700">
        <f t="shared" si="2"/>
      </c>
    </row>
    <row r="13701">
      <c r="G13701" s="9">
        <f t="shared" si="0"/>
      </c>
      <c r="L13701">
        <f t="shared" si="1"/>
      </c>
      <c r="M13701">
        <f t="shared" si="2"/>
      </c>
    </row>
    <row r="13702">
      <c r="G13702" s="9">
        <f t="shared" si="0"/>
      </c>
      <c r="L13702">
        <f t="shared" si="1"/>
      </c>
      <c r="M13702">
        <f t="shared" si="2"/>
      </c>
    </row>
    <row r="13703">
      <c r="G13703" s="9">
        <f t="shared" si="0"/>
      </c>
      <c r="L13703">
        <f t="shared" si="1"/>
      </c>
      <c r="M13703">
        <f t="shared" si="2"/>
      </c>
    </row>
    <row r="13704">
      <c r="G13704" s="9">
        <f t="shared" si="0"/>
      </c>
      <c r="L13704">
        <f t="shared" si="1"/>
      </c>
      <c r="M13704">
        <f t="shared" si="2"/>
      </c>
    </row>
    <row r="13705">
      <c r="G13705" s="9">
        <f t="shared" si="0"/>
      </c>
      <c r="L13705">
        <f t="shared" si="1"/>
      </c>
      <c r="M13705">
        <f t="shared" si="2"/>
      </c>
    </row>
    <row r="13706">
      <c r="G13706" s="9">
        <f t="shared" si="0"/>
      </c>
      <c r="L13706">
        <f t="shared" si="1"/>
      </c>
      <c r="M13706">
        <f t="shared" si="2"/>
      </c>
    </row>
    <row r="13707">
      <c r="G13707" s="9">
        <f t="shared" si="0"/>
      </c>
      <c r="L13707">
        <f t="shared" si="1"/>
      </c>
      <c r="M13707">
        <f t="shared" si="2"/>
      </c>
    </row>
    <row r="13708">
      <c r="G13708" s="9">
        <f t="shared" si="0"/>
      </c>
      <c r="L13708">
        <f t="shared" si="1"/>
      </c>
      <c r="M13708">
        <f t="shared" si="2"/>
      </c>
    </row>
    <row r="13709">
      <c r="G13709" s="9">
        <f t="shared" si="0"/>
      </c>
      <c r="L13709">
        <f t="shared" si="1"/>
      </c>
      <c r="M13709">
        <f t="shared" si="2"/>
      </c>
    </row>
    <row r="13710">
      <c r="G13710" s="9">
        <f t="shared" si="0"/>
      </c>
      <c r="L13710">
        <f t="shared" si="1"/>
      </c>
      <c r="M13710">
        <f t="shared" si="2"/>
      </c>
    </row>
    <row r="13711">
      <c r="G13711" s="9">
        <f t="shared" si="0"/>
      </c>
      <c r="L13711">
        <f t="shared" si="1"/>
      </c>
      <c r="M13711">
        <f t="shared" si="2"/>
      </c>
    </row>
    <row r="13712">
      <c r="G13712" s="9">
        <f t="shared" si="0"/>
      </c>
      <c r="L13712">
        <f t="shared" si="1"/>
      </c>
      <c r="M13712">
        <f t="shared" si="2"/>
      </c>
    </row>
    <row r="13713">
      <c r="G13713" s="9">
        <f t="shared" si="0"/>
      </c>
      <c r="L13713">
        <f t="shared" si="1"/>
      </c>
      <c r="M13713">
        <f t="shared" si="2"/>
      </c>
    </row>
    <row r="13714">
      <c r="G13714" s="9">
        <f t="shared" si="0"/>
      </c>
      <c r="L13714">
        <f t="shared" si="1"/>
      </c>
      <c r="M13714">
        <f t="shared" si="2"/>
      </c>
    </row>
    <row r="13715">
      <c r="G13715" s="9">
        <f t="shared" si="0"/>
      </c>
      <c r="L13715">
        <f t="shared" si="1"/>
      </c>
      <c r="M13715">
        <f t="shared" si="2"/>
      </c>
    </row>
    <row r="13716">
      <c r="G13716" s="9">
        <f t="shared" si="0"/>
      </c>
      <c r="L13716">
        <f t="shared" si="1"/>
      </c>
      <c r="M13716">
        <f t="shared" si="2"/>
      </c>
    </row>
    <row r="13717">
      <c r="G13717" s="9">
        <f t="shared" si="0"/>
      </c>
      <c r="L13717">
        <f t="shared" si="1"/>
      </c>
      <c r="M13717">
        <f t="shared" si="2"/>
      </c>
    </row>
    <row r="13718">
      <c r="G13718" s="9">
        <f t="shared" si="0"/>
      </c>
      <c r="L13718">
        <f t="shared" si="1"/>
      </c>
      <c r="M13718">
        <f t="shared" si="2"/>
      </c>
    </row>
    <row r="13719">
      <c r="G13719" s="9">
        <f t="shared" si="0"/>
      </c>
      <c r="L13719">
        <f t="shared" si="1"/>
      </c>
      <c r="M13719">
        <f t="shared" si="2"/>
      </c>
    </row>
    <row r="13720">
      <c r="G13720" s="9">
        <f t="shared" si="0"/>
      </c>
      <c r="L13720">
        <f t="shared" si="1"/>
      </c>
      <c r="M13720">
        <f t="shared" si="2"/>
      </c>
    </row>
    <row r="13721">
      <c r="G13721" s="9">
        <f t="shared" si="0"/>
      </c>
      <c r="L13721">
        <f t="shared" si="1"/>
      </c>
      <c r="M13721">
        <f t="shared" si="2"/>
      </c>
    </row>
    <row r="13722">
      <c r="G13722" s="9">
        <f t="shared" si="0"/>
      </c>
      <c r="L13722">
        <f t="shared" si="1"/>
      </c>
      <c r="M13722">
        <f t="shared" si="2"/>
      </c>
    </row>
    <row r="13723">
      <c r="G13723" s="9">
        <f t="shared" si="0"/>
      </c>
      <c r="L13723">
        <f t="shared" si="1"/>
      </c>
      <c r="M13723">
        <f t="shared" si="2"/>
      </c>
    </row>
    <row r="13724">
      <c r="G13724" s="9">
        <f t="shared" si="0"/>
      </c>
      <c r="L13724">
        <f t="shared" si="1"/>
      </c>
      <c r="M13724">
        <f t="shared" si="2"/>
      </c>
    </row>
    <row r="13725">
      <c r="G13725" s="9">
        <f t="shared" si="0"/>
      </c>
      <c r="L13725">
        <f t="shared" si="1"/>
      </c>
      <c r="M13725">
        <f t="shared" si="2"/>
      </c>
    </row>
    <row r="13726">
      <c r="G13726" s="9">
        <f t="shared" si="0"/>
      </c>
      <c r="L13726">
        <f t="shared" si="1"/>
      </c>
      <c r="M13726">
        <f t="shared" si="2"/>
      </c>
    </row>
    <row r="13727">
      <c r="G13727" s="9">
        <f t="shared" si="0"/>
      </c>
      <c r="L13727">
        <f t="shared" si="1"/>
      </c>
      <c r="M13727">
        <f t="shared" si="2"/>
      </c>
    </row>
    <row r="13728">
      <c r="G13728" s="9">
        <f t="shared" si="0"/>
      </c>
      <c r="L13728">
        <f t="shared" si="1"/>
      </c>
      <c r="M13728">
        <f t="shared" si="2"/>
      </c>
    </row>
    <row r="13729">
      <c r="G13729" s="9">
        <f t="shared" si="0"/>
      </c>
      <c r="L13729">
        <f t="shared" si="1"/>
      </c>
      <c r="M13729">
        <f t="shared" si="2"/>
      </c>
    </row>
    <row r="13730">
      <c r="G13730" s="9">
        <f t="shared" si="0"/>
      </c>
      <c r="L13730">
        <f t="shared" si="1"/>
      </c>
      <c r="M13730">
        <f t="shared" si="2"/>
      </c>
    </row>
    <row r="13731">
      <c r="G13731" s="9">
        <f t="shared" si="0"/>
      </c>
      <c r="L13731">
        <f t="shared" si="1"/>
      </c>
      <c r="M13731">
        <f t="shared" si="2"/>
      </c>
    </row>
    <row r="13732">
      <c r="G13732" s="9">
        <f t="shared" si="0"/>
      </c>
      <c r="L13732">
        <f t="shared" si="1"/>
      </c>
      <c r="M13732">
        <f t="shared" si="2"/>
      </c>
    </row>
    <row r="13733">
      <c r="G13733" s="9">
        <f t="shared" si="0"/>
      </c>
      <c r="L13733">
        <f t="shared" si="1"/>
      </c>
      <c r="M13733">
        <f t="shared" si="2"/>
      </c>
    </row>
    <row r="13734">
      <c r="G13734" s="9">
        <f t="shared" si="0"/>
      </c>
      <c r="L13734">
        <f t="shared" si="1"/>
      </c>
      <c r="M13734">
        <f t="shared" si="2"/>
      </c>
    </row>
    <row r="13735">
      <c r="G13735" s="9">
        <f t="shared" si="0"/>
      </c>
      <c r="L13735">
        <f t="shared" si="1"/>
      </c>
      <c r="M13735">
        <f t="shared" si="2"/>
      </c>
    </row>
    <row r="13736">
      <c r="G13736" s="9">
        <f t="shared" si="0"/>
      </c>
      <c r="L13736">
        <f t="shared" si="1"/>
      </c>
      <c r="M13736">
        <f t="shared" si="2"/>
      </c>
    </row>
    <row r="13737">
      <c r="G13737" s="9">
        <f t="shared" si="0"/>
      </c>
      <c r="L13737">
        <f t="shared" si="1"/>
      </c>
      <c r="M13737">
        <f t="shared" si="2"/>
      </c>
    </row>
    <row r="13738">
      <c r="G13738" s="9">
        <f t="shared" si="0"/>
      </c>
      <c r="L13738">
        <f t="shared" si="1"/>
      </c>
      <c r="M13738">
        <f t="shared" si="2"/>
      </c>
    </row>
    <row r="13739">
      <c r="G13739" s="9">
        <f t="shared" si="0"/>
      </c>
      <c r="L13739">
        <f t="shared" si="1"/>
      </c>
      <c r="M13739">
        <f t="shared" si="2"/>
      </c>
    </row>
    <row r="13740">
      <c r="G13740" s="9">
        <f t="shared" si="0"/>
      </c>
      <c r="L13740">
        <f t="shared" si="1"/>
      </c>
      <c r="M13740">
        <f t="shared" si="2"/>
      </c>
    </row>
    <row r="13741">
      <c r="G13741" s="9">
        <f t="shared" si="0"/>
      </c>
      <c r="L13741">
        <f t="shared" si="1"/>
      </c>
      <c r="M13741">
        <f t="shared" si="2"/>
      </c>
    </row>
    <row r="13742">
      <c r="G13742" s="9">
        <f t="shared" si="0"/>
      </c>
      <c r="L13742">
        <f t="shared" si="1"/>
      </c>
      <c r="M13742">
        <f t="shared" si="2"/>
      </c>
    </row>
    <row r="13743">
      <c r="G13743" s="9">
        <f t="shared" si="0"/>
      </c>
      <c r="L13743">
        <f t="shared" si="1"/>
      </c>
      <c r="M13743">
        <f t="shared" si="2"/>
      </c>
    </row>
    <row r="13744">
      <c r="G13744" s="9">
        <f t="shared" si="0"/>
      </c>
      <c r="L13744">
        <f t="shared" si="1"/>
      </c>
      <c r="M13744">
        <f t="shared" si="2"/>
      </c>
    </row>
    <row r="13745">
      <c r="G13745" s="9">
        <f t="shared" si="0"/>
      </c>
      <c r="L13745">
        <f t="shared" si="1"/>
      </c>
      <c r="M13745">
        <f t="shared" si="2"/>
      </c>
    </row>
    <row r="13746">
      <c r="G13746" s="9">
        <f t="shared" si="0"/>
      </c>
      <c r="L13746">
        <f t="shared" si="1"/>
      </c>
      <c r="M13746">
        <f t="shared" si="2"/>
      </c>
    </row>
    <row r="13747">
      <c r="G13747" s="9">
        <f t="shared" si="0"/>
      </c>
      <c r="L13747">
        <f t="shared" si="1"/>
      </c>
      <c r="M13747">
        <f t="shared" si="2"/>
      </c>
    </row>
    <row r="13748">
      <c r="G13748" s="9">
        <f t="shared" si="0"/>
      </c>
      <c r="L13748">
        <f t="shared" si="1"/>
      </c>
      <c r="M13748">
        <f t="shared" si="2"/>
      </c>
    </row>
    <row r="13749">
      <c r="G13749" s="9">
        <f t="shared" si="0"/>
      </c>
      <c r="L13749">
        <f t="shared" si="1"/>
      </c>
      <c r="M13749">
        <f t="shared" si="2"/>
      </c>
    </row>
    <row r="13750">
      <c r="G13750" s="9">
        <f t="shared" si="0"/>
      </c>
      <c r="L13750">
        <f t="shared" si="1"/>
      </c>
      <c r="M13750">
        <f t="shared" si="2"/>
      </c>
    </row>
    <row r="13751">
      <c r="G13751" s="9">
        <f t="shared" si="0"/>
      </c>
      <c r="L13751">
        <f t="shared" si="1"/>
      </c>
      <c r="M13751">
        <f t="shared" si="2"/>
      </c>
    </row>
    <row r="13752">
      <c r="G13752" s="9">
        <f t="shared" si="0"/>
      </c>
      <c r="L13752">
        <f t="shared" si="1"/>
      </c>
      <c r="M13752">
        <f t="shared" si="2"/>
      </c>
    </row>
    <row r="13753">
      <c r="G13753" s="9">
        <f t="shared" si="0"/>
      </c>
      <c r="L13753">
        <f t="shared" si="1"/>
      </c>
      <c r="M13753">
        <f t="shared" si="2"/>
      </c>
    </row>
    <row r="13754">
      <c r="G13754" s="9">
        <f t="shared" si="0"/>
      </c>
      <c r="L13754">
        <f t="shared" si="1"/>
      </c>
      <c r="M13754">
        <f t="shared" si="2"/>
      </c>
    </row>
    <row r="13755">
      <c r="G13755" s="9">
        <f t="shared" si="0"/>
      </c>
      <c r="L13755">
        <f t="shared" si="1"/>
      </c>
      <c r="M13755">
        <f t="shared" si="2"/>
      </c>
    </row>
    <row r="13756">
      <c r="G13756" s="9">
        <f t="shared" si="0"/>
      </c>
      <c r="L13756">
        <f t="shared" si="1"/>
      </c>
      <c r="M13756">
        <f t="shared" si="2"/>
      </c>
    </row>
    <row r="13757">
      <c r="G13757" s="9">
        <f t="shared" si="0"/>
      </c>
      <c r="L13757">
        <f t="shared" si="1"/>
      </c>
      <c r="M13757">
        <f t="shared" si="2"/>
      </c>
    </row>
    <row r="13758">
      <c r="G13758" s="9">
        <f t="shared" si="0"/>
      </c>
      <c r="L13758">
        <f t="shared" si="1"/>
      </c>
      <c r="M13758">
        <f t="shared" si="2"/>
      </c>
    </row>
    <row r="13759">
      <c r="G13759" s="9">
        <f t="shared" si="0"/>
      </c>
      <c r="L13759">
        <f t="shared" si="1"/>
      </c>
      <c r="M13759">
        <f t="shared" si="2"/>
      </c>
    </row>
    <row r="13760">
      <c r="G13760" s="9">
        <f t="shared" si="0"/>
      </c>
      <c r="L13760">
        <f t="shared" si="1"/>
      </c>
      <c r="M13760">
        <f t="shared" si="2"/>
      </c>
    </row>
    <row r="13761">
      <c r="G13761" s="9">
        <f t="shared" si="0"/>
      </c>
      <c r="L13761">
        <f t="shared" si="1"/>
      </c>
      <c r="M13761">
        <f t="shared" si="2"/>
      </c>
    </row>
    <row r="13762">
      <c r="G13762" s="9">
        <f t="shared" si="0"/>
      </c>
      <c r="L13762">
        <f t="shared" si="1"/>
      </c>
      <c r="M13762">
        <f t="shared" si="2"/>
      </c>
    </row>
    <row r="13763">
      <c r="G13763" s="9">
        <f t="shared" si="0"/>
      </c>
      <c r="L13763">
        <f t="shared" si="1"/>
      </c>
      <c r="M13763">
        <f t="shared" si="2"/>
      </c>
    </row>
    <row r="13764">
      <c r="G13764" s="9">
        <f t="shared" si="0"/>
      </c>
      <c r="L13764">
        <f t="shared" si="1"/>
      </c>
      <c r="M13764">
        <f t="shared" si="2"/>
      </c>
    </row>
    <row r="13765">
      <c r="G13765" s="9">
        <f t="shared" si="0"/>
      </c>
      <c r="L13765">
        <f t="shared" si="1"/>
      </c>
      <c r="M13765">
        <f t="shared" si="2"/>
      </c>
    </row>
    <row r="13766">
      <c r="G13766" s="9">
        <f t="shared" si="0"/>
      </c>
      <c r="L13766">
        <f t="shared" si="1"/>
      </c>
      <c r="M13766">
        <f t="shared" si="2"/>
      </c>
    </row>
    <row r="13767">
      <c r="G13767" s="9">
        <f t="shared" si="0"/>
      </c>
      <c r="L13767">
        <f t="shared" si="1"/>
      </c>
      <c r="M13767">
        <f t="shared" si="2"/>
      </c>
    </row>
    <row r="13768">
      <c r="G13768" s="9">
        <f t="shared" si="0"/>
      </c>
      <c r="L13768">
        <f t="shared" si="1"/>
      </c>
      <c r="M13768">
        <f t="shared" si="2"/>
      </c>
    </row>
    <row r="13769">
      <c r="G13769" s="9">
        <f t="shared" si="0"/>
      </c>
      <c r="L13769">
        <f t="shared" si="1"/>
      </c>
      <c r="M13769">
        <f t="shared" si="2"/>
      </c>
    </row>
    <row r="13770">
      <c r="G13770" s="9">
        <f t="shared" si="0"/>
      </c>
      <c r="L13770">
        <f t="shared" si="1"/>
      </c>
      <c r="M13770">
        <f t="shared" si="2"/>
      </c>
    </row>
    <row r="13771">
      <c r="G13771" s="9">
        <f t="shared" si="0"/>
      </c>
      <c r="L13771">
        <f t="shared" si="1"/>
      </c>
      <c r="M13771">
        <f t="shared" si="2"/>
      </c>
    </row>
    <row r="13772">
      <c r="G13772" s="9">
        <f t="shared" si="0"/>
      </c>
      <c r="L13772">
        <f t="shared" si="1"/>
      </c>
      <c r="M13772">
        <f t="shared" si="2"/>
      </c>
    </row>
    <row r="13773">
      <c r="G13773" s="9">
        <f t="shared" si="0"/>
      </c>
      <c r="L13773">
        <f t="shared" si="1"/>
      </c>
      <c r="M13773">
        <f t="shared" si="2"/>
      </c>
    </row>
    <row r="13774">
      <c r="G13774" s="9">
        <f t="shared" si="0"/>
      </c>
      <c r="L13774">
        <f t="shared" si="1"/>
      </c>
      <c r="M13774">
        <f t="shared" si="2"/>
      </c>
    </row>
    <row r="13775">
      <c r="G13775" s="9">
        <f t="shared" si="0"/>
      </c>
      <c r="L13775">
        <f t="shared" si="1"/>
      </c>
      <c r="M13775">
        <f t="shared" si="2"/>
      </c>
    </row>
    <row r="13776">
      <c r="G13776" s="9">
        <f t="shared" si="0"/>
      </c>
      <c r="L13776">
        <f t="shared" si="1"/>
      </c>
      <c r="M13776">
        <f t="shared" si="2"/>
      </c>
    </row>
    <row r="13777">
      <c r="G13777" s="9">
        <f t="shared" si="0"/>
      </c>
      <c r="L13777">
        <f t="shared" si="1"/>
      </c>
      <c r="M13777">
        <f t="shared" si="2"/>
      </c>
    </row>
    <row r="13778">
      <c r="G13778" s="9">
        <f t="shared" si="0"/>
      </c>
      <c r="L13778">
        <f t="shared" si="1"/>
      </c>
      <c r="M13778">
        <f t="shared" si="2"/>
      </c>
    </row>
    <row r="13779">
      <c r="G13779" s="9">
        <f t="shared" si="0"/>
      </c>
      <c r="L13779">
        <f t="shared" si="1"/>
      </c>
      <c r="M13779">
        <f t="shared" si="2"/>
      </c>
    </row>
    <row r="13780">
      <c r="G13780" s="9">
        <f t="shared" si="0"/>
      </c>
      <c r="L13780">
        <f t="shared" si="1"/>
      </c>
      <c r="M13780">
        <f t="shared" si="2"/>
      </c>
    </row>
    <row r="13781">
      <c r="G13781" s="9">
        <f t="shared" si="0"/>
      </c>
      <c r="L13781">
        <f t="shared" si="1"/>
      </c>
      <c r="M13781">
        <f t="shared" si="2"/>
      </c>
    </row>
    <row r="13782">
      <c r="G13782" s="9">
        <f t="shared" si="0"/>
      </c>
      <c r="L13782">
        <f t="shared" si="1"/>
      </c>
      <c r="M13782">
        <f t="shared" si="2"/>
      </c>
    </row>
    <row r="13783">
      <c r="G13783" s="9">
        <f t="shared" si="0"/>
      </c>
      <c r="L13783">
        <f t="shared" si="1"/>
      </c>
      <c r="M13783">
        <f t="shared" si="2"/>
      </c>
    </row>
    <row r="13784">
      <c r="G13784" s="9">
        <f t="shared" si="0"/>
      </c>
      <c r="L13784">
        <f t="shared" si="1"/>
      </c>
      <c r="M13784">
        <f t="shared" si="2"/>
      </c>
    </row>
    <row r="13785">
      <c r="G13785" s="9">
        <f t="shared" si="0"/>
      </c>
      <c r="L13785">
        <f t="shared" si="1"/>
      </c>
      <c r="M13785">
        <f t="shared" si="2"/>
      </c>
    </row>
    <row r="13786">
      <c r="G13786" s="9">
        <f t="shared" si="0"/>
      </c>
      <c r="L13786">
        <f t="shared" si="1"/>
      </c>
      <c r="M13786">
        <f t="shared" si="2"/>
      </c>
    </row>
    <row r="13787">
      <c r="G13787" s="9">
        <f t="shared" si="0"/>
      </c>
      <c r="L13787">
        <f t="shared" si="1"/>
      </c>
      <c r="M13787">
        <f t="shared" si="2"/>
      </c>
    </row>
    <row r="13788">
      <c r="G13788" s="9">
        <f t="shared" si="0"/>
      </c>
      <c r="L13788">
        <f t="shared" si="1"/>
      </c>
      <c r="M13788">
        <f t="shared" si="2"/>
      </c>
    </row>
    <row r="13789">
      <c r="G13789" s="9">
        <f t="shared" si="0"/>
      </c>
      <c r="L13789">
        <f t="shared" si="1"/>
      </c>
      <c r="M13789">
        <f t="shared" si="2"/>
      </c>
    </row>
    <row r="13790">
      <c r="G13790" s="9">
        <f t="shared" si="0"/>
      </c>
      <c r="L13790">
        <f t="shared" si="1"/>
      </c>
      <c r="M13790">
        <f t="shared" si="2"/>
      </c>
    </row>
    <row r="13791">
      <c r="G13791" s="9">
        <f t="shared" si="0"/>
      </c>
      <c r="L13791">
        <f t="shared" si="1"/>
      </c>
      <c r="M13791">
        <f t="shared" si="2"/>
      </c>
    </row>
    <row r="13792">
      <c r="G13792" s="9">
        <f t="shared" si="0"/>
      </c>
      <c r="L13792">
        <f t="shared" si="1"/>
      </c>
      <c r="M13792">
        <f t="shared" si="2"/>
      </c>
    </row>
    <row r="13793">
      <c r="G13793" s="9">
        <f t="shared" si="0"/>
      </c>
      <c r="L13793">
        <f t="shared" si="1"/>
      </c>
      <c r="M13793">
        <f t="shared" si="2"/>
      </c>
    </row>
    <row r="13794">
      <c r="G13794" s="9">
        <f t="shared" si="0"/>
      </c>
      <c r="L13794">
        <f t="shared" si="1"/>
      </c>
      <c r="M13794">
        <f t="shared" si="2"/>
      </c>
    </row>
    <row r="13795">
      <c r="G13795" s="9">
        <f t="shared" si="0"/>
      </c>
      <c r="L13795">
        <f t="shared" si="1"/>
      </c>
      <c r="M13795">
        <f t="shared" si="2"/>
      </c>
    </row>
    <row r="13796">
      <c r="G13796" s="9">
        <f t="shared" si="0"/>
      </c>
      <c r="L13796">
        <f t="shared" si="1"/>
      </c>
      <c r="M13796">
        <f t="shared" si="2"/>
      </c>
    </row>
    <row r="13797">
      <c r="G13797" s="9">
        <f t="shared" si="0"/>
      </c>
      <c r="L13797">
        <f t="shared" si="1"/>
      </c>
      <c r="M13797">
        <f t="shared" si="2"/>
      </c>
    </row>
    <row r="13798">
      <c r="G13798" s="9">
        <f t="shared" si="0"/>
      </c>
      <c r="L13798">
        <f t="shared" si="1"/>
      </c>
      <c r="M13798">
        <f t="shared" si="2"/>
      </c>
    </row>
    <row r="13799">
      <c r="G13799" s="9">
        <f t="shared" si="0"/>
      </c>
      <c r="L13799">
        <f t="shared" si="1"/>
      </c>
      <c r="M13799">
        <f t="shared" si="2"/>
      </c>
    </row>
    <row r="13800">
      <c r="G13800" s="9">
        <f t="shared" si="0"/>
      </c>
      <c r="L13800">
        <f t="shared" si="1"/>
      </c>
      <c r="M13800">
        <f t="shared" si="2"/>
      </c>
    </row>
    <row r="13801">
      <c r="G13801" s="9">
        <f t="shared" si="0"/>
      </c>
      <c r="L13801">
        <f t="shared" si="1"/>
      </c>
      <c r="M13801">
        <f t="shared" si="2"/>
      </c>
    </row>
    <row r="13802">
      <c r="G13802" s="9">
        <f t="shared" si="0"/>
      </c>
      <c r="L13802">
        <f t="shared" si="1"/>
      </c>
      <c r="M13802">
        <f t="shared" si="2"/>
      </c>
    </row>
    <row r="13803">
      <c r="G13803" s="9">
        <f t="shared" si="0"/>
      </c>
      <c r="L13803">
        <f t="shared" si="1"/>
      </c>
      <c r="M13803">
        <f t="shared" si="2"/>
      </c>
    </row>
    <row r="13804">
      <c r="G13804" s="9">
        <f t="shared" si="0"/>
      </c>
      <c r="L13804">
        <f t="shared" si="1"/>
      </c>
      <c r="M13804">
        <f t="shared" si="2"/>
      </c>
    </row>
    <row r="13805">
      <c r="G13805" s="9">
        <f t="shared" si="0"/>
      </c>
      <c r="L13805">
        <f t="shared" si="1"/>
      </c>
      <c r="M13805">
        <f t="shared" si="2"/>
      </c>
    </row>
    <row r="13806">
      <c r="G13806" s="9">
        <f t="shared" si="0"/>
      </c>
      <c r="L13806">
        <f t="shared" si="1"/>
      </c>
      <c r="M13806">
        <f t="shared" si="2"/>
      </c>
    </row>
    <row r="13807">
      <c r="G13807" s="9">
        <f t="shared" si="0"/>
      </c>
      <c r="L13807">
        <f t="shared" si="1"/>
      </c>
      <c r="M13807">
        <f t="shared" si="2"/>
      </c>
    </row>
    <row r="13808">
      <c r="G13808" s="9">
        <f t="shared" si="0"/>
      </c>
      <c r="L13808">
        <f t="shared" si="1"/>
      </c>
      <c r="M13808">
        <f t="shared" si="2"/>
      </c>
    </row>
    <row r="13809">
      <c r="G13809" s="9">
        <f t="shared" si="0"/>
      </c>
      <c r="L13809">
        <f t="shared" si="1"/>
      </c>
      <c r="M13809">
        <f t="shared" si="2"/>
      </c>
    </row>
    <row r="13810">
      <c r="G13810" s="9">
        <f t="shared" si="0"/>
      </c>
      <c r="L13810">
        <f t="shared" si="1"/>
      </c>
      <c r="M13810">
        <f t="shared" si="2"/>
      </c>
    </row>
    <row r="13811">
      <c r="G13811" s="9">
        <f t="shared" si="0"/>
      </c>
      <c r="L13811">
        <f t="shared" si="1"/>
      </c>
      <c r="M13811">
        <f t="shared" si="2"/>
      </c>
    </row>
    <row r="13812">
      <c r="G13812" s="9">
        <f t="shared" si="0"/>
      </c>
      <c r="L13812">
        <f t="shared" si="1"/>
      </c>
      <c r="M13812">
        <f t="shared" si="2"/>
      </c>
    </row>
    <row r="13813">
      <c r="G13813" s="9">
        <f t="shared" si="0"/>
      </c>
      <c r="L13813">
        <f t="shared" si="1"/>
      </c>
      <c r="M13813">
        <f t="shared" si="2"/>
      </c>
    </row>
    <row r="13814">
      <c r="G13814" s="9">
        <f t="shared" si="0"/>
      </c>
      <c r="L13814">
        <f t="shared" si="1"/>
      </c>
      <c r="M13814">
        <f t="shared" si="2"/>
      </c>
    </row>
    <row r="13815">
      <c r="G13815" s="9">
        <f t="shared" si="0"/>
      </c>
      <c r="L13815">
        <f t="shared" si="1"/>
      </c>
      <c r="M13815">
        <f t="shared" si="2"/>
      </c>
    </row>
    <row r="13816">
      <c r="G13816" s="9">
        <f t="shared" si="0"/>
      </c>
      <c r="L13816">
        <f t="shared" si="1"/>
      </c>
      <c r="M13816">
        <f t="shared" si="2"/>
      </c>
    </row>
    <row r="13817">
      <c r="G13817" s="9">
        <f t="shared" si="0"/>
      </c>
      <c r="L13817">
        <f t="shared" si="1"/>
      </c>
      <c r="M13817">
        <f t="shared" si="2"/>
      </c>
    </row>
    <row r="13818">
      <c r="G13818" s="9">
        <f t="shared" si="0"/>
      </c>
      <c r="L13818">
        <f t="shared" si="1"/>
      </c>
      <c r="M13818">
        <f t="shared" si="2"/>
      </c>
    </row>
    <row r="13819">
      <c r="G13819" s="9">
        <f t="shared" si="0"/>
      </c>
      <c r="L13819">
        <f t="shared" si="1"/>
      </c>
      <c r="M13819">
        <f t="shared" si="2"/>
      </c>
    </row>
    <row r="13820">
      <c r="G13820" s="9">
        <f t="shared" si="0"/>
      </c>
      <c r="L13820">
        <f t="shared" si="1"/>
      </c>
      <c r="M13820">
        <f t="shared" si="2"/>
      </c>
    </row>
    <row r="13821">
      <c r="G13821" s="9">
        <f t="shared" si="0"/>
      </c>
      <c r="L13821">
        <f t="shared" si="1"/>
      </c>
      <c r="M13821">
        <f t="shared" si="2"/>
      </c>
    </row>
    <row r="13822">
      <c r="G13822" s="9">
        <f t="shared" si="0"/>
      </c>
      <c r="L13822">
        <f t="shared" si="1"/>
      </c>
      <c r="M13822">
        <f t="shared" si="2"/>
      </c>
    </row>
    <row r="13823">
      <c r="G13823" s="9">
        <f t="shared" si="0"/>
      </c>
      <c r="L13823">
        <f t="shared" si="1"/>
      </c>
      <c r="M13823">
        <f t="shared" si="2"/>
      </c>
    </row>
    <row r="13824">
      <c r="G13824" s="9">
        <f t="shared" si="0"/>
      </c>
      <c r="L13824">
        <f t="shared" si="1"/>
      </c>
      <c r="M13824">
        <f t="shared" si="2"/>
      </c>
    </row>
    <row r="13825">
      <c r="G13825" s="9">
        <f t="shared" si="0"/>
      </c>
      <c r="L13825">
        <f t="shared" si="1"/>
      </c>
      <c r="M13825">
        <f t="shared" si="2"/>
      </c>
    </row>
    <row r="13826">
      <c r="G13826" s="9">
        <f t="shared" si="0"/>
      </c>
      <c r="L13826">
        <f t="shared" si="1"/>
      </c>
      <c r="M13826">
        <f t="shared" si="2"/>
      </c>
    </row>
    <row r="13827">
      <c r="G13827" s="9">
        <f t="shared" si="0"/>
      </c>
      <c r="L13827">
        <f t="shared" si="1"/>
      </c>
      <c r="M13827">
        <f t="shared" si="2"/>
      </c>
    </row>
    <row r="13828">
      <c r="G13828" s="9">
        <f t="shared" si="0"/>
      </c>
      <c r="L13828">
        <f t="shared" si="1"/>
      </c>
      <c r="M13828">
        <f t="shared" si="2"/>
      </c>
    </row>
    <row r="13829">
      <c r="G13829" s="9">
        <f t="shared" si="0"/>
      </c>
      <c r="L13829">
        <f t="shared" si="1"/>
      </c>
      <c r="M13829">
        <f t="shared" si="2"/>
      </c>
    </row>
    <row r="13830">
      <c r="G13830" s="9">
        <f t="shared" si="0"/>
      </c>
      <c r="L13830">
        <f t="shared" si="1"/>
      </c>
      <c r="M13830">
        <f t="shared" si="2"/>
      </c>
    </row>
    <row r="13831">
      <c r="G13831" s="9">
        <f t="shared" si="0"/>
      </c>
      <c r="L13831">
        <f t="shared" si="1"/>
      </c>
      <c r="M13831">
        <f t="shared" si="2"/>
      </c>
    </row>
    <row r="13832">
      <c r="G13832" s="9">
        <f t="shared" si="0"/>
      </c>
      <c r="L13832">
        <f t="shared" si="1"/>
      </c>
      <c r="M13832">
        <f t="shared" si="2"/>
      </c>
    </row>
    <row r="13833">
      <c r="G13833" s="9">
        <f t="shared" si="0"/>
      </c>
      <c r="L13833">
        <f t="shared" si="1"/>
      </c>
      <c r="M13833">
        <f t="shared" si="2"/>
      </c>
    </row>
    <row r="13834">
      <c r="G13834" s="9">
        <f t="shared" si="0"/>
      </c>
      <c r="L13834">
        <f t="shared" si="1"/>
      </c>
      <c r="M13834">
        <f t="shared" si="2"/>
      </c>
    </row>
    <row r="13835">
      <c r="G13835" s="9">
        <f t="shared" si="0"/>
      </c>
      <c r="L13835">
        <f t="shared" si="1"/>
      </c>
      <c r="M13835">
        <f t="shared" si="2"/>
      </c>
    </row>
    <row r="13836">
      <c r="G13836" s="9">
        <f t="shared" si="0"/>
      </c>
      <c r="L13836">
        <f t="shared" si="1"/>
      </c>
      <c r="M13836">
        <f t="shared" si="2"/>
      </c>
    </row>
    <row r="13837">
      <c r="G13837" s="9">
        <f t="shared" si="0"/>
      </c>
      <c r="L13837">
        <f t="shared" si="1"/>
      </c>
      <c r="M13837">
        <f t="shared" si="2"/>
      </c>
    </row>
    <row r="13838">
      <c r="G13838" s="9">
        <f t="shared" si="0"/>
      </c>
      <c r="L13838">
        <f t="shared" si="1"/>
      </c>
      <c r="M13838">
        <f t="shared" si="2"/>
      </c>
    </row>
    <row r="13839">
      <c r="G13839" s="9">
        <f t="shared" si="0"/>
      </c>
      <c r="L13839">
        <f t="shared" si="1"/>
      </c>
      <c r="M13839">
        <f t="shared" si="2"/>
      </c>
    </row>
    <row r="13840">
      <c r="G13840" s="9">
        <f t="shared" si="0"/>
      </c>
      <c r="L13840">
        <f t="shared" si="1"/>
      </c>
      <c r="M13840">
        <f t="shared" si="2"/>
      </c>
    </row>
    <row r="13841">
      <c r="G13841" s="9">
        <f t="shared" si="0"/>
      </c>
      <c r="L13841">
        <f t="shared" si="1"/>
      </c>
      <c r="M13841">
        <f t="shared" si="2"/>
      </c>
    </row>
    <row r="13842">
      <c r="G13842" s="9">
        <f t="shared" si="0"/>
      </c>
      <c r="L13842">
        <f t="shared" si="1"/>
      </c>
      <c r="M13842">
        <f t="shared" si="2"/>
      </c>
    </row>
    <row r="13843">
      <c r="G13843" s="9">
        <f t="shared" si="0"/>
      </c>
      <c r="L13843">
        <f t="shared" si="1"/>
      </c>
      <c r="M13843">
        <f t="shared" si="2"/>
      </c>
    </row>
    <row r="13844">
      <c r="G13844" s="9">
        <f t="shared" si="0"/>
      </c>
      <c r="L13844">
        <f t="shared" si="1"/>
      </c>
      <c r="M13844">
        <f t="shared" si="2"/>
      </c>
    </row>
    <row r="13845">
      <c r="G13845" s="9">
        <f t="shared" si="0"/>
      </c>
      <c r="L13845">
        <f t="shared" si="1"/>
      </c>
      <c r="M13845">
        <f t="shared" si="2"/>
      </c>
    </row>
    <row r="13846">
      <c r="G13846" s="9">
        <f t="shared" si="0"/>
      </c>
      <c r="L13846">
        <f t="shared" si="1"/>
      </c>
      <c r="M13846">
        <f t="shared" si="2"/>
      </c>
    </row>
    <row r="13847">
      <c r="G13847" s="9">
        <f t="shared" si="0"/>
      </c>
      <c r="L13847">
        <f t="shared" si="1"/>
      </c>
      <c r="M13847">
        <f t="shared" si="2"/>
      </c>
    </row>
    <row r="13848">
      <c r="G13848" s="9">
        <f t="shared" si="0"/>
      </c>
      <c r="L13848">
        <f t="shared" si="1"/>
      </c>
      <c r="M13848">
        <f t="shared" si="2"/>
      </c>
    </row>
    <row r="13849">
      <c r="G13849" s="9">
        <f t="shared" si="0"/>
      </c>
      <c r="L13849">
        <f t="shared" si="1"/>
      </c>
      <c r="M13849">
        <f t="shared" si="2"/>
      </c>
    </row>
    <row r="13850">
      <c r="G13850" s="9">
        <f t="shared" si="0"/>
      </c>
      <c r="L13850">
        <f t="shared" si="1"/>
      </c>
      <c r="M13850">
        <f t="shared" si="2"/>
      </c>
    </row>
    <row r="13851">
      <c r="G13851" s="9">
        <f t="shared" si="0"/>
      </c>
      <c r="L13851">
        <f t="shared" si="1"/>
      </c>
      <c r="M13851">
        <f t="shared" si="2"/>
      </c>
    </row>
    <row r="13852">
      <c r="G13852" s="9">
        <f t="shared" si="0"/>
      </c>
      <c r="L13852">
        <f t="shared" si="1"/>
      </c>
      <c r="M13852">
        <f t="shared" si="2"/>
      </c>
    </row>
    <row r="13853">
      <c r="G13853" s="9">
        <f t="shared" si="0"/>
      </c>
      <c r="L13853">
        <f t="shared" si="1"/>
      </c>
      <c r="M13853">
        <f t="shared" si="2"/>
      </c>
    </row>
    <row r="13854">
      <c r="G13854" s="9">
        <f t="shared" si="0"/>
      </c>
      <c r="L13854">
        <f t="shared" si="1"/>
      </c>
      <c r="M13854">
        <f t="shared" si="2"/>
      </c>
    </row>
    <row r="13855">
      <c r="G13855" s="9">
        <f t="shared" si="0"/>
      </c>
      <c r="L13855">
        <f t="shared" si="1"/>
      </c>
      <c r="M13855">
        <f t="shared" si="2"/>
      </c>
    </row>
    <row r="13856">
      <c r="G13856" s="9">
        <f t="shared" si="0"/>
      </c>
      <c r="L13856">
        <f t="shared" si="1"/>
      </c>
      <c r="M13856">
        <f t="shared" si="2"/>
      </c>
    </row>
    <row r="13857">
      <c r="G13857" s="9">
        <f t="shared" si="0"/>
      </c>
      <c r="L13857">
        <f t="shared" si="1"/>
      </c>
      <c r="M13857">
        <f t="shared" si="2"/>
      </c>
    </row>
    <row r="13858">
      <c r="G13858" s="9">
        <f t="shared" si="0"/>
      </c>
      <c r="L13858">
        <f t="shared" si="1"/>
      </c>
      <c r="M13858">
        <f t="shared" si="2"/>
      </c>
    </row>
    <row r="13859">
      <c r="G13859" s="9">
        <f t="shared" si="0"/>
      </c>
      <c r="L13859">
        <f t="shared" si="1"/>
      </c>
      <c r="M13859">
        <f t="shared" si="2"/>
      </c>
    </row>
    <row r="13860">
      <c r="G13860" s="9">
        <f t="shared" si="0"/>
      </c>
      <c r="L13860">
        <f t="shared" si="1"/>
      </c>
      <c r="M13860">
        <f t="shared" si="2"/>
      </c>
    </row>
    <row r="13861">
      <c r="G13861" s="9">
        <f t="shared" si="0"/>
      </c>
      <c r="L13861">
        <f t="shared" si="1"/>
      </c>
      <c r="M13861">
        <f t="shared" si="2"/>
      </c>
    </row>
    <row r="13862">
      <c r="G13862" s="9">
        <f t="shared" si="0"/>
      </c>
      <c r="L13862">
        <f t="shared" si="1"/>
      </c>
      <c r="M13862">
        <f t="shared" si="2"/>
      </c>
    </row>
    <row r="13863">
      <c r="G13863" s="9">
        <f t="shared" si="0"/>
      </c>
      <c r="L13863">
        <f t="shared" si="1"/>
      </c>
      <c r="M13863">
        <f t="shared" si="2"/>
      </c>
    </row>
    <row r="13864">
      <c r="G13864" s="9">
        <f t="shared" si="0"/>
      </c>
      <c r="L13864">
        <f t="shared" si="1"/>
      </c>
      <c r="M13864">
        <f t="shared" si="2"/>
      </c>
    </row>
    <row r="13865">
      <c r="G13865" s="9">
        <f t="shared" si="0"/>
      </c>
      <c r="L13865">
        <f t="shared" si="1"/>
      </c>
      <c r="M13865">
        <f t="shared" si="2"/>
      </c>
    </row>
    <row r="13866">
      <c r="G13866" s="9">
        <f t="shared" si="0"/>
      </c>
      <c r="L13866">
        <f t="shared" si="1"/>
      </c>
      <c r="M13866">
        <f t="shared" si="2"/>
      </c>
    </row>
    <row r="13867">
      <c r="G13867" s="9">
        <f t="shared" si="0"/>
      </c>
      <c r="L13867">
        <f t="shared" si="1"/>
      </c>
      <c r="M13867">
        <f t="shared" si="2"/>
      </c>
    </row>
    <row r="13868">
      <c r="G13868" s="9">
        <f t="shared" si="0"/>
      </c>
      <c r="L13868">
        <f t="shared" si="1"/>
      </c>
      <c r="M13868">
        <f t="shared" si="2"/>
      </c>
    </row>
    <row r="13869">
      <c r="G13869" s="9">
        <f t="shared" si="0"/>
      </c>
      <c r="L13869">
        <f t="shared" si="1"/>
      </c>
      <c r="M13869">
        <f t="shared" si="2"/>
      </c>
    </row>
    <row r="13870">
      <c r="G13870" s="9">
        <f t="shared" si="0"/>
      </c>
      <c r="L13870">
        <f t="shared" si="1"/>
      </c>
      <c r="M13870">
        <f t="shared" si="2"/>
      </c>
    </row>
    <row r="13871">
      <c r="G13871" s="9">
        <f t="shared" si="0"/>
      </c>
      <c r="L13871">
        <f t="shared" si="1"/>
      </c>
      <c r="M13871">
        <f t="shared" si="2"/>
      </c>
    </row>
    <row r="13872">
      <c r="G13872" s="9">
        <f t="shared" si="0"/>
      </c>
      <c r="L13872">
        <f t="shared" si="1"/>
      </c>
      <c r="M13872">
        <f t="shared" si="2"/>
      </c>
    </row>
    <row r="13873">
      <c r="G13873" s="9">
        <f t="shared" si="0"/>
      </c>
      <c r="L13873">
        <f t="shared" si="1"/>
      </c>
      <c r="M13873">
        <f t="shared" si="2"/>
      </c>
    </row>
    <row r="13874">
      <c r="G13874" s="9">
        <f t="shared" si="0"/>
      </c>
      <c r="L13874">
        <f t="shared" si="1"/>
      </c>
      <c r="M13874">
        <f t="shared" si="2"/>
      </c>
    </row>
    <row r="13875">
      <c r="G13875" s="9">
        <f t="shared" si="0"/>
      </c>
      <c r="L13875">
        <f t="shared" si="1"/>
      </c>
      <c r="M13875">
        <f t="shared" si="2"/>
      </c>
    </row>
    <row r="13876">
      <c r="G13876" s="9">
        <f t="shared" si="0"/>
      </c>
      <c r="L13876">
        <f t="shared" si="1"/>
      </c>
      <c r="M13876">
        <f t="shared" si="2"/>
      </c>
    </row>
    <row r="13877">
      <c r="G13877" s="9">
        <f t="shared" si="0"/>
      </c>
      <c r="L13877">
        <f t="shared" si="1"/>
      </c>
      <c r="M13877">
        <f t="shared" si="2"/>
      </c>
    </row>
    <row r="13878">
      <c r="G13878" s="9">
        <f t="shared" si="0"/>
      </c>
      <c r="L13878">
        <f t="shared" si="1"/>
      </c>
      <c r="M13878">
        <f t="shared" si="2"/>
      </c>
    </row>
    <row r="13879">
      <c r="G13879" s="9">
        <f t="shared" si="0"/>
      </c>
      <c r="L13879">
        <f t="shared" si="1"/>
      </c>
      <c r="M13879">
        <f t="shared" si="2"/>
      </c>
    </row>
    <row r="13880">
      <c r="G13880" s="9">
        <f t="shared" si="0"/>
      </c>
      <c r="L13880">
        <f t="shared" si="1"/>
      </c>
      <c r="M13880">
        <f t="shared" si="2"/>
      </c>
    </row>
    <row r="13881">
      <c r="G13881" s="9">
        <f t="shared" si="0"/>
      </c>
      <c r="L13881">
        <f t="shared" si="1"/>
      </c>
      <c r="M13881">
        <f t="shared" si="2"/>
      </c>
    </row>
    <row r="13882">
      <c r="G13882" s="9">
        <f t="shared" si="0"/>
      </c>
      <c r="L13882">
        <f t="shared" si="1"/>
      </c>
      <c r="M13882">
        <f t="shared" si="2"/>
      </c>
    </row>
    <row r="13883">
      <c r="G13883" s="9">
        <f t="shared" si="0"/>
      </c>
      <c r="L13883">
        <f t="shared" si="1"/>
      </c>
      <c r="M13883">
        <f t="shared" si="2"/>
      </c>
    </row>
    <row r="13884">
      <c r="G13884" s="9">
        <f t="shared" si="0"/>
      </c>
      <c r="L13884">
        <f t="shared" si="1"/>
      </c>
      <c r="M13884">
        <f t="shared" si="2"/>
      </c>
    </row>
    <row r="13885">
      <c r="G13885" s="9">
        <f t="shared" si="0"/>
      </c>
      <c r="L13885">
        <f t="shared" si="1"/>
      </c>
      <c r="M13885">
        <f t="shared" si="2"/>
      </c>
    </row>
    <row r="13886">
      <c r="G13886" s="9">
        <f t="shared" si="0"/>
      </c>
      <c r="L13886">
        <f t="shared" si="1"/>
      </c>
      <c r="M13886">
        <f t="shared" si="2"/>
      </c>
    </row>
    <row r="13887">
      <c r="G13887" s="9">
        <f t="shared" si="0"/>
      </c>
      <c r="L13887">
        <f t="shared" si="1"/>
      </c>
      <c r="M13887">
        <f t="shared" si="2"/>
      </c>
    </row>
    <row r="13888">
      <c r="G13888" s="9">
        <f t="shared" si="0"/>
      </c>
      <c r="L13888">
        <f t="shared" si="1"/>
      </c>
      <c r="M13888">
        <f t="shared" si="2"/>
      </c>
    </row>
    <row r="13889">
      <c r="G13889" s="9">
        <f t="shared" si="0"/>
      </c>
      <c r="L13889">
        <f t="shared" si="1"/>
      </c>
      <c r="M13889">
        <f t="shared" si="2"/>
      </c>
    </row>
    <row r="13890">
      <c r="G13890" s="9">
        <f t="shared" si="0"/>
      </c>
      <c r="L13890">
        <f t="shared" si="1"/>
      </c>
      <c r="M13890">
        <f t="shared" si="2"/>
      </c>
    </row>
    <row r="13891">
      <c r="G13891" s="9">
        <f t="shared" si="0"/>
      </c>
      <c r="L13891">
        <f t="shared" si="1"/>
      </c>
      <c r="M13891">
        <f t="shared" si="2"/>
      </c>
    </row>
    <row r="13892">
      <c r="G13892" s="9">
        <f t="shared" si="0"/>
      </c>
      <c r="L13892">
        <f t="shared" si="1"/>
      </c>
      <c r="M13892">
        <f t="shared" si="2"/>
      </c>
    </row>
    <row r="13893">
      <c r="G13893" s="9">
        <f t="shared" si="0"/>
      </c>
      <c r="L13893">
        <f t="shared" si="1"/>
      </c>
      <c r="M13893">
        <f t="shared" si="2"/>
      </c>
    </row>
    <row r="13894">
      <c r="G13894" s="9">
        <f t="shared" si="0"/>
      </c>
      <c r="L13894">
        <f t="shared" si="1"/>
      </c>
      <c r="M13894">
        <f t="shared" si="2"/>
      </c>
    </row>
    <row r="13895">
      <c r="G13895" s="9">
        <f t="shared" si="0"/>
      </c>
      <c r="L13895">
        <f t="shared" si="1"/>
      </c>
      <c r="M13895">
        <f t="shared" si="2"/>
      </c>
    </row>
    <row r="13896">
      <c r="G13896" s="9">
        <f t="shared" si="0"/>
      </c>
      <c r="L13896">
        <f t="shared" si="1"/>
      </c>
      <c r="M13896">
        <f t="shared" si="2"/>
      </c>
    </row>
    <row r="13897">
      <c r="G13897" s="9">
        <f t="shared" si="0"/>
      </c>
      <c r="L13897">
        <f t="shared" si="1"/>
      </c>
      <c r="M13897">
        <f t="shared" si="2"/>
      </c>
    </row>
    <row r="13898">
      <c r="G13898" s="9">
        <f t="shared" si="0"/>
      </c>
      <c r="L13898">
        <f t="shared" si="1"/>
      </c>
      <c r="M13898">
        <f t="shared" si="2"/>
      </c>
    </row>
    <row r="13899">
      <c r="G13899" s="9">
        <f t="shared" si="0"/>
      </c>
      <c r="L13899">
        <f t="shared" si="1"/>
      </c>
      <c r="M13899">
        <f t="shared" si="2"/>
      </c>
    </row>
    <row r="13900">
      <c r="G13900" s="9">
        <f t="shared" si="0"/>
      </c>
      <c r="L13900">
        <f t="shared" si="1"/>
      </c>
      <c r="M13900">
        <f t="shared" si="2"/>
      </c>
    </row>
    <row r="13901">
      <c r="G13901" s="9">
        <f t="shared" si="0"/>
      </c>
      <c r="L13901">
        <f t="shared" si="1"/>
      </c>
      <c r="M13901">
        <f t="shared" si="2"/>
      </c>
    </row>
    <row r="13902">
      <c r="G13902" s="9">
        <f t="shared" si="0"/>
      </c>
      <c r="L13902">
        <f t="shared" si="1"/>
      </c>
      <c r="M13902">
        <f t="shared" si="2"/>
      </c>
    </row>
    <row r="13903">
      <c r="G13903" s="9">
        <f t="shared" si="0"/>
      </c>
      <c r="L13903">
        <f t="shared" si="1"/>
      </c>
      <c r="M13903">
        <f t="shared" si="2"/>
      </c>
    </row>
    <row r="13904">
      <c r="G13904" s="9">
        <f t="shared" si="0"/>
      </c>
      <c r="L13904">
        <f t="shared" si="1"/>
      </c>
      <c r="M13904">
        <f t="shared" si="2"/>
      </c>
    </row>
    <row r="13905">
      <c r="G13905" s="9">
        <f t="shared" si="0"/>
      </c>
      <c r="L13905">
        <f t="shared" si="1"/>
      </c>
      <c r="M13905">
        <f t="shared" si="2"/>
      </c>
    </row>
    <row r="13906">
      <c r="G13906" s="9">
        <f t="shared" si="0"/>
      </c>
      <c r="L13906">
        <f t="shared" si="1"/>
      </c>
      <c r="M13906">
        <f t="shared" si="2"/>
      </c>
    </row>
    <row r="13907">
      <c r="G13907" s="9">
        <f t="shared" si="0"/>
      </c>
      <c r="L13907">
        <f t="shared" si="1"/>
      </c>
      <c r="M13907">
        <f t="shared" si="2"/>
      </c>
    </row>
    <row r="13908">
      <c r="G13908" s="9">
        <f t="shared" si="0"/>
      </c>
      <c r="L13908">
        <f t="shared" si="1"/>
      </c>
      <c r="M13908">
        <f t="shared" si="2"/>
      </c>
    </row>
    <row r="13909">
      <c r="G13909" s="9">
        <f t="shared" si="0"/>
      </c>
      <c r="L13909">
        <f t="shared" si="1"/>
      </c>
      <c r="M13909">
        <f t="shared" si="2"/>
      </c>
    </row>
    <row r="13910">
      <c r="G13910" s="9">
        <f t="shared" si="0"/>
      </c>
      <c r="L13910">
        <f t="shared" si="1"/>
      </c>
      <c r="M13910">
        <f t="shared" si="2"/>
      </c>
    </row>
    <row r="13911">
      <c r="G13911" s="9">
        <f t="shared" si="0"/>
      </c>
      <c r="L13911">
        <f t="shared" si="1"/>
      </c>
      <c r="M13911">
        <f t="shared" si="2"/>
      </c>
    </row>
    <row r="13912">
      <c r="G13912" s="9">
        <f t="shared" si="0"/>
      </c>
      <c r="L13912">
        <f t="shared" si="1"/>
      </c>
      <c r="M13912">
        <f t="shared" si="2"/>
      </c>
    </row>
    <row r="13913">
      <c r="G13913" s="9">
        <f t="shared" si="0"/>
      </c>
      <c r="L13913">
        <f t="shared" si="1"/>
      </c>
      <c r="M13913">
        <f t="shared" si="2"/>
      </c>
    </row>
    <row r="13914">
      <c r="G13914" s="9">
        <f t="shared" si="0"/>
      </c>
      <c r="L13914">
        <f t="shared" si="1"/>
      </c>
      <c r="M13914">
        <f t="shared" si="2"/>
      </c>
    </row>
    <row r="13915">
      <c r="G13915" s="9">
        <f t="shared" si="0"/>
      </c>
      <c r="L13915">
        <f t="shared" si="1"/>
      </c>
      <c r="M13915">
        <f t="shared" si="2"/>
      </c>
    </row>
    <row r="13916">
      <c r="G13916" s="9">
        <f t="shared" si="0"/>
      </c>
      <c r="L13916">
        <f t="shared" si="1"/>
      </c>
      <c r="M13916">
        <f t="shared" si="2"/>
      </c>
    </row>
    <row r="13917">
      <c r="G13917" s="9">
        <f t="shared" si="0"/>
      </c>
      <c r="L13917">
        <f t="shared" si="1"/>
      </c>
      <c r="M13917">
        <f t="shared" si="2"/>
      </c>
    </row>
    <row r="13918">
      <c r="G13918" s="9">
        <f t="shared" si="0"/>
      </c>
      <c r="L13918">
        <f t="shared" si="1"/>
      </c>
      <c r="M13918">
        <f t="shared" si="2"/>
      </c>
    </row>
    <row r="13919">
      <c r="G13919" s="9">
        <f t="shared" si="0"/>
      </c>
      <c r="L13919">
        <f t="shared" si="1"/>
      </c>
      <c r="M13919">
        <f t="shared" si="2"/>
      </c>
    </row>
    <row r="13920">
      <c r="G13920" s="9">
        <f t="shared" si="0"/>
      </c>
      <c r="L13920">
        <f t="shared" si="1"/>
      </c>
      <c r="M13920">
        <f t="shared" si="2"/>
      </c>
    </row>
    <row r="13921">
      <c r="G13921" s="9">
        <f t="shared" si="0"/>
      </c>
      <c r="L13921">
        <f t="shared" si="1"/>
      </c>
      <c r="M13921">
        <f t="shared" si="2"/>
      </c>
    </row>
    <row r="13922">
      <c r="G13922" s="9">
        <f t="shared" si="0"/>
      </c>
      <c r="L13922">
        <f t="shared" si="1"/>
      </c>
      <c r="M13922">
        <f t="shared" si="2"/>
      </c>
    </row>
    <row r="13923">
      <c r="G13923" s="9">
        <f t="shared" si="0"/>
      </c>
      <c r="L13923">
        <f t="shared" si="1"/>
      </c>
      <c r="M13923">
        <f t="shared" si="2"/>
      </c>
    </row>
    <row r="13924">
      <c r="G13924" s="9">
        <f t="shared" si="0"/>
      </c>
      <c r="L13924">
        <f t="shared" si="1"/>
      </c>
      <c r="M13924">
        <f t="shared" si="2"/>
      </c>
    </row>
    <row r="13925">
      <c r="G13925" s="9">
        <f t="shared" si="0"/>
      </c>
      <c r="L13925">
        <f t="shared" si="1"/>
      </c>
      <c r="M13925">
        <f t="shared" si="2"/>
      </c>
    </row>
    <row r="13926">
      <c r="G13926" s="9">
        <f t="shared" si="0"/>
      </c>
      <c r="L13926">
        <f t="shared" si="1"/>
      </c>
      <c r="M13926">
        <f t="shared" si="2"/>
      </c>
    </row>
    <row r="13927">
      <c r="G13927" s="9">
        <f t="shared" si="0"/>
      </c>
      <c r="L13927">
        <f t="shared" si="1"/>
      </c>
      <c r="M13927">
        <f t="shared" si="2"/>
      </c>
    </row>
    <row r="13928">
      <c r="G13928" s="9">
        <f t="shared" si="0"/>
      </c>
      <c r="L13928">
        <f t="shared" si="1"/>
      </c>
      <c r="M13928">
        <f t="shared" si="2"/>
      </c>
    </row>
    <row r="13929">
      <c r="G13929" s="9">
        <f t="shared" si="0"/>
      </c>
      <c r="L13929">
        <f t="shared" si="1"/>
      </c>
      <c r="M13929">
        <f t="shared" si="2"/>
      </c>
    </row>
    <row r="13930">
      <c r="G13930" s="9">
        <f t="shared" si="0"/>
      </c>
      <c r="L13930">
        <f t="shared" si="1"/>
      </c>
      <c r="M13930">
        <f t="shared" si="2"/>
      </c>
    </row>
    <row r="13931">
      <c r="G13931" s="9">
        <f t="shared" si="0"/>
      </c>
      <c r="L13931">
        <f t="shared" si="1"/>
      </c>
      <c r="M13931">
        <f t="shared" si="2"/>
      </c>
    </row>
    <row r="13932">
      <c r="G13932" s="9">
        <f t="shared" si="0"/>
      </c>
      <c r="L13932">
        <f t="shared" si="1"/>
      </c>
      <c r="M13932">
        <f t="shared" si="2"/>
      </c>
    </row>
    <row r="13933">
      <c r="G13933" s="9">
        <f t="shared" si="0"/>
      </c>
      <c r="L13933">
        <f t="shared" si="1"/>
      </c>
      <c r="M13933">
        <f t="shared" si="2"/>
      </c>
    </row>
    <row r="13934">
      <c r="G13934" s="9">
        <f t="shared" si="0"/>
      </c>
      <c r="L13934">
        <f t="shared" si="1"/>
      </c>
      <c r="M13934">
        <f t="shared" si="2"/>
      </c>
    </row>
    <row r="13935">
      <c r="G13935" s="9">
        <f t="shared" si="0"/>
      </c>
      <c r="L13935">
        <f t="shared" si="1"/>
      </c>
      <c r="M13935">
        <f t="shared" si="2"/>
      </c>
    </row>
    <row r="13936">
      <c r="G13936" s="9">
        <f t="shared" si="0"/>
      </c>
      <c r="L13936">
        <f t="shared" si="1"/>
      </c>
      <c r="M13936">
        <f t="shared" si="2"/>
      </c>
    </row>
    <row r="13937">
      <c r="G13937" s="9">
        <f t="shared" si="0"/>
      </c>
      <c r="L13937">
        <f t="shared" si="1"/>
      </c>
      <c r="M13937">
        <f t="shared" si="2"/>
      </c>
    </row>
    <row r="13938">
      <c r="G13938" s="9">
        <f t="shared" si="0"/>
      </c>
      <c r="L13938">
        <f t="shared" si="1"/>
      </c>
      <c r="M13938">
        <f t="shared" si="2"/>
      </c>
    </row>
    <row r="13939">
      <c r="G13939" s="9">
        <f t="shared" si="0"/>
      </c>
      <c r="L13939">
        <f t="shared" si="1"/>
      </c>
      <c r="M13939">
        <f t="shared" si="2"/>
      </c>
    </row>
    <row r="13940">
      <c r="G13940" s="9">
        <f t="shared" si="0"/>
      </c>
      <c r="L13940">
        <f t="shared" si="1"/>
      </c>
      <c r="M13940">
        <f t="shared" si="2"/>
      </c>
    </row>
    <row r="13941">
      <c r="G13941" s="9">
        <f t="shared" si="0"/>
      </c>
      <c r="L13941">
        <f t="shared" si="1"/>
      </c>
      <c r="M13941">
        <f t="shared" si="2"/>
      </c>
    </row>
    <row r="13942">
      <c r="G13942" s="9">
        <f t="shared" si="0"/>
      </c>
      <c r="L13942">
        <f t="shared" si="1"/>
      </c>
      <c r="M13942">
        <f t="shared" si="2"/>
      </c>
    </row>
    <row r="13943">
      <c r="G13943" s="9">
        <f t="shared" si="0"/>
      </c>
      <c r="L13943">
        <f t="shared" si="1"/>
      </c>
      <c r="M13943">
        <f t="shared" si="2"/>
      </c>
    </row>
    <row r="13944">
      <c r="G13944" s="9">
        <f t="shared" si="0"/>
      </c>
      <c r="L13944">
        <f t="shared" si="1"/>
      </c>
      <c r="M13944">
        <f t="shared" si="2"/>
      </c>
    </row>
    <row r="13945">
      <c r="G13945" s="9">
        <f t="shared" si="0"/>
      </c>
      <c r="L13945">
        <f t="shared" si="1"/>
      </c>
      <c r="M13945">
        <f t="shared" si="2"/>
      </c>
    </row>
    <row r="13946">
      <c r="G13946" s="9">
        <f t="shared" si="0"/>
      </c>
      <c r="L13946">
        <f t="shared" si="1"/>
      </c>
      <c r="M13946">
        <f t="shared" si="2"/>
      </c>
    </row>
    <row r="13947">
      <c r="G13947" s="9">
        <f t="shared" si="0"/>
      </c>
      <c r="L13947">
        <f t="shared" si="1"/>
      </c>
      <c r="M13947">
        <f t="shared" si="2"/>
      </c>
    </row>
    <row r="13948">
      <c r="G13948" s="9">
        <f t="shared" si="0"/>
      </c>
      <c r="L13948">
        <f t="shared" si="1"/>
      </c>
      <c r="M13948">
        <f t="shared" si="2"/>
      </c>
    </row>
    <row r="13949">
      <c r="G13949" s="9">
        <f t="shared" si="0"/>
      </c>
      <c r="L13949">
        <f t="shared" si="1"/>
      </c>
      <c r="M13949">
        <f t="shared" si="2"/>
      </c>
    </row>
    <row r="13950">
      <c r="G13950" s="9">
        <f t="shared" si="0"/>
      </c>
      <c r="L13950">
        <f t="shared" si="1"/>
      </c>
      <c r="M13950">
        <f t="shared" si="2"/>
      </c>
    </row>
    <row r="13951">
      <c r="G13951" s="9">
        <f t="shared" si="0"/>
      </c>
      <c r="L13951">
        <f t="shared" si="1"/>
      </c>
      <c r="M13951">
        <f t="shared" si="2"/>
      </c>
    </row>
    <row r="13952">
      <c r="G13952" s="9">
        <f t="shared" si="0"/>
      </c>
      <c r="L13952">
        <f t="shared" si="1"/>
      </c>
      <c r="M13952">
        <f t="shared" si="2"/>
      </c>
    </row>
    <row r="13953">
      <c r="G13953" s="9">
        <f t="shared" si="0"/>
      </c>
      <c r="L13953">
        <f t="shared" si="1"/>
      </c>
      <c r="M13953">
        <f t="shared" si="2"/>
      </c>
    </row>
    <row r="13954">
      <c r="G13954" s="9">
        <f t="shared" si="0"/>
      </c>
      <c r="L13954">
        <f t="shared" si="1"/>
      </c>
      <c r="M13954">
        <f t="shared" si="2"/>
      </c>
    </row>
    <row r="13955">
      <c r="G13955" s="9">
        <f t="shared" si="0"/>
      </c>
      <c r="L13955">
        <f t="shared" si="1"/>
      </c>
      <c r="M13955">
        <f t="shared" si="2"/>
      </c>
    </row>
    <row r="13956">
      <c r="G13956" s="9">
        <f t="shared" si="0"/>
      </c>
      <c r="L13956">
        <f t="shared" si="1"/>
      </c>
      <c r="M13956">
        <f t="shared" si="2"/>
      </c>
    </row>
    <row r="13957">
      <c r="G13957" s="9">
        <f t="shared" si="0"/>
      </c>
      <c r="L13957">
        <f t="shared" si="1"/>
      </c>
      <c r="M13957">
        <f t="shared" si="2"/>
      </c>
    </row>
    <row r="13958">
      <c r="G13958" s="9">
        <f t="shared" si="0"/>
      </c>
      <c r="L13958">
        <f t="shared" si="1"/>
      </c>
      <c r="M13958">
        <f t="shared" si="2"/>
      </c>
    </row>
    <row r="13959">
      <c r="G13959" s="9">
        <f t="shared" si="0"/>
      </c>
      <c r="L13959">
        <f t="shared" si="1"/>
      </c>
      <c r="M13959">
        <f t="shared" si="2"/>
      </c>
    </row>
    <row r="13960">
      <c r="G13960" s="9">
        <f t="shared" si="0"/>
      </c>
      <c r="L13960">
        <f t="shared" si="1"/>
      </c>
      <c r="M13960">
        <f t="shared" si="2"/>
      </c>
    </row>
    <row r="13961">
      <c r="G13961" s="9">
        <f t="shared" si="0"/>
      </c>
      <c r="L13961">
        <f t="shared" si="1"/>
      </c>
      <c r="M13961">
        <f t="shared" si="2"/>
      </c>
    </row>
    <row r="13962">
      <c r="G13962" s="9">
        <f t="shared" si="0"/>
      </c>
      <c r="L13962">
        <f t="shared" si="1"/>
      </c>
      <c r="M13962">
        <f t="shared" si="2"/>
      </c>
    </row>
    <row r="13963">
      <c r="G13963" s="9">
        <f t="shared" si="0"/>
      </c>
      <c r="L13963">
        <f t="shared" si="1"/>
      </c>
      <c r="M13963">
        <f t="shared" si="2"/>
      </c>
    </row>
    <row r="13964">
      <c r="G13964" s="9">
        <f t="shared" si="0"/>
      </c>
      <c r="L13964">
        <f t="shared" si="1"/>
      </c>
      <c r="M13964">
        <f t="shared" si="2"/>
      </c>
    </row>
    <row r="13965">
      <c r="G13965" s="9">
        <f t="shared" si="0"/>
      </c>
      <c r="L13965">
        <f t="shared" si="1"/>
      </c>
      <c r="M13965">
        <f t="shared" si="2"/>
      </c>
    </row>
    <row r="13966">
      <c r="G13966" s="9">
        <f t="shared" si="0"/>
      </c>
      <c r="L13966">
        <f t="shared" si="1"/>
      </c>
      <c r="M13966">
        <f t="shared" si="2"/>
      </c>
    </row>
    <row r="13967">
      <c r="G13967" s="9">
        <f t="shared" si="0"/>
      </c>
      <c r="L13967">
        <f t="shared" si="1"/>
      </c>
      <c r="M13967">
        <f t="shared" si="2"/>
      </c>
    </row>
    <row r="13968">
      <c r="G13968" s="9">
        <f t="shared" si="0"/>
      </c>
      <c r="L13968">
        <f t="shared" si="1"/>
      </c>
      <c r="M13968">
        <f t="shared" si="2"/>
      </c>
    </row>
    <row r="13969">
      <c r="G13969" s="9">
        <f t="shared" si="0"/>
      </c>
      <c r="L13969">
        <f t="shared" si="1"/>
      </c>
      <c r="M13969">
        <f t="shared" si="2"/>
      </c>
    </row>
    <row r="13970">
      <c r="G13970" s="9">
        <f t="shared" si="0"/>
      </c>
      <c r="L13970">
        <f t="shared" si="1"/>
      </c>
      <c r="M13970">
        <f t="shared" si="2"/>
      </c>
    </row>
    <row r="13971">
      <c r="G13971" s="9">
        <f t="shared" si="0"/>
      </c>
      <c r="L13971">
        <f t="shared" si="1"/>
      </c>
      <c r="M13971">
        <f t="shared" si="2"/>
      </c>
    </row>
    <row r="13972">
      <c r="G13972" s="9">
        <f t="shared" si="0"/>
      </c>
      <c r="L13972">
        <f t="shared" si="1"/>
      </c>
      <c r="M13972">
        <f t="shared" si="2"/>
      </c>
    </row>
    <row r="13973">
      <c r="G13973" s="9">
        <f t="shared" si="0"/>
      </c>
      <c r="L13973">
        <f t="shared" si="1"/>
      </c>
      <c r="M13973">
        <f t="shared" si="2"/>
      </c>
    </row>
    <row r="13974">
      <c r="G13974" s="9">
        <f t="shared" si="0"/>
      </c>
      <c r="L13974">
        <f t="shared" si="1"/>
      </c>
      <c r="M13974">
        <f t="shared" si="2"/>
      </c>
    </row>
    <row r="13975">
      <c r="G13975" s="9">
        <f t="shared" si="0"/>
      </c>
      <c r="L13975">
        <f t="shared" si="1"/>
      </c>
      <c r="M13975">
        <f t="shared" si="2"/>
      </c>
    </row>
    <row r="13976">
      <c r="G13976" s="9">
        <f t="shared" si="0"/>
      </c>
      <c r="L13976">
        <f t="shared" si="1"/>
      </c>
      <c r="M13976">
        <f t="shared" si="2"/>
      </c>
    </row>
    <row r="13977">
      <c r="G13977" s="9">
        <f t="shared" si="0"/>
      </c>
      <c r="L13977">
        <f t="shared" si="1"/>
      </c>
      <c r="M13977">
        <f t="shared" si="2"/>
      </c>
    </row>
    <row r="13978">
      <c r="G13978" s="9">
        <f t="shared" si="0"/>
      </c>
      <c r="L13978">
        <f t="shared" si="1"/>
      </c>
      <c r="M13978">
        <f t="shared" si="2"/>
      </c>
    </row>
    <row r="13979">
      <c r="G13979" s="9">
        <f t="shared" si="0"/>
      </c>
      <c r="L13979">
        <f t="shared" si="1"/>
      </c>
      <c r="M13979">
        <f t="shared" si="2"/>
      </c>
    </row>
    <row r="13980">
      <c r="G13980" s="9">
        <f t="shared" si="0"/>
      </c>
      <c r="L13980">
        <f t="shared" si="1"/>
      </c>
      <c r="M13980">
        <f t="shared" si="2"/>
      </c>
    </row>
    <row r="13981">
      <c r="G13981" s="9">
        <f t="shared" si="0"/>
      </c>
      <c r="L13981">
        <f t="shared" si="1"/>
      </c>
      <c r="M13981">
        <f t="shared" si="2"/>
      </c>
    </row>
    <row r="13982">
      <c r="G13982" s="9">
        <f t="shared" si="0"/>
      </c>
      <c r="L13982">
        <f t="shared" si="1"/>
      </c>
      <c r="M13982">
        <f t="shared" si="2"/>
      </c>
    </row>
    <row r="13983">
      <c r="G13983" s="9">
        <f t="shared" si="0"/>
      </c>
      <c r="L13983">
        <f t="shared" si="1"/>
      </c>
      <c r="M13983">
        <f t="shared" si="2"/>
      </c>
    </row>
    <row r="13984">
      <c r="G13984" s="9">
        <f t="shared" si="0"/>
      </c>
      <c r="L13984">
        <f t="shared" si="1"/>
      </c>
      <c r="M13984">
        <f t="shared" si="2"/>
      </c>
    </row>
    <row r="13985">
      <c r="G13985" s="9">
        <f t="shared" si="0"/>
      </c>
      <c r="L13985">
        <f t="shared" si="1"/>
      </c>
      <c r="M13985">
        <f t="shared" si="2"/>
      </c>
    </row>
    <row r="13986">
      <c r="G13986" s="9">
        <f t="shared" si="0"/>
      </c>
      <c r="L13986">
        <f t="shared" si="1"/>
      </c>
      <c r="M13986">
        <f t="shared" si="2"/>
      </c>
    </row>
    <row r="13987">
      <c r="G13987" s="9">
        <f t="shared" si="0"/>
      </c>
      <c r="L13987">
        <f t="shared" si="1"/>
      </c>
      <c r="M13987">
        <f t="shared" si="2"/>
      </c>
    </row>
    <row r="13988">
      <c r="G13988" s="9">
        <f t="shared" si="0"/>
      </c>
      <c r="L13988">
        <f t="shared" si="1"/>
      </c>
      <c r="M13988">
        <f t="shared" si="2"/>
      </c>
    </row>
    <row r="13989">
      <c r="G13989" s="9">
        <f t="shared" si="0"/>
      </c>
      <c r="L13989">
        <f t="shared" si="1"/>
      </c>
      <c r="M13989">
        <f t="shared" si="2"/>
      </c>
    </row>
    <row r="13990">
      <c r="G13990" s="9">
        <f t="shared" si="0"/>
      </c>
      <c r="L13990">
        <f t="shared" si="1"/>
      </c>
      <c r="M13990">
        <f t="shared" si="2"/>
      </c>
    </row>
    <row r="13991">
      <c r="G13991" s="9">
        <f t="shared" si="0"/>
      </c>
      <c r="L13991">
        <f t="shared" si="1"/>
      </c>
      <c r="M13991">
        <f t="shared" si="2"/>
      </c>
    </row>
    <row r="13992">
      <c r="G13992" s="9">
        <f t="shared" si="0"/>
      </c>
      <c r="L13992">
        <f t="shared" si="1"/>
      </c>
      <c r="M13992">
        <f t="shared" si="2"/>
      </c>
    </row>
    <row r="13993">
      <c r="G13993" s="9">
        <f t="shared" si="0"/>
      </c>
      <c r="L13993">
        <f t="shared" si="1"/>
      </c>
      <c r="M13993">
        <f t="shared" si="2"/>
      </c>
    </row>
    <row r="13994">
      <c r="G13994" s="9">
        <f t="shared" si="0"/>
      </c>
      <c r="L13994">
        <f t="shared" si="1"/>
      </c>
      <c r="M13994">
        <f t="shared" si="2"/>
      </c>
    </row>
    <row r="13995">
      <c r="G13995" s="9">
        <f t="shared" si="0"/>
      </c>
      <c r="L13995">
        <f t="shared" si="1"/>
      </c>
      <c r="M13995">
        <f t="shared" si="2"/>
      </c>
    </row>
    <row r="13996">
      <c r="G13996" s="9">
        <f t="shared" si="0"/>
      </c>
      <c r="L13996">
        <f t="shared" si="1"/>
      </c>
      <c r="M13996">
        <f t="shared" si="2"/>
      </c>
    </row>
    <row r="13997">
      <c r="G13997" s="9">
        <f t="shared" si="0"/>
      </c>
      <c r="L13997">
        <f t="shared" si="1"/>
      </c>
      <c r="M13997">
        <f t="shared" si="2"/>
      </c>
    </row>
    <row r="13998">
      <c r="G13998" s="9">
        <f t="shared" si="0"/>
      </c>
      <c r="L13998">
        <f t="shared" si="1"/>
      </c>
      <c r="M13998">
        <f t="shared" si="2"/>
      </c>
    </row>
    <row r="13999">
      <c r="G13999" s="9">
        <f t="shared" si="0"/>
      </c>
      <c r="L13999">
        <f t="shared" si="1"/>
      </c>
      <c r="M13999">
        <f t="shared" si="2"/>
      </c>
    </row>
    <row r="14000">
      <c r="G14000" s="9">
        <f t="shared" si="0"/>
      </c>
      <c r="L14000">
        <f t="shared" si="1"/>
      </c>
      <c r="M14000">
        <f t="shared" si="2"/>
      </c>
    </row>
    <row r="14001">
      <c r="G14001" s="9">
        <f t="shared" si="0"/>
      </c>
      <c r="L14001">
        <f t="shared" si="1"/>
      </c>
      <c r="M14001">
        <f t="shared" si="2"/>
      </c>
    </row>
    <row r="14002">
      <c r="G14002" s="9">
        <f t="shared" si="0"/>
      </c>
      <c r="L14002">
        <f t="shared" si="1"/>
      </c>
      <c r="M14002">
        <f t="shared" si="2"/>
      </c>
    </row>
    <row r="14003">
      <c r="G14003" s="9">
        <f t="shared" si="0"/>
      </c>
      <c r="L14003">
        <f t="shared" si="1"/>
      </c>
      <c r="M14003">
        <f t="shared" si="2"/>
      </c>
    </row>
    <row r="14004">
      <c r="G14004" s="9">
        <f t="shared" si="0"/>
      </c>
      <c r="L14004">
        <f t="shared" si="1"/>
      </c>
      <c r="M14004">
        <f t="shared" si="2"/>
      </c>
    </row>
    <row r="14005">
      <c r="G14005" s="9">
        <f t="shared" si="0"/>
      </c>
      <c r="L14005">
        <f t="shared" si="1"/>
      </c>
      <c r="M14005">
        <f t="shared" si="2"/>
      </c>
    </row>
    <row r="14006">
      <c r="G14006" s="9">
        <f t="shared" si="0"/>
      </c>
      <c r="L14006">
        <f t="shared" si="1"/>
      </c>
      <c r="M14006">
        <f t="shared" si="2"/>
      </c>
    </row>
    <row r="14007">
      <c r="G14007" s="9">
        <f t="shared" si="0"/>
      </c>
      <c r="L14007">
        <f t="shared" si="1"/>
      </c>
      <c r="M14007">
        <f t="shared" si="2"/>
      </c>
    </row>
    <row r="14008">
      <c r="G14008" s="9">
        <f t="shared" si="0"/>
      </c>
      <c r="L14008">
        <f t="shared" si="1"/>
      </c>
      <c r="M14008">
        <f t="shared" si="2"/>
      </c>
    </row>
    <row r="14009">
      <c r="G14009" s="9">
        <f t="shared" si="0"/>
      </c>
      <c r="L14009">
        <f t="shared" si="1"/>
      </c>
      <c r="M14009">
        <f t="shared" si="2"/>
      </c>
    </row>
    <row r="14010">
      <c r="G14010" s="9">
        <f t="shared" si="0"/>
      </c>
      <c r="L14010">
        <f t="shared" si="1"/>
      </c>
      <c r="M14010">
        <f t="shared" si="2"/>
      </c>
    </row>
    <row r="14011">
      <c r="G14011" s="9">
        <f t="shared" si="0"/>
      </c>
      <c r="L14011">
        <f t="shared" si="1"/>
      </c>
      <c r="M14011">
        <f t="shared" si="2"/>
      </c>
    </row>
    <row r="14012">
      <c r="G14012" s="9">
        <f t="shared" si="0"/>
      </c>
      <c r="L14012">
        <f t="shared" si="1"/>
      </c>
      <c r="M14012">
        <f t="shared" si="2"/>
      </c>
    </row>
    <row r="14013">
      <c r="G14013" s="9">
        <f t="shared" si="0"/>
      </c>
      <c r="L14013">
        <f t="shared" si="1"/>
      </c>
      <c r="M14013">
        <f t="shared" si="2"/>
      </c>
    </row>
    <row r="14014">
      <c r="G14014" s="9">
        <f t="shared" si="0"/>
      </c>
      <c r="L14014">
        <f t="shared" si="1"/>
      </c>
      <c r="M14014">
        <f t="shared" si="2"/>
      </c>
    </row>
    <row r="14015">
      <c r="G14015" s="9">
        <f t="shared" si="0"/>
      </c>
      <c r="L14015">
        <f t="shared" si="1"/>
      </c>
      <c r="M14015">
        <f t="shared" si="2"/>
      </c>
    </row>
    <row r="14016">
      <c r="G14016" s="9">
        <f t="shared" si="0"/>
      </c>
      <c r="L14016">
        <f t="shared" si="1"/>
      </c>
      <c r="M14016">
        <f t="shared" si="2"/>
      </c>
    </row>
    <row r="14017">
      <c r="G14017" s="9">
        <f t="shared" si="0"/>
      </c>
      <c r="L14017">
        <f t="shared" si="1"/>
      </c>
      <c r="M14017">
        <f t="shared" si="2"/>
      </c>
    </row>
    <row r="14018">
      <c r="G14018" s="9">
        <f t="shared" si="0"/>
      </c>
      <c r="L14018">
        <f t="shared" si="1"/>
      </c>
      <c r="M14018">
        <f t="shared" si="2"/>
      </c>
    </row>
    <row r="14019">
      <c r="G14019" s="9">
        <f t="shared" si="0"/>
      </c>
      <c r="L14019">
        <f t="shared" si="1"/>
      </c>
      <c r="M14019">
        <f t="shared" si="2"/>
      </c>
    </row>
    <row r="14020">
      <c r="G14020" s="9">
        <f t="shared" si="0"/>
      </c>
      <c r="L14020">
        <f t="shared" si="1"/>
      </c>
      <c r="M14020">
        <f t="shared" si="2"/>
      </c>
    </row>
    <row r="14021">
      <c r="G14021" s="9">
        <f t="shared" si="0"/>
      </c>
      <c r="L14021">
        <f t="shared" si="1"/>
      </c>
      <c r="M14021">
        <f t="shared" si="2"/>
      </c>
    </row>
    <row r="14022">
      <c r="G14022" s="9">
        <f t="shared" si="0"/>
      </c>
      <c r="L14022">
        <f t="shared" si="1"/>
      </c>
      <c r="M14022">
        <f t="shared" si="2"/>
      </c>
    </row>
    <row r="14023">
      <c r="G14023" s="9">
        <f t="shared" si="0"/>
      </c>
      <c r="L14023">
        <f t="shared" si="1"/>
      </c>
      <c r="M14023">
        <f t="shared" si="2"/>
      </c>
    </row>
    <row r="14024">
      <c r="G14024" s="9">
        <f t="shared" si="0"/>
      </c>
      <c r="L14024">
        <f t="shared" si="1"/>
      </c>
      <c r="M14024">
        <f t="shared" si="2"/>
      </c>
    </row>
    <row r="14025">
      <c r="G14025" s="9">
        <f t="shared" si="0"/>
      </c>
      <c r="L14025">
        <f t="shared" si="1"/>
      </c>
      <c r="M14025">
        <f t="shared" si="2"/>
      </c>
    </row>
    <row r="14026">
      <c r="G14026" s="9">
        <f t="shared" si="0"/>
      </c>
      <c r="L14026">
        <f t="shared" si="1"/>
      </c>
      <c r="M14026">
        <f t="shared" si="2"/>
      </c>
    </row>
    <row r="14027">
      <c r="G14027" s="9">
        <f t="shared" si="0"/>
      </c>
      <c r="L14027">
        <f t="shared" si="1"/>
      </c>
      <c r="M14027">
        <f t="shared" si="2"/>
      </c>
    </row>
    <row r="14028">
      <c r="G14028" s="9">
        <f t="shared" si="0"/>
      </c>
      <c r="L14028">
        <f t="shared" si="1"/>
      </c>
      <c r="M14028">
        <f t="shared" si="2"/>
      </c>
    </row>
    <row r="14029">
      <c r="G14029" s="9">
        <f t="shared" si="0"/>
      </c>
      <c r="L14029">
        <f t="shared" si="1"/>
      </c>
      <c r="M14029">
        <f t="shared" si="2"/>
      </c>
    </row>
    <row r="14030">
      <c r="G14030" s="9">
        <f t="shared" si="0"/>
      </c>
      <c r="L14030">
        <f t="shared" si="1"/>
      </c>
      <c r="M14030">
        <f t="shared" si="2"/>
      </c>
    </row>
    <row r="14031">
      <c r="G14031" s="9">
        <f t="shared" si="0"/>
      </c>
      <c r="L14031">
        <f t="shared" si="1"/>
      </c>
      <c r="M14031">
        <f t="shared" si="2"/>
      </c>
    </row>
    <row r="14032">
      <c r="G14032" s="9">
        <f t="shared" si="0"/>
      </c>
      <c r="L14032">
        <f t="shared" si="1"/>
      </c>
      <c r="M14032">
        <f t="shared" si="2"/>
      </c>
    </row>
    <row r="14033">
      <c r="G14033" s="9">
        <f t="shared" si="0"/>
      </c>
      <c r="L14033">
        <f t="shared" si="1"/>
      </c>
      <c r="M14033">
        <f t="shared" si="2"/>
      </c>
    </row>
    <row r="14034">
      <c r="G14034" s="9">
        <f t="shared" si="0"/>
      </c>
      <c r="L14034">
        <f t="shared" si="1"/>
      </c>
      <c r="M14034">
        <f t="shared" si="2"/>
      </c>
    </row>
    <row r="14035">
      <c r="G14035" s="9">
        <f t="shared" si="0"/>
      </c>
      <c r="L14035">
        <f t="shared" si="1"/>
      </c>
      <c r="M14035">
        <f t="shared" si="2"/>
      </c>
    </row>
    <row r="14036">
      <c r="G14036" s="9">
        <f t="shared" si="0"/>
      </c>
      <c r="L14036">
        <f t="shared" si="1"/>
      </c>
      <c r="M14036">
        <f t="shared" si="2"/>
      </c>
    </row>
    <row r="14037">
      <c r="G14037" s="9">
        <f t="shared" si="0"/>
      </c>
      <c r="L14037">
        <f t="shared" si="1"/>
      </c>
      <c r="M14037">
        <f t="shared" si="2"/>
      </c>
    </row>
    <row r="14038">
      <c r="G14038" s="9">
        <f t="shared" si="0"/>
      </c>
      <c r="L14038">
        <f t="shared" si="1"/>
      </c>
      <c r="M14038">
        <f t="shared" si="2"/>
      </c>
    </row>
    <row r="14039">
      <c r="G14039" s="9">
        <f t="shared" si="0"/>
      </c>
      <c r="L14039">
        <f t="shared" si="1"/>
      </c>
      <c r="M14039">
        <f t="shared" si="2"/>
      </c>
    </row>
    <row r="14040">
      <c r="G14040" s="9">
        <f t="shared" si="0"/>
      </c>
      <c r="L14040">
        <f t="shared" si="1"/>
      </c>
      <c r="M14040">
        <f t="shared" si="2"/>
      </c>
    </row>
    <row r="14041">
      <c r="G14041" s="9">
        <f t="shared" si="0"/>
      </c>
      <c r="L14041">
        <f t="shared" si="1"/>
      </c>
      <c r="M14041">
        <f t="shared" si="2"/>
      </c>
    </row>
    <row r="14042">
      <c r="G14042" s="9">
        <f t="shared" si="0"/>
      </c>
      <c r="L14042">
        <f t="shared" si="1"/>
      </c>
      <c r="M14042">
        <f t="shared" si="2"/>
      </c>
    </row>
    <row r="14043">
      <c r="G14043" s="9">
        <f t="shared" si="0"/>
      </c>
      <c r="L14043">
        <f t="shared" si="1"/>
      </c>
      <c r="M14043">
        <f t="shared" si="2"/>
      </c>
    </row>
    <row r="14044">
      <c r="G14044" s="9">
        <f t="shared" si="0"/>
      </c>
      <c r="L14044">
        <f t="shared" si="1"/>
      </c>
      <c r="M14044">
        <f t="shared" si="2"/>
      </c>
    </row>
    <row r="14045">
      <c r="G14045" s="9">
        <f t="shared" si="0"/>
      </c>
      <c r="L14045">
        <f t="shared" si="1"/>
      </c>
      <c r="M14045">
        <f t="shared" si="2"/>
      </c>
    </row>
    <row r="14046">
      <c r="G14046" s="9">
        <f t="shared" si="0"/>
      </c>
      <c r="L14046">
        <f t="shared" si="1"/>
      </c>
      <c r="M14046">
        <f t="shared" si="2"/>
      </c>
    </row>
    <row r="14047">
      <c r="G14047" s="9">
        <f t="shared" si="0"/>
      </c>
      <c r="L14047">
        <f t="shared" si="1"/>
      </c>
      <c r="M14047">
        <f t="shared" si="2"/>
      </c>
    </row>
    <row r="14048">
      <c r="G14048" s="9">
        <f t="shared" si="0"/>
      </c>
      <c r="L14048">
        <f t="shared" si="1"/>
      </c>
      <c r="M14048">
        <f t="shared" si="2"/>
      </c>
    </row>
    <row r="14049">
      <c r="G14049" s="9">
        <f t="shared" si="0"/>
      </c>
      <c r="L14049">
        <f t="shared" si="1"/>
      </c>
      <c r="M14049">
        <f t="shared" si="2"/>
      </c>
    </row>
    <row r="14050">
      <c r="G14050" s="9">
        <f t="shared" si="0"/>
      </c>
      <c r="L14050">
        <f t="shared" si="1"/>
      </c>
      <c r="M14050">
        <f t="shared" si="2"/>
      </c>
    </row>
    <row r="14051">
      <c r="G14051" s="9">
        <f t="shared" si="0"/>
      </c>
      <c r="L14051">
        <f t="shared" si="1"/>
      </c>
      <c r="M14051">
        <f t="shared" si="2"/>
      </c>
    </row>
    <row r="14052">
      <c r="G14052" s="9">
        <f t="shared" si="0"/>
      </c>
      <c r="L14052">
        <f t="shared" si="1"/>
      </c>
      <c r="M14052">
        <f t="shared" si="2"/>
      </c>
    </row>
    <row r="14053">
      <c r="G14053" s="9">
        <f t="shared" si="0"/>
      </c>
      <c r="L14053">
        <f t="shared" si="1"/>
      </c>
      <c r="M14053">
        <f t="shared" si="2"/>
      </c>
    </row>
    <row r="14054">
      <c r="G14054" s="9">
        <f t="shared" si="0"/>
      </c>
      <c r="L14054">
        <f t="shared" si="1"/>
      </c>
      <c r="M14054">
        <f t="shared" si="2"/>
      </c>
    </row>
    <row r="14055">
      <c r="G14055" s="9">
        <f t="shared" si="0"/>
      </c>
      <c r="L14055">
        <f t="shared" si="1"/>
      </c>
      <c r="M14055">
        <f t="shared" si="2"/>
      </c>
    </row>
    <row r="14056">
      <c r="G14056" s="9">
        <f t="shared" si="0"/>
      </c>
      <c r="L14056">
        <f t="shared" si="1"/>
      </c>
      <c r="M14056">
        <f t="shared" si="2"/>
      </c>
    </row>
    <row r="14057">
      <c r="G14057" s="9">
        <f t="shared" si="0"/>
      </c>
      <c r="L14057">
        <f t="shared" si="1"/>
      </c>
      <c r="M14057">
        <f t="shared" si="2"/>
      </c>
    </row>
    <row r="14058">
      <c r="G14058" s="9">
        <f t="shared" si="0"/>
      </c>
      <c r="L14058">
        <f t="shared" si="1"/>
      </c>
      <c r="M14058">
        <f t="shared" si="2"/>
      </c>
    </row>
    <row r="14059">
      <c r="G14059" s="9">
        <f t="shared" si="0"/>
      </c>
      <c r="L14059">
        <f t="shared" si="1"/>
      </c>
      <c r="M14059">
        <f t="shared" si="2"/>
      </c>
    </row>
    <row r="14060">
      <c r="G14060" s="9">
        <f t="shared" si="0"/>
      </c>
      <c r="L14060">
        <f t="shared" si="1"/>
      </c>
      <c r="M14060">
        <f t="shared" si="2"/>
      </c>
    </row>
    <row r="14061">
      <c r="G14061" s="9">
        <f t="shared" si="0"/>
      </c>
      <c r="L14061">
        <f t="shared" si="1"/>
      </c>
      <c r="M14061">
        <f t="shared" si="2"/>
      </c>
    </row>
    <row r="14062">
      <c r="G14062" s="9">
        <f t="shared" si="0"/>
      </c>
      <c r="L14062">
        <f t="shared" si="1"/>
      </c>
      <c r="M14062">
        <f t="shared" si="2"/>
      </c>
    </row>
    <row r="14063">
      <c r="G14063" s="9">
        <f t="shared" si="0"/>
      </c>
      <c r="L14063">
        <f t="shared" si="1"/>
      </c>
      <c r="M14063">
        <f t="shared" si="2"/>
      </c>
    </row>
    <row r="14064">
      <c r="G14064" s="9">
        <f t="shared" si="0"/>
      </c>
      <c r="L14064">
        <f t="shared" si="1"/>
      </c>
      <c r="M14064">
        <f t="shared" si="2"/>
      </c>
    </row>
    <row r="14065">
      <c r="G14065" s="9">
        <f t="shared" si="0"/>
      </c>
      <c r="L14065">
        <f t="shared" si="1"/>
      </c>
      <c r="M14065">
        <f t="shared" si="2"/>
      </c>
    </row>
    <row r="14066">
      <c r="G14066" s="9">
        <f t="shared" si="0"/>
      </c>
      <c r="L14066">
        <f t="shared" si="1"/>
      </c>
      <c r="M14066">
        <f t="shared" si="2"/>
      </c>
    </row>
    <row r="14067">
      <c r="G14067" s="9">
        <f t="shared" si="0"/>
      </c>
      <c r="L14067">
        <f t="shared" si="1"/>
      </c>
      <c r="M14067">
        <f t="shared" si="2"/>
      </c>
    </row>
    <row r="14068">
      <c r="G14068" s="9">
        <f t="shared" si="0"/>
      </c>
      <c r="L14068">
        <f t="shared" si="1"/>
      </c>
      <c r="M14068">
        <f t="shared" si="2"/>
      </c>
    </row>
    <row r="14069">
      <c r="G14069" s="9">
        <f t="shared" si="0"/>
      </c>
      <c r="L14069">
        <f t="shared" si="1"/>
      </c>
      <c r="M14069">
        <f t="shared" si="2"/>
      </c>
    </row>
    <row r="14070">
      <c r="G14070" s="9">
        <f t="shared" si="0"/>
      </c>
      <c r="L14070">
        <f t="shared" si="1"/>
      </c>
      <c r="M14070">
        <f t="shared" si="2"/>
      </c>
    </row>
    <row r="14071">
      <c r="G14071" s="9">
        <f t="shared" si="0"/>
      </c>
      <c r="L14071">
        <f t="shared" si="1"/>
      </c>
      <c r="M14071">
        <f t="shared" si="2"/>
      </c>
    </row>
    <row r="14072">
      <c r="G14072" s="9">
        <f t="shared" si="0"/>
      </c>
      <c r="L14072">
        <f t="shared" si="1"/>
      </c>
      <c r="M14072">
        <f t="shared" si="2"/>
      </c>
    </row>
    <row r="14073">
      <c r="G14073" s="9">
        <f t="shared" si="0"/>
      </c>
      <c r="L14073">
        <f t="shared" si="1"/>
      </c>
      <c r="M14073">
        <f t="shared" si="2"/>
      </c>
    </row>
    <row r="14074">
      <c r="G14074" s="9">
        <f t="shared" si="0"/>
      </c>
      <c r="L14074">
        <f t="shared" si="1"/>
      </c>
      <c r="M14074">
        <f t="shared" si="2"/>
      </c>
    </row>
    <row r="14075">
      <c r="G14075" s="9">
        <f t="shared" si="0"/>
      </c>
      <c r="L14075">
        <f t="shared" si="1"/>
      </c>
      <c r="M14075">
        <f t="shared" si="2"/>
      </c>
    </row>
    <row r="14076">
      <c r="G14076" s="9">
        <f t="shared" si="0"/>
      </c>
      <c r="L14076">
        <f t="shared" si="1"/>
      </c>
      <c r="M14076">
        <f t="shared" si="2"/>
      </c>
    </row>
    <row r="14077">
      <c r="G14077" s="9">
        <f t="shared" si="0"/>
      </c>
      <c r="L14077">
        <f t="shared" si="1"/>
      </c>
      <c r="M14077">
        <f t="shared" si="2"/>
      </c>
    </row>
    <row r="14078">
      <c r="G14078" s="9">
        <f t="shared" si="0"/>
      </c>
      <c r="L14078">
        <f t="shared" si="1"/>
      </c>
      <c r="M14078">
        <f t="shared" si="2"/>
      </c>
    </row>
    <row r="14079">
      <c r="G14079" s="9">
        <f t="shared" si="0"/>
      </c>
      <c r="L14079">
        <f t="shared" si="1"/>
      </c>
      <c r="M14079">
        <f t="shared" si="2"/>
      </c>
    </row>
    <row r="14080">
      <c r="G14080" s="9">
        <f t="shared" si="0"/>
      </c>
      <c r="L14080">
        <f t="shared" si="1"/>
      </c>
      <c r="M14080">
        <f t="shared" si="2"/>
      </c>
    </row>
    <row r="14081">
      <c r="G14081" s="9">
        <f t="shared" si="0"/>
      </c>
      <c r="L14081">
        <f t="shared" si="1"/>
      </c>
      <c r="M14081">
        <f t="shared" si="2"/>
      </c>
    </row>
    <row r="14082">
      <c r="G14082" s="9">
        <f t="shared" si="0"/>
      </c>
      <c r="L14082">
        <f t="shared" si="1"/>
      </c>
      <c r="M14082">
        <f t="shared" si="2"/>
      </c>
    </row>
    <row r="14083">
      <c r="G14083" s="9">
        <f t="shared" si="0"/>
      </c>
      <c r="L14083">
        <f t="shared" si="1"/>
      </c>
      <c r="M14083">
        <f t="shared" si="2"/>
      </c>
    </row>
    <row r="14084">
      <c r="G14084" s="9">
        <f t="shared" si="0"/>
      </c>
      <c r="L14084">
        <f t="shared" si="1"/>
      </c>
      <c r="M14084">
        <f t="shared" si="2"/>
      </c>
    </row>
    <row r="14085">
      <c r="G14085" s="9">
        <f t="shared" si="0"/>
      </c>
      <c r="L14085">
        <f t="shared" si="1"/>
      </c>
      <c r="M14085">
        <f t="shared" si="2"/>
      </c>
    </row>
    <row r="14086">
      <c r="G14086" s="9">
        <f t="shared" si="0"/>
      </c>
      <c r="L14086">
        <f t="shared" si="1"/>
      </c>
      <c r="M14086">
        <f t="shared" si="2"/>
      </c>
    </row>
    <row r="14087">
      <c r="G14087" s="9">
        <f t="shared" si="0"/>
      </c>
      <c r="L14087">
        <f t="shared" si="1"/>
      </c>
      <c r="M14087">
        <f t="shared" si="2"/>
      </c>
    </row>
    <row r="14088">
      <c r="G14088" s="9">
        <f t="shared" si="0"/>
      </c>
      <c r="L14088">
        <f t="shared" si="1"/>
      </c>
      <c r="M14088">
        <f t="shared" si="2"/>
      </c>
    </row>
    <row r="14089">
      <c r="G14089" s="9">
        <f t="shared" si="0"/>
      </c>
      <c r="L14089">
        <f t="shared" si="1"/>
      </c>
      <c r="M14089">
        <f t="shared" si="2"/>
      </c>
    </row>
    <row r="14090">
      <c r="G14090" s="9">
        <f t="shared" si="0"/>
      </c>
      <c r="L14090">
        <f t="shared" si="1"/>
      </c>
      <c r="M14090">
        <f t="shared" si="2"/>
      </c>
    </row>
    <row r="14091">
      <c r="G14091" s="9">
        <f t="shared" si="0"/>
      </c>
      <c r="L14091">
        <f t="shared" si="1"/>
      </c>
      <c r="M14091">
        <f t="shared" si="2"/>
      </c>
    </row>
    <row r="14092">
      <c r="G14092" s="9">
        <f t="shared" si="0"/>
      </c>
      <c r="L14092">
        <f t="shared" si="1"/>
      </c>
      <c r="M14092">
        <f t="shared" si="2"/>
      </c>
    </row>
    <row r="14093">
      <c r="G14093" s="9">
        <f t="shared" si="0"/>
      </c>
      <c r="L14093">
        <f t="shared" si="1"/>
      </c>
      <c r="M14093">
        <f t="shared" si="2"/>
      </c>
    </row>
    <row r="14094">
      <c r="G14094" s="9">
        <f t="shared" si="0"/>
      </c>
      <c r="L14094">
        <f t="shared" si="1"/>
      </c>
      <c r="M14094">
        <f t="shared" si="2"/>
      </c>
    </row>
    <row r="14095">
      <c r="G14095" s="9">
        <f t="shared" si="0"/>
      </c>
      <c r="L14095">
        <f t="shared" si="1"/>
      </c>
      <c r="M14095">
        <f t="shared" si="2"/>
      </c>
    </row>
    <row r="14096">
      <c r="G14096" s="9">
        <f t="shared" si="0"/>
      </c>
      <c r="L14096">
        <f t="shared" si="1"/>
      </c>
      <c r="M14096">
        <f t="shared" si="2"/>
      </c>
    </row>
    <row r="14097">
      <c r="G14097" s="9">
        <f t="shared" si="0"/>
      </c>
      <c r="L14097">
        <f t="shared" si="1"/>
      </c>
      <c r="M14097">
        <f t="shared" si="2"/>
      </c>
    </row>
    <row r="14098">
      <c r="G14098" s="9">
        <f t="shared" si="0"/>
      </c>
      <c r="L14098">
        <f t="shared" si="1"/>
      </c>
      <c r="M14098">
        <f t="shared" si="2"/>
      </c>
    </row>
    <row r="14099">
      <c r="G14099" s="9">
        <f t="shared" si="0"/>
      </c>
      <c r="L14099">
        <f t="shared" si="1"/>
      </c>
      <c r="M14099">
        <f t="shared" si="2"/>
      </c>
    </row>
    <row r="14100">
      <c r="G14100" s="9">
        <f t="shared" si="0"/>
      </c>
      <c r="L14100">
        <f t="shared" si="1"/>
      </c>
      <c r="M14100">
        <f t="shared" si="2"/>
      </c>
    </row>
    <row r="14101">
      <c r="G14101" s="9">
        <f t="shared" si="0"/>
      </c>
      <c r="L14101">
        <f t="shared" si="1"/>
      </c>
      <c r="M14101">
        <f t="shared" si="2"/>
      </c>
    </row>
    <row r="14102">
      <c r="G14102" s="9">
        <f t="shared" si="0"/>
      </c>
      <c r="L14102">
        <f t="shared" si="1"/>
      </c>
      <c r="M14102">
        <f t="shared" si="2"/>
      </c>
    </row>
    <row r="14103">
      <c r="G14103" s="9">
        <f t="shared" si="0"/>
      </c>
      <c r="L14103">
        <f t="shared" si="1"/>
      </c>
      <c r="M14103">
        <f t="shared" si="2"/>
      </c>
    </row>
    <row r="14104">
      <c r="G14104" s="9">
        <f t="shared" si="0"/>
      </c>
      <c r="L14104">
        <f t="shared" si="1"/>
      </c>
      <c r="M14104">
        <f t="shared" si="2"/>
      </c>
    </row>
    <row r="14105">
      <c r="G14105" s="9">
        <f t="shared" si="0"/>
      </c>
      <c r="L14105">
        <f t="shared" si="1"/>
      </c>
      <c r="M14105">
        <f t="shared" si="2"/>
      </c>
    </row>
    <row r="14106">
      <c r="G14106" s="9">
        <f t="shared" si="0"/>
      </c>
      <c r="L14106">
        <f t="shared" si="1"/>
      </c>
      <c r="M14106">
        <f t="shared" si="2"/>
      </c>
    </row>
    <row r="14107">
      <c r="G14107" s="9">
        <f t="shared" si="0"/>
      </c>
      <c r="L14107">
        <f t="shared" si="1"/>
      </c>
      <c r="M14107">
        <f t="shared" si="2"/>
      </c>
    </row>
    <row r="14108">
      <c r="G14108" s="9">
        <f t="shared" si="0"/>
      </c>
      <c r="L14108">
        <f t="shared" si="1"/>
      </c>
      <c r="M14108">
        <f t="shared" si="2"/>
      </c>
    </row>
    <row r="14109">
      <c r="G14109" s="9">
        <f t="shared" si="0"/>
      </c>
      <c r="L14109">
        <f t="shared" si="1"/>
      </c>
      <c r="M14109">
        <f t="shared" si="2"/>
      </c>
    </row>
    <row r="14110">
      <c r="G14110" s="9">
        <f t="shared" si="0"/>
      </c>
      <c r="L14110">
        <f t="shared" si="1"/>
      </c>
      <c r="M14110">
        <f t="shared" si="2"/>
      </c>
    </row>
    <row r="14111">
      <c r="G14111" s="9">
        <f t="shared" si="0"/>
      </c>
      <c r="L14111">
        <f t="shared" si="1"/>
      </c>
      <c r="M14111">
        <f t="shared" si="2"/>
      </c>
    </row>
    <row r="14112">
      <c r="G14112" s="9">
        <f t="shared" si="0"/>
      </c>
      <c r="L14112">
        <f t="shared" si="1"/>
      </c>
      <c r="M14112">
        <f t="shared" si="2"/>
      </c>
    </row>
    <row r="14113">
      <c r="G14113" s="9">
        <f t="shared" si="0"/>
      </c>
      <c r="L14113">
        <f t="shared" si="1"/>
      </c>
      <c r="M14113">
        <f t="shared" si="2"/>
      </c>
    </row>
    <row r="14114">
      <c r="G14114" s="9">
        <f t="shared" si="0"/>
      </c>
      <c r="L14114">
        <f t="shared" si="1"/>
      </c>
      <c r="M14114">
        <f t="shared" si="2"/>
      </c>
    </row>
    <row r="14115">
      <c r="G14115" s="9">
        <f t="shared" si="0"/>
      </c>
      <c r="L14115">
        <f t="shared" si="1"/>
      </c>
      <c r="M14115">
        <f t="shared" si="2"/>
      </c>
    </row>
    <row r="14116">
      <c r="G14116" s="9">
        <f t="shared" si="0"/>
      </c>
      <c r="L14116">
        <f t="shared" si="1"/>
      </c>
      <c r="M14116">
        <f t="shared" si="2"/>
      </c>
    </row>
    <row r="14117">
      <c r="G14117" s="9">
        <f t="shared" si="0"/>
      </c>
      <c r="L14117">
        <f t="shared" si="1"/>
      </c>
      <c r="M14117">
        <f t="shared" si="2"/>
      </c>
    </row>
    <row r="14118">
      <c r="G14118" s="9">
        <f t="shared" si="0"/>
      </c>
      <c r="L14118">
        <f t="shared" si="1"/>
      </c>
      <c r="M14118">
        <f t="shared" si="2"/>
      </c>
    </row>
    <row r="14119">
      <c r="G14119" s="9">
        <f t="shared" si="0"/>
      </c>
      <c r="L14119">
        <f t="shared" si="1"/>
      </c>
      <c r="M14119">
        <f t="shared" si="2"/>
      </c>
    </row>
    <row r="14120">
      <c r="G14120" s="9">
        <f t="shared" si="0"/>
      </c>
      <c r="L14120">
        <f t="shared" si="1"/>
      </c>
      <c r="M14120">
        <f t="shared" si="2"/>
      </c>
    </row>
    <row r="14121">
      <c r="G14121" s="9">
        <f t="shared" si="0"/>
      </c>
      <c r="L14121">
        <f t="shared" si="1"/>
      </c>
      <c r="M14121">
        <f t="shared" si="2"/>
      </c>
    </row>
    <row r="14122">
      <c r="G14122" s="9">
        <f t="shared" si="0"/>
      </c>
      <c r="L14122">
        <f t="shared" si="1"/>
      </c>
      <c r="M14122">
        <f t="shared" si="2"/>
      </c>
    </row>
    <row r="14123">
      <c r="G14123" s="9">
        <f t="shared" si="0"/>
      </c>
      <c r="L14123">
        <f t="shared" si="1"/>
      </c>
      <c r="M14123">
        <f t="shared" si="2"/>
      </c>
    </row>
    <row r="14124">
      <c r="G14124" s="9">
        <f t="shared" si="0"/>
      </c>
      <c r="L14124">
        <f t="shared" si="1"/>
      </c>
      <c r="M14124">
        <f t="shared" si="2"/>
      </c>
    </row>
    <row r="14125">
      <c r="G14125" s="9">
        <f t="shared" si="0"/>
      </c>
      <c r="L14125">
        <f t="shared" si="1"/>
      </c>
      <c r="M14125">
        <f t="shared" si="2"/>
      </c>
    </row>
    <row r="14126">
      <c r="G14126" s="9">
        <f t="shared" si="0"/>
      </c>
      <c r="L14126">
        <f t="shared" si="1"/>
      </c>
      <c r="M14126">
        <f t="shared" si="2"/>
      </c>
    </row>
    <row r="14127">
      <c r="G14127" s="9">
        <f t="shared" si="0"/>
      </c>
      <c r="L14127">
        <f t="shared" si="1"/>
      </c>
      <c r="M14127">
        <f t="shared" si="2"/>
      </c>
    </row>
    <row r="14128">
      <c r="G14128" s="9">
        <f t="shared" si="0"/>
      </c>
      <c r="L14128">
        <f t="shared" si="1"/>
      </c>
      <c r="M14128">
        <f t="shared" si="2"/>
      </c>
    </row>
    <row r="14129">
      <c r="G14129" s="9">
        <f t="shared" si="0"/>
      </c>
      <c r="L14129">
        <f t="shared" si="1"/>
      </c>
      <c r="M14129">
        <f t="shared" si="2"/>
      </c>
    </row>
    <row r="14130">
      <c r="G14130" s="9">
        <f t="shared" si="0"/>
      </c>
      <c r="L14130">
        <f t="shared" si="1"/>
      </c>
      <c r="M14130">
        <f t="shared" si="2"/>
      </c>
    </row>
    <row r="14131">
      <c r="G14131" s="9">
        <f t="shared" si="0"/>
      </c>
      <c r="L14131">
        <f t="shared" si="1"/>
      </c>
      <c r="M14131">
        <f t="shared" si="2"/>
      </c>
    </row>
    <row r="14132">
      <c r="G14132" s="9">
        <f t="shared" si="0"/>
      </c>
      <c r="L14132">
        <f t="shared" si="1"/>
      </c>
      <c r="M14132">
        <f t="shared" si="2"/>
      </c>
    </row>
    <row r="14133">
      <c r="G14133" s="9">
        <f t="shared" si="0"/>
      </c>
      <c r="L14133">
        <f t="shared" si="1"/>
      </c>
      <c r="M14133">
        <f t="shared" si="2"/>
      </c>
    </row>
    <row r="14134">
      <c r="G14134" s="9">
        <f t="shared" si="0"/>
      </c>
      <c r="L14134">
        <f t="shared" si="1"/>
      </c>
      <c r="M14134">
        <f t="shared" si="2"/>
      </c>
    </row>
    <row r="14135">
      <c r="G14135" s="9">
        <f t="shared" si="0"/>
      </c>
      <c r="L14135">
        <f t="shared" si="1"/>
      </c>
      <c r="M14135">
        <f t="shared" si="2"/>
      </c>
    </row>
    <row r="14136">
      <c r="G14136" s="9">
        <f t="shared" si="0"/>
      </c>
      <c r="L14136">
        <f t="shared" si="1"/>
      </c>
      <c r="M14136">
        <f t="shared" si="2"/>
      </c>
    </row>
    <row r="14137">
      <c r="G14137" s="9">
        <f t="shared" si="0"/>
      </c>
      <c r="L14137">
        <f t="shared" si="1"/>
      </c>
      <c r="M14137">
        <f t="shared" si="2"/>
      </c>
    </row>
    <row r="14138">
      <c r="G14138" s="9">
        <f t="shared" si="0"/>
      </c>
      <c r="L14138">
        <f t="shared" si="1"/>
      </c>
      <c r="M14138">
        <f t="shared" si="2"/>
      </c>
    </row>
    <row r="14139">
      <c r="G14139" s="9">
        <f t="shared" si="0"/>
      </c>
      <c r="L14139">
        <f t="shared" si="1"/>
      </c>
      <c r="M14139">
        <f t="shared" si="2"/>
      </c>
    </row>
    <row r="14140">
      <c r="G14140" s="9">
        <f t="shared" si="0"/>
      </c>
      <c r="L14140">
        <f t="shared" si="1"/>
      </c>
      <c r="M14140">
        <f t="shared" si="2"/>
      </c>
    </row>
    <row r="14141">
      <c r="G14141" s="9">
        <f t="shared" si="0"/>
      </c>
      <c r="L14141">
        <f t="shared" si="1"/>
      </c>
      <c r="M14141">
        <f t="shared" si="2"/>
      </c>
    </row>
    <row r="14142">
      <c r="G14142" s="9">
        <f t="shared" si="0"/>
      </c>
      <c r="L14142">
        <f t="shared" si="1"/>
      </c>
      <c r="M14142">
        <f t="shared" si="2"/>
      </c>
    </row>
    <row r="14143">
      <c r="G14143" s="9">
        <f t="shared" si="0"/>
      </c>
      <c r="L14143">
        <f t="shared" si="1"/>
      </c>
      <c r="M14143">
        <f t="shared" si="2"/>
      </c>
    </row>
    <row r="14144">
      <c r="G14144" s="9">
        <f t="shared" si="0"/>
      </c>
      <c r="L14144">
        <f t="shared" si="1"/>
      </c>
      <c r="M14144">
        <f t="shared" si="2"/>
      </c>
    </row>
    <row r="14145">
      <c r="G14145" s="9">
        <f t="shared" si="0"/>
      </c>
      <c r="L14145">
        <f t="shared" si="1"/>
      </c>
      <c r="M14145">
        <f t="shared" si="2"/>
      </c>
    </row>
    <row r="14146">
      <c r="G14146" s="9">
        <f t="shared" si="0"/>
      </c>
      <c r="L14146">
        <f t="shared" si="1"/>
      </c>
      <c r="M14146">
        <f t="shared" si="2"/>
      </c>
    </row>
    <row r="14147">
      <c r="G14147" s="9">
        <f t="shared" si="0"/>
      </c>
      <c r="L14147">
        <f t="shared" si="1"/>
      </c>
      <c r="M14147">
        <f t="shared" si="2"/>
      </c>
    </row>
    <row r="14148">
      <c r="G14148" s="9">
        <f t="shared" si="0"/>
      </c>
      <c r="L14148">
        <f t="shared" si="1"/>
      </c>
      <c r="M14148">
        <f t="shared" si="2"/>
      </c>
    </row>
    <row r="14149">
      <c r="G14149" s="9">
        <f t="shared" si="0"/>
      </c>
      <c r="L14149">
        <f t="shared" si="1"/>
      </c>
      <c r="M14149">
        <f t="shared" si="2"/>
      </c>
    </row>
    <row r="14150">
      <c r="G14150" s="9">
        <f t="shared" si="0"/>
      </c>
      <c r="L14150">
        <f t="shared" si="1"/>
      </c>
      <c r="M14150">
        <f t="shared" si="2"/>
      </c>
    </row>
    <row r="14151">
      <c r="G14151" s="9">
        <f t="shared" si="0"/>
      </c>
      <c r="L14151">
        <f t="shared" si="1"/>
      </c>
      <c r="M14151">
        <f t="shared" si="2"/>
      </c>
    </row>
    <row r="14152">
      <c r="G14152" s="9">
        <f t="shared" si="0"/>
      </c>
      <c r="L14152">
        <f t="shared" si="1"/>
      </c>
      <c r="M14152">
        <f t="shared" si="2"/>
      </c>
    </row>
    <row r="14153">
      <c r="G14153" s="9">
        <f t="shared" si="0"/>
      </c>
      <c r="L14153">
        <f t="shared" si="1"/>
      </c>
      <c r="M14153">
        <f t="shared" si="2"/>
      </c>
    </row>
    <row r="14154">
      <c r="G14154" s="9">
        <f t="shared" si="0"/>
      </c>
      <c r="L14154">
        <f t="shared" si="1"/>
      </c>
      <c r="M14154">
        <f t="shared" si="2"/>
      </c>
    </row>
    <row r="14155">
      <c r="G14155" s="9">
        <f t="shared" si="0"/>
      </c>
      <c r="L14155">
        <f t="shared" si="1"/>
      </c>
      <c r="M14155">
        <f t="shared" si="2"/>
      </c>
    </row>
    <row r="14156">
      <c r="G14156" s="9">
        <f t="shared" si="0"/>
      </c>
      <c r="L14156">
        <f t="shared" si="1"/>
      </c>
      <c r="M14156">
        <f t="shared" si="2"/>
      </c>
    </row>
    <row r="14157">
      <c r="G14157" s="9">
        <f t="shared" si="0"/>
      </c>
      <c r="L14157">
        <f t="shared" si="1"/>
      </c>
      <c r="M14157">
        <f t="shared" si="2"/>
      </c>
    </row>
    <row r="14158">
      <c r="G14158" s="9">
        <f t="shared" si="0"/>
      </c>
      <c r="L14158">
        <f t="shared" si="1"/>
      </c>
      <c r="M14158">
        <f t="shared" si="2"/>
      </c>
    </row>
    <row r="14159">
      <c r="G14159" s="9">
        <f t="shared" si="0"/>
      </c>
      <c r="L14159">
        <f t="shared" si="1"/>
      </c>
      <c r="M14159">
        <f t="shared" si="2"/>
      </c>
    </row>
    <row r="14160">
      <c r="G14160" s="9">
        <f t="shared" si="0"/>
      </c>
      <c r="L14160">
        <f t="shared" si="1"/>
      </c>
      <c r="M14160">
        <f t="shared" si="2"/>
      </c>
    </row>
    <row r="14161">
      <c r="G14161" s="9">
        <f t="shared" si="0"/>
      </c>
      <c r="L14161">
        <f t="shared" si="1"/>
      </c>
      <c r="M14161">
        <f t="shared" si="2"/>
      </c>
    </row>
    <row r="14162">
      <c r="G14162" s="9">
        <f t="shared" si="0"/>
      </c>
      <c r="L14162">
        <f t="shared" si="1"/>
      </c>
      <c r="M14162">
        <f t="shared" si="2"/>
      </c>
    </row>
    <row r="14163">
      <c r="G14163" s="9">
        <f t="shared" si="0"/>
      </c>
      <c r="L14163">
        <f t="shared" si="1"/>
      </c>
      <c r="M14163">
        <f t="shared" si="2"/>
      </c>
    </row>
    <row r="14164">
      <c r="G14164" s="9">
        <f t="shared" si="0"/>
      </c>
      <c r="L14164">
        <f t="shared" si="1"/>
      </c>
      <c r="M14164">
        <f t="shared" si="2"/>
      </c>
    </row>
    <row r="14165">
      <c r="G14165" s="9">
        <f t="shared" si="0"/>
      </c>
      <c r="L14165">
        <f t="shared" si="1"/>
      </c>
      <c r="M14165">
        <f t="shared" si="2"/>
      </c>
    </row>
    <row r="14166">
      <c r="G14166" s="9">
        <f t="shared" si="0"/>
      </c>
      <c r="L14166">
        <f t="shared" si="1"/>
      </c>
      <c r="M14166">
        <f t="shared" si="2"/>
      </c>
    </row>
    <row r="14167">
      <c r="G14167" s="9">
        <f t="shared" si="0"/>
      </c>
      <c r="L14167">
        <f t="shared" si="1"/>
      </c>
      <c r="M14167">
        <f t="shared" si="2"/>
      </c>
    </row>
    <row r="14168">
      <c r="G14168" s="9">
        <f t="shared" si="0"/>
      </c>
      <c r="L14168">
        <f t="shared" si="1"/>
      </c>
      <c r="M14168">
        <f t="shared" si="2"/>
      </c>
    </row>
    <row r="14169">
      <c r="G14169" s="9">
        <f t="shared" si="0"/>
      </c>
      <c r="L14169">
        <f t="shared" si="1"/>
      </c>
      <c r="M14169">
        <f t="shared" si="2"/>
      </c>
    </row>
    <row r="14170">
      <c r="G14170" s="9">
        <f t="shared" si="0"/>
      </c>
      <c r="L14170">
        <f t="shared" si="1"/>
      </c>
      <c r="M14170">
        <f t="shared" si="2"/>
      </c>
    </row>
    <row r="14171">
      <c r="G14171" s="9">
        <f t="shared" si="0"/>
      </c>
      <c r="L14171">
        <f t="shared" si="1"/>
      </c>
      <c r="M14171">
        <f t="shared" si="2"/>
      </c>
    </row>
    <row r="14172">
      <c r="G14172" s="9">
        <f t="shared" si="0"/>
      </c>
      <c r="L14172">
        <f t="shared" si="1"/>
      </c>
      <c r="M14172">
        <f t="shared" si="2"/>
      </c>
    </row>
    <row r="14173">
      <c r="G14173" s="9">
        <f t="shared" si="0"/>
      </c>
      <c r="L14173">
        <f t="shared" si="1"/>
      </c>
      <c r="M14173">
        <f t="shared" si="2"/>
      </c>
    </row>
    <row r="14174">
      <c r="G14174" s="9">
        <f t="shared" si="0"/>
      </c>
      <c r="L14174">
        <f t="shared" si="1"/>
      </c>
      <c r="M14174">
        <f t="shared" si="2"/>
      </c>
    </row>
    <row r="14175">
      <c r="G14175" s="9">
        <f t="shared" si="0"/>
      </c>
      <c r="L14175">
        <f t="shared" si="1"/>
      </c>
      <c r="M14175">
        <f t="shared" si="2"/>
      </c>
    </row>
    <row r="14176">
      <c r="G14176" s="9">
        <f t="shared" si="0"/>
      </c>
      <c r="L14176">
        <f t="shared" si="1"/>
      </c>
      <c r="M14176">
        <f t="shared" si="2"/>
      </c>
    </row>
    <row r="14177">
      <c r="G14177" s="9">
        <f t="shared" si="0"/>
      </c>
      <c r="L14177">
        <f t="shared" si="1"/>
      </c>
      <c r="M14177">
        <f t="shared" si="2"/>
      </c>
    </row>
    <row r="14178">
      <c r="G14178" s="9">
        <f t="shared" si="0"/>
      </c>
      <c r="L14178">
        <f t="shared" si="1"/>
      </c>
      <c r="M14178">
        <f t="shared" si="2"/>
      </c>
    </row>
    <row r="14179">
      <c r="G14179" s="9">
        <f t="shared" si="0"/>
      </c>
      <c r="L14179">
        <f t="shared" si="1"/>
      </c>
      <c r="M14179">
        <f t="shared" si="2"/>
      </c>
    </row>
    <row r="14180">
      <c r="G14180" s="9">
        <f t="shared" si="0"/>
      </c>
      <c r="L14180">
        <f t="shared" si="1"/>
      </c>
      <c r="M14180">
        <f t="shared" si="2"/>
      </c>
    </row>
    <row r="14181">
      <c r="G14181" s="9">
        <f t="shared" si="0"/>
      </c>
      <c r="L14181">
        <f t="shared" si="1"/>
      </c>
      <c r="M14181">
        <f t="shared" si="2"/>
      </c>
    </row>
    <row r="14182">
      <c r="G14182" s="9">
        <f t="shared" si="0"/>
      </c>
      <c r="L14182">
        <f t="shared" si="1"/>
      </c>
      <c r="M14182">
        <f t="shared" si="2"/>
      </c>
    </row>
    <row r="14183">
      <c r="G14183" s="9">
        <f t="shared" si="0"/>
      </c>
      <c r="L14183">
        <f t="shared" si="1"/>
      </c>
      <c r="M14183">
        <f t="shared" si="2"/>
      </c>
    </row>
    <row r="14184">
      <c r="G14184" s="9">
        <f t="shared" si="0"/>
      </c>
      <c r="L14184">
        <f t="shared" si="1"/>
      </c>
      <c r="M14184">
        <f t="shared" si="2"/>
      </c>
    </row>
    <row r="14185">
      <c r="G14185" s="9">
        <f t="shared" si="0"/>
      </c>
      <c r="L14185">
        <f t="shared" si="1"/>
      </c>
      <c r="M14185">
        <f t="shared" si="2"/>
      </c>
    </row>
    <row r="14186">
      <c r="G14186" s="9">
        <f t="shared" si="0"/>
      </c>
      <c r="L14186">
        <f t="shared" si="1"/>
      </c>
      <c r="M14186">
        <f t="shared" si="2"/>
      </c>
    </row>
    <row r="14187">
      <c r="G14187" s="9">
        <f t="shared" si="0"/>
      </c>
      <c r="L14187">
        <f t="shared" si="1"/>
      </c>
      <c r="M14187">
        <f t="shared" si="2"/>
      </c>
    </row>
    <row r="14188">
      <c r="G14188" s="9">
        <f t="shared" si="0"/>
      </c>
      <c r="L14188">
        <f t="shared" si="1"/>
      </c>
      <c r="M14188">
        <f t="shared" si="2"/>
      </c>
    </row>
    <row r="14189">
      <c r="G14189" s="9">
        <f t="shared" si="0"/>
      </c>
      <c r="L14189">
        <f t="shared" si="1"/>
      </c>
      <c r="M14189">
        <f t="shared" si="2"/>
      </c>
    </row>
    <row r="14190">
      <c r="G14190" s="9">
        <f t="shared" si="0"/>
      </c>
      <c r="L14190">
        <f t="shared" si="1"/>
      </c>
      <c r="M14190">
        <f t="shared" si="2"/>
      </c>
    </row>
    <row r="14191">
      <c r="G14191" s="9">
        <f t="shared" si="0"/>
      </c>
      <c r="L14191">
        <f t="shared" si="1"/>
      </c>
      <c r="M14191">
        <f t="shared" si="2"/>
      </c>
    </row>
    <row r="14192">
      <c r="G14192" s="9">
        <f t="shared" si="0"/>
      </c>
      <c r="L14192">
        <f t="shared" si="1"/>
      </c>
      <c r="M14192">
        <f t="shared" si="2"/>
      </c>
    </row>
    <row r="14193">
      <c r="G14193" s="9">
        <f t="shared" si="0"/>
      </c>
      <c r="L14193">
        <f t="shared" si="1"/>
      </c>
      <c r="M14193">
        <f t="shared" si="2"/>
      </c>
    </row>
    <row r="14194">
      <c r="G14194" s="9">
        <f t="shared" si="0"/>
      </c>
      <c r="L14194">
        <f t="shared" si="1"/>
      </c>
      <c r="M14194">
        <f t="shared" si="2"/>
      </c>
    </row>
    <row r="14195">
      <c r="G14195" s="9">
        <f t="shared" si="0"/>
      </c>
      <c r="L14195">
        <f t="shared" si="1"/>
      </c>
      <c r="M14195">
        <f t="shared" si="2"/>
      </c>
    </row>
    <row r="14196">
      <c r="G14196" s="9">
        <f t="shared" si="0"/>
      </c>
      <c r="L14196">
        <f t="shared" si="1"/>
      </c>
      <c r="M14196">
        <f t="shared" si="2"/>
      </c>
    </row>
    <row r="14197">
      <c r="G14197" s="9">
        <f t="shared" si="0"/>
      </c>
      <c r="L14197">
        <f t="shared" si="1"/>
      </c>
      <c r="M14197">
        <f t="shared" si="2"/>
      </c>
    </row>
    <row r="14198">
      <c r="G14198" s="9">
        <f t="shared" si="0"/>
      </c>
      <c r="L14198">
        <f t="shared" si="1"/>
      </c>
      <c r="M14198">
        <f t="shared" si="2"/>
      </c>
    </row>
    <row r="14199">
      <c r="G14199" s="9">
        <f t="shared" si="0"/>
      </c>
      <c r="L14199">
        <f t="shared" si="1"/>
      </c>
      <c r="M14199">
        <f t="shared" si="2"/>
      </c>
    </row>
    <row r="14200">
      <c r="G14200" s="9">
        <f t="shared" si="0"/>
      </c>
      <c r="L14200">
        <f t="shared" si="1"/>
      </c>
      <c r="M14200">
        <f t="shared" si="2"/>
      </c>
    </row>
    <row r="14201">
      <c r="G14201" s="9">
        <f t="shared" si="0"/>
      </c>
      <c r="L14201">
        <f t="shared" si="1"/>
      </c>
      <c r="M14201">
        <f t="shared" si="2"/>
      </c>
    </row>
    <row r="14202">
      <c r="G14202" s="9">
        <f t="shared" si="0"/>
      </c>
      <c r="L14202">
        <f t="shared" si="1"/>
      </c>
      <c r="M14202">
        <f t="shared" si="2"/>
      </c>
    </row>
    <row r="14203">
      <c r="G14203" s="9">
        <f t="shared" si="0"/>
      </c>
      <c r="L14203">
        <f t="shared" si="1"/>
      </c>
      <c r="M14203">
        <f t="shared" si="2"/>
      </c>
    </row>
    <row r="14204">
      <c r="G14204" s="9">
        <f t="shared" si="0"/>
      </c>
      <c r="L14204">
        <f t="shared" si="1"/>
      </c>
      <c r="M14204">
        <f t="shared" si="2"/>
      </c>
    </row>
    <row r="14205">
      <c r="G14205" s="9">
        <f t="shared" si="0"/>
      </c>
      <c r="L14205">
        <f t="shared" si="1"/>
      </c>
      <c r="M14205">
        <f t="shared" si="2"/>
      </c>
    </row>
    <row r="14206">
      <c r="G14206" s="9">
        <f t="shared" si="0"/>
      </c>
      <c r="L14206">
        <f t="shared" si="1"/>
      </c>
      <c r="M14206">
        <f t="shared" si="2"/>
      </c>
    </row>
    <row r="14207">
      <c r="G14207" s="9">
        <f t="shared" si="0"/>
      </c>
      <c r="L14207">
        <f t="shared" si="1"/>
      </c>
      <c r="M14207">
        <f t="shared" si="2"/>
      </c>
    </row>
    <row r="14208">
      <c r="G14208" s="9">
        <f t="shared" si="0"/>
      </c>
      <c r="L14208">
        <f t="shared" si="1"/>
      </c>
      <c r="M14208">
        <f t="shared" si="2"/>
      </c>
    </row>
    <row r="14209">
      <c r="G14209" s="9">
        <f t="shared" si="0"/>
      </c>
      <c r="L14209">
        <f t="shared" si="1"/>
      </c>
      <c r="M14209">
        <f t="shared" si="2"/>
      </c>
    </row>
    <row r="14210">
      <c r="G14210" s="9">
        <f t="shared" si="0"/>
      </c>
      <c r="L14210">
        <f t="shared" si="1"/>
      </c>
      <c r="M14210">
        <f t="shared" si="2"/>
      </c>
    </row>
    <row r="14211">
      <c r="G14211" s="9">
        <f t="shared" si="0"/>
      </c>
      <c r="L14211">
        <f t="shared" si="1"/>
      </c>
      <c r="M14211">
        <f t="shared" si="2"/>
      </c>
    </row>
    <row r="14212">
      <c r="G14212" s="9">
        <f t="shared" si="0"/>
      </c>
      <c r="L14212">
        <f t="shared" si="1"/>
      </c>
      <c r="M14212">
        <f t="shared" si="2"/>
      </c>
    </row>
    <row r="14213">
      <c r="G14213" s="9">
        <f t="shared" si="0"/>
      </c>
      <c r="L14213">
        <f t="shared" si="1"/>
      </c>
      <c r="M14213">
        <f t="shared" si="2"/>
      </c>
    </row>
    <row r="14214">
      <c r="G14214" s="9">
        <f t="shared" si="0"/>
      </c>
      <c r="L14214">
        <f t="shared" si="1"/>
      </c>
      <c r="M14214">
        <f t="shared" si="2"/>
      </c>
    </row>
    <row r="14215">
      <c r="G14215" s="9">
        <f t="shared" si="0"/>
      </c>
      <c r="L14215">
        <f t="shared" si="1"/>
      </c>
      <c r="M14215">
        <f t="shared" si="2"/>
      </c>
    </row>
    <row r="14216">
      <c r="G14216" s="9">
        <f t="shared" si="0"/>
      </c>
      <c r="L14216">
        <f t="shared" si="1"/>
      </c>
      <c r="M14216">
        <f t="shared" si="2"/>
      </c>
    </row>
    <row r="14217">
      <c r="G14217" s="9">
        <f t="shared" si="0"/>
      </c>
      <c r="L14217">
        <f t="shared" si="1"/>
      </c>
      <c r="M14217">
        <f t="shared" si="2"/>
      </c>
    </row>
    <row r="14218">
      <c r="G14218" s="9">
        <f t="shared" si="0"/>
      </c>
      <c r="L14218">
        <f t="shared" si="1"/>
      </c>
      <c r="M14218">
        <f t="shared" si="2"/>
      </c>
    </row>
    <row r="14219">
      <c r="G14219" s="9">
        <f t="shared" si="0"/>
      </c>
      <c r="L14219">
        <f t="shared" si="1"/>
      </c>
      <c r="M14219">
        <f t="shared" si="2"/>
      </c>
    </row>
    <row r="14220">
      <c r="G14220" s="9">
        <f t="shared" si="0"/>
      </c>
      <c r="L14220">
        <f t="shared" si="1"/>
      </c>
      <c r="M14220">
        <f t="shared" si="2"/>
      </c>
    </row>
    <row r="14221">
      <c r="G14221" s="9">
        <f t="shared" si="0"/>
      </c>
      <c r="L14221">
        <f t="shared" si="1"/>
      </c>
      <c r="M14221">
        <f t="shared" si="2"/>
      </c>
    </row>
    <row r="14222">
      <c r="G14222" s="9">
        <f t="shared" si="0"/>
      </c>
      <c r="L14222">
        <f t="shared" si="1"/>
      </c>
      <c r="M14222">
        <f t="shared" si="2"/>
      </c>
    </row>
    <row r="14223">
      <c r="G14223" s="9">
        <f t="shared" si="0"/>
      </c>
      <c r="L14223">
        <f t="shared" si="1"/>
      </c>
      <c r="M14223">
        <f t="shared" si="2"/>
      </c>
    </row>
    <row r="14224">
      <c r="G14224" s="9">
        <f t="shared" si="0"/>
      </c>
      <c r="L14224">
        <f t="shared" si="1"/>
      </c>
      <c r="M14224">
        <f t="shared" si="2"/>
      </c>
    </row>
    <row r="14225">
      <c r="G14225" s="9">
        <f t="shared" si="0"/>
      </c>
      <c r="L14225">
        <f t="shared" si="1"/>
      </c>
      <c r="M14225">
        <f t="shared" si="2"/>
      </c>
    </row>
    <row r="14226">
      <c r="G14226" s="9">
        <f t="shared" si="0"/>
      </c>
      <c r="L14226">
        <f t="shared" si="1"/>
      </c>
      <c r="M14226">
        <f t="shared" si="2"/>
      </c>
    </row>
    <row r="14227">
      <c r="G14227" s="9">
        <f t="shared" si="0"/>
      </c>
      <c r="L14227">
        <f t="shared" si="1"/>
      </c>
      <c r="M14227">
        <f t="shared" si="2"/>
      </c>
    </row>
    <row r="14228">
      <c r="G14228" s="9">
        <f t="shared" si="0"/>
      </c>
      <c r="L14228">
        <f t="shared" si="1"/>
      </c>
      <c r="M14228">
        <f t="shared" si="2"/>
      </c>
    </row>
    <row r="14229">
      <c r="G14229" s="9">
        <f t="shared" si="0"/>
      </c>
      <c r="L14229">
        <f t="shared" si="1"/>
      </c>
      <c r="M14229">
        <f t="shared" si="2"/>
      </c>
    </row>
    <row r="14230">
      <c r="G14230" s="9">
        <f t="shared" si="0"/>
      </c>
      <c r="L14230">
        <f t="shared" si="1"/>
      </c>
      <c r="M14230">
        <f t="shared" si="2"/>
      </c>
    </row>
    <row r="14231">
      <c r="G14231" s="9">
        <f t="shared" si="0"/>
      </c>
      <c r="L14231">
        <f t="shared" si="1"/>
      </c>
      <c r="M14231">
        <f t="shared" si="2"/>
      </c>
    </row>
    <row r="14232">
      <c r="G14232" s="9">
        <f t="shared" si="0"/>
      </c>
      <c r="L14232">
        <f t="shared" si="1"/>
      </c>
      <c r="M14232">
        <f t="shared" si="2"/>
      </c>
    </row>
    <row r="14233">
      <c r="G14233" s="9">
        <f t="shared" si="0"/>
      </c>
      <c r="L14233">
        <f t="shared" si="1"/>
      </c>
      <c r="M14233">
        <f t="shared" si="2"/>
      </c>
    </row>
    <row r="14234">
      <c r="G14234" s="9">
        <f t="shared" si="0"/>
      </c>
      <c r="L14234">
        <f t="shared" si="1"/>
      </c>
      <c r="M14234">
        <f t="shared" si="2"/>
      </c>
    </row>
    <row r="14235">
      <c r="G14235" s="9">
        <f t="shared" si="0"/>
      </c>
      <c r="L14235">
        <f t="shared" si="1"/>
      </c>
      <c r="M14235">
        <f t="shared" si="2"/>
      </c>
    </row>
    <row r="14236">
      <c r="G14236" s="9">
        <f t="shared" si="0"/>
      </c>
      <c r="L14236">
        <f t="shared" si="1"/>
      </c>
      <c r="M14236">
        <f t="shared" si="2"/>
      </c>
    </row>
    <row r="14237">
      <c r="G14237" s="9">
        <f t="shared" si="0"/>
      </c>
      <c r="L14237">
        <f t="shared" si="1"/>
      </c>
      <c r="M14237">
        <f t="shared" si="2"/>
      </c>
    </row>
    <row r="14238">
      <c r="G14238" s="9">
        <f t="shared" si="0"/>
      </c>
      <c r="L14238">
        <f t="shared" si="1"/>
      </c>
      <c r="M14238">
        <f t="shared" si="2"/>
      </c>
    </row>
    <row r="14239">
      <c r="G14239" s="9">
        <f t="shared" si="0"/>
      </c>
      <c r="L14239">
        <f t="shared" si="1"/>
      </c>
      <c r="M14239">
        <f t="shared" si="2"/>
      </c>
    </row>
    <row r="14240">
      <c r="G14240" s="9">
        <f t="shared" si="0"/>
      </c>
      <c r="L14240">
        <f t="shared" si="1"/>
      </c>
      <c r="M14240">
        <f t="shared" si="2"/>
      </c>
    </row>
    <row r="14241">
      <c r="G14241" s="9">
        <f t="shared" si="0"/>
      </c>
      <c r="L14241">
        <f t="shared" si="1"/>
      </c>
      <c r="M14241">
        <f t="shared" si="2"/>
      </c>
    </row>
    <row r="14242">
      <c r="G14242" s="9">
        <f t="shared" si="0"/>
      </c>
      <c r="L14242">
        <f t="shared" si="1"/>
      </c>
      <c r="M14242">
        <f t="shared" si="2"/>
      </c>
    </row>
    <row r="14243">
      <c r="G14243" s="9">
        <f t="shared" si="0"/>
      </c>
      <c r="L14243">
        <f t="shared" si="1"/>
      </c>
      <c r="M14243">
        <f t="shared" si="2"/>
      </c>
    </row>
    <row r="14244">
      <c r="G14244" s="9">
        <f t="shared" si="0"/>
      </c>
      <c r="L14244">
        <f t="shared" si="1"/>
      </c>
      <c r="M14244">
        <f t="shared" si="2"/>
      </c>
    </row>
    <row r="14245">
      <c r="G14245" s="9">
        <f t="shared" si="0"/>
      </c>
      <c r="L14245">
        <f t="shared" si="1"/>
      </c>
      <c r="M14245">
        <f t="shared" si="2"/>
      </c>
    </row>
    <row r="14246">
      <c r="G14246" s="9">
        <f t="shared" si="0"/>
      </c>
      <c r="L14246">
        <f t="shared" si="1"/>
      </c>
      <c r="M14246">
        <f t="shared" si="2"/>
      </c>
    </row>
    <row r="14247">
      <c r="G14247" s="9">
        <f t="shared" si="0"/>
      </c>
      <c r="L14247">
        <f t="shared" si="1"/>
      </c>
      <c r="M14247">
        <f t="shared" si="2"/>
      </c>
    </row>
    <row r="14248">
      <c r="G14248" s="9">
        <f t="shared" si="0"/>
      </c>
      <c r="L14248">
        <f t="shared" si="1"/>
      </c>
      <c r="M14248">
        <f t="shared" si="2"/>
      </c>
    </row>
    <row r="14249">
      <c r="G14249" s="9">
        <f t="shared" si="0"/>
      </c>
      <c r="L14249">
        <f t="shared" si="1"/>
      </c>
      <c r="M14249">
        <f t="shared" si="2"/>
      </c>
    </row>
    <row r="14250">
      <c r="G14250" s="9">
        <f t="shared" si="0"/>
      </c>
      <c r="L14250">
        <f t="shared" si="1"/>
      </c>
      <c r="M14250">
        <f t="shared" si="2"/>
      </c>
    </row>
    <row r="14251">
      <c r="G14251" s="9">
        <f t="shared" si="0"/>
      </c>
      <c r="L14251">
        <f t="shared" si="1"/>
      </c>
      <c r="M14251">
        <f t="shared" si="2"/>
      </c>
    </row>
    <row r="14252">
      <c r="G14252" s="9">
        <f t="shared" si="0"/>
      </c>
      <c r="L14252">
        <f t="shared" si="1"/>
      </c>
      <c r="M14252">
        <f t="shared" si="2"/>
      </c>
    </row>
    <row r="14253">
      <c r="G14253" s="9">
        <f t="shared" si="0"/>
      </c>
      <c r="L14253">
        <f t="shared" si="1"/>
      </c>
      <c r="M14253">
        <f t="shared" si="2"/>
      </c>
    </row>
    <row r="14254">
      <c r="G14254" s="9">
        <f t="shared" si="0"/>
      </c>
      <c r="L14254">
        <f t="shared" si="1"/>
      </c>
      <c r="M14254">
        <f t="shared" si="2"/>
      </c>
    </row>
    <row r="14255">
      <c r="G14255" s="9">
        <f t="shared" si="0"/>
      </c>
      <c r="L14255">
        <f t="shared" si="1"/>
      </c>
      <c r="M14255">
        <f t="shared" si="2"/>
      </c>
    </row>
    <row r="14256">
      <c r="G14256" s="9">
        <f t="shared" si="0"/>
      </c>
      <c r="L14256">
        <f t="shared" si="1"/>
      </c>
      <c r="M14256">
        <f t="shared" si="2"/>
      </c>
    </row>
    <row r="14257">
      <c r="G14257" s="9">
        <f t="shared" si="0"/>
      </c>
      <c r="L14257">
        <f t="shared" si="1"/>
      </c>
      <c r="M14257">
        <f t="shared" si="2"/>
      </c>
    </row>
    <row r="14258">
      <c r="G14258" s="9">
        <f t="shared" si="0"/>
      </c>
      <c r="L14258">
        <f t="shared" si="1"/>
      </c>
      <c r="M14258">
        <f t="shared" si="2"/>
      </c>
    </row>
    <row r="14259">
      <c r="G14259" s="9">
        <f t="shared" si="0"/>
      </c>
      <c r="L14259">
        <f t="shared" si="1"/>
      </c>
      <c r="M14259">
        <f t="shared" si="2"/>
      </c>
    </row>
    <row r="14260">
      <c r="G14260" s="9">
        <f t="shared" si="0"/>
      </c>
      <c r="L14260">
        <f t="shared" si="1"/>
      </c>
      <c r="M14260">
        <f t="shared" si="2"/>
      </c>
    </row>
    <row r="14261">
      <c r="G14261" s="9">
        <f t="shared" si="0"/>
      </c>
      <c r="L14261">
        <f t="shared" si="1"/>
      </c>
      <c r="M14261">
        <f t="shared" si="2"/>
      </c>
    </row>
    <row r="14262">
      <c r="G14262" s="9">
        <f t="shared" si="0"/>
      </c>
      <c r="L14262">
        <f t="shared" si="1"/>
      </c>
      <c r="M14262">
        <f t="shared" si="2"/>
      </c>
    </row>
    <row r="14263">
      <c r="G14263" s="9">
        <f t="shared" si="0"/>
      </c>
      <c r="L14263">
        <f t="shared" si="1"/>
      </c>
      <c r="M14263">
        <f t="shared" si="2"/>
      </c>
    </row>
    <row r="14264">
      <c r="G14264" s="9">
        <f t="shared" si="0"/>
      </c>
      <c r="L14264">
        <f t="shared" si="1"/>
      </c>
      <c r="M14264">
        <f t="shared" si="2"/>
      </c>
    </row>
    <row r="14265">
      <c r="G14265" s="9">
        <f t="shared" si="0"/>
      </c>
      <c r="L14265">
        <f t="shared" si="1"/>
      </c>
      <c r="M14265">
        <f t="shared" si="2"/>
      </c>
    </row>
    <row r="14266">
      <c r="G14266" s="9">
        <f t="shared" si="0"/>
      </c>
      <c r="L14266">
        <f t="shared" si="1"/>
      </c>
      <c r="M14266">
        <f t="shared" si="2"/>
      </c>
    </row>
    <row r="14267">
      <c r="G14267" s="9">
        <f t="shared" si="0"/>
      </c>
      <c r="L14267">
        <f t="shared" si="1"/>
      </c>
      <c r="M14267">
        <f t="shared" si="2"/>
      </c>
    </row>
    <row r="14268">
      <c r="G14268" s="9">
        <f t="shared" si="0"/>
      </c>
      <c r="L14268">
        <f t="shared" si="1"/>
      </c>
      <c r="M14268">
        <f t="shared" si="2"/>
      </c>
    </row>
    <row r="14269">
      <c r="G14269" s="9">
        <f t="shared" si="0"/>
      </c>
      <c r="L14269">
        <f t="shared" si="1"/>
      </c>
      <c r="M14269">
        <f t="shared" si="2"/>
      </c>
    </row>
    <row r="14270">
      <c r="G14270" s="9">
        <f t="shared" si="0"/>
      </c>
      <c r="L14270">
        <f t="shared" si="1"/>
      </c>
      <c r="M14270">
        <f t="shared" si="2"/>
      </c>
    </row>
    <row r="14271">
      <c r="G14271" s="9">
        <f t="shared" si="0"/>
      </c>
      <c r="L14271">
        <f t="shared" si="1"/>
      </c>
      <c r="M14271">
        <f t="shared" si="2"/>
      </c>
    </row>
    <row r="14272">
      <c r="G14272" s="9">
        <f t="shared" si="0"/>
      </c>
      <c r="L14272">
        <f t="shared" si="1"/>
      </c>
      <c r="M14272">
        <f t="shared" si="2"/>
      </c>
    </row>
    <row r="14273">
      <c r="G14273" s="9">
        <f t="shared" si="0"/>
      </c>
      <c r="L14273">
        <f t="shared" si="1"/>
      </c>
      <c r="M14273">
        <f t="shared" si="2"/>
      </c>
    </row>
    <row r="14274">
      <c r="G14274" s="9">
        <f t="shared" si="0"/>
      </c>
      <c r="L14274">
        <f t="shared" si="1"/>
      </c>
      <c r="M14274">
        <f t="shared" si="2"/>
      </c>
    </row>
    <row r="14275">
      <c r="G14275" s="9">
        <f t="shared" si="0"/>
      </c>
      <c r="L14275">
        <f t="shared" si="1"/>
      </c>
      <c r="M14275">
        <f t="shared" si="2"/>
      </c>
    </row>
    <row r="14276">
      <c r="G14276" s="9">
        <f t="shared" si="0"/>
      </c>
      <c r="L14276">
        <f t="shared" si="1"/>
      </c>
      <c r="M14276">
        <f t="shared" si="2"/>
      </c>
    </row>
    <row r="14277">
      <c r="G14277" s="9">
        <f t="shared" si="0"/>
      </c>
      <c r="L14277">
        <f t="shared" si="1"/>
      </c>
      <c r="M14277">
        <f t="shared" si="2"/>
      </c>
    </row>
    <row r="14278">
      <c r="G14278" s="9">
        <f t="shared" si="0"/>
      </c>
      <c r="L14278">
        <f t="shared" si="1"/>
      </c>
      <c r="M14278">
        <f t="shared" si="2"/>
      </c>
    </row>
    <row r="14279">
      <c r="G14279" s="9">
        <f t="shared" si="0"/>
      </c>
      <c r="L14279">
        <f t="shared" si="1"/>
      </c>
      <c r="M14279">
        <f t="shared" si="2"/>
      </c>
    </row>
    <row r="14280">
      <c r="G14280" s="9">
        <f t="shared" si="0"/>
      </c>
      <c r="L14280">
        <f t="shared" si="1"/>
      </c>
      <c r="M14280">
        <f t="shared" si="2"/>
      </c>
    </row>
    <row r="14281">
      <c r="G14281" s="9">
        <f t="shared" si="0"/>
      </c>
      <c r="L14281">
        <f t="shared" si="1"/>
      </c>
      <c r="M14281">
        <f t="shared" si="2"/>
      </c>
    </row>
    <row r="14282">
      <c r="G14282" s="9">
        <f t="shared" si="0"/>
      </c>
      <c r="L14282">
        <f t="shared" si="1"/>
      </c>
      <c r="M14282">
        <f t="shared" si="2"/>
      </c>
    </row>
    <row r="14283">
      <c r="G14283" s="9">
        <f t="shared" si="0"/>
      </c>
      <c r="L14283">
        <f t="shared" si="1"/>
      </c>
      <c r="M14283">
        <f t="shared" si="2"/>
      </c>
    </row>
    <row r="14284">
      <c r="G14284" s="9">
        <f t="shared" si="0"/>
      </c>
      <c r="L14284">
        <f t="shared" si="1"/>
      </c>
      <c r="M14284">
        <f t="shared" si="2"/>
      </c>
    </row>
    <row r="14285">
      <c r="G14285" s="9">
        <f t="shared" si="0"/>
      </c>
      <c r="L14285">
        <f t="shared" si="1"/>
      </c>
      <c r="M14285">
        <f t="shared" si="2"/>
      </c>
    </row>
    <row r="14286">
      <c r="G14286" s="9">
        <f t="shared" si="0"/>
      </c>
      <c r="L14286">
        <f t="shared" si="1"/>
      </c>
      <c r="M14286">
        <f t="shared" si="2"/>
      </c>
    </row>
    <row r="14287">
      <c r="G14287" s="9">
        <f t="shared" si="0"/>
      </c>
      <c r="L14287">
        <f t="shared" si="1"/>
      </c>
      <c r="M14287">
        <f t="shared" si="2"/>
      </c>
    </row>
    <row r="14288">
      <c r="G14288" s="9">
        <f t="shared" si="0"/>
      </c>
      <c r="L14288">
        <f t="shared" si="1"/>
      </c>
      <c r="M14288">
        <f t="shared" si="2"/>
      </c>
    </row>
    <row r="14289">
      <c r="G14289" s="9">
        <f t="shared" si="0"/>
      </c>
      <c r="L14289">
        <f t="shared" si="1"/>
      </c>
      <c r="M14289">
        <f t="shared" si="2"/>
      </c>
    </row>
    <row r="14290">
      <c r="G14290" s="9">
        <f t="shared" si="0"/>
      </c>
      <c r="L14290">
        <f t="shared" si="1"/>
      </c>
      <c r="M14290">
        <f t="shared" si="2"/>
      </c>
    </row>
    <row r="14291">
      <c r="G14291" s="9">
        <f t="shared" si="0"/>
      </c>
      <c r="L14291">
        <f t="shared" si="1"/>
      </c>
      <c r="M14291">
        <f t="shared" si="2"/>
      </c>
    </row>
    <row r="14292">
      <c r="G14292" s="9">
        <f t="shared" si="0"/>
      </c>
      <c r="L14292">
        <f t="shared" si="1"/>
      </c>
      <c r="M14292">
        <f t="shared" si="2"/>
      </c>
    </row>
    <row r="14293">
      <c r="G14293" s="9">
        <f t="shared" si="0"/>
      </c>
      <c r="L14293">
        <f t="shared" si="1"/>
      </c>
      <c r="M14293">
        <f t="shared" si="2"/>
      </c>
    </row>
    <row r="14294">
      <c r="G14294" s="9">
        <f t="shared" si="0"/>
      </c>
      <c r="L14294">
        <f t="shared" si="1"/>
      </c>
      <c r="M14294">
        <f t="shared" si="2"/>
      </c>
    </row>
    <row r="14295">
      <c r="G14295" s="9">
        <f t="shared" si="0"/>
      </c>
      <c r="L14295">
        <f t="shared" si="1"/>
      </c>
      <c r="M14295">
        <f t="shared" si="2"/>
      </c>
    </row>
    <row r="14296">
      <c r="G14296" s="9">
        <f t="shared" si="0"/>
      </c>
      <c r="L14296">
        <f t="shared" si="1"/>
      </c>
      <c r="M14296">
        <f t="shared" si="2"/>
      </c>
    </row>
    <row r="14297">
      <c r="G14297" s="9">
        <f t="shared" si="0"/>
      </c>
      <c r="L14297">
        <f t="shared" si="1"/>
      </c>
      <c r="M14297">
        <f t="shared" si="2"/>
      </c>
    </row>
    <row r="14298">
      <c r="G14298" s="9">
        <f t="shared" si="0"/>
      </c>
      <c r="L14298">
        <f t="shared" si="1"/>
      </c>
      <c r="M14298">
        <f t="shared" si="2"/>
      </c>
    </row>
    <row r="14299">
      <c r="G14299" s="9">
        <f t="shared" si="0"/>
      </c>
      <c r="L14299">
        <f t="shared" si="1"/>
      </c>
      <c r="M14299">
        <f t="shared" si="2"/>
      </c>
    </row>
    <row r="14300">
      <c r="G14300" s="9">
        <f t="shared" si="0"/>
      </c>
      <c r="L14300">
        <f t="shared" si="1"/>
      </c>
      <c r="M14300">
        <f t="shared" si="2"/>
      </c>
    </row>
    <row r="14301">
      <c r="G14301" s="9">
        <f t="shared" si="0"/>
      </c>
      <c r="L14301">
        <f t="shared" si="1"/>
      </c>
      <c r="M14301">
        <f t="shared" si="2"/>
      </c>
    </row>
    <row r="14302">
      <c r="G14302" s="9">
        <f t="shared" si="0"/>
      </c>
      <c r="L14302">
        <f t="shared" si="1"/>
      </c>
      <c r="M14302">
        <f t="shared" si="2"/>
      </c>
    </row>
    <row r="14303">
      <c r="G14303" s="9">
        <f t="shared" si="0"/>
      </c>
      <c r="L14303">
        <f t="shared" si="1"/>
      </c>
      <c r="M14303">
        <f t="shared" si="2"/>
      </c>
    </row>
    <row r="14304">
      <c r="G14304" s="9">
        <f t="shared" si="0"/>
      </c>
      <c r="L14304">
        <f t="shared" si="1"/>
      </c>
      <c r="M14304">
        <f t="shared" si="2"/>
      </c>
    </row>
    <row r="14305">
      <c r="G14305" s="9">
        <f t="shared" si="0"/>
      </c>
      <c r="L14305">
        <f t="shared" si="1"/>
      </c>
      <c r="M14305">
        <f t="shared" si="2"/>
      </c>
    </row>
    <row r="14306">
      <c r="G14306" s="9">
        <f t="shared" si="0"/>
      </c>
      <c r="L14306">
        <f t="shared" si="1"/>
      </c>
      <c r="M14306">
        <f t="shared" si="2"/>
      </c>
    </row>
    <row r="14307">
      <c r="G14307" s="9">
        <f t="shared" si="0"/>
      </c>
      <c r="L14307">
        <f t="shared" si="1"/>
      </c>
      <c r="M14307">
        <f t="shared" si="2"/>
      </c>
    </row>
    <row r="14308">
      <c r="G14308" s="9">
        <f t="shared" si="0"/>
      </c>
      <c r="L14308">
        <f t="shared" si="1"/>
      </c>
      <c r="M14308">
        <f t="shared" si="2"/>
      </c>
    </row>
    <row r="14309">
      <c r="G14309" s="9">
        <f t="shared" si="0"/>
      </c>
      <c r="L14309">
        <f t="shared" si="1"/>
      </c>
      <c r="M14309">
        <f t="shared" si="2"/>
      </c>
    </row>
    <row r="14310">
      <c r="G14310" s="9">
        <f t="shared" si="0"/>
      </c>
      <c r="L14310">
        <f t="shared" si="1"/>
      </c>
      <c r="M14310">
        <f t="shared" si="2"/>
      </c>
    </row>
    <row r="14311">
      <c r="G14311" s="9">
        <f t="shared" si="0"/>
      </c>
      <c r="L14311">
        <f t="shared" si="1"/>
      </c>
      <c r="M14311">
        <f t="shared" si="2"/>
      </c>
    </row>
    <row r="14312">
      <c r="G14312" s="9">
        <f t="shared" si="0"/>
      </c>
      <c r="L14312">
        <f t="shared" si="1"/>
      </c>
      <c r="M14312">
        <f t="shared" si="2"/>
      </c>
    </row>
    <row r="14313">
      <c r="G14313" s="9">
        <f t="shared" si="0"/>
      </c>
      <c r="L14313">
        <f t="shared" si="1"/>
      </c>
      <c r="M14313">
        <f t="shared" si="2"/>
      </c>
    </row>
    <row r="14314">
      <c r="G14314" s="9">
        <f t="shared" si="0"/>
      </c>
      <c r="L14314">
        <f t="shared" si="1"/>
      </c>
      <c r="M14314">
        <f t="shared" si="2"/>
      </c>
    </row>
    <row r="14315">
      <c r="G14315" s="9">
        <f t="shared" si="0"/>
      </c>
      <c r="L14315">
        <f t="shared" si="1"/>
      </c>
      <c r="M14315">
        <f t="shared" si="2"/>
      </c>
    </row>
    <row r="14316">
      <c r="G14316" s="9">
        <f t="shared" si="0"/>
      </c>
      <c r="L14316">
        <f t="shared" si="1"/>
      </c>
      <c r="M14316">
        <f t="shared" si="2"/>
      </c>
    </row>
    <row r="14317">
      <c r="G14317" s="9">
        <f t="shared" si="0"/>
      </c>
      <c r="L14317">
        <f t="shared" si="1"/>
      </c>
      <c r="M14317">
        <f t="shared" si="2"/>
      </c>
    </row>
    <row r="14318">
      <c r="G14318" s="9">
        <f t="shared" si="0"/>
      </c>
      <c r="L14318">
        <f t="shared" si="1"/>
      </c>
      <c r="M14318">
        <f t="shared" si="2"/>
      </c>
    </row>
    <row r="14319">
      <c r="G14319" s="9">
        <f t="shared" si="0"/>
      </c>
      <c r="L14319">
        <f t="shared" si="1"/>
      </c>
      <c r="M14319">
        <f t="shared" si="2"/>
      </c>
    </row>
    <row r="14320">
      <c r="G14320" s="9">
        <f t="shared" si="0"/>
      </c>
      <c r="L14320">
        <f t="shared" si="1"/>
      </c>
      <c r="M14320">
        <f t="shared" si="2"/>
      </c>
    </row>
    <row r="14321">
      <c r="G14321" s="9">
        <f t="shared" si="0"/>
      </c>
      <c r="L14321">
        <f t="shared" si="1"/>
      </c>
      <c r="M14321">
        <f t="shared" si="2"/>
      </c>
    </row>
    <row r="14322">
      <c r="G14322" s="9">
        <f t="shared" si="0"/>
      </c>
      <c r="L14322">
        <f t="shared" si="1"/>
      </c>
      <c r="M14322">
        <f t="shared" si="2"/>
      </c>
    </row>
    <row r="14323">
      <c r="G14323" s="9">
        <f t="shared" si="0"/>
      </c>
      <c r="L14323">
        <f t="shared" si="1"/>
      </c>
      <c r="M14323">
        <f t="shared" si="2"/>
      </c>
    </row>
    <row r="14324">
      <c r="G14324" s="9">
        <f t="shared" si="0"/>
      </c>
      <c r="L14324">
        <f t="shared" si="1"/>
      </c>
      <c r="M14324">
        <f t="shared" si="2"/>
      </c>
    </row>
    <row r="14325">
      <c r="G14325" s="9">
        <f t="shared" si="0"/>
      </c>
      <c r="L14325">
        <f t="shared" si="1"/>
      </c>
      <c r="M14325">
        <f t="shared" si="2"/>
      </c>
    </row>
    <row r="14326">
      <c r="G14326" s="9">
        <f t="shared" si="0"/>
      </c>
      <c r="L14326">
        <f t="shared" si="1"/>
      </c>
      <c r="M14326">
        <f t="shared" si="2"/>
      </c>
    </row>
    <row r="14327">
      <c r="G14327" s="9">
        <f t="shared" si="0"/>
      </c>
      <c r="L14327">
        <f t="shared" si="1"/>
      </c>
      <c r="M14327">
        <f t="shared" si="2"/>
      </c>
    </row>
    <row r="14328">
      <c r="G14328" s="9">
        <f t="shared" si="0"/>
      </c>
      <c r="L14328">
        <f t="shared" si="1"/>
      </c>
      <c r="M14328">
        <f t="shared" si="2"/>
      </c>
    </row>
    <row r="14329">
      <c r="G14329" s="9">
        <f t="shared" si="0"/>
      </c>
      <c r="L14329">
        <f t="shared" si="1"/>
      </c>
      <c r="M14329">
        <f t="shared" si="2"/>
      </c>
    </row>
    <row r="14330">
      <c r="G14330" s="9">
        <f t="shared" si="0"/>
      </c>
      <c r="L14330">
        <f t="shared" si="1"/>
      </c>
      <c r="M14330">
        <f t="shared" si="2"/>
      </c>
    </row>
    <row r="14331">
      <c r="G14331" s="9">
        <f t="shared" si="0"/>
      </c>
      <c r="L14331">
        <f t="shared" si="1"/>
      </c>
      <c r="M14331">
        <f t="shared" si="2"/>
      </c>
    </row>
    <row r="14332">
      <c r="G14332" s="9">
        <f t="shared" si="0"/>
      </c>
      <c r="L14332">
        <f t="shared" si="1"/>
      </c>
      <c r="M14332">
        <f t="shared" si="2"/>
      </c>
    </row>
    <row r="14333">
      <c r="G14333" s="9">
        <f t="shared" si="0"/>
      </c>
      <c r="L14333">
        <f t="shared" si="1"/>
      </c>
      <c r="M14333">
        <f t="shared" si="2"/>
      </c>
    </row>
    <row r="14334">
      <c r="G14334" s="9">
        <f t="shared" si="0"/>
      </c>
      <c r="L14334">
        <f t="shared" si="1"/>
      </c>
      <c r="M14334">
        <f t="shared" si="2"/>
      </c>
    </row>
    <row r="14335">
      <c r="G14335" s="9">
        <f t="shared" si="0"/>
      </c>
      <c r="L14335">
        <f t="shared" si="1"/>
      </c>
      <c r="M14335">
        <f t="shared" si="2"/>
      </c>
    </row>
    <row r="14336">
      <c r="G14336" s="9">
        <f t="shared" si="0"/>
      </c>
      <c r="L14336">
        <f t="shared" si="1"/>
      </c>
      <c r="M14336">
        <f t="shared" si="2"/>
      </c>
    </row>
    <row r="14337">
      <c r="G14337" s="9">
        <f t="shared" si="0"/>
      </c>
      <c r="L14337">
        <f t="shared" si="1"/>
      </c>
      <c r="M14337">
        <f t="shared" si="2"/>
      </c>
    </row>
    <row r="14338">
      <c r="G14338" s="9">
        <f t="shared" si="0"/>
      </c>
      <c r="L14338">
        <f t="shared" si="1"/>
      </c>
      <c r="M14338">
        <f t="shared" si="2"/>
      </c>
    </row>
    <row r="14339">
      <c r="G14339" s="9">
        <f t="shared" si="0"/>
      </c>
      <c r="L14339">
        <f t="shared" si="1"/>
      </c>
      <c r="M14339">
        <f t="shared" si="2"/>
      </c>
    </row>
    <row r="14340">
      <c r="G14340" s="9">
        <f t="shared" si="0"/>
      </c>
      <c r="L14340">
        <f t="shared" si="1"/>
      </c>
      <c r="M14340">
        <f t="shared" si="2"/>
      </c>
    </row>
    <row r="14341">
      <c r="G14341" s="9">
        <f t="shared" si="0"/>
      </c>
      <c r="L14341">
        <f t="shared" si="1"/>
      </c>
      <c r="M14341">
        <f t="shared" si="2"/>
      </c>
    </row>
    <row r="14342">
      <c r="G14342" s="9">
        <f t="shared" si="0"/>
      </c>
      <c r="L14342">
        <f t="shared" si="1"/>
      </c>
      <c r="M14342">
        <f t="shared" si="2"/>
      </c>
    </row>
    <row r="14343">
      <c r="G14343" s="9">
        <f t="shared" si="0"/>
      </c>
      <c r="L14343">
        <f t="shared" si="1"/>
      </c>
      <c r="M14343">
        <f t="shared" si="2"/>
      </c>
    </row>
    <row r="14344">
      <c r="G14344" s="9">
        <f t="shared" si="0"/>
      </c>
      <c r="L14344">
        <f t="shared" si="1"/>
      </c>
      <c r="M14344">
        <f t="shared" si="2"/>
      </c>
    </row>
    <row r="14345">
      <c r="G14345" s="9">
        <f t="shared" si="0"/>
      </c>
      <c r="L14345">
        <f t="shared" si="1"/>
      </c>
      <c r="M14345">
        <f t="shared" si="2"/>
      </c>
    </row>
    <row r="14346">
      <c r="G14346" s="9">
        <f t="shared" si="0"/>
      </c>
      <c r="L14346">
        <f t="shared" si="1"/>
      </c>
      <c r="M14346">
        <f t="shared" si="2"/>
      </c>
    </row>
    <row r="14347">
      <c r="G14347" s="9">
        <f t="shared" si="0"/>
      </c>
      <c r="L14347">
        <f t="shared" si="1"/>
      </c>
      <c r="M14347">
        <f t="shared" si="2"/>
      </c>
    </row>
    <row r="14348">
      <c r="G14348" s="9">
        <f t="shared" si="0"/>
      </c>
      <c r="L14348">
        <f t="shared" si="1"/>
      </c>
      <c r="M14348">
        <f t="shared" si="2"/>
      </c>
    </row>
    <row r="14349">
      <c r="G14349" s="9">
        <f t="shared" si="0"/>
      </c>
      <c r="L14349">
        <f t="shared" si="1"/>
      </c>
      <c r="M14349">
        <f t="shared" si="2"/>
      </c>
    </row>
    <row r="14350">
      <c r="G14350" s="9">
        <f t="shared" si="0"/>
      </c>
      <c r="L14350">
        <f t="shared" si="1"/>
      </c>
      <c r="M14350">
        <f t="shared" si="2"/>
      </c>
    </row>
    <row r="14351">
      <c r="G14351" s="9">
        <f t="shared" si="0"/>
      </c>
      <c r="L14351">
        <f t="shared" si="1"/>
      </c>
      <c r="M14351">
        <f t="shared" si="2"/>
      </c>
    </row>
    <row r="14352">
      <c r="G14352" s="9">
        <f t="shared" si="0"/>
      </c>
      <c r="L14352">
        <f t="shared" si="1"/>
      </c>
      <c r="M14352">
        <f t="shared" si="2"/>
      </c>
    </row>
    <row r="14353">
      <c r="G14353" s="9">
        <f t="shared" si="0"/>
      </c>
      <c r="L14353">
        <f t="shared" si="1"/>
      </c>
      <c r="M14353">
        <f t="shared" si="2"/>
      </c>
    </row>
    <row r="14354">
      <c r="G14354" s="9">
        <f t="shared" si="0"/>
      </c>
      <c r="L14354">
        <f t="shared" si="1"/>
      </c>
      <c r="M14354">
        <f t="shared" si="2"/>
      </c>
    </row>
    <row r="14355">
      <c r="G14355" s="9">
        <f t="shared" si="0"/>
      </c>
      <c r="L14355">
        <f t="shared" si="1"/>
      </c>
      <c r="M14355">
        <f t="shared" si="2"/>
      </c>
    </row>
    <row r="14356">
      <c r="G14356" s="9">
        <f t="shared" si="0"/>
      </c>
      <c r="L14356">
        <f t="shared" si="1"/>
      </c>
      <c r="M14356">
        <f t="shared" si="2"/>
      </c>
    </row>
    <row r="14357">
      <c r="G14357" s="9">
        <f t="shared" si="0"/>
      </c>
      <c r="L14357">
        <f t="shared" si="1"/>
      </c>
      <c r="M14357">
        <f t="shared" si="2"/>
      </c>
    </row>
    <row r="14358">
      <c r="G14358" s="9">
        <f t="shared" si="0"/>
      </c>
      <c r="L14358">
        <f t="shared" si="1"/>
      </c>
      <c r="M14358">
        <f t="shared" si="2"/>
      </c>
    </row>
    <row r="14359">
      <c r="G14359" s="9">
        <f t="shared" si="0"/>
      </c>
      <c r="L14359">
        <f t="shared" si="1"/>
      </c>
      <c r="M14359">
        <f t="shared" si="2"/>
      </c>
    </row>
    <row r="14360">
      <c r="G14360" s="9">
        <f t="shared" si="0"/>
      </c>
      <c r="L14360">
        <f t="shared" si="1"/>
      </c>
      <c r="M14360">
        <f t="shared" si="2"/>
      </c>
    </row>
    <row r="14361">
      <c r="G14361" s="9">
        <f t="shared" si="0"/>
      </c>
      <c r="L14361">
        <f t="shared" si="1"/>
      </c>
      <c r="M14361">
        <f t="shared" si="2"/>
      </c>
    </row>
    <row r="14362">
      <c r="G14362" s="9">
        <f t="shared" si="0"/>
      </c>
      <c r="L14362">
        <f t="shared" si="1"/>
      </c>
      <c r="M14362">
        <f t="shared" si="2"/>
      </c>
    </row>
    <row r="14363">
      <c r="G14363" s="9">
        <f t="shared" si="0"/>
      </c>
      <c r="L14363">
        <f t="shared" si="1"/>
      </c>
      <c r="M14363">
        <f t="shared" si="2"/>
      </c>
    </row>
    <row r="14364">
      <c r="G14364" s="9">
        <f t="shared" si="0"/>
      </c>
      <c r="L14364">
        <f t="shared" si="1"/>
      </c>
      <c r="M14364">
        <f t="shared" si="2"/>
      </c>
    </row>
    <row r="14365">
      <c r="G14365" s="9">
        <f t="shared" si="0"/>
      </c>
      <c r="L14365">
        <f t="shared" si="1"/>
      </c>
      <c r="M14365">
        <f t="shared" si="2"/>
      </c>
    </row>
    <row r="14366">
      <c r="G14366" s="9">
        <f t="shared" si="0"/>
      </c>
      <c r="L14366">
        <f t="shared" si="1"/>
      </c>
      <c r="M14366">
        <f t="shared" si="2"/>
      </c>
    </row>
    <row r="14367">
      <c r="G14367" s="9">
        <f t="shared" si="0"/>
      </c>
      <c r="L14367">
        <f t="shared" si="1"/>
      </c>
      <c r="M14367">
        <f t="shared" si="2"/>
      </c>
    </row>
    <row r="14368">
      <c r="G14368" s="9">
        <f t="shared" si="0"/>
      </c>
      <c r="L14368">
        <f t="shared" si="1"/>
      </c>
      <c r="M14368">
        <f t="shared" si="2"/>
      </c>
    </row>
    <row r="14369">
      <c r="G14369" s="9">
        <f t="shared" si="0"/>
      </c>
      <c r="L14369">
        <f t="shared" si="1"/>
      </c>
      <c r="M14369">
        <f t="shared" si="2"/>
      </c>
    </row>
    <row r="14370">
      <c r="G14370" s="9">
        <f t="shared" si="0"/>
      </c>
      <c r="L14370">
        <f t="shared" si="1"/>
      </c>
      <c r="M14370">
        <f t="shared" si="2"/>
      </c>
    </row>
    <row r="14371">
      <c r="G14371" s="9">
        <f t="shared" si="0"/>
      </c>
      <c r="L14371">
        <f t="shared" si="1"/>
      </c>
      <c r="M14371">
        <f t="shared" si="2"/>
      </c>
    </row>
    <row r="14372">
      <c r="G14372" s="9">
        <f t="shared" si="0"/>
      </c>
      <c r="L14372">
        <f t="shared" si="1"/>
      </c>
      <c r="M14372">
        <f t="shared" si="2"/>
      </c>
    </row>
    <row r="14373">
      <c r="G14373" s="9">
        <f t="shared" si="0"/>
      </c>
      <c r="L14373">
        <f t="shared" si="1"/>
      </c>
      <c r="M14373">
        <f t="shared" si="2"/>
      </c>
    </row>
    <row r="14374">
      <c r="G14374" s="9">
        <f t="shared" si="0"/>
      </c>
      <c r="L14374">
        <f t="shared" si="1"/>
      </c>
      <c r="M14374">
        <f t="shared" si="2"/>
      </c>
    </row>
    <row r="14375">
      <c r="G14375" s="9">
        <f t="shared" si="0"/>
      </c>
      <c r="L14375">
        <f t="shared" si="1"/>
      </c>
      <c r="M14375">
        <f t="shared" si="2"/>
      </c>
    </row>
    <row r="14376">
      <c r="G14376" s="9">
        <f t="shared" si="0"/>
      </c>
      <c r="L14376">
        <f t="shared" si="1"/>
      </c>
      <c r="M14376">
        <f t="shared" si="2"/>
      </c>
    </row>
    <row r="14377">
      <c r="G14377" s="9">
        <f t="shared" si="0"/>
      </c>
      <c r="L14377">
        <f t="shared" si="1"/>
      </c>
      <c r="M14377">
        <f t="shared" si="2"/>
      </c>
    </row>
    <row r="14378">
      <c r="G14378" s="9">
        <f t="shared" si="0"/>
      </c>
      <c r="L14378">
        <f t="shared" si="1"/>
      </c>
      <c r="M14378">
        <f t="shared" si="2"/>
      </c>
    </row>
    <row r="14379">
      <c r="G14379" s="9">
        <f t="shared" si="0"/>
      </c>
      <c r="L14379">
        <f t="shared" si="1"/>
      </c>
      <c r="M14379">
        <f t="shared" si="2"/>
      </c>
    </row>
    <row r="14380">
      <c r="G14380" s="9">
        <f t="shared" si="0"/>
      </c>
      <c r="L14380">
        <f t="shared" si="1"/>
      </c>
      <c r="M14380">
        <f t="shared" si="2"/>
      </c>
    </row>
    <row r="14381">
      <c r="G14381" s="9">
        <f t="shared" si="0"/>
      </c>
      <c r="L14381">
        <f t="shared" si="1"/>
      </c>
      <c r="M14381">
        <f t="shared" si="2"/>
      </c>
    </row>
    <row r="14382">
      <c r="G14382" s="9">
        <f t="shared" si="0"/>
      </c>
      <c r="L14382">
        <f t="shared" si="1"/>
      </c>
      <c r="M14382">
        <f t="shared" si="2"/>
      </c>
    </row>
    <row r="14383">
      <c r="G14383" s="9">
        <f t="shared" si="0"/>
      </c>
      <c r="L14383">
        <f t="shared" si="1"/>
      </c>
      <c r="M14383">
        <f t="shared" si="2"/>
      </c>
    </row>
    <row r="14384">
      <c r="G14384" s="9">
        <f t="shared" si="0"/>
      </c>
      <c r="L14384">
        <f t="shared" si="1"/>
      </c>
      <c r="M14384">
        <f t="shared" si="2"/>
      </c>
    </row>
    <row r="14385">
      <c r="G14385" s="9">
        <f t="shared" si="0"/>
      </c>
      <c r="L14385">
        <f t="shared" si="1"/>
      </c>
      <c r="M14385">
        <f t="shared" si="2"/>
      </c>
    </row>
    <row r="14386">
      <c r="G14386" s="9">
        <f t="shared" si="0"/>
      </c>
      <c r="L14386">
        <f t="shared" si="1"/>
      </c>
      <c r="M14386">
        <f t="shared" si="2"/>
      </c>
    </row>
    <row r="14387">
      <c r="G14387" s="9">
        <f t="shared" si="0"/>
      </c>
      <c r="L14387">
        <f t="shared" si="1"/>
      </c>
      <c r="M14387">
        <f t="shared" si="2"/>
      </c>
    </row>
    <row r="14388">
      <c r="G14388" s="9">
        <f t="shared" si="0"/>
      </c>
      <c r="L14388">
        <f t="shared" si="1"/>
      </c>
      <c r="M14388">
        <f t="shared" si="2"/>
      </c>
    </row>
    <row r="14389">
      <c r="G14389" s="9">
        <f t="shared" si="0"/>
      </c>
      <c r="L14389">
        <f t="shared" si="1"/>
      </c>
      <c r="M14389">
        <f t="shared" si="2"/>
      </c>
    </row>
    <row r="14390">
      <c r="G14390" s="9">
        <f t="shared" si="0"/>
      </c>
      <c r="L14390">
        <f t="shared" si="1"/>
      </c>
      <c r="M14390">
        <f t="shared" si="2"/>
      </c>
    </row>
    <row r="14391">
      <c r="G14391" s="9">
        <f t="shared" si="0"/>
      </c>
      <c r="L14391">
        <f t="shared" si="1"/>
      </c>
      <c r="M14391">
        <f t="shared" si="2"/>
      </c>
    </row>
    <row r="14392">
      <c r="G14392" s="9">
        <f t="shared" si="0"/>
      </c>
      <c r="L14392">
        <f t="shared" si="1"/>
      </c>
      <c r="M14392">
        <f t="shared" si="2"/>
      </c>
    </row>
    <row r="14393">
      <c r="G14393" s="9">
        <f t="shared" si="0"/>
      </c>
      <c r="L14393">
        <f t="shared" si="1"/>
      </c>
      <c r="M14393">
        <f t="shared" si="2"/>
      </c>
    </row>
    <row r="14394">
      <c r="G14394" s="9">
        <f t="shared" si="0"/>
      </c>
      <c r="L14394">
        <f t="shared" si="1"/>
      </c>
      <c r="M14394">
        <f t="shared" si="2"/>
      </c>
    </row>
    <row r="14395">
      <c r="G14395" s="9">
        <f t="shared" si="0"/>
      </c>
      <c r="L14395">
        <f t="shared" si="1"/>
      </c>
      <c r="M14395">
        <f t="shared" si="2"/>
      </c>
    </row>
    <row r="14396">
      <c r="G14396" s="9">
        <f t="shared" si="0"/>
      </c>
      <c r="L14396">
        <f t="shared" si="1"/>
      </c>
      <c r="M14396">
        <f t="shared" si="2"/>
      </c>
    </row>
    <row r="14397">
      <c r="G14397" s="9">
        <f t="shared" si="0"/>
      </c>
      <c r="L14397">
        <f t="shared" si="1"/>
      </c>
      <c r="M14397">
        <f t="shared" si="2"/>
      </c>
    </row>
    <row r="14398">
      <c r="G14398" s="9">
        <f t="shared" si="0"/>
      </c>
      <c r="L14398">
        <f t="shared" si="1"/>
      </c>
      <c r="M14398">
        <f t="shared" si="2"/>
      </c>
    </row>
    <row r="14399">
      <c r="G14399" s="9">
        <f t="shared" si="0"/>
      </c>
      <c r="L14399">
        <f t="shared" si="1"/>
      </c>
      <c r="M14399">
        <f t="shared" si="2"/>
      </c>
    </row>
    <row r="14400">
      <c r="G14400" s="9">
        <f t="shared" si="0"/>
      </c>
      <c r="L14400">
        <f t="shared" si="1"/>
      </c>
      <c r="M14400">
        <f t="shared" si="2"/>
      </c>
    </row>
    <row r="14401">
      <c r="G14401" s="9">
        <f t="shared" si="0"/>
      </c>
      <c r="L14401">
        <f t="shared" si="1"/>
      </c>
      <c r="M14401">
        <f t="shared" si="2"/>
      </c>
    </row>
    <row r="14402">
      <c r="G14402" s="9">
        <f t="shared" si="0"/>
      </c>
      <c r="L14402">
        <f t="shared" si="1"/>
      </c>
      <c r="M14402">
        <f t="shared" si="2"/>
      </c>
    </row>
    <row r="14403">
      <c r="G14403" s="9">
        <f t="shared" si="0"/>
      </c>
      <c r="L14403">
        <f t="shared" si="1"/>
      </c>
      <c r="M14403">
        <f t="shared" si="2"/>
      </c>
    </row>
    <row r="14404">
      <c r="G14404" s="9">
        <f t="shared" si="0"/>
      </c>
      <c r="L14404">
        <f t="shared" si="1"/>
      </c>
      <c r="M14404">
        <f t="shared" si="2"/>
      </c>
    </row>
    <row r="14405">
      <c r="G14405" s="9">
        <f t="shared" si="0"/>
      </c>
      <c r="L14405">
        <f t="shared" si="1"/>
      </c>
      <c r="M14405">
        <f t="shared" si="2"/>
      </c>
    </row>
    <row r="14406">
      <c r="G14406" s="9">
        <f t="shared" si="0"/>
      </c>
      <c r="L14406">
        <f t="shared" si="1"/>
      </c>
      <c r="M14406">
        <f t="shared" si="2"/>
      </c>
    </row>
    <row r="14407">
      <c r="G14407" s="9">
        <f t="shared" si="0"/>
      </c>
      <c r="L14407">
        <f t="shared" si="1"/>
      </c>
      <c r="M14407">
        <f t="shared" si="2"/>
      </c>
    </row>
    <row r="14408">
      <c r="G14408" s="9">
        <f t="shared" si="0"/>
      </c>
      <c r="L14408">
        <f t="shared" si="1"/>
      </c>
      <c r="M14408">
        <f t="shared" si="2"/>
      </c>
    </row>
    <row r="14409">
      <c r="G14409" s="9">
        <f t="shared" si="0"/>
      </c>
      <c r="L14409">
        <f t="shared" si="1"/>
      </c>
      <c r="M14409">
        <f t="shared" si="2"/>
      </c>
    </row>
    <row r="14410">
      <c r="G14410" s="9">
        <f t="shared" si="0"/>
      </c>
      <c r="L14410">
        <f t="shared" si="1"/>
      </c>
      <c r="M14410">
        <f t="shared" si="2"/>
      </c>
    </row>
    <row r="14411">
      <c r="G14411" s="9">
        <f t="shared" si="0"/>
      </c>
      <c r="L14411">
        <f t="shared" si="1"/>
      </c>
      <c r="M14411">
        <f t="shared" si="2"/>
      </c>
    </row>
    <row r="14412">
      <c r="G14412" s="9">
        <f t="shared" si="0"/>
      </c>
      <c r="L14412">
        <f t="shared" si="1"/>
      </c>
      <c r="M14412">
        <f t="shared" si="2"/>
      </c>
    </row>
    <row r="14413">
      <c r="G14413" s="9">
        <f t="shared" si="0"/>
      </c>
      <c r="L14413">
        <f t="shared" si="1"/>
      </c>
      <c r="M14413">
        <f t="shared" si="2"/>
      </c>
    </row>
    <row r="14414">
      <c r="G14414" s="9">
        <f t="shared" si="0"/>
      </c>
      <c r="L14414">
        <f t="shared" si="1"/>
      </c>
      <c r="M14414">
        <f t="shared" si="2"/>
      </c>
    </row>
    <row r="14415">
      <c r="G14415" s="9">
        <f t="shared" si="0"/>
      </c>
      <c r="L14415">
        <f t="shared" si="1"/>
      </c>
      <c r="M14415">
        <f t="shared" si="2"/>
      </c>
    </row>
    <row r="14416">
      <c r="G14416" s="9">
        <f t="shared" si="0"/>
      </c>
      <c r="L14416">
        <f t="shared" si="1"/>
      </c>
      <c r="M14416">
        <f t="shared" si="2"/>
      </c>
    </row>
    <row r="14417">
      <c r="G14417" s="9">
        <f t="shared" si="0"/>
      </c>
      <c r="L14417">
        <f t="shared" si="1"/>
      </c>
      <c r="M14417">
        <f t="shared" si="2"/>
      </c>
    </row>
    <row r="14418">
      <c r="G14418" s="9">
        <f t="shared" si="0"/>
      </c>
      <c r="L14418">
        <f t="shared" si="1"/>
      </c>
      <c r="M14418">
        <f t="shared" si="2"/>
      </c>
    </row>
    <row r="14419">
      <c r="G14419" s="9">
        <f t="shared" si="0"/>
      </c>
      <c r="L14419">
        <f t="shared" si="1"/>
      </c>
      <c r="M14419">
        <f t="shared" si="2"/>
      </c>
    </row>
    <row r="14420">
      <c r="G14420" s="9">
        <f t="shared" si="0"/>
      </c>
      <c r="L14420">
        <f t="shared" si="1"/>
      </c>
      <c r="M14420">
        <f t="shared" si="2"/>
      </c>
    </row>
    <row r="14421">
      <c r="G14421" s="9">
        <f t="shared" si="0"/>
      </c>
      <c r="L14421">
        <f t="shared" si="1"/>
      </c>
      <c r="M14421">
        <f t="shared" si="2"/>
      </c>
    </row>
    <row r="14422">
      <c r="G14422" s="9">
        <f t="shared" si="0"/>
      </c>
      <c r="L14422">
        <f t="shared" si="1"/>
      </c>
      <c r="M14422">
        <f t="shared" si="2"/>
      </c>
    </row>
    <row r="14423">
      <c r="G14423" s="9">
        <f t="shared" si="0"/>
      </c>
      <c r="L14423">
        <f t="shared" si="1"/>
      </c>
      <c r="M14423">
        <f t="shared" si="2"/>
      </c>
    </row>
    <row r="14424">
      <c r="G14424" s="9">
        <f t="shared" si="0"/>
      </c>
      <c r="L14424">
        <f t="shared" si="1"/>
      </c>
      <c r="M14424">
        <f t="shared" si="2"/>
      </c>
    </row>
    <row r="14425">
      <c r="G14425" s="9">
        <f t="shared" si="0"/>
      </c>
      <c r="L14425">
        <f t="shared" si="1"/>
      </c>
      <c r="M14425">
        <f t="shared" si="2"/>
      </c>
    </row>
    <row r="14426">
      <c r="G14426" s="9">
        <f t="shared" si="0"/>
      </c>
      <c r="L14426">
        <f t="shared" si="1"/>
      </c>
      <c r="M14426">
        <f t="shared" si="2"/>
      </c>
    </row>
    <row r="14427">
      <c r="G14427" s="9">
        <f t="shared" si="0"/>
      </c>
      <c r="L14427">
        <f t="shared" si="1"/>
      </c>
      <c r="M14427">
        <f t="shared" si="2"/>
      </c>
    </row>
    <row r="14428">
      <c r="G14428" s="9">
        <f t="shared" si="0"/>
      </c>
      <c r="L14428">
        <f t="shared" si="1"/>
      </c>
      <c r="M14428">
        <f t="shared" si="2"/>
      </c>
    </row>
    <row r="14429">
      <c r="G14429" s="9">
        <f t="shared" si="0"/>
      </c>
      <c r="L14429">
        <f t="shared" si="1"/>
      </c>
      <c r="M14429">
        <f t="shared" si="2"/>
      </c>
    </row>
    <row r="14430">
      <c r="G14430" s="9">
        <f t="shared" si="0"/>
      </c>
      <c r="L14430">
        <f t="shared" si="1"/>
      </c>
      <c r="M14430">
        <f t="shared" si="2"/>
      </c>
    </row>
    <row r="14431">
      <c r="G14431" s="9">
        <f t="shared" si="0"/>
      </c>
      <c r="L14431">
        <f t="shared" si="1"/>
      </c>
      <c r="M14431">
        <f t="shared" si="2"/>
      </c>
    </row>
    <row r="14432">
      <c r="G14432" s="9">
        <f t="shared" si="0"/>
      </c>
      <c r="L14432">
        <f t="shared" si="1"/>
      </c>
      <c r="M14432">
        <f t="shared" si="2"/>
      </c>
    </row>
    <row r="14433">
      <c r="G14433" s="9">
        <f t="shared" si="0"/>
      </c>
      <c r="L14433">
        <f t="shared" si="1"/>
      </c>
      <c r="M14433">
        <f t="shared" si="2"/>
      </c>
    </row>
    <row r="14434">
      <c r="G14434" s="9">
        <f t="shared" si="0"/>
      </c>
      <c r="L14434">
        <f t="shared" si="1"/>
      </c>
      <c r="M14434">
        <f t="shared" si="2"/>
      </c>
    </row>
    <row r="14435">
      <c r="G14435" s="9">
        <f t="shared" si="0"/>
      </c>
      <c r="L14435">
        <f t="shared" si="1"/>
      </c>
      <c r="M14435">
        <f t="shared" si="2"/>
      </c>
    </row>
    <row r="14436">
      <c r="G14436" s="9">
        <f t="shared" si="0"/>
      </c>
      <c r="L14436">
        <f t="shared" si="1"/>
      </c>
      <c r="M14436">
        <f t="shared" si="2"/>
      </c>
    </row>
    <row r="14437">
      <c r="G14437" s="9">
        <f t="shared" si="0"/>
      </c>
      <c r="L14437">
        <f t="shared" si="1"/>
      </c>
      <c r="M14437">
        <f t="shared" si="2"/>
      </c>
    </row>
    <row r="14438">
      <c r="G14438" s="9">
        <f t="shared" si="0"/>
      </c>
      <c r="L14438">
        <f t="shared" si="1"/>
      </c>
      <c r="M14438">
        <f t="shared" si="2"/>
      </c>
    </row>
    <row r="14439">
      <c r="G14439" s="9">
        <f t="shared" si="0"/>
      </c>
      <c r="L14439">
        <f t="shared" si="1"/>
      </c>
      <c r="M14439">
        <f t="shared" si="2"/>
      </c>
    </row>
    <row r="14440">
      <c r="G14440" s="9">
        <f t="shared" si="0"/>
      </c>
      <c r="L14440">
        <f t="shared" si="1"/>
      </c>
      <c r="M14440">
        <f t="shared" si="2"/>
      </c>
    </row>
    <row r="14441">
      <c r="G14441" s="9">
        <f t="shared" si="0"/>
      </c>
      <c r="L14441">
        <f t="shared" si="1"/>
      </c>
      <c r="M14441">
        <f t="shared" si="2"/>
      </c>
    </row>
    <row r="14442">
      <c r="G14442" s="9">
        <f t="shared" si="0"/>
      </c>
      <c r="L14442">
        <f t="shared" si="1"/>
      </c>
      <c r="M14442">
        <f t="shared" si="2"/>
      </c>
    </row>
    <row r="14443">
      <c r="G14443" s="9">
        <f t="shared" si="0"/>
      </c>
      <c r="L14443">
        <f t="shared" si="1"/>
      </c>
      <c r="M14443">
        <f t="shared" si="2"/>
      </c>
    </row>
    <row r="14444">
      <c r="G14444" s="9">
        <f t="shared" si="0"/>
      </c>
      <c r="L14444">
        <f t="shared" si="1"/>
      </c>
      <c r="M14444">
        <f t="shared" si="2"/>
      </c>
    </row>
    <row r="14445">
      <c r="G14445" s="9">
        <f t="shared" si="0"/>
      </c>
      <c r="L14445">
        <f t="shared" si="1"/>
      </c>
      <c r="M14445">
        <f t="shared" si="2"/>
      </c>
    </row>
    <row r="14446">
      <c r="G14446" s="9">
        <f t="shared" si="0"/>
      </c>
      <c r="L14446">
        <f t="shared" si="1"/>
      </c>
      <c r="M14446">
        <f t="shared" si="2"/>
      </c>
    </row>
    <row r="14447">
      <c r="G14447" s="9">
        <f t="shared" si="0"/>
      </c>
      <c r="L14447">
        <f t="shared" si="1"/>
      </c>
      <c r="M14447">
        <f t="shared" si="2"/>
      </c>
    </row>
    <row r="14448">
      <c r="G14448" s="9">
        <f t="shared" si="0"/>
      </c>
      <c r="L14448">
        <f t="shared" si="1"/>
      </c>
      <c r="M14448">
        <f t="shared" si="2"/>
      </c>
    </row>
    <row r="14449">
      <c r="G14449" s="9">
        <f t="shared" si="0"/>
      </c>
      <c r="L14449">
        <f t="shared" si="1"/>
      </c>
      <c r="M14449">
        <f t="shared" si="2"/>
      </c>
    </row>
    <row r="14450">
      <c r="G14450" s="9">
        <f t="shared" si="0"/>
      </c>
      <c r="L14450">
        <f t="shared" si="1"/>
      </c>
      <c r="M14450">
        <f t="shared" si="2"/>
      </c>
    </row>
    <row r="14451">
      <c r="G14451" s="9">
        <f t="shared" si="0"/>
      </c>
      <c r="L14451">
        <f t="shared" si="1"/>
      </c>
      <c r="M14451">
        <f t="shared" si="2"/>
      </c>
    </row>
    <row r="14452">
      <c r="G14452" s="9">
        <f t="shared" si="0"/>
      </c>
      <c r="L14452">
        <f t="shared" si="1"/>
      </c>
      <c r="M14452">
        <f t="shared" si="2"/>
      </c>
    </row>
    <row r="14453">
      <c r="G14453" s="9">
        <f t="shared" si="0"/>
      </c>
      <c r="L14453">
        <f t="shared" si="1"/>
      </c>
      <c r="M14453">
        <f t="shared" si="2"/>
      </c>
    </row>
    <row r="14454">
      <c r="G14454" s="9">
        <f t="shared" si="0"/>
      </c>
      <c r="L14454">
        <f t="shared" si="1"/>
      </c>
      <c r="M14454">
        <f t="shared" si="2"/>
      </c>
    </row>
    <row r="14455">
      <c r="G14455" s="9">
        <f t="shared" si="0"/>
      </c>
      <c r="L14455">
        <f t="shared" si="1"/>
      </c>
      <c r="M14455">
        <f t="shared" si="2"/>
      </c>
    </row>
    <row r="14456">
      <c r="G14456" s="9">
        <f t="shared" si="0"/>
      </c>
      <c r="L14456">
        <f t="shared" si="1"/>
      </c>
      <c r="M14456">
        <f t="shared" si="2"/>
      </c>
    </row>
    <row r="14457">
      <c r="G14457" s="9">
        <f t="shared" si="0"/>
      </c>
      <c r="L14457">
        <f t="shared" si="1"/>
      </c>
      <c r="M14457">
        <f t="shared" si="2"/>
      </c>
    </row>
    <row r="14458">
      <c r="G14458" s="9">
        <f t="shared" si="0"/>
      </c>
      <c r="L14458">
        <f t="shared" si="1"/>
      </c>
      <c r="M14458">
        <f t="shared" si="2"/>
      </c>
    </row>
    <row r="14459">
      <c r="G14459" s="9">
        <f t="shared" si="0"/>
      </c>
      <c r="L14459">
        <f t="shared" si="1"/>
      </c>
      <c r="M14459">
        <f t="shared" si="2"/>
      </c>
    </row>
    <row r="14460">
      <c r="G14460" s="9">
        <f t="shared" si="0"/>
      </c>
      <c r="L14460">
        <f t="shared" si="1"/>
      </c>
      <c r="M14460">
        <f t="shared" si="2"/>
      </c>
    </row>
    <row r="14461">
      <c r="G14461" s="9">
        <f t="shared" si="0"/>
      </c>
      <c r="L14461">
        <f t="shared" si="1"/>
      </c>
      <c r="M14461">
        <f t="shared" si="2"/>
      </c>
    </row>
    <row r="14462">
      <c r="G14462" s="9">
        <f t="shared" si="0"/>
      </c>
      <c r="L14462">
        <f t="shared" si="1"/>
      </c>
      <c r="M14462">
        <f t="shared" si="2"/>
      </c>
    </row>
    <row r="14463">
      <c r="G14463" s="9">
        <f t="shared" si="0"/>
      </c>
      <c r="L14463">
        <f t="shared" si="1"/>
      </c>
      <c r="M14463">
        <f t="shared" si="2"/>
      </c>
    </row>
    <row r="14464">
      <c r="G14464" s="9">
        <f t="shared" si="0"/>
      </c>
      <c r="L14464">
        <f t="shared" si="1"/>
      </c>
      <c r="M14464">
        <f t="shared" si="2"/>
      </c>
    </row>
    <row r="14465">
      <c r="G14465" s="9">
        <f t="shared" si="0"/>
      </c>
      <c r="L14465">
        <f t="shared" si="1"/>
      </c>
      <c r="M14465">
        <f t="shared" si="2"/>
      </c>
    </row>
    <row r="14466">
      <c r="G14466" s="9">
        <f t="shared" si="0"/>
      </c>
      <c r="L14466">
        <f t="shared" si="1"/>
      </c>
      <c r="M14466">
        <f t="shared" si="2"/>
      </c>
    </row>
    <row r="14467">
      <c r="G14467" s="9">
        <f t="shared" si="0"/>
      </c>
      <c r="L14467">
        <f t="shared" si="1"/>
      </c>
      <c r="M14467">
        <f t="shared" si="2"/>
      </c>
    </row>
    <row r="14468">
      <c r="G14468" s="9">
        <f t="shared" si="0"/>
      </c>
      <c r="L14468">
        <f t="shared" si="1"/>
      </c>
      <c r="M14468">
        <f t="shared" si="2"/>
      </c>
    </row>
    <row r="14469">
      <c r="G14469" s="9">
        <f t="shared" si="0"/>
      </c>
      <c r="L14469">
        <f t="shared" si="1"/>
      </c>
      <c r="M14469">
        <f t="shared" si="2"/>
      </c>
    </row>
    <row r="14470">
      <c r="G14470" s="9">
        <f t="shared" si="0"/>
      </c>
      <c r="L14470">
        <f t="shared" si="1"/>
      </c>
      <c r="M14470">
        <f t="shared" si="2"/>
      </c>
    </row>
    <row r="14471">
      <c r="G14471" s="9">
        <f t="shared" si="0"/>
      </c>
      <c r="L14471">
        <f t="shared" si="1"/>
      </c>
      <c r="M14471">
        <f t="shared" si="2"/>
      </c>
    </row>
    <row r="14472">
      <c r="G14472" s="9">
        <f t="shared" si="0"/>
      </c>
      <c r="L14472">
        <f t="shared" si="1"/>
      </c>
      <c r="M14472">
        <f t="shared" si="2"/>
      </c>
    </row>
    <row r="14473">
      <c r="G14473" s="9">
        <f t="shared" si="0"/>
      </c>
      <c r="L14473">
        <f t="shared" si="1"/>
      </c>
      <c r="M14473">
        <f t="shared" si="2"/>
      </c>
    </row>
    <row r="14474">
      <c r="G14474" s="9">
        <f t="shared" si="0"/>
      </c>
      <c r="L14474">
        <f t="shared" si="1"/>
      </c>
      <c r="M14474">
        <f t="shared" si="2"/>
      </c>
    </row>
    <row r="14475">
      <c r="G14475" s="9">
        <f t="shared" si="0"/>
      </c>
      <c r="L14475">
        <f t="shared" si="1"/>
      </c>
      <c r="M14475">
        <f t="shared" si="2"/>
      </c>
    </row>
    <row r="14476">
      <c r="G14476" s="9">
        <f t="shared" si="0"/>
      </c>
      <c r="L14476">
        <f t="shared" si="1"/>
      </c>
      <c r="M14476">
        <f t="shared" si="2"/>
      </c>
    </row>
    <row r="14477">
      <c r="G14477" s="9">
        <f t="shared" si="0"/>
      </c>
      <c r="L14477">
        <f t="shared" si="1"/>
      </c>
      <c r="M14477">
        <f t="shared" si="2"/>
      </c>
    </row>
    <row r="14478">
      <c r="G14478" s="9">
        <f t="shared" si="0"/>
      </c>
      <c r="L14478">
        <f t="shared" si="1"/>
      </c>
      <c r="M14478">
        <f t="shared" si="2"/>
      </c>
    </row>
    <row r="14479">
      <c r="G14479" s="9">
        <f t="shared" si="0"/>
      </c>
      <c r="L14479">
        <f t="shared" si="1"/>
      </c>
      <c r="M14479">
        <f t="shared" si="2"/>
      </c>
    </row>
    <row r="14480">
      <c r="G14480" s="9">
        <f t="shared" si="0"/>
      </c>
      <c r="L14480">
        <f t="shared" si="1"/>
      </c>
      <c r="M14480">
        <f t="shared" si="2"/>
      </c>
    </row>
    <row r="14481">
      <c r="G14481" s="9">
        <f t="shared" si="0"/>
      </c>
      <c r="L14481">
        <f t="shared" si="1"/>
      </c>
      <c r="M14481">
        <f t="shared" si="2"/>
      </c>
    </row>
    <row r="14482">
      <c r="G14482" s="9">
        <f t="shared" si="0"/>
      </c>
      <c r="L14482">
        <f t="shared" si="1"/>
      </c>
      <c r="M14482">
        <f t="shared" si="2"/>
      </c>
    </row>
    <row r="14483">
      <c r="G14483" s="9">
        <f t="shared" si="0"/>
      </c>
      <c r="L14483">
        <f t="shared" si="1"/>
      </c>
      <c r="M14483">
        <f t="shared" si="2"/>
      </c>
    </row>
    <row r="14484">
      <c r="G14484" s="9">
        <f t="shared" si="0"/>
      </c>
      <c r="L14484">
        <f t="shared" si="1"/>
      </c>
      <c r="M14484">
        <f t="shared" si="2"/>
      </c>
    </row>
    <row r="14485">
      <c r="G14485" s="9">
        <f t="shared" si="0"/>
      </c>
      <c r="L14485">
        <f t="shared" si="1"/>
      </c>
      <c r="M14485">
        <f t="shared" si="2"/>
      </c>
    </row>
    <row r="14486">
      <c r="G14486" s="9">
        <f t="shared" si="0"/>
      </c>
      <c r="L14486">
        <f t="shared" si="1"/>
      </c>
      <c r="M14486">
        <f t="shared" si="2"/>
      </c>
    </row>
    <row r="14487">
      <c r="G14487" s="9">
        <f t="shared" si="0"/>
      </c>
      <c r="L14487">
        <f t="shared" si="1"/>
      </c>
      <c r="M14487">
        <f t="shared" si="2"/>
      </c>
    </row>
    <row r="14488">
      <c r="G14488" s="9">
        <f t="shared" si="0"/>
      </c>
      <c r="L14488">
        <f t="shared" si="1"/>
      </c>
      <c r="M14488">
        <f t="shared" si="2"/>
      </c>
    </row>
    <row r="14489">
      <c r="G14489" s="9">
        <f t="shared" si="0"/>
      </c>
      <c r="L14489">
        <f t="shared" si="1"/>
      </c>
      <c r="M14489">
        <f t="shared" si="2"/>
      </c>
    </row>
    <row r="14490">
      <c r="G14490" s="9">
        <f t="shared" si="0"/>
      </c>
      <c r="L14490">
        <f t="shared" si="1"/>
      </c>
      <c r="M14490">
        <f t="shared" si="2"/>
      </c>
    </row>
    <row r="14491">
      <c r="G14491" s="9">
        <f t="shared" si="0"/>
      </c>
      <c r="L14491">
        <f t="shared" si="1"/>
      </c>
      <c r="M14491">
        <f t="shared" si="2"/>
      </c>
    </row>
    <row r="14492">
      <c r="G14492" s="9">
        <f t="shared" si="0"/>
      </c>
      <c r="L14492">
        <f t="shared" si="1"/>
      </c>
      <c r="M14492">
        <f t="shared" si="2"/>
      </c>
    </row>
    <row r="14493">
      <c r="G14493" s="9">
        <f t="shared" si="0"/>
      </c>
      <c r="L14493">
        <f t="shared" si="1"/>
      </c>
      <c r="M14493">
        <f t="shared" si="2"/>
      </c>
    </row>
    <row r="14494">
      <c r="G14494" s="9">
        <f t="shared" si="0"/>
      </c>
      <c r="L14494">
        <f t="shared" si="1"/>
      </c>
      <c r="M14494">
        <f t="shared" si="2"/>
      </c>
    </row>
    <row r="14495">
      <c r="G14495" s="9">
        <f t="shared" si="0"/>
      </c>
      <c r="L14495">
        <f t="shared" si="1"/>
      </c>
      <c r="M14495">
        <f t="shared" si="2"/>
      </c>
    </row>
    <row r="14496">
      <c r="G14496" s="9">
        <f t="shared" si="0"/>
      </c>
      <c r="L14496">
        <f t="shared" si="1"/>
      </c>
      <c r="M14496">
        <f t="shared" si="2"/>
      </c>
    </row>
    <row r="14497">
      <c r="G14497" s="9">
        <f t="shared" si="0"/>
      </c>
      <c r="L14497">
        <f t="shared" si="1"/>
      </c>
      <c r="M14497">
        <f t="shared" si="2"/>
      </c>
    </row>
    <row r="14498">
      <c r="G14498" s="9">
        <f t="shared" si="0"/>
      </c>
      <c r="L14498">
        <f t="shared" si="1"/>
      </c>
      <c r="M14498">
        <f t="shared" si="2"/>
      </c>
    </row>
    <row r="14499">
      <c r="G14499" s="9">
        <f t="shared" si="0"/>
      </c>
      <c r="L14499">
        <f t="shared" si="1"/>
      </c>
      <c r="M14499">
        <f t="shared" si="2"/>
      </c>
    </row>
    <row r="14500">
      <c r="G14500" s="9">
        <f t="shared" si="0"/>
      </c>
      <c r="L14500">
        <f t="shared" si="1"/>
      </c>
      <c r="M14500">
        <f t="shared" si="2"/>
      </c>
    </row>
    <row r="14501">
      <c r="G14501" s="9">
        <f t="shared" si="0"/>
      </c>
      <c r="L14501">
        <f t="shared" si="1"/>
      </c>
      <c r="M14501">
        <f t="shared" si="2"/>
      </c>
    </row>
    <row r="14502">
      <c r="G14502" s="9">
        <f t="shared" si="0"/>
      </c>
      <c r="L14502">
        <f t="shared" si="1"/>
      </c>
      <c r="M14502">
        <f t="shared" si="2"/>
      </c>
    </row>
    <row r="14503">
      <c r="G14503" s="9">
        <f t="shared" si="0"/>
      </c>
      <c r="L14503">
        <f t="shared" si="1"/>
      </c>
      <c r="M14503">
        <f t="shared" si="2"/>
      </c>
    </row>
    <row r="14504">
      <c r="G14504" s="9">
        <f t="shared" si="0"/>
      </c>
      <c r="L14504">
        <f t="shared" si="1"/>
      </c>
      <c r="M14504">
        <f t="shared" si="2"/>
      </c>
    </row>
    <row r="14505">
      <c r="G14505" s="9">
        <f t="shared" si="0"/>
      </c>
      <c r="L14505">
        <f t="shared" si="1"/>
      </c>
      <c r="M14505">
        <f t="shared" si="2"/>
      </c>
    </row>
    <row r="14506">
      <c r="G14506" s="9">
        <f t="shared" si="0"/>
      </c>
      <c r="L14506">
        <f t="shared" si="1"/>
      </c>
      <c r="M14506">
        <f t="shared" si="2"/>
      </c>
    </row>
    <row r="14507">
      <c r="G14507" s="9">
        <f t="shared" si="0"/>
      </c>
      <c r="L14507">
        <f t="shared" si="1"/>
      </c>
      <c r="M14507">
        <f t="shared" si="2"/>
      </c>
    </row>
    <row r="14508">
      <c r="G14508" s="9">
        <f t="shared" si="0"/>
      </c>
      <c r="L14508">
        <f t="shared" si="1"/>
      </c>
      <c r="M14508">
        <f t="shared" si="2"/>
      </c>
    </row>
    <row r="14509">
      <c r="G14509" s="9">
        <f t="shared" si="0"/>
      </c>
      <c r="L14509">
        <f t="shared" si="1"/>
      </c>
      <c r="M14509">
        <f t="shared" si="2"/>
      </c>
    </row>
    <row r="14510">
      <c r="G14510" s="9">
        <f t="shared" si="0"/>
      </c>
      <c r="L14510">
        <f t="shared" si="1"/>
      </c>
      <c r="M14510">
        <f t="shared" si="2"/>
      </c>
    </row>
    <row r="14511">
      <c r="G14511" s="9">
        <f t="shared" si="0"/>
      </c>
      <c r="L14511">
        <f t="shared" si="1"/>
      </c>
      <c r="M14511">
        <f t="shared" si="2"/>
      </c>
    </row>
    <row r="14512">
      <c r="G14512" s="9">
        <f t="shared" si="0"/>
      </c>
      <c r="L14512">
        <f t="shared" si="1"/>
      </c>
      <c r="M14512">
        <f t="shared" si="2"/>
      </c>
    </row>
    <row r="14513">
      <c r="G14513" s="9">
        <f t="shared" si="0"/>
      </c>
      <c r="L14513">
        <f t="shared" si="1"/>
      </c>
      <c r="M14513">
        <f t="shared" si="2"/>
      </c>
    </row>
    <row r="14514">
      <c r="G14514" s="9">
        <f t="shared" si="0"/>
      </c>
      <c r="L14514">
        <f t="shared" si="1"/>
      </c>
      <c r="M14514">
        <f t="shared" si="2"/>
      </c>
    </row>
    <row r="14515">
      <c r="G14515" s="9">
        <f t="shared" si="0"/>
      </c>
      <c r="L14515">
        <f t="shared" si="1"/>
      </c>
      <c r="M14515">
        <f t="shared" si="2"/>
      </c>
    </row>
    <row r="14516">
      <c r="G14516" s="9">
        <f t="shared" si="0"/>
      </c>
      <c r="L14516">
        <f t="shared" si="1"/>
      </c>
      <c r="M14516">
        <f t="shared" si="2"/>
      </c>
    </row>
    <row r="14517">
      <c r="G14517" s="9">
        <f t="shared" si="0"/>
      </c>
      <c r="L14517">
        <f t="shared" si="1"/>
      </c>
      <c r="M14517">
        <f t="shared" si="2"/>
      </c>
    </row>
    <row r="14518">
      <c r="G14518" s="9">
        <f t="shared" si="0"/>
      </c>
      <c r="L14518">
        <f t="shared" si="1"/>
      </c>
      <c r="M14518">
        <f t="shared" si="2"/>
      </c>
    </row>
    <row r="14519">
      <c r="G14519" s="9">
        <f t="shared" si="0"/>
      </c>
      <c r="L14519">
        <f t="shared" si="1"/>
      </c>
      <c r="M14519">
        <f t="shared" si="2"/>
      </c>
    </row>
    <row r="14520">
      <c r="G14520" s="9">
        <f t="shared" si="0"/>
      </c>
      <c r="L14520">
        <f t="shared" si="1"/>
      </c>
      <c r="M14520">
        <f t="shared" si="2"/>
      </c>
    </row>
    <row r="14521">
      <c r="G14521" s="9">
        <f t="shared" si="0"/>
      </c>
      <c r="L14521">
        <f t="shared" si="1"/>
      </c>
      <c r="M14521">
        <f t="shared" si="2"/>
      </c>
    </row>
    <row r="14522">
      <c r="G14522" s="9">
        <f t="shared" si="0"/>
      </c>
      <c r="L14522">
        <f t="shared" si="1"/>
      </c>
      <c r="M14522">
        <f t="shared" si="2"/>
      </c>
    </row>
    <row r="14523">
      <c r="G14523" s="9">
        <f t="shared" si="0"/>
      </c>
      <c r="L14523">
        <f t="shared" si="1"/>
      </c>
      <c r="M14523">
        <f t="shared" si="2"/>
      </c>
    </row>
    <row r="14524">
      <c r="G14524" s="9">
        <f t="shared" si="0"/>
      </c>
      <c r="L14524">
        <f t="shared" si="1"/>
      </c>
      <c r="M14524">
        <f t="shared" si="2"/>
      </c>
    </row>
    <row r="14525">
      <c r="G14525" s="9">
        <f t="shared" si="0"/>
      </c>
      <c r="L14525">
        <f t="shared" si="1"/>
      </c>
      <c r="M14525">
        <f t="shared" si="2"/>
      </c>
    </row>
    <row r="14526">
      <c r="G14526" s="9">
        <f t="shared" si="0"/>
      </c>
      <c r="L14526">
        <f t="shared" si="1"/>
      </c>
      <c r="M14526">
        <f t="shared" si="2"/>
      </c>
    </row>
    <row r="14527">
      <c r="G14527" s="9">
        <f t="shared" si="0"/>
      </c>
      <c r="L14527">
        <f t="shared" si="1"/>
      </c>
      <c r="M14527">
        <f t="shared" si="2"/>
      </c>
    </row>
    <row r="14528">
      <c r="G14528" s="9">
        <f t="shared" si="0"/>
      </c>
      <c r="L14528">
        <f t="shared" si="1"/>
      </c>
      <c r="M14528">
        <f t="shared" si="2"/>
      </c>
    </row>
    <row r="14529">
      <c r="G14529" s="9">
        <f t="shared" si="0"/>
      </c>
      <c r="L14529">
        <f t="shared" si="1"/>
      </c>
      <c r="M14529">
        <f t="shared" si="2"/>
      </c>
    </row>
    <row r="14530">
      <c r="G14530" s="9">
        <f t="shared" si="0"/>
      </c>
      <c r="L14530">
        <f t="shared" si="1"/>
      </c>
      <c r="M14530">
        <f t="shared" si="2"/>
      </c>
    </row>
    <row r="14531">
      <c r="G14531" s="9">
        <f t="shared" si="0"/>
      </c>
      <c r="L14531">
        <f t="shared" si="1"/>
      </c>
      <c r="M14531">
        <f t="shared" si="2"/>
      </c>
    </row>
    <row r="14532">
      <c r="G14532" s="9">
        <f t="shared" si="0"/>
      </c>
      <c r="L14532">
        <f t="shared" si="1"/>
      </c>
      <c r="M14532">
        <f t="shared" si="2"/>
      </c>
    </row>
    <row r="14533">
      <c r="G14533" s="9">
        <f t="shared" si="0"/>
      </c>
      <c r="L14533">
        <f t="shared" si="1"/>
      </c>
      <c r="M14533">
        <f t="shared" si="2"/>
      </c>
    </row>
    <row r="14534">
      <c r="G14534" s="9">
        <f t="shared" si="0"/>
      </c>
      <c r="L14534">
        <f t="shared" si="1"/>
      </c>
      <c r="M14534">
        <f t="shared" si="2"/>
      </c>
    </row>
    <row r="14535">
      <c r="G14535" s="9">
        <f t="shared" si="0"/>
      </c>
      <c r="L14535">
        <f t="shared" si="1"/>
      </c>
      <c r="M14535">
        <f t="shared" si="2"/>
      </c>
    </row>
    <row r="14536">
      <c r="G14536" s="9">
        <f t="shared" si="0"/>
      </c>
      <c r="L14536">
        <f t="shared" si="1"/>
      </c>
      <c r="M14536">
        <f t="shared" si="2"/>
      </c>
    </row>
    <row r="14537">
      <c r="G14537" s="9">
        <f t="shared" si="0"/>
      </c>
      <c r="L14537">
        <f t="shared" si="1"/>
      </c>
      <c r="M14537">
        <f t="shared" si="2"/>
      </c>
    </row>
    <row r="14538">
      <c r="G14538" s="9">
        <f t="shared" si="0"/>
      </c>
      <c r="L14538">
        <f t="shared" si="1"/>
      </c>
      <c r="M14538">
        <f t="shared" si="2"/>
      </c>
    </row>
    <row r="14539">
      <c r="G14539" s="9">
        <f t="shared" si="0"/>
      </c>
      <c r="L14539">
        <f t="shared" si="1"/>
      </c>
      <c r="M14539">
        <f t="shared" si="2"/>
      </c>
    </row>
    <row r="14540">
      <c r="G14540" s="9">
        <f t="shared" si="0"/>
      </c>
      <c r="L14540">
        <f t="shared" si="1"/>
      </c>
      <c r="M14540">
        <f t="shared" si="2"/>
      </c>
    </row>
    <row r="14541">
      <c r="G14541" s="9">
        <f t="shared" si="0"/>
      </c>
      <c r="L14541">
        <f t="shared" si="1"/>
      </c>
      <c r="M14541">
        <f t="shared" si="2"/>
      </c>
    </row>
    <row r="14542">
      <c r="G14542" s="9">
        <f t="shared" si="0"/>
      </c>
      <c r="L14542">
        <f t="shared" si="1"/>
      </c>
      <c r="M14542">
        <f t="shared" si="2"/>
      </c>
    </row>
    <row r="14543">
      <c r="G14543" s="9">
        <f t="shared" si="0"/>
      </c>
      <c r="L14543">
        <f t="shared" si="1"/>
      </c>
      <c r="M14543">
        <f t="shared" si="2"/>
      </c>
    </row>
    <row r="14544">
      <c r="G14544" s="9">
        <f t="shared" si="0"/>
      </c>
      <c r="L14544">
        <f t="shared" si="1"/>
      </c>
      <c r="M14544">
        <f t="shared" si="2"/>
      </c>
    </row>
    <row r="14545">
      <c r="G14545" s="9">
        <f t="shared" si="0"/>
      </c>
      <c r="L14545">
        <f t="shared" si="1"/>
      </c>
      <c r="M14545">
        <f t="shared" si="2"/>
      </c>
    </row>
    <row r="14546">
      <c r="G14546" s="9">
        <f t="shared" si="0"/>
      </c>
      <c r="L14546">
        <f t="shared" si="1"/>
      </c>
      <c r="M14546">
        <f t="shared" si="2"/>
      </c>
    </row>
    <row r="14547">
      <c r="G14547" s="9">
        <f t="shared" si="0"/>
      </c>
      <c r="L14547">
        <f t="shared" si="1"/>
      </c>
      <c r="M14547">
        <f t="shared" si="2"/>
      </c>
    </row>
    <row r="14548">
      <c r="G14548" s="9">
        <f t="shared" si="0"/>
      </c>
      <c r="L14548">
        <f t="shared" si="1"/>
      </c>
      <c r="M14548">
        <f t="shared" si="2"/>
      </c>
    </row>
    <row r="14549">
      <c r="G14549" s="9">
        <f t="shared" si="0"/>
      </c>
      <c r="L14549">
        <f t="shared" si="1"/>
      </c>
      <c r="M14549">
        <f t="shared" si="2"/>
      </c>
    </row>
    <row r="14550">
      <c r="G14550" s="9">
        <f t="shared" si="0"/>
      </c>
      <c r="L14550">
        <f t="shared" si="1"/>
      </c>
      <c r="M14550">
        <f t="shared" si="2"/>
      </c>
    </row>
    <row r="14551">
      <c r="G14551" s="9">
        <f t="shared" si="0"/>
      </c>
      <c r="L14551">
        <f t="shared" si="1"/>
      </c>
      <c r="M14551">
        <f t="shared" si="2"/>
      </c>
    </row>
    <row r="14552">
      <c r="G14552" s="9">
        <f t="shared" si="0"/>
      </c>
      <c r="L14552">
        <f t="shared" si="1"/>
      </c>
      <c r="M14552">
        <f t="shared" si="2"/>
      </c>
    </row>
    <row r="14553">
      <c r="G14553" s="9">
        <f t="shared" si="0"/>
      </c>
      <c r="L14553">
        <f t="shared" si="1"/>
      </c>
      <c r="M14553">
        <f t="shared" si="2"/>
      </c>
    </row>
    <row r="14554">
      <c r="G14554" s="9">
        <f t="shared" si="0"/>
      </c>
      <c r="L14554">
        <f t="shared" si="1"/>
      </c>
      <c r="M14554">
        <f t="shared" si="2"/>
      </c>
    </row>
    <row r="14555">
      <c r="G14555" s="9">
        <f t="shared" si="0"/>
      </c>
      <c r="L14555">
        <f t="shared" si="1"/>
      </c>
      <c r="M14555">
        <f t="shared" si="2"/>
      </c>
    </row>
    <row r="14556">
      <c r="G14556" s="9">
        <f t="shared" si="0"/>
      </c>
      <c r="L14556">
        <f t="shared" si="1"/>
      </c>
      <c r="M14556">
        <f t="shared" si="2"/>
      </c>
    </row>
    <row r="14557">
      <c r="G14557" s="9">
        <f t="shared" si="0"/>
      </c>
      <c r="L14557">
        <f t="shared" si="1"/>
      </c>
      <c r="M14557">
        <f t="shared" si="2"/>
      </c>
    </row>
    <row r="14558">
      <c r="G14558" s="9">
        <f t="shared" si="0"/>
      </c>
      <c r="L14558">
        <f t="shared" si="1"/>
      </c>
      <c r="M14558">
        <f t="shared" si="2"/>
      </c>
    </row>
    <row r="14559">
      <c r="G14559" s="9">
        <f t="shared" si="0"/>
      </c>
      <c r="L14559">
        <f t="shared" si="1"/>
      </c>
      <c r="M14559">
        <f t="shared" si="2"/>
      </c>
    </row>
    <row r="14560">
      <c r="G14560" s="9">
        <f t="shared" si="0"/>
      </c>
      <c r="L14560">
        <f t="shared" si="1"/>
      </c>
      <c r="M14560">
        <f t="shared" si="2"/>
      </c>
    </row>
    <row r="14561">
      <c r="G14561" s="9">
        <f t="shared" si="0"/>
      </c>
      <c r="L14561">
        <f t="shared" si="1"/>
      </c>
      <c r="M14561">
        <f t="shared" si="2"/>
      </c>
    </row>
    <row r="14562">
      <c r="G14562" s="9">
        <f t="shared" si="0"/>
      </c>
      <c r="L14562">
        <f t="shared" si="1"/>
      </c>
      <c r="M14562">
        <f t="shared" si="2"/>
      </c>
    </row>
    <row r="14563">
      <c r="G14563" s="9">
        <f t="shared" si="0"/>
      </c>
      <c r="L14563">
        <f t="shared" si="1"/>
      </c>
      <c r="M14563">
        <f t="shared" si="2"/>
      </c>
    </row>
    <row r="14564">
      <c r="G14564" s="9">
        <f t="shared" si="0"/>
      </c>
      <c r="L14564">
        <f t="shared" si="1"/>
      </c>
      <c r="M14564">
        <f t="shared" si="2"/>
      </c>
    </row>
    <row r="14565">
      <c r="G14565" s="9">
        <f t="shared" si="0"/>
      </c>
      <c r="L14565">
        <f t="shared" si="1"/>
      </c>
      <c r="M14565">
        <f t="shared" si="2"/>
      </c>
    </row>
    <row r="14566">
      <c r="G14566" s="9">
        <f t="shared" si="0"/>
      </c>
      <c r="L14566">
        <f t="shared" si="1"/>
      </c>
      <c r="M14566">
        <f t="shared" si="2"/>
      </c>
    </row>
    <row r="14567">
      <c r="G14567" s="9">
        <f t="shared" si="0"/>
      </c>
      <c r="L14567">
        <f t="shared" si="1"/>
      </c>
      <c r="M14567">
        <f t="shared" si="2"/>
      </c>
    </row>
    <row r="14568">
      <c r="G14568" s="9">
        <f t="shared" si="0"/>
      </c>
      <c r="L14568">
        <f t="shared" si="1"/>
      </c>
      <c r="M14568">
        <f t="shared" si="2"/>
      </c>
    </row>
    <row r="14569">
      <c r="G14569" s="9">
        <f t="shared" si="0"/>
      </c>
      <c r="L14569">
        <f t="shared" si="1"/>
      </c>
      <c r="M14569">
        <f t="shared" si="2"/>
      </c>
    </row>
    <row r="14570">
      <c r="G14570" s="9">
        <f t="shared" si="0"/>
      </c>
      <c r="L14570">
        <f t="shared" si="1"/>
      </c>
      <c r="M14570">
        <f t="shared" si="2"/>
      </c>
    </row>
    <row r="14571">
      <c r="G14571" s="9">
        <f t="shared" si="0"/>
      </c>
      <c r="L14571">
        <f t="shared" si="1"/>
      </c>
      <c r="M14571">
        <f t="shared" si="2"/>
      </c>
    </row>
    <row r="14572">
      <c r="G14572" s="9">
        <f t="shared" si="0"/>
      </c>
      <c r="L14572">
        <f t="shared" si="1"/>
      </c>
      <c r="M14572">
        <f t="shared" si="2"/>
      </c>
    </row>
    <row r="14573">
      <c r="G14573" s="9">
        <f t="shared" si="0"/>
      </c>
      <c r="L14573">
        <f t="shared" si="1"/>
      </c>
      <c r="M14573">
        <f t="shared" si="2"/>
      </c>
    </row>
    <row r="14574">
      <c r="G14574" s="9">
        <f t="shared" si="0"/>
      </c>
      <c r="L14574">
        <f t="shared" si="1"/>
      </c>
      <c r="M14574">
        <f t="shared" si="2"/>
      </c>
    </row>
    <row r="14575">
      <c r="G14575" s="9">
        <f t="shared" si="0"/>
      </c>
      <c r="L14575">
        <f t="shared" si="1"/>
      </c>
      <c r="M14575">
        <f t="shared" si="2"/>
      </c>
    </row>
    <row r="14576">
      <c r="G14576" s="9">
        <f t="shared" si="0"/>
      </c>
      <c r="L14576">
        <f t="shared" si="1"/>
      </c>
      <c r="M14576">
        <f t="shared" si="2"/>
      </c>
    </row>
    <row r="14577">
      <c r="G14577" s="9">
        <f t="shared" si="0"/>
      </c>
      <c r="L14577">
        <f t="shared" si="1"/>
      </c>
      <c r="M14577">
        <f t="shared" si="2"/>
      </c>
    </row>
    <row r="14578">
      <c r="G14578" s="9">
        <f t="shared" si="0"/>
      </c>
      <c r="L14578">
        <f t="shared" si="1"/>
      </c>
      <c r="M14578">
        <f t="shared" si="2"/>
      </c>
    </row>
    <row r="14579">
      <c r="G14579" s="9">
        <f t="shared" si="0"/>
      </c>
      <c r="L14579">
        <f t="shared" si="1"/>
      </c>
      <c r="M14579">
        <f t="shared" si="2"/>
      </c>
    </row>
    <row r="14580">
      <c r="G14580" s="9">
        <f t="shared" si="0"/>
      </c>
      <c r="L14580">
        <f t="shared" si="1"/>
      </c>
      <c r="M14580">
        <f t="shared" si="2"/>
      </c>
    </row>
    <row r="14581">
      <c r="G14581" s="9">
        <f t="shared" si="0"/>
      </c>
      <c r="L14581">
        <f t="shared" si="1"/>
      </c>
      <c r="M14581">
        <f t="shared" si="2"/>
      </c>
    </row>
    <row r="14582">
      <c r="G14582" s="9">
        <f t="shared" si="0"/>
      </c>
      <c r="L14582">
        <f t="shared" si="1"/>
      </c>
      <c r="M14582">
        <f t="shared" si="2"/>
      </c>
    </row>
    <row r="14583">
      <c r="G14583" s="9">
        <f t="shared" si="0"/>
      </c>
      <c r="L14583">
        <f t="shared" si="1"/>
      </c>
      <c r="M14583">
        <f t="shared" si="2"/>
      </c>
    </row>
    <row r="14584">
      <c r="G14584" s="9">
        <f t="shared" si="0"/>
      </c>
      <c r="L14584">
        <f t="shared" si="1"/>
      </c>
      <c r="M14584">
        <f t="shared" si="2"/>
      </c>
    </row>
    <row r="14585">
      <c r="G14585" s="9">
        <f t="shared" si="0"/>
      </c>
      <c r="L14585">
        <f t="shared" si="1"/>
      </c>
      <c r="M14585">
        <f t="shared" si="2"/>
      </c>
    </row>
    <row r="14586">
      <c r="G14586" s="9">
        <f t="shared" si="0"/>
      </c>
      <c r="L14586">
        <f t="shared" si="1"/>
      </c>
      <c r="M14586">
        <f t="shared" si="2"/>
      </c>
    </row>
    <row r="14587">
      <c r="G14587" s="9">
        <f t="shared" si="0"/>
      </c>
      <c r="L14587">
        <f t="shared" si="1"/>
      </c>
      <c r="M14587">
        <f t="shared" si="2"/>
      </c>
    </row>
    <row r="14588">
      <c r="G14588" s="9">
        <f t="shared" si="0"/>
      </c>
      <c r="L14588">
        <f t="shared" si="1"/>
      </c>
      <c r="M14588">
        <f t="shared" si="2"/>
      </c>
    </row>
    <row r="14589">
      <c r="G14589" s="9">
        <f t="shared" si="0"/>
      </c>
      <c r="L14589">
        <f t="shared" si="1"/>
      </c>
      <c r="M14589">
        <f t="shared" si="2"/>
      </c>
    </row>
    <row r="14590">
      <c r="G14590" s="9">
        <f t="shared" si="0"/>
      </c>
      <c r="L14590">
        <f t="shared" si="1"/>
      </c>
      <c r="M14590">
        <f t="shared" si="2"/>
      </c>
    </row>
    <row r="14591">
      <c r="G14591" s="9">
        <f t="shared" si="0"/>
      </c>
      <c r="L14591">
        <f t="shared" si="1"/>
      </c>
      <c r="M14591">
        <f t="shared" si="2"/>
      </c>
    </row>
    <row r="14592">
      <c r="G14592" s="9">
        <f t="shared" si="0"/>
      </c>
      <c r="L14592">
        <f t="shared" si="1"/>
      </c>
      <c r="M14592">
        <f t="shared" si="2"/>
      </c>
    </row>
    <row r="14593">
      <c r="G14593" s="9">
        <f t="shared" si="0"/>
      </c>
      <c r="L14593">
        <f t="shared" si="1"/>
      </c>
      <c r="M14593">
        <f t="shared" si="2"/>
      </c>
    </row>
    <row r="14594">
      <c r="G14594" s="9">
        <f t="shared" si="0"/>
      </c>
      <c r="L14594">
        <f t="shared" si="1"/>
      </c>
      <c r="M14594">
        <f t="shared" si="2"/>
      </c>
    </row>
    <row r="14595">
      <c r="G14595" s="9">
        <f t="shared" si="0"/>
      </c>
      <c r="L14595">
        <f t="shared" si="1"/>
      </c>
      <c r="M14595">
        <f t="shared" si="2"/>
      </c>
    </row>
    <row r="14596">
      <c r="G14596" s="9">
        <f t="shared" si="0"/>
      </c>
      <c r="L14596">
        <f t="shared" si="1"/>
      </c>
      <c r="M14596">
        <f t="shared" si="2"/>
      </c>
    </row>
    <row r="14597">
      <c r="G14597" s="9">
        <f t="shared" si="0"/>
      </c>
      <c r="L14597">
        <f t="shared" si="1"/>
      </c>
      <c r="M14597">
        <f t="shared" si="2"/>
      </c>
    </row>
    <row r="14598">
      <c r="G14598" s="9">
        <f t="shared" si="0"/>
      </c>
      <c r="L14598">
        <f t="shared" si="1"/>
      </c>
      <c r="M14598">
        <f t="shared" si="2"/>
      </c>
    </row>
    <row r="14599">
      <c r="G14599" s="9">
        <f t="shared" si="0"/>
      </c>
      <c r="L14599">
        <f t="shared" si="1"/>
      </c>
      <c r="M14599">
        <f t="shared" si="2"/>
      </c>
    </row>
    <row r="14600">
      <c r="G14600" s="9">
        <f t="shared" si="0"/>
      </c>
      <c r="L14600">
        <f t="shared" si="1"/>
      </c>
      <c r="M14600">
        <f t="shared" si="2"/>
      </c>
    </row>
    <row r="14601">
      <c r="G14601" s="9">
        <f t="shared" si="0"/>
      </c>
      <c r="L14601">
        <f t="shared" si="1"/>
      </c>
      <c r="M14601">
        <f t="shared" si="2"/>
      </c>
    </row>
    <row r="14602">
      <c r="G14602" s="9">
        <f t="shared" si="0"/>
      </c>
      <c r="L14602">
        <f t="shared" si="1"/>
      </c>
      <c r="M14602">
        <f t="shared" si="2"/>
      </c>
    </row>
    <row r="14603">
      <c r="G14603" s="9">
        <f t="shared" si="0"/>
      </c>
      <c r="L14603">
        <f t="shared" si="1"/>
      </c>
      <c r="M14603">
        <f t="shared" si="2"/>
      </c>
    </row>
    <row r="14604">
      <c r="G14604" s="9">
        <f t="shared" si="0"/>
      </c>
      <c r="L14604">
        <f t="shared" si="1"/>
      </c>
      <c r="M14604">
        <f t="shared" si="2"/>
      </c>
    </row>
    <row r="14605">
      <c r="G14605" s="9">
        <f t="shared" si="0"/>
      </c>
      <c r="L14605">
        <f t="shared" si="1"/>
      </c>
      <c r="M14605">
        <f t="shared" si="2"/>
      </c>
    </row>
    <row r="14606">
      <c r="G14606" s="9">
        <f t="shared" si="0"/>
      </c>
      <c r="L14606">
        <f t="shared" si="1"/>
      </c>
      <c r="M14606">
        <f t="shared" si="2"/>
      </c>
    </row>
    <row r="14607">
      <c r="G14607" s="9">
        <f t="shared" si="0"/>
      </c>
      <c r="L14607">
        <f t="shared" si="1"/>
      </c>
      <c r="M14607">
        <f t="shared" si="2"/>
      </c>
    </row>
    <row r="14608">
      <c r="G14608" s="9">
        <f t="shared" si="0"/>
      </c>
      <c r="L14608">
        <f t="shared" si="1"/>
      </c>
      <c r="M14608">
        <f t="shared" si="2"/>
      </c>
    </row>
    <row r="14609">
      <c r="G14609" s="9">
        <f t="shared" si="0"/>
      </c>
      <c r="L14609">
        <f t="shared" si="1"/>
      </c>
      <c r="M14609">
        <f t="shared" si="2"/>
      </c>
    </row>
    <row r="14610">
      <c r="G14610" s="9">
        <f t="shared" si="0"/>
      </c>
      <c r="L14610">
        <f t="shared" si="1"/>
      </c>
      <c r="M14610">
        <f t="shared" si="2"/>
      </c>
    </row>
    <row r="14611">
      <c r="G14611" s="9">
        <f t="shared" si="0"/>
      </c>
      <c r="L14611">
        <f t="shared" si="1"/>
      </c>
      <c r="M14611">
        <f t="shared" si="2"/>
      </c>
    </row>
    <row r="14612">
      <c r="G14612" s="9">
        <f t="shared" si="0"/>
      </c>
      <c r="L14612">
        <f t="shared" si="1"/>
      </c>
      <c r="M14612">
        <f t="shared" si="2"/>
      </c>
    </row>
    <row r="14613">
      <c r="G14613" s="9">
        <f t="shared" si="0"/>
      </c>
      <c r="L14613">
        <f t="shared" si="1"/>
      </c>
      <c r="M14613">
        <f t="shared" si="2"/>
      </c>
    </row>
    <row r="14614">
      <c r="G14614" s="9">
        <f t="shared" si="0"/>
      </c>
      <c r="L14614">
        <f t="shared" si="1"/>
      </c>
      <c r="M14614">
        <f t="shared" si="2"/>
      </c>
    </row>
    <row r="14615">
      <c r="G14615" s="9">
        <f t="shared" si="0"/>
      </c>
      <c r="L14615">
        <f t="shared" si="1"/>
      </c>
      <c r="M14615">
        <f t="shared" si="2"/>
      </c>
    </row>
    <row r="14616">
      <c r="G14616" s="9">
        <f t="shared" si="0"/>
      </c>
      <c r="L14616">
        <f t="shared" si="1"/>
      </c>
      <c r="M14616">
        <f t="shared" si="2"/>
      </c>
    </row>
    <row r="14617">
      <c r="G14617" s="9">
        <f t="shared" si="0"/>
      </c>
      <c r="L14617">
        <f t="shared" si="1"/>
      </c>
      <c r="M14617">
        <f t="shared" si="2"/>
      </c>
    </row>
    <row r="14618">
      <c r="G14618" s="9">
        <f t="shared" si="0"/>
      </c>
      <c r="L14618">
        <f t="shared" si="1"/>
      </c>
      <c r="M14618">
        <f t="shared" si="2"/>
      </c>
    </row>
    <row r="14619">
      <c r="G14619" s="9">
        <f t="shared" si="0"/>
      </c>
      <c r="L14619">
        <f t="shared" si="1"/>
      </c>
      <c r="M14619">
        <f t="shared" si="2"/>
      </c>
    </row>
    <row r="14620">
      <c r="G14620" s="9">
        <f t="shared" si="0"/>
      </c>
      <c r="L14620">
        <f t="shared" si="1"/>
      </c>
      <c r="M14620">
        <f t="shared" si="2"/>
      </c>
    </row>
    <row r="14621">
      <c r="G14621" s="9">
        <f t="shared" si="0"/>
      </c>
      <c r="L14621">
        <f t="shared" si="1"/>
      </c>
      <c r="M14621">
        <f t="shared" si="2"/>
      </c>
    </row>
    <row r="14622">
      <c r="G14622" s="9">
        <f t="shared" si="0"/>
      </c>
      <c r="L14622">
        <f t="shared" si="1"/>
      </c>
      <c r="M14622">
        <f t="shared" si="2"/>
      </c>
    </row>
    <row r="14623">
      <c r="G14623" s="9">
        <f t="shared" si="0"/>
      </c>
      <c r="L14623">
        <f t="shared" si="1"/>
      </c>
      <c r="M14623">
        <f t="shared" si="2"/>
      </c>
    </row>
    <row r="14624">
      <c r="G14624" s="9">
        <f t="shared" si="0"/>
      </c>
      <c r="L14624">
        <f t="shared" si="1"/>
      </c>
      <c r="M14624">
        <f t="shared" si="2"/>
      </c>
    </row>
    <row r="14625">
      <c r="G14625" s="9">
        <f t="shared" si="0"/>
      </c>
      <c r="L14625">
        <f t="shared" si="1"/>
      </c>
      <c r="M14625">
        <f t="shared" si="2"/>
      </c>
    </row>
    <row r="14626">
      <c r="G14626" s="9">
        <f t="shared" si="0"/>
      </c>
      <c r="L14626">
        <f t="shared" si="1"/>
      </c>
      <c r="M14626">
        <f t="shared" si="2"/>
      </c>
    </row>
    <row r="14627">
      <c r="G14627" s="9">
        <f t="shared" si="0"/>
      </c>
      <c r="L14627">
        <f t="shared" si="1"/>
      </c>
      <c r="M14627">
        <f t="shared" si="2"/>
      </c>
    </row>
    <row r="14628">
      <c r="G14628" s="9">
        <f t="shared" si="0"/>
      </c>
      <c r="L14628">
        <f t="shared" si="1"/>
      </c>
      <c r="M14628">
        <f t="shared" si="2"/>
      </c>
    </row>
    <row r="14629">
      <c r="G14629" s="9">
        <f t="shared" si="0"/>
      </c>
      <c r="L14629">
        <f t="shared" si="1"/>
      </c>
      <c r="M14629">
        <f t="shared" si="2"/>
      </c>
    </row>
    <row r="14630">
      <c r="G14630" s="9">
        <f t="shared" si="0"/>
      </c>
      <c r="L14630">
        <f t="shared" si="1"/>
      </c>
      <c r="M14630">
        <f t="shared" si="2"/>
      </c>
    </row>
    <row r="14631">
      <c r="G14631" s="9">
        <f t="shared" si="0"/>
      </c>
      <c r="L14631">
        <f t="shared" si="1"/>
      </c>
      <c r="M14631">
        <f t="shared" si="2"/>
      </c>
    </row>
    <row r="14632">
      <c r="G14632" s="9">
        <f t="shared" si="0"/>
      </c>
      <c r="L14632">
        <f t="shared" si="1"/>
      </c>
      <c r="M14632">
        <f t="shared" si="2"/>
      </c>
    </row>
    <row r="14633">
      <c r="G14633" s="9">
        <f t="shared" si="0"/>
      </c>
      <c r="L14633">
        <f t="shared" si="1"/>
      </c>
      <c r="M14633">
        <f t="shared" si="2"/>
      </c>
    </row>
    <row r="14634">
      <c r="G14634" s="9">
        <f t="shared" si="0"/>
      </c>
      <c r="L14634">
        <f t="shared" si="1"/>
      </c>
      <c r="M14634">
        <f t="shared" si="2"/>
      </c>
    </row>
    <row r="14635">
      <c r="G14635" s="9">
        <f t="shared" si="0"/>
      </c>
      <c r="L14635">
        <f t="shared" si="1"/>
      </c>
      <c r="M14635">
        <f t="shared" si="2"/>
      </c>
    </row>
    <row r="14636">
      <c r="G14636" s="9">
        <f t="shared" si="0"/>
      </c>
      <c r="L14636">
        <f t="shared" si="1"/>
      </c>
      <c r="M14636">
        <f t="shared" si="2"/>
      </c>
    </row>
    <row r="14637">
      <c r="G14637" s="9">
        <f t="shared" si="0"/>
      </c>
      <c r="L14637">
        <f t="shared" si="1"/>
      </c>
      <c r="M14637">
        <f t="shared" si="2"/>
      </c>
    </row>
    <row r="14638">
      <c r="G14638" s="9">
        <f t="shared" si="0"/>
      </c>
      <c r="L14638">
        <f t="shared" si="1"/>
      </c>
      <c r="M14638">
        <f t="shared" si="2"/>
      </c>
    </row>
    <row r="14639">
      <c r="G14639" s="9">
        <f t="shared" si="0"/>
      </c>
      <c r="L14639">
        <f t="shared" si="1"/>
      </c>
      <c r="M14639">
        <f t="shared" si="2"/>
      </c>
    </row>
    <row r="14640">
      <c r="G14640" s="9">
        <f t="shared" si="0"/>
      </c>
      <c r="L14640">
        <f t="shared" si="1"/>
      </c>
      <c r="M14640">
        <f t="shared" si="2"/>
      </c>
    </row>
    <row r="14641">
      <c r="G14641" s="9">
        <f t="shared" si="0"/>
      </c>
      <c r="L14641">
        <f t="shared" si="1"/>
      </c>
      <c r="M14641">
        <f t="shared" si="2"/>
      </c>
    </row>
    <row r="14642">
      <c r="G14642" s="9">
        <f t="shared" si="0"/>
      </c>
      <c r="L14642">
        <f t="shared" si="1"/>
      </c>
      <c r="M14642">
        <f t="shared" si="2"/>
      </c>
    </row>
    <row r="14643">
      <c r="G14643" s="9">
        <f t="shared" si="0"/>
      </c>
      <c r="L14643">
        <f t="shared" si="1"/>
      </c>
      <c r="M14643">
        <f t="shared" si="2"/>
      </c>
    </row>
    <row r="14644">
      <c r="G14644" s="9">
        <f t="shared" si="0"/>
      </c>
      <c r="L14644">
        <f t="shared" si="1"/>
      </c>
      <c r="M14644">
        <f t="shared" si="2"/>
      </c>
    </row>
    <row r="14645">
      <c r="G14645" s="9">
        <f t="shared" si="0"/>
      </c>
      <c r="L14645">
        <f t="shared" si="1"/>
      </c>
      <c r="M14645">
        <f t="shared" si="2"/>
      </c>
    </row>
    <row r="14646">
      <c r="G14646" s="9">
        <f t="shared" si="0"/>
      </c>
      <c r="L14646">
        <f t="shared" si="1"/>
      </c>
      <c r="M14646">
        <f t="shared" si="2"/>
      </c>
    </row>
    <row r="14647">
      <c r="G14647" s="9">
        <f t="shared" si="0"/>
      </c>
      <c r="L14647">
        <f t="shared" si="1"/>
      </c>
      <c r="M14647">
        <f t="shared" si="2"/>
      </c>
    </row>
    <row r="14648">
      <c r="G14648" s="9">
        <f t="shared" si="0"/>
      </c>
      <c r="L14648">
        <f t="shared" si="1"/>
      </c>
      <c r="M14648">
        <f t="shared" si="2"/>
      </c>
    </row>
    <row r="14649">
      <c r="G14649" s="9">
        <f t="shared" si="0"/>
      </c>
      <c r="L14649">
        <f t="shared" si="1"/>
      </c>
      <c r="M14649">
        <f t="shared" si="2"/>
      </c>
    </row>
    <row r="14650">
      <c r="G14650" s="9">
        <f t="shared" si="0"/>
      </c>
      <c r="L14650">
        <f t="shared" si="1"/>
      </c>
      <c r="M14650">
        <f t="shared" si="2"/>
      </c>
    </row>
    <row r="14651">
      <c r="G14651" s="9">
        <f t="shared" si="0"/>
      </c>
      <c r="L14651">
        <f t="shared" si="1"/>
      </c>
      <c r="M14651">
        <f t="shared" si="2"/>
      </c>
    </row>
    <row r="14652">
      <c r="G14652" s="9">
        <f t="shared" si="0"/>
      </c>
      <c r="L14652">
        <f t="shared" si="1"/>
      </c>
      <c r="M14652">
        <f t="shared" si="2"/>
      </c>
    </row>
    <row r="14653">
      <c r="G14653" s="9">
        <f t="shared" si="0"/>
      </c>
      <c r="L14653">
        <f t="shared" si="1"/>
      </c>
      <c r="M14653">
        <f t="shared" si="2"/>
      </c>
    </row>
    <row r="14654">
      <c r="G14654" s="9">
        <f t="shared" si="0"/>
      </c>
      <c r="L14654">
        <f t="shared" si="1"/>
      </c>
      <c r="M14654">
        <f t="shared" si="2"/>
      </c>
    </row>
    <row r="14655">
      <c r="G14655" s="9">
        <f t="shared" si="0"/>
      </c>
      <c r="L14655">
        <f t="shared" si="1"/>
      </c>
      <c r="M14655">
        <f t="shared" si="2"/>
      </c>
    </row>
    <row r="14656">
      <c r="G14656" s="9">
        <f t="shared" si="0"/>
      </c>
      <c r="L14656">
        <f t="shared" si="1"/>
      </c>
      <c r="M14656">
        <f t="shared" si="2"/>
      </c>
    </row>
    <row r="14657">
      <c r="G14657" s="9">
        <f t="shared" si="0"/>
      </c>
      <c r="L14657">
        <f t="shared" si="1"/>
      </c>
      <c r="M14657">
        <f t="shared" si="2"/>
      </c>
    </row>
    <row r="14658">
      <c r="G14658" s="9">
        <f t="shared" si="0"/>
      </c>
      <c r="L14658">
        <f t="shared" si="1"/>
      </c>
      <c r="M14658">
        <f t="shared" si="2"/>
      </c>
    </row>
    <row r="14659">
      <c r="G14659" s="9">
        <f t="shared" si="0"/>
      </c>
      <c r="L14659">
        <f t="shared" si="1"/>
      </c>
      <c r="M14659">
        <f t="shared" si="2"/>
      </c>
    </row>
    <row r="14660">
      <c r="G14660" s="9">
        <f t="shared" si="0"/>
      </c>
      <c r="L14660">
        <f t="shared" si="1"/>
      </c>
      <c r="M14660">
        <f t="shared" si="2"/>
      </c>
    </row>
    <row r="14661">
      <c r="G14661" s="9">
        <f t="shared" si="0"/>
      </c>
      <c r="L14661">
        <f t="shared" si="1"/>
      </c>
      <c r="M14661">
        <f t="shared" si="2"/>
      </c>
    </row>
    <row r="14662">
      <c r="G14662" s="9">
        <f t="shared" si="0"/>
      </c>
      <c r="L14662">
        <f t="shared" si="1"/>
      </c>
      <c r="M14662">
        <f t="shared" si="2"/>
      </c>
    </row>
    <row r="14663">
      <c r="G14663" s="9">
        <f t="shared" si="0"/>
      </c>
      <c r="L14663">
        <f t="shared" si="1"/>
      </c>
      <c r="M14663">
        <f t="shared" si="2"/>
      </c>
    </row>
    <row r="14664">
      <c r="G14664" s="9">
        <f t="shared" si="0"/>
      </c>
      <c r="L14664">
        <f t="shared" si="1"/>
      </c>
      <c r="M14664">
        <f t="shared" si="2"/>
      </c>
    </row>
    <row r="14665">
      <c r="G14665" s="9">
        <f t="shared" si="0"/>
      </c>
      <c r="L14665">
        <f t="shared" si="1"/>
      </c>
      <c r="M14665">
        <f t="shared" si="2"/>
      </c>
    </row>
    <row r="14666">
      <c r="G14666" s="9">
        <f t="shared" si="0"/>
      </c>
      <c r="L14666">
        <f t="shared" si="1"/>
      </c>
      <c r="M14666">
        <f t="shared" si="2"/>
      </c>
    </row>
    <row r="14667">
      <c r="G14667" s="9">
        <f t="shared" si="0"/>
      </c>
      <c r="L14667">
        <f t="shared" si="1"/>
      </c>
      <c r="M14667">
        <f t="shared" si="2"/>
      </c>
    </row>
    <row r="14668">
      <c r="G14668" s="9">
        <f t="shared" si="0"/>
      </c>
      <c r="L14668">
        <f t="shared" si="1"/>
      </c>
      <c r="M14668">
        <f t="shared" si="2"/>
      </c>
    </row>
    <row r="14669">
      <c r="G14669" s="9">
        <f t="shared" si="0"/>
      </c>
      <c r="L14669">
        <f t="shared" si="1"/>
      </c>
      <c r="M14669">
        <f t="shared" si="2"/>
      </c>
    </row>
    <row r="14670">
      <c r="G14670" s="9">
        <f t="shared" si="0"/>
      </c>
      <c r="L14670">
        <f t="shared" si="1"/>
      </c>
      <c r="M14670">
        <f t="shared" si="2"/>
      </c>
    </row>
    <row r="14671">
      <c r="G14671" s="9">
        <f t="shared" si="0"/>
      </c>
      <c r="L14671">
        <f t="shared" si="1"/>
      </c>
      <c r="M14671">
        <f t="shared" si="2"/>
      </c>
    </row>
    <row r="14672">
      <c r="G14672" s="9">
        <f t="shared" si="0"/>
      </c>
      <c r="L14672">
        <f t="shared" si="1"/>
      </c>
      <c r="M14672">
        <f t="shared" si="2"/>
      </c>
    </row>
    <row r="14673">
      <c r="G14673" s="9">
        <f t="shared" si="0"/>
      </c>
      <c r="L14673">
        <f t="shared" si="1"/>
      </c>
      <c r="M14673">
        <f t="shared" si="2"/>
      </c>
    </row>
    <row r="14674">
      <c r="G14674" s="9">
        <f t="shared" si="0"/>
      </c>
      <c r="L14674">
        <f t="shared" si="1"/>
      </c>
      <c r="M14674">
        <f t="shared" si="2"/>
      </c>
    </row>
    <row r="14675">
      <c r="G14675" s="9">
        <f t="shared" si="0"/>
      </c>
      <c r="L14675">
        <f t="shared" si="1"/>
      </c>
      <c r="M14675">
        <f t="shared" si="2"/>
      </c>
    </row>
    <row r="14676">
      <c r="G14676" s="9">
        <f t="shared" si="0"/>
      </c>
      <c r="L14676">
        <f t="shared" si="1"/>
      </c>
      <c r="M14676">
        <f t="shared" si="2"/>
      </c>
    </row>
    <row r="14677">
      <c r="G14677" s="9">
        <f t="shared" si="0"/>
      </c>
      <c r="L14677">
        <f t="shared" si="1"/>
      </c>
      <c r="M14677">
        <f t="shared" si="2"/>
      </c>
    </row>
    <row r="14678">
      <c r="G14678" s="9">
        <f t="shared" si="0"/>
      </c>
      <c r="L14678">
        <f t="shared" si="1"/>
      </c>
      <c r="M14678">
        <f t="shared" si="2"/>
      </c>
    </row>
    <row r="14679">
      <c r="G14679" s="9">
        <f t="shared" si="0"/>
      </c>
      <c r="L14679">
        <f t="shared" si="1"/>
      </c>
      <c r="M14679">
        <f t="shared" si="2"/>
      </c>
    </row>
    <row r="14680">
      <c r="G14680" s="9">
        <f t="shared" si="0"/>
      </c>
      <c r="L14680">
        <f t="shared" si="1"/>
      </c>
      <c r="M14680">
        <f t="shared" si="2"/>
      </c>
    </row>
    <row r="14681">
      <c r="G14681" s="9">
        <f t="shared" si="0"/>
      </c>
      <c r="L14681">
        <f t="shared" si="1"/>
      </c>
      <c r="M14681">
        <f t="shared" si="2"/>
      </c>
    </row>
    <row r="14682">
      <c r="G14682" s="9">
        <f t="shared" si="0"/>
      </c>
      <c r="L14682">
        <f t="shared" si="1"/>
      </c>
      <c r="M14682">
        <f t="shared" si="2"/>
      </c>
    </row>
    <row r="14683">
      <c r="G14683" s="9">
        <f t="shared" si="0"/>
      </c>
      <c r="L14683">
        <f t="shared" si="1"/>
      </c>
      <c r="M14683">
        <f t="shared" si="2"/>
      </c>
    </row>
    <row r="14684">
      <c r="G14684" s="9">
        <f t="shared" si="0"/>
      </c>
      <c r="L14684">
        <f t="shared" si="1"/>
      </c>
      <c r="M14684">
        <f t="shared" si="2"/>
      </c>
    </row>
    <row r="14685">
      <c r="G14685" s="9">
        <f t="shared" si="0"/>
      </c>
      <c r="L14685">
        <f t="shared" si="1"/>
      </c>
      <c r="M14685">
        <f t="shared" si="2"/>
      </c>
    </row>
    <row r="14686">
      <c r="G14686" s="9">
        <f t="shared" si="0"/>
      </c>
      <c r="L14686">
        <f t="shared" si="1"/>
      </c>
      <c r="M14686">
        <f t="shared" si="2"/>
      </c>
    </row>
    <row r="14687">
      <c r="G14687" s="9">
        <f t="shared" si="0"/>
      </c>
      <c r="L14687">
        <f t="shared" si="1"/>
      </c>
      <c r="M14687">
        <f t="shared" si="2"/>
      </c>
    </row>
    <row r="14688">
      <c r="G14688" s="9">
        <f t="shared" si="0"/>
      </c>
      <c r="L14688">
        <f t="shared" si="1"/>
      </c>
      <c r="M14688">
        <f t="shared" si="2"/>
      </c>
    </row>
    <row r="14689">
      <c r="G14689" s="9">
        <f t="shared" si="0"/>
      </c>
      <c r="L14689">
        <f t="shared" si="1"/>
      </c>
      <c r="M14689">
        <f t="shared" si="2"/>
      </c>
    </row>
    <row r="14690">
      <c r="G14690" s="9">
        <f t="shared" si="0"/>
      </c>
      <c r="L14690">
        <f t="shared" si="1"/>
      </c>
      <c r="M14690">
        <f t="shared" si="2"/>
      </c>
    </row>
    <row r="14691">
      <c r="G14691" s="9">
        <f t="shared" si="0"/>
      </c>
      <c r="L14691">
        <f t="shared" si="1"/>
      </c>
      <c r="M14691">
        <f t="shared" si="2"/>
      </c>
    </row>
    <row r="14692">
      <c r="G14692" s="9">
        <f t="shared" si="0"/>
      </c>
      <c r="L14692">
        <f t="shared" si="1"/>
      </c>
      <c r="M14692">
        <f t="shared" si="2"/>
      </c>
    </row>
    <row r="14693">
      <c r="G14693" s="9">
        <f t="shared" si="0"/>
      </c>
      <c r="L14693">
        <f t="shared" si="1"/>
      </c>
      <c r="M14693">
        <f t="shared" si="2"/>
      </c>
    </row>
    <row r="14694">
      <c r="G14694" s="9">
        <f t="shared" si="0"/>
      </c>
      <c r="L14694">
        <f t="shared" si="1"/>
      </c>
      <c r="M14694">
        <f t="shared" si="2"/>
      </c>
    </row>
    <row r="14695">
      <c r="G14695" s="9">
        <f t="shared" si="0"/>
      </c>
      <c r="L14695">
        <f t="shared" si="1"/>
      </c>
      <c r="M14695">
        <f t="shared" si="2"/>
      </c>
    </row>
    <row r="14696">
      <c r="G14696" s="9">
        <f t="shared" si="0"/>
      </c>
      <c r="L14696">
        <f t="shared" si="1"/>
      </c>
      <c r="M14696">
        <f t="shared" si="2"/>
      </c>
    </row>
    <row r="14697">
      <c r="G14697" s="9">
        <f t="shared" si="0"/>
      </c>
      <c r="L14697">
        <f t="shared" si="1"/>
      </c>
      <c r="M14697">
        <f t="shared" si="2"/>
      </c>
    </row>
    <row r="14698">
      <c r="G14698" s="9">
        <f t="shared" si="0"/>
      </c>
      <c r="L14698">
        <f t="shared" si="1"/>
      </c>
      <c r="M14698">
        <f t="shared" si="2"/>
      </c>
    </row>
    <row r="14699">
      <c r="G14699" s="9">
        <f t="shared" si="0"/>
      </c>
      <c r="L14699">
        <f t="shared" si="1"/>
      </c>
      <c r="M14699">
        <f t="shared" si="2"/>
      </c>
    </row>
    <row r="14700">
      <c r="G14700" s="9">
        <f t="shared" si="0"/>
      </c>
      <c r="L14700">
        <f t="shared" si="1"/>
      </c>
      <c r="M14700">
        <f t="shared" si="2"/>
      </c>
    </row>
    <row r="14701">
      <c r="G14701" s="9">
        <f t="shared" si="0"/>
      </c>
      <c r="L14701">
        <f t="shared" si="1"/>
      </c>
      <c r="M14701">
        <f t="shared" si="2"/>
      </c>
    </row>
    <row r="14702">
      <c r="G14702" s="9">
        <f t="shared" si="0"/>
      </c>
      <c r="L14702">
        <f t="shared" si="1"/>
      </c>
      <c r="M14702">
        <f t="shared" si="2"/>
      </c>
    </row>
    <row r="14703">
      <c r="G14703" s="9">
        <f t="shared" si="0"/>
      </c>
      <c r="L14703">
        <f t="shared" si="1"/>
      </c>
      <c r="M14703">
        <f t="shared" si="2"/>
      </c>
    </row>
    <row r="14704">
      <c r="G14704" s="9">
        <f t="shared" si="0"/>
      </c>
      <c r="L14704">
        <f t="shared" si="1"/>
      </c>
      <c r="M14704">
        <f t="shared" si="2"/>
      </c>
    </row>
    <row r="14705">
      <c r="G14705" s="9">
        <f t="shared" si="0"/>
      </c>
      <c r="L14705">
        <f t="shared" si="1"/>
      </c>
      <c r="M14705">
        <f t="shared" si="2"/>
      </c>
    </row>
    <row r="14706">
      <c r="G14706" s="9">
        <f t="shared" si="0"/>
      </c>
      <c r="L14706">
        <f t="shared" si="1"/>
      </c>
      <c r="M14706">
        <f t="shared" si="2"/>
      </c>
    </row>
    <row r="14707">
      <c r="G14707" s="9">
        <f t="shared" si="0"/>
      </c>
      <c r="L14707">
        <f t="shared" si="1"/>
      </c>
      <c r="M14707">
        <f t="shared" si="2"/>
      </c>
    </row>
    <row r="14708">
      <c r="G14708" s="9">
        <f t="shared" si="0"/>
      </c>
      <c r="L14708">
        <f t="shared" si="1"/>
      </c>
      <c r="M14708">
        <f t="shared" si="2"/>
      </c>
    </row>
    <row r="14709">
      <c r="G14709" s="9">
        <f t="shared" si="0"/>
      </c>
      <c r="L14709">
        <f t="shared" si="1"/>
      </c>
      <c r="M14709">
        <f t="shared" si="2"/>
      </c>
    </row>
    <row r="14710">
      <c r="G14710" s="9">
        <f t="shared" si="0"/>
      </c>
      <c r="L14710">
        <f t="shared" si="1"/>
      </c>
      <c r="M14710">
        <f t="shared" si="2"/>
      </c>
    </row>
    <row r="14711">
      <c r="G14711" s="9">
        <f t="shared" si="0"/>
      </c>
      <c r="L14711">
        <f t="shared" si="1"/>
      </c>
      <c r="M14711">
        <f t="shared" si="2"/>
      </c>
    </row>
    <row r="14712">
      <c r="G14712" s="9">
        <f t="shared" si="0"/>
      </c>
      <c r="L14712">
        <f t="shared" si="1"/>
      </c>
      <c r="M14712">
        <f t="shared" si="2"/>
      </c>
    </row>
    <row r="14713">
      <c r="G14713" s="9">
        <f t="shared" si="0"/>
      </c>
      <c r="L14713">
        <f t="shared" si="1"/>
      </c>
      <c r="M14713">
        <f t="shared" si="2"/>
      </c>
    </row>
    <row r="14714">
      <c r="G14714" s="9">
        <f t="shared" si="0"/>
      </c>
      <c r="L14714">
        <f t="shared" si="1"/>
      </c>
      <c r="M14714">
        <f t="shared" si="2"/>
      </c>
    </row>
    <row r="14715">
      <c r="G14715" s="9">
        <f t="shared" si="0"/>
      </c>
      <c r="L14715">
        <f t="shared" si="1"/>
      </c>
      <c r="M14715">
        <f t="shared" si="2"/>
      </c>
    </row>
    <row r="14716">
      <c r="G14716" s="9">
        <f t="shared" si="0"/>
      </c>
      <c r="L14716">
        <f t="shared" si="1"/>
      </c>
      <c r="M14716">
        <f t="shared" si="2"/>
      </c>
    </row>
    <row r="14717">
      <c r="G14717" s="9">
        <f t="shared" si="0"/>
      </c>
      <c r="L14717">
        <f t="shared" si="1"/>
      </c>
      <c r="M14717">
        <f t="shared" si="2"/>
      </c>
    </row>
    <row r="14718">
      <c r="G14718" s="9">
        <f t="shared" si="0"/>
      </c>
      <c r="L14718">
        <f t="shared" si="1"/>
      </c>
      <c r="M14718">
        <f t="shared" si="2"/>
      </c>
    </row>
    <row r="14719">
      <c r="G14719" s="9">
        <f t="shared" si="0"/>
      </c>
      <c r="L14719">
        <f t="shared" si="1"/>
      </c>
      <c r="M14719">
        <f t="shared" si="2"/>
      </c>
    </row>
    <row r="14720">
      <c r="G14720" s="9">
        <f t="shared" si="0"/>
      </c>
      <c r="L14720">
        <f t="shared" si="1"/>
      </c>
      <c r="M14720">
        <f t="shared" si="2"/>
      </c>
    </row>
    <row r="14721">
      <c r="G14721" s="9">
        <f t="shared" si="0"/>
      </c>
      <c r="L14721">
        <f t="shared" si="1"/>
      </c>
      <c r="M14721">
        <f t="shared" si="2"/>
      </c>
    </row>
    <row r="14722">
      <c r="G14722" s="9">
        <f t="shared" si="0"/>
      </c>
      <c r="L14722">
        <f t="shared" si="1"/>
      </c>
      <c r="M14722">
        <f t="shared" si="2"/>
      </c>
    </row>
    <row r="14723">
      <c r="G14723" s="9">
        <f t="shared" si="0"/>
      </c>
      <c r="L14723">
        <f t="shared" si="1"/>
      </c>
      <c r="M14723">
        <f t="shared" si="2"/>
      </c>
    </row>
    <row r="14724">
      <c r="G14724" s="9">
        <f t="shared" si="0"/>
      </c>
      <c r="L14724">
        <f t="shared" si="1"/>
      </c>
      <c r="M14724">
        <f t="shared" si="2"/>
      </c>
    </row>
    <row r="14725">
      <c r="G14725" s="9">
        <f t="shared" si="0"/>
      </c>
      <c r="L14725">
        <f t="shared" si="1"/>
      </c>
      <c r="M14725">
        <f t="shared" si="2"/>
      </c>
    </row>
    <row r="14726">
      <c r="G14726" s="9">
        <f t="shared" si="0"/>
      </c>
      <c r="L14726">
        <f t="shared" si="1"/>
      </c>
      <c r="M14726">
        <f t="shared" si="2"/>
      </c>
    </row>
    <row r="14727">
      <c r="G14727" s="9">
        <f t="shared" si="0"/>
      </c>
      <c r="L14727">
        <f t="shared" si="1"/>
      </c>
      <c r="M14727">
        <f t="shared" si="2"/>
      </c>
    </row>
    <row r="14728">
      <c r="G14728" s="9">
        <f t="shared" si="0"/>
      </c>
      <c r="L14728">
        <f t="shared" si="1"/>
      </c>
      <c r="M14728">
        <f t="shared" si="2"/>
      </c>
    </row>
    <row r="14729">
      <c r="G14729" s="9">
        <f t="shared" si="0"/>
      </c>
      <c r="L14729">
        <f t="shared" si="1"/>
      </c>
      <c r="M14729">
        <f t="shared" si="2"/>
      </c>
    </row>
    <row r="14730">
      <c r="G14730" s="9">
        <f t="shared" si="0"/>
      </c>
      <c r="L14730">
        <f t="shared" si="1"/>
      </c>
      <c r="M14730">
        <f t="shared" si="2"/>
      </c>
    </row>
    <row r="14731">
      <c r="G14731" s="9">
        <f t="shared" si="0"/>
      </c>
      <c r="L14731">
        <f t="shared" si="1"/>
      </c>
      <c r="M14731">
        <f t="shared" si="2"/>
      </c>
    </row>
    <row r="14732">
      <c r="G14732" s="9">
        <f t="shared" si="0"/>
      </c>
      <c r="L14732">
        <f t="shared" si="1"/>
      </c>
      <c r="M14732">
        <f t="shared" si="2"/>
      </c>
    </row>
    <row r="14733">
      <c r="G14733" s="9">
        <f t="shared" si="0"/>
      </c>
      <c r="L14733">
        <f t="shared" si="1"/>
      </c>
      <c r="M14733">
        <f t="shared" si="2"/>
      </c>
    </row>
    <row r="14734">
      <c r="G14734" s="9">
        <f t="shared" si="0"/>
      </c>
      <c r="L14734">
        <f t="shared" si="1"/>
      </c>
      <c r="M14734">
        <f t="shared" si="2"/>
      </c>
    </row>
    <row r="14735">
      <c r="G14735" s="9">
        <f t="shared" si="0"/>
      </c>
      <c r="L14735">
        <f t="shared" si="1"/>
      </c>
      <c r="M14735">
        <f t="shared" si="2"/>
      </c>
    </row>
    <row r="14736">
      <c r="G14736" s="9">
        <f t="shared" si="0"/>
      </c>
      <c r="L14736">
        <f t="shared" si="1"/>
      </c>
      <c r="M14736">
        <f t="shared" si="2"/>
      </c>
    </row>
    <row r="14737">
      <c r="G14737" s="9">
        <f t="shared" si="0"/>
      </c>
      <c r="L14737">
        <f t="shared" si="1"/>
      </c>
      <c r="M14737">
        <f t="shared" si="2"/>
      </c>
    </row>
    <row r="14738">
      <c r="G14738" s="9">
        <f t="shared" si="0"/>
      </c>
      <c r="L14738">
        <f t="shared" si="1"/>
      </c>
      <c r="M14738">
        <f t="shared" si="2"/>
      </c>
    </row>
    <row r="14739">
      <c r="G14739" s="9">
        <f t="shared" si="0"/>
      </c>
      <c r="L14739">
        <f t="shared" si="1"/>
      </c>
      <c r="M14739">
        <f t="shared" si="2"/>
      </c>
    </row>
    <row r="14740">
      <c r="G14740" s="9">
        <f t="shared" si="0"/>
      </c>
      <c r="L14740">
        <f t="shared" si="1"/>
      </c>
      <c r="M14740">
        <f t="shared" si="2"/>
      </c>
    </row>
    <row r="14741">
      <c r="G14741" s="9">
        <f t="shared" si="0"/>
      </c>
      <c r="L14741">
        <f t="shared" si="1"/>
      </c>
      <c r="M14741">
        <f t="shared" si="2"/>
      </c>
    </row>
    <row r="14742">
      <c r="G14742" s="9">
        <f t="shared" si="0"/>
      </c>
      <c r="L14742">
        <f t="shared" si="1"/>
      </c>
      <c r="M14742">
        <f t="shared" si="2"/>
      </c>
    </row>
    <row r="14743">
      <c r="G14743" s="9">
        <f t="shared" si="0"/>
      </c>
      <c r="L14743">
        <f t="shared" si="1"/>
      </c>
      <c r="M14743">
        <f t="shared" si="2"/>
      </c>
    </row>
    <row r="14744">
      <c r="G14744" s="9">
        <f t="shared" si="0"/>
      </c>
      <c r="L14744">
        <f t="shared" si="1"/>
      </c>
      <c r="M14744">
        <f t="shared" si="2"/>
      </c>
    </row>
    <row r="14745">
      <c r="G14745" s="9">
        <f t="shared" si="0"/>
      </c>
      <c r="L14745">
        <f t="shared" si="1"/>
      </c>
      <c r="M14745">
        <f t="shared" si="2"/>
      </c>
    </row>
    <row r="14746">
      <c r="G14746" s="9">
        <f t="shared" si="0"/>
      </c>
      <c r="L14746">
        <f t="shared" si="1"/>
      </c>
      <c r="M14746">
        <f t="shared" si="2"/>
      </c>
    </row>
    <row r="14747">
      <c r="G14747" s="9">
        <f t="shared" si="0"/>
      </c>
      <c r="L14747">
        <f t="shared" si="1"/>
      </c>
      <c r="M14747">
        <f t="shared" si="2"/>
      </c>
    </row>
    <row r="14748">
      <c r="G14748" s="9">
        <f t="shared" si="0"/>
      </c>
      <c r="L14748">
        <f t="shared" si="1"/>
      </c>
      <c r="M14748">
        <f t="shared" si="2"/>
      </c>
    </row>
    <row r="14749">
      <c r="G14749" s="9">
        <f t="shared" si="0"/>
      </c>
      <c r="L14749">
        <f t="shared" si="1"/>
      </c>
      <c r="M14749">
        <f t="shared" si="2"/>
      </c>
    </row>
    <row r="14750">
      <c r="G14750" s="9">
        <f t="shared" si="0"/>
      </c>
      <c r="L14750">
        <f t="shared" si="1"/>
      </c>
      <c r="M14750">
        <f t="shared" si="2"/>
      </c>
    </row>
    <row r="14751">
      <c r="G14751" s="9">
        <f t="shared" si="0"/>
      </c>
      <c r="L14751">
        <f t="shared" si="1"/>
      </c>
      <c r="M14751">
        <f t="shared" si="2"/>
      </c>
    </row>
    <row r="14752">
      <c r="G14752" s="9">
        <f t="shared" si="0"/>
      </c>
      <c r="L14752">
        <f t="shared" si="1"/>
      </c>
      <c r="M14752">
        <f t="shared" si="2"/>
      </c>
    </row>
    <row r="14753">
      <c r="G14753" s="9">
        <f t="shared" si="0"/>
      </c>
      <c r="L14753">
        <f t="shared" si="1"/>
      </c>
      <c r="M14753">
        <f t="shared" si="2"/>
      </c>
    </row>
    <row r="14754">
      <c r="G14754" s="9">
        <f t="shared" si="0"/>
      </c>
      <c r="L14754">
        <f t="shared" si="1"/>
      </c>
      <c r="M14754">
        <f t="shared" si="2"/>
      </c>
    </row>
    <row r="14755">
      <c r="G14755" s="9">
        <f t="shared" si="0"/>
      </c>
      <c r="L14755">
        <f t="shared" si="1"/>
      </c>
      <c r="M14755">
        <f t="shared" si="2"/>
      </c>
    </row>
    <row r="14756">
      <c r="G14756" s="9">
        <f t="shared" si="0"/>
      </c>
      <c r="L14756">
        <f t="shared" si="1"/>
      </c>
      <c r="M14756">
        <f t="shared" si="2"/>
      </c>
    </row>
    <row r="14757">
      <c r="G14757" s="9">
        <f t="shared" si="0"/>
      </c>
      <c r="L14757">
        <f t="shared" si="1"/>
      </c>
      <c r="M14757">
        <f t="shared" si="2"/>
      </c>
    </row>
    <row r="14758">
      <c r="G14758" s="9">
        <f t="shared" si="0"/>
      </c>
      <c r="L14758">
        <f t="shared" si="1"/>
      </c>
      <c r="M14758">
        <f t="shared" si="2"/>
      </c>
    </row>
    <row r="14759">
      <c r="G14759" s="9">
        <f t="shared" si="0"/>
      </c>
      <c r="L14759">
        <f t="shared" si="1"/>
      </c>
      <c r="M14759">
        <f t="shared" si="2"/>
      </c>
    </row>
    <row r="14760">
      <c r="G14760" s="9">
        <f t="shared" si="0"/>
      </c>
      <c r="L14760">
        <f t="shared" si="1"/>
      </c>
      <c r="M14760">
        <f t="shared" si="2"/>
      </c>
    </row>
    <row r="14761">
      <c r="G14761" s="9">
        <f t="shared" si="0"/>
      </c>
      <c r="L14761">
        <f t="shared" si="1"/>
      </c>
      <c r="M14761">
        <f t="shared" si="2"/>
      </c>
    </row>
    <row r="14762">
      <c r="G14762" s="9">
        <f t="shared" si="0"/>
      </c>
      <c r="L14762">
        <f t="shared" si="1"/>
      </c>
      <c r="M14762">
        <f t="shared" si="2"/>
      </c>
    </row>
    <row r="14763">
      <c r="G14763" s="9">
        <f t="shared" si="0"/>
      </c>
      <c r="L14763">
        <f t="shared" si="1"/>
      </c>
      <c r="M14763">
        <f t="shared" si="2"/>
      </c>
    </row>
    <row r="14764">
      <c r="G14764" s="9">
        <f t="shared" si="0"/>
      </c>
      <c r="L14764">
        <f t="shared" si="1"/>
      </c>
      <c r="M14764">
        <f t="shared" si="2"/>
      </c>
    </row>
    <row r="14765">
      <c r="G14765" s="9">
        <f t="shared" si="0"/>
      </c>
      <c r="L14765">
        <f t="shared" si="1"/>
      </c>
      <c r="M14765">
        <f t="shared" si="2"/>
      </c>
    </row>
    <row r="14766">
      <c r="G14766" s="9">
        <f t="shared" si="0"/>
      </c>
      <c r="L14766">
        <f t="shared" si="1"/>
      </c>
      <c r="M14766">
        <f t="shared" si="2"/>
      </c>
    </row>
    <row r="14767">
      <c r="G14767" s="9">
        <f t="shared" si="0"/>
      </c>
      <c r="L14767">
        <f t="shared" si="1"/>
      </c>
      <c r="M14767">
        <f t="shared" si="2"/>
      </c>
    </row>
    <row r="14768">
      <c r="G14768" s="9">
        <f t="shared" si="0"/>
      </c>
      <c r="L14768">
        <f t="shared" si="1"/>
      </c>
      <c r="M14768">
        <f t="shared" si="2"/>
      </c>
    </row>
    <row r="14769">
      <c r="G14769" s="9">
        <f t="shared" si="0"/>
      </c>
      <c r="L14769">
        <f t="shared" si="1"/>
      </c>
      <c r="M14769">
        <f t="shared" si="2"/>
      </c>
    </row>
    <row r="14770">
      <c r="G14770" s="9">
        <f t="shared" si="0"/>
      </c>
      <c r="L14770">
        <f t="shared" si="1"/>
      </c>
      <c r="M14770">
        <f t="shared" si="2"/>
      </c>
    </row>
    <row r="14771">
      <c r="G14771" s="9">
        <f t="shared" si="0"/>
      </c>
      <c r="L14771">
        <f t="shared" si="1"/>
      </c>
      <c r="M14771">
        <f t="shared" si="2"/>
      </c>
    </row>
    <row r="14772">
      <c r="G14772" s="9">
        <f t="shared" si="0"/>
      </c>
      <c r="L14772">
        <f t="shared" si="1"/>
      </c>
      <c r="M14772">
        <f t="shared" si="2"/>
      </c>
    </row>
    <row r="14773">
      <c r="G14773" s="9">
        <f t="shared" si="0"/>
      </c>
      <c r="L14773">
        <f t="shared" si="1"/>
      </c>
      <c r="M14773">
        <f t="shared" si="2"/>
      </c>
    </row>
    <row r="14774">
      <c r="G14774" s="9">
        <f t="shared" si="0"/>
      </c>
      <c r="L14774">
        <f t="shared" si="1"/>
      </c>
      <c r="M14774">
        <f t="shared" si="2"/>
      </c>
    </row>
    <row r="14775">
      <c r="G14775" s="9">
        <f t="shared" si="0"/>
      </c>
      <c r="L14775">
        <f t="shared" si="1"/>
      </c>
      <c r="M14775">
        <f t="shared" si="2"/>
      </c>
    </row>
    <row r="14776">
      <c r="G14776" s="9">
        <f t="shared" si="0"/>
      </c>
      <c r="L14776">
        <f t="shared" si="1"/>
      </c>
      <c r="M14776">
        <f t="shared" si="2"/>
      </c>
    </row>
    <row r="14777">
      <c r="G14777" s="9">
        <f t="shared" si="0"/>
      </c>
      <c r="L14777">
        <f t="shared" si="1"/>
      </c>
      <c r="M14777">
        <f t="shared" si="2"/>
      </c>
    </row>
    <row r="14778">
      <c r="G14778" s="9">
        <f t="shared" si="0"/>
      </c>
      <c r="L14778">
        <f t="shared" si="1"/>
      </c>
      <c r="M14778">
        <f t="shared" si="2"/>
      </c>
    </row>
    <row r="14779">
      <c r="G14779" s="9">
        <f t="shared" si="0"/>
      </c>
      <c r="L14779">
        <f t="shared" si="1"/>
      </c>
      <c r="M14779">
        <f t="shared" si="2"/>
      </c>
    </row>
    <row r="14780">
      <c r="G14780" s="9">
        <f t="shared" si="0"/>
      </c>
      <c r="L14780">
        <f t="shared" si="1"/>
      </c>
      <c r="M14780">
        <f t="shared" si="2"/>
      </c>
    </row>
    <row r="14781">
      <c r="G14781" s="9">
        <f t="shared" si="0"/>
      </c>
      <c r="L14781">
        <f t="shared" si="1"/>
      </c>
      <c r="M14781">
        <f t="shared" si="2"/>
      </c>
    </row>
    <row r="14782">
      <c r="G14782" s="9">
        <f t="shared" si="0"/>
      </c>
      <c r="L14782">
        <f t="shared" si="1"/>
      </c>
      <c r="M14782">
        <f t="shared" si="2"/>
      </c>
    </row>
    <row r="14783">
      <c r="G14783" s="9">
        <f t="shared" si="0"/>
      </c>
      <c r="L14783">
        <f t="shared" si="1"/>
      </c>
      <c r="M14783">
        <f t="shared" si="2"/>
      </c>
    </row>
    <row r="14784">
      <c r="G14784" s="9">
        <f t="shared" si="0"/>
      </c>
      <c r="L14784">
        <f t="shared" si="1"/>
      </c>
      <c r="M14784">
        <f t="shared" si="2"/>
      </c>
    </row>
    <row r="14785">
      <c r="G14785" s="9">
        <f t="shared" si="0"/>
      </c>
      <c r="L14785">
        <f t="shared" si="1"/>
      </c>
      <c r="M14785">
        <f t="shared" si="2"/>
      </c>
    </row>
    <row r="14786">
      <c r="G14786" s="9">
        <f t="shared" si="0"/>
      </c>
      <c r="L14786">
        <f t="shared" si="1"/>
      </c>
      <c r="M14786">
        <f t="shared" si="2"/>
      </c>
    </row>
    <row r="14787">
      <c r="G14787" s="9">
        <f t="shared" si="0"/>
      </c>
      <c r="L14787">
        <f t="shared" si="1"/>
      </c>
      <c r="M14787">
        <f t="shared" si="2"/>
      </c>
    </row>
    <row r="14788">
      <c r="G14788" s="9">
        <f t="shared" si="0"/>
      </c>
      <c r="L14788">
        <f t="shared" si="1"/>
      </c>
      <c r="M14788">
        <f t="shared" si="2"/>
      </c>
    </row>
    <row r="14789">
      <c r="G14789" s="9">
        <f t="shared" si="0"/>
      </c>
      <c r="L14789">
        <f t="shared" si="1"/>
      </c>
      <c r="M14789">
        <f t="shared" si="2"/>
      </c>
    </row>
    <row r="14790">
      <c r="G14790" s="9">
        <f t="shared" si="0"/>
      </c>
      <c r="L14790">
        <f t="shared" si="1"/>
      </c>
      <c r="M14790">
        <f t="shared" si="2"/>
      </c>
    </row>
    <row r="14791">
      <c r="G14791" s="9">
        <f t="shared" si="0"/>
      </c>
      <c r="L14791">
        <f t="shared" si="1"/>
      </c>
      <c r="M14791">
        <f t="shared" si="2"/>
      </c>
    </row>
    <row r="14792">
      <c r="G14792" s="9">
        <f t="shared" si="0"/>
      </c>
      <c r="L14792">
        <f t="shared" si="1"/>
      </c>
      <c r="M14792">
        <f t="shared" si="2"/>
      </c>
    </row>
    <row r="14793">
      <c r="G14793" s="9">
        <f t="shared" si="0"/>
      </c>
      <c r="L14793">
        <f t="shared" si="1"/>
      </c>
      <c r="M14793">
        <f t="shared" si="2"/>
      </c>
    </row>
    <row r="14794">
      <c r="G14794" s="9">
        <f t="shared" si="0"/>
      </c>
      <c r="L14794">
        <f t="shared" si="1"/>
      </c>
      <c r="M14794">
        <f t="shared" si="2"/>
      </c>
    </row>
    <row r="14795">
      <c r="G14795" s="9">
        <f t="shared" si="0"/>
      </c>
      <c r="L14795">
        <f t="shared" si="1"/>
      </c>
      <c r="M14795">
        <f t="shared" si="2"/>
      </c>
    </row>
    <row r="14796">
      <c r="G14796" s="9">
        <f t="shared" si="0"/>
      </c>
      <c r="L14796">
        <f t="shared" si="1"/>
      </c>
      <c r="M14796">
        <f t="shared" si="2"/>
      </c>
    </row>
    <row r="14797">
      <c r="G14797" s="9">
        <f t="shared" si="0"/>
      </c>
      <c r="L14797">
        <f t="shared" si="1"/>
      </c>
      <c r="M14797">
        <f t="shared" si="2"/>
      </c>
    </row>
    <row r="14798">
      <c r="G14798" s="9">
        <f t="shared" si="0"/>
      </c>
      <c r="L14798">
        <f t="shared" si="1"/>
      </c>
      <c r="M14798">
        <f t="shared" si="2"/>
      </c>
    </row>
    <row r="14799">
      <c r="G14799" s="9">
        <f t="shared" si="0"/>
      </c>
      <c r="L14799">
        <f t="shared" si="1"/>
      </c>
      <c r="M14799">
        <f t="shared" si="2"/>
      </c>
    </row>
    <row r="14800">
      <c r="G14800" s="9">
        <f t="shared" si="0"/>
      </c>
      <c r="L14800">
        <f t="shared" si="1"/>
      </c>
      <c r="M14800">
        <f t="shared" si="2"/>
      </c>
    </row>
    <row r="14801">
      <c r="G14801" s="9">
        <f t="shared" si="0"/>
      </c>
      <c r="L14801">
        <f t="shared" si="1"/>
      </c>
      <c r="M14801">
        <f t="shared" si="2"/>
      </c>
    </row>
    <row r="14802">
      <c r="G14802" s="9">
        <f t="shared" si="0"/>
      </c>
      <c r="L14802">
        <f t="shared" si="1"/>
      </c>
      <c r="M14802">
        <f t="shared" si="2"/>
      </c>
    </row>
    <row r="14803">
      <c r="G14803" s="9">
        <f t="shared" si="0"/>
      </c>
      <c r="L14803">
        <f t="shared" si="1"/>
      </c>
      <c r="M14803">
        <f t="shared" si="2"/>
      </c>
    </row>
    <row r="14804">
      <c r="G14804" s="9">
        <f t="shared" si="0"/>
      </c>
      <c r="L14804">
        <f t="shared" si="1"/>
      </c>
      <c r="M14804">
        <f t="shared" si="2"/>
      </c>
    </row>
    <row r="14805">
      <c r="G14805" s="9">
        <f t="shared" si="0"/>
      </c>
      <c r="L14805">
        <f t="shared" si="1"/>
      </c>
      <c r="M14805">
        <f t="shared" si="2"/>
      </c>
    </row>
    <row r="14806">
      <c r="G14806" s="9">
        <f t="shared" si="0"/>
      </c>
      <c r="L14806">
        <f t="shared" si="1"/>
      </c>
      <c r="M14806">
        <f t="shared" si="2"/>
      </c>
    </row>
    <row r="14807">
      <c r="G14807" s="9">
        <f t="shared" si="0"/>
      </c>
      <c r="L14807">
        <f t="shared" si="1"/>
      </c>
      <c r="M14807">
        <f t="shared" si="2"/>
      </c>
    </row>
    <row r="14808">
      <c r="G14808" s="9">
        <f t="shared" si="0"/>
      </c>
      <c r="L14808">
        <f t="shared" si="1"/>
      </c>
      <c r="M14808">
        <f t="shared" si="2"/>
      </c>
    </row>
    <row r="14809">
      <c r="G14809" s="9">
        <f t="shared" si="0"/>
      </c>
      <c r="L14809">
        <f t="shared" si="1"/>
      </c>
      <c r="M14809">
        <f t="shared" si="2"/>
      </c>
    </row>
    <row r="14810">
      <c r="G14810" s="9">
        <f t="shared" si="0"/>
      </c>
      <c r="L14810">
        <f t="shared" si="1"/>
      </c>
      <c r="M14810">
        <f t="shared" si="2"/>
      </c>
    </row>
    <row r="14811">
      <c r="G14811" s="9">
        <f t="shared" si="0"/>
      </c>
      <c r="L14811">
        <f t="shared" si="1"/>
      </c>
      <c r="M14811">
        <f t="shared" si="2"/>
      </c>
    </row>
    <row r="14812">
      <c r="G14812" s="9">
        <f t="shared" si="0"/>
      </c>
      <c r="L14812">
        <f t="shared" si="1"/>
      </c>
      <c r="M14812">
        <f t="shared" si="2"/>
      </c>
    </row>
    <row r="14813">
      <c r="G14813" s="9">
        <f t="shared" si="0"/>
      </c>
      <c r="L14813">
        <f t="shared" si="1"/>
      </c>
      <c r="M14813">
        <f t="shared" si="2"/>
      </c>
    </row>
    <row r="14814">
      <c r="G14814" s="9">
        <f t="shared" si="0"/>
      </c>
      <c r="L14814">
        <f t="shared" si="1"/>
      </c>
      <c r="M14814">
        <f t="shared" si="2"/>
      </c>
    </row>
    <row r="14815">
      <c r="G14815" s="9">
        <f t="shared" si="0"/>
      </c>
      <c r="L14815">
        <f t="shared" si="1"/>
      </c>
      <c r="M14815">
        <f t="shared" si="2"/>
      </c>
    </row>
    <row r="14816">
      <c r="G14816" s="9">
        <f t="shared" si="0"/>
      </c>
      <c r="L14816">
        <f t="shared" si="1"/>
      </c>
      <c r="M14816">
        <f t="shared" si="2"/>
      </c>
    </row>
    <row r="14817">
      <c r="G14817" s="9">
        <f t="shared" si="0"/>
      </c>
      <c r="L14817">
        <f t="shared" si="1"/>
      </c>
      <c r="M14817">
        <f t="shared" si="2"/>
      </c>
    </row>
    <row r="14818">
      <c r="G14818" s="9">
        <f t="shared" si="0"/>
      </c>
      <c r="L14818">
        <f t="shared" si="1"/>
      </c>
      <c r="M14818">
        <f t="shared" si="2"/>
      </c>
    </row>
    <row r="14819">
      <c r="G14819" s="9">
        <f t="shared" si="0"/>
      </c>
      <c r="L14819">
        <f t="shared" si="1"/>
      </c>
      <c r="M14819">
        <f t="shared" si="2"/>
      </c>
    </row>
    <row r="14820">
      <c r="G14820" s="9">
        <f t="shared" si="0"/>
      </c>
      <c r="L14820">
        <f t="shared" si="1"/>
      </c>
      <c r="M14820">
        <f t="shared" si="2"/>
      </c>
    </row>
    <row r="14821">
      <c r="G14821" s="9">
        <f t="shared" si="0"/>
      </c>
      <c r="L14821">
        <f t="shared" si="1"/>
      </c>
      <c r="M14821">
        <f t="shared" si="2"/>
      </c>
    </row>
    <row r="14822">
      <c r="G14822" s="9">
        <f t="shared" si="0"/>
      </c>
      <c r="L14822">
        <f t="shared" si="1"/>
      </c>
      <c r="M14822">
        <f t="shared" si="2"/>
      </c>
    </row>
    <row r="14823">
      <c r="G14823" s="9">
        <f t="shared" si="0"/>
      </c>
      <c r="L14823">
        <f t="shared" si="1"/>
      </c>
      <c r="M14823">
        <f t="shared" si="2"/>
      </c>
    </row>
    <row r="14824">
      <c r="G14824" s="9">
        <f t="shared" si="0"/>
      </c>
      <c r="L14824">
        <f t="shared" si="1"/>
      </c>
      <c r="M14824">
        <f t="shared" si="2"/>
      </c>
    </row>
    <row r="14825">
      <c r="G14825" s="9">
        <f t="shared" si="0"/>
      </c>
      <c r="L14825">
        <f t="shared" si="1"/>
      </c>
      <c r="M14825">
        <f t="shared" si="2"/>
      </c>
    </row>
    <row r="14826">
      <c r="G14826" s="9">
        <f t="shared" si="0"/>
      </c>
      <c r="L14826">
        <f t="shared" si="1"/>
      </c>
      <c r="M14826">
        <f t="shared" si="2"/>
      </c>
    </row>
    <row r="14827">
      <c r="G14827" s="9">
        <f t="shared" si="0"/>
      </c>
      <c r="L14827">
        <f t="shared" si="1"/>
      </c>
      <c r="M14827">
        <f t="shared" si="2"/>
      </c>
    </row>
    <row r="14828">
      <c r="G14828" s="9">
        <f t="shared" si="0"/>
      </c>
      <c r="L14828">
        <f t="shared" si="1"/>
      </c>
      <c r="M14828">
        <f t="shared" si="2"/>
      </c>
    </row>
    <row r="14829">
      <c r="G14829" s="9">
        <f t="shared" si="0"/>
      </c>
      <c r="L14829">
        <f t="shared" si="1"/>
      </c>
      <c r="M14829">
        <f t="shared" si="2"/>
      </c>
    </row>
    <row r="14830">
      <c r="G14830" s="9">
        <f t="shared" si="0"/>
      </c>
      <c r="L14830">
        <f t="shared" si="1"/>
      </c>
      <c r="M14830">
        <f t="shared" si="2"/>
      </c>
    </row>
    <row r="14831">
      <c r="G14831" s="9">
        <f t="shared" si="0"/>
      </c>
      <c r="L14831">
        <f t="shared" si="1"/>
      </c>
      <c r="M14831">
        <f t="shared" si="2"/>
      </c>
    </row>
    <row r="14832">
      <c r="G14832" s="9">
        <f t="shared" si="0"/>
      </c>
      <c r="L14832">
        <f t="shared" si="1"/>
      </c>
      <c r="M14832">
        <f t="shared" si="2"/>
      </c>
    </row>
    <row r="14833">
      <c r="G14833" s="9">
        <f t="shared" si="0"/>
      </c>
      <c r="L14833">
        <f t="shared" si="1"/>
      </c>
      <c r="M14833">
        <f t="shared" si="2"/>
      </c>
    </row>
    <row r="14834">
      <c r="G14834" s="9">
        <f t="shared" si="0"/>
      </c>
      <c r="L14834">
        <f t="shared" si="1"/>
      </c>
      <c r="M14834">
        <f t="shared" si="2"/>
      </c>
    </row>
    <row r="14835">
      <c r="G14835" s="9">
        <f t="shared" si="0"/>
      </c>
      <c r="L14835">
        <f t="shared" si="1"/>
      </c>
      <c r="M14835">
        <f t="shared" si="2"/>
      </c>
    </row>
    <row r="14836">
      <c r="G14836" s="9">
        <f t="shared" si="0"/>
      </c>
      <c r="L14836">
        <f t="shared" si="1"/>
      </c>
      <c r="M14836">
        <f t="shared" si="2"/>
      </c>
    </row>
    <row r="14837">
      <c r="G14837" s="9">
        <f t="shared" si="0"/>
      </c>
      <c r="L14837">
        <f t="shared" si="1"/>
      </c>
      <c r="M14837">
        <f t="shared" si="2"/>
      </c>
    </row>
    <row r="14838">
      <c r="G14838" s="9">
        <f t="shared" si="0"/>
      </c>
      <c r="L14838">
        <f t="shared" si="1"/>
      </c>
      <c r="M14838">
        <f t="shared" si="2"/>
      </c>
    </row>
    <row r="14839">
      <c r="G14839" s="9">
        <f t="shared" si="0"/>
      </c>
      <c r="L14839">
        <f t="shared" si="1"/>
      </c>
      <c r="M14839">
        <f t="shared" si="2"/>
      </c>
    </row>
    <row r="14840">
      <c r="G14840" s="9">
        <f t="shared" si="0"/>
      </c>
      <c r="L14840">
        <f t="shared" si="1"/>
      </c>
      <c r="M14840">
        <f t="shared" si="2"/>
      </c>
    </row>
    <row r="14841">
      <c r="G14841" s="9">
        <f t="shared" si="0"/>
      </c>
      <c r="L14841">
        <f t="shared" si="1"/>
      </c>
      <c r="M14841">
        <f t="shared" si="2"/>
      </c>
    </row>
    <row r="14842">
      <c r="G14842" s="9">
        <f t="shared" si="0"/>
      </c>
      <c r="L14842">
        <f t="shared" si="1"/>
      </c>
      <c r="M14842">
        <f t="shared" si="2"/>
      </c>
    </row>
    <row r="14843">
      <c r="G14843" s="9">
        <f t="shared" si="0"/>
      </c>
      <c r="L14843">
        <f t="shared" si="1"/>
      </c>
      <c r="M14843">
        <f t="shared" si="2"/>
      </c>
    </row>
    <row r="14844">
      <c r="G14844" s="9">
        <f t="shared" si="0"/>
      </c>
      <c r="L14844">
        <f t="shared" si="1"/>
      </c>
      <c r="M14844">
        <f t="shared" si="2"/>
      </c>
    </row>
    <row r="14845">
      <c r="G14845" s="9">
        <f t="shared" si="0"/>
      </c>
      <c r="L14845">
        <f t="shared" si="1"/>
      </c>
      <c r="M14845">
        <f t="shared" si="2"/>
      </c>
    </row>
    <row r="14846">
      <c r="G14846" s="9">
        <f t="shared" si="0"/>
      </c>
      <c r="L14846">
        <f t="shared" si="1"/>
      </c>
      <c r="M14846">
        <f t="shared" si="2"/>
      </c>
    </row>
    <row r="14847">
      <c r="G14847" s="9">
        <f t="shared" si="0"/>
      </c>
      <c r="L14847">
        <f t="shared" si="1"/>
      </c>
      <c r="M14847">
        <f t="shared" si="2"/>
      </c>
    </row>
    <row r="14848">
      <c r="G14848" s="9">
        <f t="shared" si="0"/>
      </c>
      <c r="L14848">
        <f t="shared" si="1"/>
      </c>
      <c r="M14848">
        <f t="shared" si="2"/>
      </c>
    </row>
    <row r="14849">
      <c r="G14849" s="9">
        <f t="shared" si="0"/>
      </c>
      <c r="L14849">
        <f t="shared" si="1"/>
      </c>
      <c r="M14849">
        <f t="shared" si="2"/>
      </c>
    </row>
    <row r="14850">
      <c r="G14850" s="9">
        <f t="shared" si="0"/>
      </c>
      <c r="L14850">
        <f t="shared" si="1"/>
      </c>
      <c r="M14850">
        <f t="shared" si="2"/>
      </c>
    </row>
    <row r="14851">
      <c r="G14851" s="9">
        <f t="shared" si="0"/>
      </c>
      <c r="L14851">
        <f t="shared" si="1"/>
      </c>
      <c r="M14851">
        <f t="shared" si="2"/>
      </c>
    </row>
    <row r="14852">
      <c r="G14852" s="9">
        <f t="shared" si="0"/>
      </c>
      <c r="L14852">
        <f t="shared" si="1"/>
      </c>
      <c r="M14852">
        <f t="shared" si="2"/>
      </c>
    </row>
    <row r="14853">
      <c r="G14853" s="9">
        <f t="shared" si="0"/>
      </c>
      <c r="L14853">
        <f t="shared" si="1"/>
      </c>
      <c r="M14853">
        <f t="shared" si="2"/>
      </c>
    </row>
    <row r="14854">
      <c r="G14854" s="9">
        <f t="shared" si="0"/>
      </c>
      <c r="L14854">
        <f t="shared" si="1"/>
      </c>
      <c r="M14854">
        <f t="shared" si="2"/>
      </c>
    </row>
    <row r="14855">
      <c r="G14855" s="9">
        <f t="shared" si="0"/>
      </c>
      <c r="L14855">
        <f t="shared" si="1"/>
      </c>
      <c r="M14855">
        <f t="shared" si="2"/>
      </c>
    </row>
    <row r="14856">
      <c r="G14856" s="9">
        <f t="shared" si="0"/>
      </c>
      <c r="L14856">
        <f t="shared" si="1"/>
      </c>
      <c r="M14856">
        <f t="shared" si="2"/>
      </c>
    </row>
    <row r="14857">
      <c r="G14857" s="9">
        <f t="shared" si="0"/>
      </c>
      <c r="L14857">
        <f t="shared" si="1"/>
      </c>
      <c r="M14857">
        <f t="shared" si="2"/>
      </c>
    </row>
    <row r="14858">
      <c r="G14858" s="9">
        <f t="shared" si="0"/>
      </c>
      <c r="L14858">
        <f t="shared" si="1"/>
      </c>
      <c r="M14858">
        <f t="shared" si="2"/>
      </c>
    </row>
    <row r="14859">
      <c r="G14859" s="9">
        <f t="shared" si="0"/>
      </c>
      <c r="L14859">
        <f t="shared" si="1"/>
      </c>
      <c r="M14859">
        <f t="shared" si="2"/>
      </c>
    </row>
    <row r="14860">
      <c r="G14860" s="9">
        <f t="shared" si="0"/>
      </c>
      <c r="L14860">
        <f t="shared" si="1"/>
      </c>
      <c r="M14860">
        <f t="shared" si="2"/>
      </c>
    </row>
    <row r="14861">
      <c r="G14861" s="9">
        <f t="shared" si="0"/>
      </c>
      <c r="L14861">
        <f t="shared" si="1"/>
      </c>
      <c r="M14861">
        <f t="shared" si="2"/>
      </c>
    </row>
    <row r="14862">
      <c r="G14862" s="9">
        <f t="shared" si="0"/>
      </c>
      <c r="L14862">
        <f t="shared" si="1"/>
      </c>
      <c r="M14862">
        <f t="shared" si="2"/>
      </c>
    </row>
    <row r="14863">
      <c r="G14863" s="9">
        <f t="shared" si="0"/>
      </c>
      <c r="L14863">
        <f t="shared" si="1"/>
      </c>
      <c r="M14863">
        <f t="shared" si="2"/>
      </c>
    </row>
    <row r="14864">
      <c r="G14864" s="9">
        <f t="shared" si="0"/>
      </c>
      <c r="L14864">
        <f t="shared" si="1"/>
      </c>
      <c r="M14864">
        <f t="shared" si="2"/>
      </c>
    </row>
    <row r="14865">
      <c r="G14865" s="9">
        <f t="shared" si="0"/>
      </c>
      <c r="L14865">
        <f t="shared" si="1"/>
      </c>
      <c r="M14865">
        <f t="shared" si="2"/>
      </c>
    </row>
    <row r="14866">
      <c r="G14866" s="9">
        <f t="shared" si="0"/>
      </c>
      <c r="L14866">
        <f t="shared" si="1"/>
      </c>
      <c r="M14866">
        <f t="shared" si="2"/>
      </c>
    </row>
    <row r="14867">
      <c r="G14867" s="9">
        <f t="shared" si="0"/>
      </c>
      <c r="L14867">
        <f t="shared" si="1"/>
      </c>
      <c r="M14867">
        <f t="shared" si="2"/>
      </c>
    </row>
    <row r="14868">
      <c r="G14868" s="9">
        <f t="shared" si="0"/>
      </c>
      <c r="L14868">
        <f t="shared" si="1"/>
      </c>
      <c r="M14868">
        <f t="shared" si="2"/>
      </c>
    </row>
    <row r="14869">
      <c r="G14869" s="9">
        <f t="shared" si="0"/>
      </c>
      <c r="L14869">
        <f t="shared" si="1"/>
      </c>
      <c r="M14869">
        <f t="shared" si="2"/>
      </c>
    </row>
    <row r="14870">
      <c r="G14870" s="9">
        <f t="shared" si="0"/>
      </c>
      <c r="L14870">
        <f t="shared" si="1"/>
      </c>
      <c r="M14870">
        <f t="shared" si="2"/>
      </c>
    </row>
    <row r="14871">
      <c r="G14871" s="9">
        <f t="shared" si="0"/>
      </c>
      <c r="L14871">
        <f t="shared" si="1"/>
      </c>
      <c r="M14871">
        <f t="shared" si="2"/>
      </c>
    </row>
    <row r="14872">
      <c r="G14872" s="9">
        <f t="shared" si="0"/>
      </c>
      <c r="L14872">
        <f t="shared" si="1"/>
      </c>
      <c r="M14872">
        <f t="shared" si="2"/>
      </c>
    </row>
    <row r="14873">
      <c r="G14873" s="9">
        <f t="shared" si="0"/>
      </c>
      <c r="L14873">
        <f t="shared" si="1"/>
      </c>
      <c r="M14873">
        <f t="shared" si="2"/>
      </c>
    </row>
    <row r="14874">
      <c r="G14874" s="9">
        <f t="shared" si="0"/>
      </c>
      <c r="L14874">
        <f t="shared" si="1"/>
      </c>
      <c r="M14874">
        <f t="shared" si="2"/>
      </c>
    </row>
    <row r="14875">
      <c r="G14875" s="9">
        <f t="shared" si="0"/>
      </c>
      <c r="L14875">
        <f t="shared" si="1"/>
      </c>
      <c r="M14875">
        <f t="shared" si="2"/>
      </c>
    </row>
    <row r="14876">
      <c r="G14876" s="9">
        <f t="shared" si="0"/>
      </c>
      <c r="L14876">
        <f t="shared" si="1"/>
      </c>
      <c r="M14876">
        <f t="shared" si="2"/>
      </c>
    </row>
    <row r="14877">
      <c r="G14877" s="9">
        <f t="shared" si="0"/>
      </c>
      <c r="L14877">
        <f t="shared" si="1"/>
      </c>
      <c r="M14877">
        <f t="shared" si="2"/>
      </c>
    </row>
    <row r="14878">
      <c r="G14878" s="9">
        <f t="shared" si="0"/>
      </c>
      <c r="L14878">
        <f t="shared" si="1"/>
      </c>
      <c r="M14878">
        <f t="shared" si="2"/>
      </c>
    </row>
    <row r="14879">
      <c r="G14879" s="9">
        <f t="shared" si="0"/>
      </c>
      <c r="L14879">
        <f t="shared" si="1"/>
      </c>
      <c r="M14879">
        <f t="shared" si="2"/>
      </c>
    </row>
    <row r="14880">
      <c r="G14880" s="9">
        <f t="shared" si="0"/>
      </c>
      <c r="L14880">
        <f t="shared" si="1"/>
      </c>
      <c r="M14880">
        <f t="shared" si="2"/>
      </c>
    </row>
    <row r="14881">
      <c r="G14881" s="9">
        <f t="shared" si="0"/>
      </c>
      <c r="L14881">
        <f t="shared" si="1"/>
      </c>
      <c r="M14881">
        <f t="shared" si="2"/>
      </c>
    </row>
    <row r="14882">
      <c r="G14882" s="9">
        <f t="shared" si="0"/>
      </c>
      <c r="L14882">
        <f t="shared" si="1"/>
      </c>
      <c r="M14882">
        <f t="shared" si="2"/>
      </c>
    </row>
    <row r="14883">
      <c r="G14883" s="9">
        <f t="shared" si="0"/>
      </c>
      <c r="L14883">
        <f t="shared" si="1"/>
      </c>
      <c r="M14883">
        <f t="shared" si="2"/>
      </c>
    </row>
    <row r="14884">
      <c r="G14884" s="9">
        <f t="shared" si="0"/>
      </c>
      <c r="L14884">
        <f t="shared" si="1"/>
      </c>
      <c r="M14884">
        <f t="shared" si="2"/>
      </c>
    </row>
    <row r="14885">
      <c r="G14885" s="9">
        <f t="shared" si="0"/>
      </c>
      <c r="L14885">
        <f t="shared" si="1"/>
      </c>
      <c r="M14885">
        <f t="shared" si="2"/>
      </c>
    </row>
    <row r="14886">
      <c r="G14886" s="9">
        <f t="shared" si="0"/>
      </c>
      <c r="L14886">
        <f t="shared" si="1"/>
      </c>
      <c r="M14886">
        <f t="shared" si="2"/>
      </c>
    </row>
    <row r="14887">
      <c r="G14887" s="9">
        <f t="shared" si="0"/>
      </c>
      <c r="L14887">
        <f t="shared" si="1"/>
      </c>
      <c r="M14887">
        <f t="shared" si="2"/>
      </c>
    </row>
    <row r="14888">
      <c r="G14888" s="9">
        <f t="shared" si="0"/>
      </c>
      <c r="L14888">
        <f t="shared" si="1"/>
      </c>
      <c r="M14888">
        <f t="shared" si="2"/>
      </c>
    </row>
    <row r="14889">
      <c r="G14889" s="9">
        <f t="shared" si="0"/>
      </c>
      <c r="L14889">
        <f t="shared" si="1"/>
      </c>
      <c r="M14889">
        <f t="shared" si="2"/>
      </c>
    </row>
    <row r="14890">
      <c r="G14890" s="9">
        <f t="shared" si="0"/>
      </c>
      <c r="L14890">
        <f t="shared" si="1"/>
      </c>
      <c r="M14890">
        <f t="shared" si="2"/>
      </c>
    </row>
    <row r="14891">
      <c r="G14891" s="9">
        <f t="shared" si="0"/>
      </c>
      <c r="L14891">
        <f t="shared" si="1"/>
      </c>
      <c r="M14891">
        <f t="shared" si="2"/>
      </c>
    </row>
    <row r="14892">
      <c r="G14892" s="9">
        <f t="shared" si="0"/>
      </c>
      <c r="L14892">
        <f t="shared" si="1"/>
      </c>
      <c r="M14892">
        <f t="shared" si="2"/>
      </c>
    </row>
    <row r="14893">
      <c r="G14893" s="9">
        <f t="shared" si="0"/>
      </c>
      <c r="L14893">
        <f t="shared" si="1"/>
      </c>
      <c r="M14893">
        <f t="shared" si="2"/>
      </c>
    </row>
    <row r="14894">
      <c r="G14894" s="9">
        <f t="shared" si="0"/>
      </c>
      <c r="L14894">
        <f t="shared" si="1"/>
      </c>
      <c r="M14894">
        <f t="shared" si="2"/>
      </c>
    </row>
    <row r="14895">
      <c r="G14895" s="9">
        <f t="shared" si="0"/>
      </c>
      <c r="L14895">
        <f t="shared" si="1"/>
      </c>
      <c r="M14895">
        <f t="shared" si="2"/>
      </c>
    </row>
    <row r="14896">
      <c r="G14896" s="9">
        <f t="shared" si="0"/>
      </c>
      <c r="L14896">
        <f t="shared" si="1"/>
      </c>
      <c r="M14896">
        <f t="shared" si="2"/>
      </c>
    </row>
    <row r="14897">
      <c r="G14897" s="9">
        <f t="shared" si="0"/>
      </c>
      <c r="L14897">
        <f t="shared" si="1"/>
      </c>
      <c r="M14897">
        <f t="shared" si="2"/>
      </c>
    </row>
    <row r="14898">
      <c r="G14898" s="9">
        <f t="shared" si="0"/>
      </c>
      <c r="L14898">
        <f t="shared" si="1"/>
      </c>
      <c r="M14898">
        <f t="shared" si="2"/>
      </c>
    </row>
    <row r="14899">
      <c r="G14899" s="9">
        <f t="shared" si="0"/>
      </c>
      <c r="L14899">
        <f t="shared" si="1"/>
      </c>
      <c r="M14899">
        <f t="shared" si="2"/>
      </c>
    </row>
    <row r="14900">
      <c r="G14900" s="9">
        <f t="shared" si="0"/>
      </c>
      <c r="L14900">
        <f t="shared" si="1"/>
      </c>
      <c r="M14900">
        <f t="shared" si="2"/>
      </c>
    </row>
    <row r="14901">
      <c r="G14901" s="9">
        <f t="shared" si="0"/>
      </c>
      <c r="L14901">
        <f t="shared" si="1"/>
      </c>
      <c r="M14901">
        <f t="shared" si="2"/>
      </c>
    </row>
    <row r="14902">
      <c r="G14902" s="9">
        <f t="shared" si="0"/>
      </c>
      <c r="L14902">
        <f t="shared" si="1"/>
      </c>
      <c r="M14902">
        <f t="shared" si="2"/>
      </c>
    </row>
    <row r="14903">
      <c r="G14903" s="9">
        <f t="shared" si="0"/>
      </c>
      <c r="L14903">
        <f t="shared" si="1"/>
      </c>
      <c r="M14903">
        <f t="shared" si="2"/>
      </c>
    </row>
    <row r="14904">
      <c r="G14904" s="9">
        <f t="shared" si="0"/>
      </c>
      <c r="L14904">
        <f t="shared" si="1"/>
      </c>
      <c r="M14904">
        <f t="shared" si="2"/>
      </c>
    </row>
    <row r="14905">
      <c r="G14905" s="9">
        <f t="shared" si="0"/>
      </c>
      <c r="L14905">
        <f t="shared" si="1"/>
      </c>
      <c r="M14905">
        <f t="shared" si="2"/>
      </c>
    </row>
    <row r="14906">
      <c r="G14906" s="9">
        <f t="shared" si="0"/>
      </c>
      <c r="L14906">
        <f t="shared" si="1"/>
      </c>
      <c r="M14906">
        <f t="shared" si="2"/>
      </c>
    </row>
    <row r="14907">
      <c r="G14907" s="9">
        <f t="shared" si="0"/>
      </c>
      <c r="L14907">
        <f t="shared" si="1"/>
      </c>
      <c r="M14907">
        <f t="shared" si="2"/>
      </c>
    </row>
    <row r="14908">
      <c r="G14908" s="9">
        <f t="shared" si="0"/>
      </c>
      <c r="L14908">
        <f t="shared" si="1"/>
      </c>
      <c r="M14908">
        <f t="shared" si="2"/>
      </c>
    </row>
    <row r="14909">
      <c r="G14909" s="9">
        <f t="shared" si="0"/>
      </c>
      <c r="L14909">
        <f t="shared" si="1"/>
      </c>
      <c r="M14909">
        <f t="shared" si="2"/>
      </c>
    </row>
    <row r="14910">
      <c r="G14910" s="9">
        <f t="shared" si="0"/>
      </c>
      <c r="L14910">
        <f t="shared" si="1"/>
      </c>
      <c r="M14910">
        <f t="shared" si="2"/>
      </c>
    </row>
    <row r="14911">
      <c r="G14911" s="9">
        <f t="shared" si="0"/>
      </c>
      <c r="L14911">
        <f t="shared" si="1"/>
      </c>
      <c r="M14911">
        <f t="shared" si="2"/>
      </c>
    </row>
    <row r="14912">
      <c r="G14912" s="9">
        <f t="shared" si="0"/>
      </c>
      <c r="L14912">
        <f t="shared" si="1"/>
      </c>
      <c r="M14912">
        <f t="shared" si="2"/>
      </c>
    </row>
    <row r="14913">
      <c r="G14913" s="9">
        <f t="shared" si="0"/>
      </c>
      <c r="L14913">
        <f t="shared" si="1"/>
      </c>
      <c r="M14913">
        <f t="shared" si="2"/>
      </c>
    </row>
    <row r="14914">
      <c r="G14914" s="9">
        <f t="shared" si="0"/>
      </c>
      <c r="L14914">
        <f t="shared" si="1"/>
      </c>
      <c r="M14914">
        <f t="shared" si="2"/>
      </c>
    </row>
    <row r="14915">
      <c r="G14915" s="9">
        <f t="shared" si="0"/>
      </c>
      <c r="L14915">
        <f t="shared" si="1"/>
      </c>
      <c r="M14915">
        <f t="shared" si="2"/>
      </c>
    </row>
    <row r="14916">
      <c r="G14916" s="9">
        <f t="shared" si="0"/>
      </c>
      <c r="L14916">
        <f t="shared" si="1"/>
      </c>
      <c r="M14916">
        <f t="shared" si="2"/>
      </c>
    </row>
    <row r="14917">
      <c r="G14917" s="9">
        <f t="shared" si="0"/>
      </c>
      <c r="L14917">
        <f t="shared" si="1"/>
      </c>
      <c r="M14917">
        <f t="shared" si="2"/>
      </c>
    </row>
    <row r="14918">
      <c r="G14918" s="9">
        <f t="shared" si="0"/>
      </c>
      <c r="L14918">
        <f t="shared" si="1"/>
      </c>
      <c r="M14918">
        <f t="shared" si="2"/>
      </c>
    </row>
    <row r="14919">
      <c r="G14919" s="9">
        <f t="shared" si="0"/>
      </c>
      <c r="L14919">
        <f t="shared" si="1"/>
      </c>
      <c r="M14919">
        <f t="shared" si="2"/>
      </c>
    </row>
    <row r="14920">
      <c r="G14920" s="9">
        <f t="shared" si="0"/>
      </c>
      <c r="L14920">
        <f t="shared" si="1"/>
      </c>
      <c r="M14920">
        <f t="shared" si="2"/>
      </c>
    </row>
    <row r="14921">
      <c r="G14921" s="9">
        <f t="shared" si="0"/>
      </c>
      <c r="L14921">
        <f t="shared" si="1"/>
      </c>
      <c r="M14921">
        <f t="shared" si="2"/>
      </c>
    </row>
    <row r="14922">
      <c r="G14922" s="9">
        <f t="shared" si="0"/>
      </c>
      <c r="L14922">
        <f t="shared" si="1"/>
      </c>
      <c r="M14922">
        <f t="shared" si="2"/>
      </c>
    </row>
    <row r="14923">
      <c r="G14923" s="9">
        <f t="shared" si="0"/>
      </c>
      <c r="L14923">
        <f t="shared" si="1"/>
      </c>
      <c r="M14923">
        <f t="shared" si="2"/>
      </c>
    </row>
    <row r="14924">
      <c r="G14924" s="9">
        <f t="shared" si="0"/>
      </c>
      <c r="L14924">
        <f t="shared" si="1"/>
      </c>
      <c r="M14924">
        <f t="shared" si="2"/>
      </c>
    </row>
    <row r="14925">
      <c r="G14925" s="9">
        <f t="shared" si="0"/>
      </c>
      <c r="L14925">
        <f t="shared" si="1"/>
      </c>
      <c r="M14925">
        <f t="shared" si="2"/>
      </c>
    </row>
    <row r="14926">
      <c r="G14926" s="9">
        <f t="shared" si="0"/>
      </c>
      <c r="L14926">
        <f t="shared" si="1"/>
      </c>
      <c r="M14926">
        <f t="shared" si="2"/>
      </c>
    </row>
    <row r="14927">
      <c r="G14927" s="9">
        <f t="shared" si="0"/>
      </c>
      <c r="L14927">
        <f t="shared" si="1"/>
      </c>
      <c r="M14927">
        <f t="shared" si="2"/>
      </c>
    </row>
    <row r="14928">
      <c r="G14928" s="9">
        <f t="shared" si="0"/>
      </c>
      <c r="L14928">
        <f t="shared" si="1"/>
      </c>
      <c r="M14928">
        <f t="shared" si="2"/>
      </c>
    </row>
    <row r="14929">
      <c r="G14929" s="9">
        <f t="shared" si="0"/>
      </c>
      <c r="L14929">
        <f t="shared" si="1"/>
      </c>
      <c r="M14929">
        <f t="shared" si="2"/>
      </c>
    </row>
    <row r="14930">
      <c r="G14930" s="9">
        <f t="shared" si="0"/>
      </c>
      <c r="L14930">
        <f t="shared" si="1"/>
      </c>
      <c r="M14930">
        <f t="shared" si="2"/>
      </c>
    </row>
    <row r="14931">
      <c r="G14931" s="9">
        <f t="shared" si="0"/>
      </c>
      <c r="L14931">
        <f t="shared" si="1"/>
      </c>
      <c r="M14931">
        <f t="shared" si="2"/>
      </c>
    </row>
    <row r="14932">
      <c r="G14932" s="9">
        <f t="shared" si="0"/>
      </c>
      <c r="L14932">
        <f t="shared" si="1"/>
      </c>
      <c r="M14932">
        <f t="shared" si="2"/>
      </c>
    </row>
    <row r="14933">
      <c r="G14933" s="9">
        <f t="shared" si="0"/>
      </c>
      <c r="L14933">
        <f t="shared" si="1"/>
      </c>
      <c r="M14933">
        <f t="shared" si="2"/>
      </c>
    </row>
    <row r="14934">
      <c r="G14934" s="9">
        <f t="shared" si="0"/>
      </c>
      <c r="L14934">
        <f t="shared" si="1"/>
      </c>
      <c r="M14934">
        <f t="shared" si="2"/>
      </c>
    </row>
    <row r="14935">
      <c r="G14935" s="9">
        <f t="shared" si="0"/>
      </c>
      <c r="L14935">
        <f t="shared" si="1"/>
      </c>
      <c r="M14935">
        <f t="shared" si="2"/>
      </c>
    </row>
    <row r="14936">
      <c r="G14936" s="9">
        <f t="shared" si="0"/>
      </c>
      <c r="L14936">
        <f t="shared" si="1"/>
      </c>
      <c r="M14936">
        <f t="shared" si="2"/>
      </c>
    </row>
    <row r="14937">
      <c r="G14937" s="9">
        <f t="shared" si="0"/>
      </c>
      <c r="L14937">
        <f t="shared" si="1"/>
      </c>
      <c r="M14937">
        <f t="shared" si="2"/>
      </c>
    </row>
    <row r="14938">
      <c r="G14938" s="9">
        <f t="shared" si="0"/>
      </c>
      <c r="L14938">
        <f t="shared" si="1"/>
      </c>
      <c r="M14938">
        <f t="shared" si="2"/>
      </c>
    </row>
    <row r="14939">
      <c r="G14939" s="9">
        <f t="shared" si="0"/>
      </c>
      <c r="L14939">
        <f t="shared" si="1"/>
      </c>
      <c r="M14939">
        <f t="shared" si="2"/>
      </c>
    </row>
    <row r="14940">
      <c r="G14940" s="9">
        <f t="shared" si="0"/>
      </c>
      <c r="L14940">
        <f t="shared" si="1"/>
      </c>
      <c r="M14940">
        <f t="shared" si="2"/>
      </c>
    </row>
    <row r="14941">
      <c r="G14941" s="9">
        <f t="shared" si="0"/>
      </c>
      <c r="L14941">
        <f t="shared" si="1"/>
      </c>
      <c r="M14941">
        <f t="shared" si="2"/>
      </c>
    </row>
    <row r="14942">
      <c r="G14942" s="9">
        <f t="shared" si="0"/>
      </c>
      <c r="L14942">
        <f t="shared" si="1"/>
      </c>
      <c r="M14942">
        <f t="shared" si="2"/>
      </c>
    </row>
    <row r="14943">
      <c r="G14943" s="9">
        <f t="shared" si="0"/>
      </c>
      <c r="L14943">
        <f t="shared" si="1"/>
      </c>
      <c r="M14943">
        <f t="shared" si="2"/>
      </c>
    </row>
    <row r="14944">
      <c r="G14944" s="9">
        <f t="shared" si="0"/>
      </c>
      <c r="L14944">
        <f t="shared" si="1"/>
      </c>
      <c r="M14944">
        <f t="shared" si="2"/>
      </c>
    </row>
    <row r="14945">
      <c r="G14945" s="9">
        <f t="shared" si="0"/>
      </c>
      <c r="L14945">
        <f t="shared" si="1"/>
      </c>
      <c r="M14945">
        <f t="shared" si="2"/>
      </c>
    </row>
    <row r="14946">
      <c r="G14946" s="9">
        <f t="shared" si="0"/>
      </c>
      <c r="L14946">
        <f t="shared" si="1"/>
      </c>
      <c r="M14946">
        <f t="shared" si="2"/>
      </c>
    </row>
    <row r="14947">
      <c r="G14947" s="9">
        <f t="shared" si="0"/>
      </c>
      <c r="L14947">
        <f t="shared" si="1"/>
      </c>
      <c r="M14947">
        <f t="shared" si="2"/>
      </c>
    </row>
    <row r="14948">
      <c r="G14948" s="9">
        <f t="shared" si="0"/>
      </c>
      <c r="L14948">
        <f t="shared" si="1"/>
      </c>
      <c r="M14948">
        <f t="shared" si="2"/>
      </c>
    </row>
    <row r="14949">
      <c r="G14949" s="9">
        <f t="shared" si="0"/>
      </c>
      <c r="L14949">
        <f t="shared" si="1"/>
      </c>
      <c r="M14949">
        <f t="shared" si="2"/>
      </c>
    </row>
    <row r="14950">
      <c r="G14950" s="9">
        <f t="shared" si="0"/>
      </c>
      <c r="L14950">
        <f t="shared" si="1"/>
      </c>
      <c r="M14950">
        <f t="shared" si="2"/>
      </c>
    </row>
    <row r="14951">
      <c r="G14951" s="9">
        <f t="shared" si="0"/>
      </c>
      <c r="L14951">
        <f t="shared" si="1"/>
      </c>
      <c r="M14951">
        <f t="shared" si="2"/>
      </c>
    </row>
    <row r="14952">
      <c r="G14952" s="9">
        <f t="shared" si="0"/>
      </c>
      <c r="L14952">
        <f t="shared" si="1"/>
      </c>
      <c r="M14952">
        <f t="shared" si="2"/>
      </c>
    </row>
    <row r="14953">
      <c r="G14953" s="9">
        <f t="shared" si="0"/>
      </c>
      <c r="L14953">
        <f t="shared" si="1"/>
      </c>
      <c r="M14953">
        <f t="shared" si="2"/>
      </c>
    </row>
    <row r="14954">
      <c r="G14954" s="9">
        <f t="shared" si="0"/>
      </c>
      <c r="L14954">
        <f t="shared" si="1"/>
      </c>
      <c r="M14954">
        <f t="shared" si="2"/>
      </c>
    </row>
    <row r="14955">
      <c r="G14955" s="9">
        <f t="shared" si="0"/>
      </c>
      <c r="L14955">
        <f t="shared" si="1"/>
      </c>
      <c r="M14955">
        <f t="shared" si="2"/>
      </c>
    </row>
    <row r="14956">
      <c r="G14956" s="9">
        <f t="shared" si="0"/>
      </c>
      <c r="L14956">
        <f t="shared" si="1"/>
      </c>
      <c r="M14956">
        <f t="shared" si="2"/>
      </c>
    </row>
    <row r="14957">
      <c r="G14957" s="9">
        <f t="shared" si="0"/>
      </c>
      <c r="L14957">
        <f t="shared" si="1"/>
      </c>
      <c r="M14957">
        <f t="shared" si="2"/>
      </c>
    </row>
    <row r="14958">
      <c r="G14958" s="9">
        <f t="shared" si="0"/>
      </c>
      <c r="L14958">
        <f t="shared" si="1"/>
      </c>
      <c r="M14958">
        <f t="shared" si="2"/>
      </c>
    </row>
    <row r="14959">
      <c r="G14959" s="9">
        <f t="shared" si="0"/>
      </c>
      <c r="L14959">
        <f t="shared" si="1"/>
      </c>
      <c r="M14959">
        <f t="shared" si="2"/>
      </c>
    </row>
    <row r="14960">
      <c r="G14960" s="9">
        <f t="shared" si="0"/>
      </c>
      <c r="L14960">
        <f t="shared" si="1"/>
      </c>
      <c r="M14960">
        <f t="shared" si="2"/>
      </c>
    </row>
    <row r="14961">
      <c r="G14961" s="9">
        <f t="shared" si="0"/>
      </c>
      <c r="L14961">
        <f t="shared" si="1"/>
      </c>
      <c r="M14961">
        <f t="shared" si="2"/>
      </c>
    </row>
    <row r="14962">
      <c r="G14962" s="9">
        <f t="shared" si="0"/>
      </c>
      <c r="L14962">
        <f t="shared" si="1"/>
      </c>
      <c r="M14962">
        <f t="shared" si="2"/>
      </c>
    </row>
    <row r="14963">
      <c r="G14963" s="9">
        <f t="shared" si="0"/>
      </c>
      <c r="L14963">
        <f t="shared" si="1"/>
      </c>
      <c r="M14963">
        <f t="shared" si="2"/>
      </c>
    </row>
    <row r="14964">
      <c r="G14964" s="9">
        <f t="shared" si="0"/>
      </c>
      <c r="L14964">
        <f t="shared" si="1"/>
      </c>
      <c r="M14964">
        <f t="shared" si="2"/>
      </c>
    </row>
    <row r="14965">
      <c r="G14965" s="9">
        <f t="shared" si="0"/>
      </c>
      <c r="L14965">
        <f t="shared" si="1"/>
      </c>
      <c r="M14965">
        <f t="shared" si="2"/>
      </c>
    </row>
    <row r="14966">
      <c r="G14966" s="9">
        <f t="shared" si="0"/>
      </c>
      <c r="L14966">
        <f t="shared" si="1"/>
      </c>
      <c r="M14966">
        <f t="shared" si="2"/>
      </c>
    </row>
    <row r="14967">
      <c r="G14967" s="9">
        <f t="shared" si="0"/>
      </c>
      <c r="L14967">
        <f t="shared" si="1"/>
      </c>
      <c r="M14967">
        <f t="shared" si="2"/>
      </c>
    </row>
    <row r="14968">
      <c r="G14968" s="9">
        <f t="shared" si="0"/>
      </c>
      <c r="L14968">
        <f t="shared" si="1"/>
      </c>
      <c r="M14968">
        <f t="shared" si="2"/>
      </c>
    </row>
    <row r="14969">
      <c r="G14969" s="9">
        <f t="shared" si="0"/>
      </c>
      <c r="L14969">
        <f t="shared" si="1"/>
      </c>
      <c r="M14969">
        <f t="shared" si="2"/>
      </c>
    </row>
    <row r="14970">
      <c r="G14970" s="9">
        <f t="shared" si="0"/>
      </c>
      <c r="L14970">
        <f t="shared" si="1"/>
      </c>
      <c r="M14970">
        <f t="shared" si="2"/>
      </c>
    </row>
    <row r="14971">
      <c r="G14971" s="9">
        <f t="shared" si="0"/>
      </c>
      <c r="L14971">
        <f t="shared" si="1"/>
      </c>
      <c r="M14971">
        <f t="shared" si="2"/>
      </c>
    </row>
    <row r="14972">
      <c r="G14972" s="9">
        <f t="shared" si="0"/>
      </c>
      <c r="L14972">
        <f t="shared" si="1"/>
      </c>
      <c r="M14972">
        <f t="shared" si="2"/>
      </c>
    </row>
    <row r="14973">
      <c r="G14973" s="9">
        <f t="shared" si="0"/>
      </c>
      <c r="L14973">
        <f t="shared" si="1"/>
      </c>
      <c r="M14973">
        <f t="shared" si="2"/>
      </c>
    </row>
    <row r="14974">
      <c r="G14974" s="9">
        <f t="shared" si="0"/>
      </c>
      <c r="L14974">
        <f t="shared" si="1"/>
      </c>
      <c r="M14974">
        <f t="shared" si="2"/>
      </c>
    </row>
    <row r="14975">
      <c r="G14975" s="9">
        <f t="shared" si="0"/>
      </c>
      <c r="L14975">
        <f t="shared" si="1"/>
      </c>
      <c r="M14975">
        <f t="shared" si="2"/>
      </c>
    </row>
    <row r="14976">
      <c r="G14976" s="9">
        <f t="shared" si="0"/>
      </c>
      <c r="L14976">
        <f t="shared" si="1"/>
      </c>
      <c r="M14976">
        <f t="shared" si="2"/>
      </c>
    </row>
    <row r="14977">
      <c r="G14977" s="9">
        <f t="shared" si="0"/>
      </c>
      <c r="L14977">
        <f t="shared" si="1"/>
      </c>
      <c r="M14977">
        <f t="shared" si="2"/>
      </c>
    </row>
    <row r="14978">
      <c r="G14978" s="9">
        <f t="shared" si="0"/>
      </c>
      <c r="L14978">
        <f t="shared" si="1"/>
      </c>
      <c r="M14978">
        <f t="shared" si="2"/>
      </c>
    </row>
    <row r="14979">
      <c r="G14979" s="9">
        <f t="shared" si="0"/>
      </c>
      <c r="L14979">
        <f t="shared" si="1"/>
      </c>
      <c r="M14979">
        <f t="shared" si="2"/>
      </c>
    </row>
    <row r="14980">
      <c r="G14980" s="9">
        <f t="shared" si="0"/>
      </c>
      <c r="L14980">
        <f t="shared" si="1"/>
      </c>
      <c r="M14980">
        <f t="shared" si="2"/>
      </c>
    </row>
    <row r="14981">
      <c r="G14981" s="9">
        <f t="shared" si="0"/>
      </c>
      <c r="L14981">
        <f t="shared" si="1"/>
      </c>
      <c r="M14981">
        <f t="shared" si="2"/>
      </c>
    </row>
    <row r="14982">
      <c r="G14982" s="9">
        <f t="shared" si="0"/>
      </c>
      <c r="L14982">
        <f t="shared" si="1"/>
      </c>
      <c r="M14982">
        <f t="shared" si="2"/>
      </c>
    </row>
    <row r="14983">
      <c r="G14983" s="9">
        <f t="shared" si="0"/>
      </c>
      <c r="L14983">
        <f t="shared" si="1"/>
      </c>
      <c r="M14983">
        <f t="shared" si="2"/>
      </c>
    </row>
    <row r="14984">
      <c r="G14984" s="9">
        <f t="shared" si="0"/>
      </c>
      <c r="L14984">
        <f t="shared" si="1"/>
      </c>
      <c r="M14984">
        <f t="shared" si="2"/>
      </c>
    </row>
    <row r="14985">
      <c r="G14985" s="9">
        <f t="shared" si="0"/>
      </c>
      <c r="L14985">
        <f t="shared" si="1"/>
      </c>
      <c r="M14985">
        <f t="shared" si="2"/>
      </c>
    </row>
    <row r="14986">
      <c r="G14986" s="9">
        <f t="shared" si="0"/>
      </c>
      <c r="L14986">
        <f t="shared" si="1"/>
      </c>
      <c r="M14986">
        <f t="shared" si="2"/>
      </c>
    </row>
    <row r="14987">
      <c r="G14987" s="9">
        <f t="shared" si="0"/>
      </c>
      <c r="L14987">
        <f t="shared" si="1"/>
      </c>
      <c r="M14987">
        <f t="shared" si="2"/>
      </c>
    </row>
    <row r="14988">
      <c r="G14988" s="9">
        <f t="shared" si="0"/>
      </c>
      <c r="L14988">
        <f t="shared" si="1"/>
      </c>
      <c r="M14988">
        <f t="shared" si="2"/>
      </c>
    </row>
    <row r="14989">
      <c r="G14989" s="9">
        <f t="shared" si="0"/>
      </c>
      <c r="L14989">
        <f t="shared" si="1"/>
      </c>
      <c r="M14989">
        <f t="shared" si="2"/>
      </c>
    </row>
    <row r="14990">
      <c r="G14990" s="9">
        <f t="shared" si="0"/>
      </c>
      <c r="L14990">
        <f t="shared" si="1"/>
      </c>
      <c r="M14990">
        <f t="shared" si="2"/>
      </c>
    </row>
    <row r="14991">
      <c r="G14991" s="9">
        <f t="shared" si="0"/>
      </c>
      <c r="L14991">
        <f t="shared" si="1"/>
      </c>
      <c r="M14991">
        <f t="shared" si="2"/>
      </c>
    </row>
    <row r="14992">
      <c r="G14992" s="9">
        <f t="shared" si="0"/>
      </c>
      <c r="L14992">
        <f t="shared" si="1"/>
      </c>
      <c r="M14992">
        <f t="shared" si="2"/>
      </c>
    </row>
    <row r="14993">
      <c r="G14993" s="9">
        <f t="shared" si="0"/>
      </c>
      <c r="L14993">
        <f t="shared" si="1"/>
      </c>
      <c r="M14993">
        <f t="shared" si="2"/>
      </c>
    </row>
    <row r="14994">
      <c r="G14994" s="9">
        <f t="shared" si="0"/>
      </c>
      <c r="L14994">
        <f t="shared" si="1"/>
      </c>
      <c r="M14994">
        <f t="shared" si="2"/>
      </c>
    </row>
    <row r="14995">
      <c r="G14995" s="9">
        <f t="shared" si="0"/>
      </c>
      <c r="L14995">
        <f t="shared" si="1"/>
      </c>
      <c r="M14995">
        <f t="shared" si="2"/>
      </c>
    </row>
    <row r="14996">
      <c r="G14996" s="9">
        <f t="shared" si="0"/>
      </c>
      <c r="L14996">
        <f t="shared" si="1"/>
      </c>
      <c r="M14996">
        <f t="shared" si="2"/>
      </c>
    </row>
    <row r="14997">
      <c r="G14997" s="9">
        <f t="shared" si="0"/>
      </c>
      <c r="L14997">
        <f t="shared" si="1"/>
      </c>
      <c r="M14997">
        <f t="shared" si="2"/>
      </c>
    </row>
    <row r="14998">
      <c r="G14998" s="9">
        <f t="shared" si="0"/>
      </c>
      <c r="L14998">
        <f t="shared" si="1"/>
      </c>
      <c r="M14998">
        <f t="shared" si="2"/>
      </c>
    </row>
    <row r="14999">
      <c r="G14999" s="9">
        <f t="shared" si="0"/>
      </c>
      <c r="L14999">
        <f t="shared" si="1"/>
      </c>
      <c r="M14999">
        <f t="shared" si="2"/>
      </c>
    </row>
    <row r="15000">
      <c r="G15000" s="9">
        <f t="shared" si="0"/>
      </c>
      <c r="L15000">
        <f t="shared" si="1"/>
      </c>
      <c r="M15000">
        <f t="shared" si="2"/>
      </c>
    </row>
    <row r="15001">
      <c r="G15001" s="9">
        <f t="shared" si="0"/>
      </c>
      <c r="L15001">
        <f t="shared" si="1"/>
      </c>
      <c r="M15001">
        <f t="shared" si="2"/>
      </c>
    </row>
    <row r="15002">
      <c r="G15002" s="9">
        <f t="shared" si="0"/>
      </c>
      <c r="L15002">
        <f t="shared" si="1"/>
      </c>
      <c r="M15002">
        <f t="shared" si="2"/>
      </c>
    </row>
    <row r="15003">
      <c r="G15003" s="9">
        <f t="shared" si="0"/>
      </c>
      <c r="L15003">
        <f t="shared" si="1"/>
      </c>
      <c r="M15003">
        <f t="shared" si="2"/>
      </c>
    </row>
    <row r="15004">
      <c r="G15004" s="9">
        <f t="shared" si="0"/>
      </c>
      <c r="L15004">
        <f t="shared" si="1"/>
      </c>
      <c r="M15004">
        <f t="shared" si="2"/>
      </c>
    </row>
    <row r="15005">
      <c r="G15005" s="9">
        <f t="shared" si="0"/>
      </c>
      <c r="L15005">
        <f t="shared" si="1"/>
      </c>
      <c r="M15005">
        <f t="shared" si="2"/>
      </c>
    </row>
    <row r="15006">
      <c r="G15006" s="9">
        <f t="shared" si="0"/>
      </c>
      <c r="L15006">
        <f t="shared" si="1"/>
      </c>
      <c r="M15006">
        <f t="shared" si="2"/>
      </c>
    </row>
    <row r="15007">
      <c r="G15007" s="9">
        <f t="shared" si="0"/>
      </c>
      <c r="L15007">
        <f t="shared" si="1"/>
      </c>
      <c r="M15007">
        <f t="shared" si="2"/>
      </c>
    </row>
    <row r="15008">
      <c r="G15008" s="9">
        <f t="shared" si="0"/>
      </c>
      <c r="L15008">
        <f t="shared" si="1"/>
      </c>
      <c r="M15008">
        <f t="shared" si="2"/>
      </c>
    </row>
    <row r="15009">
      <c r="G15009" s="9">
        <f t="shared" si="0"/>
      </c>
      <c r="L15009">
        <f t="shared" si="1"/>
      </c>
      <c r="M15009">
        <f t="shared" si="2"/>
      </c>
    </row>
    <row r="15010">
      <c r="G15010" s="9">
        <f t="shared" si="0"/>
      </c>
      <c r="L15010">
        <f t="shared" si="1"/>
      </c>
      <c r="M15010">
        <f t="shared" si="2"/>
      </c>
    </row>
    <row r="15011">
      <c r="G15011" s="9">
        <f t="shared" si="0"/>
      </c>
      <c r="L15011">
        <f t="shared" si="1"/>
      </c>
      <c r="M15011">
        <f t="shared" si="2"/>
      </c>
    </row>
    <row r="15012">
      <c r="G15012" s="9">
        <f t="shared" si="0"/>
      </c>
      <c r="L15012">
        <f t="shared" si="1"/>
      </c>
      <c r="M15012">
        <f t="shared" si="2"/>
      </c>
    </row>
    <row r="15013">
      <c r="G15013" s="9">
        <f t="shared" si="0"/>
      </c>
      <c r="L15013">
        <f t="shared" si="1"/>
      </c>
      <c r="M15013">
        <f t="shared" si="2"/>
      </c>
    </row>
    <row r="15014">
      <c r="G15014" s="9">
        <f t="shared" si="0"/>
      </c>
      <c r="L15014">
        <f t="shared" si="1"/>
      </c>
      <c r="M15014">
        <f t="shared" si="2"/>
      </c>
    </row>
    <row r="15015">
      <c r="G15015" s="9">
        <f t="shared" si="0"/>
      </c>
      <c r="L15015">
        <f t="shared" si="1"/>
      </c>
      <c r="M15015">
        <f t="shared" si="2"/>
      </c>
    </row>
    <row r="15016">
      <c r="G15016" s="9">
        <f t="shared" si="0"/>
      </c>
      <c r="L15016">
        <f t="shared" si="1"/>
      </c>
      <c r="M15016">
        <f t="shared" si="2"/>
      </c>
    </row>
    <row r="15017">
      <c r="G15017" s="9">
        <f t="shared" si="0"/>
      </c>
      <c r="L15017">
        <f t="shared" si="1"/>
      </c>
      <c r="M15017">
        <f t="shared" si="2"/>
      </c>
    </row>
    <row r="15018">
      <c r="G15018" s="9">
        <f t="shared" si="0"/>
      </c>
      <c r="L15018">
        <f t="shared" si="1"/>
      </c>
      <c r="M15018">
        <f t="shared" si="2"/>
      </c>
    </row>
    <row r="15019">
      <c r="G15019" s="9">
        <f t="shared" si="0"/>
      </c>
      <c r="L15019">
        <f t="shared" si="1"/>
      </c>
      <c r="M15019">
        <f t="shared" si="2"/>
      </c>
    </row>
    <row r="15020">
      <c r="G15020" s="9">
        <f t="shared" si="0"/>
      </c>
      <c r="L15020">
        <f t="shared" si="1"/>
      </c>
      <c r="M15020">
        <f t="shared" si="2"/>
      </c>
    </row>
    <row r="15021">
      <c r="G15021" s="9">
        <f t="shared" si="0"/>
      </c>
      <c r="L15021">
        <f t="shared" si="1"/>
      </c>
      <c r="M15021">
        <f t="shared" si="2"/>
      </c>
    </row>
    <row r="15022">
      <c r="G15022" s="9">
        <f t="shared" si="0"/>
      </c>
      <c r="L15022">
        <f t="shared" si="1"/>
      </c>
      <c r="M15022">
        <f t="shared" si="2"/>
      </c>
    </row>
    <row r="15023">
      <c r="G15023" s="9">
        <f t="shared" si="0"/>
      </c>
      <c r="L15023">
        <f t="shared" si="1"/>
      </c>
      <c r="M15023">
        <f t="shared" si="2"/>
      </c>
    </row>
    <row r="15024">
      <c r="G15024" s="9">
        <f t="shared" si="0"/>
      </c>
      <c r="L15024">
        <f t="shared" si="1"/>
      </c>
      <c r="M15024">
        <f t="shared" si="2"/>
      </c>
    </row>
    <row r="15025">
      <c r="G15025" s="9">
        <f t="shared" si="0"/>
      </c>
      <c r="L15025">
        <f t="shared" si="1"/>
      </c>
      <c r="M15025">
        <f t="shared" si="2"/>
      </c>
    </row>
    <row r="15026">
      <c r="G15026" s="9">
        <f t="shared" si="0"/>
      </c>
      <c r="L15026">
        <f t="shared" si="1"/>
      </c>
      <c r="M15026">
        <f t="shared" si="2"/>
      </c>
    </row>
    <row r="15027">
      <c r="G15027" s="9">
        <f t="shared" si="0"/>
      </c>
      <c r="L15027">
        <f t="shared" si="1"/>
      </c>
      <c r="M15027">
        <f t="shared" si="2"/>
      </c>
    </row>
    <row r="15028">
      <c r="G15028" s="9">
        <f t="shared" si="0"/>
      </c>
      <c r="L15028">
        <f t="shared" si="1"/>
      </c>
      <c r="M15028">
        <f t="shared" si="2"/>
      </c>
    </row>
    <row r="15029">
      <c r="G15029" s="9">
        <f t="shared" si="0"/>
      </c>
      <c r="L15029">
        <f t="shared" si="1"/>
      </c>
      <c r="M15029">
        <f t="shared" si="2"/>
      </c>
    </row>
    <row r="15030">
      <c r="G15030" s="9">
        <f t="shared" si="0"/>
      </c>
      <c r="L15030">
        <f t="shared" si="1"/>
      </c>
      <c r="M15030">
        <f t="shared" si="2"/>
      </c>
    </row>
    <row r="15031">
      <c r="G15031" s="9">
        <f t="shared" si="0"/>
      </c>
      <c r="L15031">
        <f t="shared" si="1"/>
      </c>
      <c r="M15031">
        <f t="shared" si="2"/>
      </c>
    </row>
    <row r="15032">
      <c r="G15032" s="9">
        <f t="shared" si="0"/>
      </c>
      <c r="L15032">
        <f t="shared" si="1"/>
      </c>
      <c r="M15032">
        <f t="shared" si="2"/>
      </c>
    </row>
    <row r="15033">
      <c r="G15033" s="9">
        <f t="shared" si="0"/>
      </c>
      <c r="L15033">
        <f t="shared" si="1"/>
      </c>
      <c r="M15033">
        <f t="shared" si="2"/>
      </c>
    </row>
    <row r="15034">
      <c r="G15034" s="9">
        <f t="shared" si="0"/>
      </c>
      <c r="L15034">
        <f t="shared" si="1"/>
      </c>
      <c r="M15034">
        <f t="shared" si="2"/>
      </c>
    </row>
    <row r="15035">
      <c r="G15035" s="9">
        <f t="shared" si="0"/>
      </c>
      <c r="L15035">
        <f t="shared" si="1"/>
      </c>
      <c r="M15035">
        <f t="shared" si="2"/>
      </c>
    </row>
    <row r="15036">
      <c r="G15036" s="9">
        <f t="shared" si="0"/>
      </c>
      <c r="L15036">
        <f t="shared" si="1"/>
      </c>
      <c r="M15036">
        <f t="shared" si="2"/>
      </c>
    </row>
    <row r="15037">
      <c r="G15037" s="9">
        <f t="shared" si="0"/>
      </c>
      <c r="L15037">
        <f t="shared" si="1"/>
      </c>
      <c r="M15037">
        <f t="shared" si="2"/>
      </c>
    </row>
    <row r="15038">
      <c r="G15038" s="9">
        <f t="shared" si="0"/>
      </c>
      <c r="L15038">
        <f t="shared" si="1"/>
      </c>
      <c r="M15038">
        <f t="shared" si="2"/>
      </c>
    </row>
    <row r="15039">
      <c r="G15039" s="9">
        <f t="shared" si="0"/>
      </c>
      <c r="L15039">
        <f t="shared" si="1"/>
      </c>
      <c r="M15039">
        <f t="shared" si="2"/>
      </c>
    </row>
    <row r="15040">
      <c r="G15040" s="9">
        <f t="shared" si="0"/>
      </c>
      <c r="L15040">
        <f t="shared" si="1"/>
      </c>
      <c r="M15040">
        <f t="shared" si="2"/>
      </c>
    </row>
    <row r="15041">
      <c r="G15041" s="9">
        <f t="shared" si="0"/>
      </c>
      <c r="L15041">
        <f t="shared" si="1"/>
      </c>
      <c r="M15041">
        <f t="shared" si="2"/>
      </c>
    </row>
    <row r="15042">
      <c r="G15042" s="9">
        <f t="shared" si="0"/>
      </c>
      <c r="L15042">
        <f t="shared" si="1"/>
      </c>
      <c r="M15042">
        <f t="shared" si="2"/>
      </c>
    </row>
    <row r="15043">
      <c r="G15043" s="9">
        <f t="shared" si="0"/>
      </c>
      <c r="L15043">
        <f t="shared" si="1"/>
      </c>
      <c r="M15043">
        <f t="shared" si="2"/>
      </c>
    </row>
    <row r="15044">
      <c r="G15044" s="9">
        <f t="shared" si="0"/>
      </c>
      <c r="L15044">
        <f t="shared" si="1"/>
      </c>
      <c r="M15044">
        <f t="shared" si="2"/>
      </c>
    </row>
    <row r="15045">
      <c r="G15045" s="9">
        <f t="shared" si="0"/>
      </c>
      <c r="L15045">
        <f t="shared" si="1"/>
      </c>
      <c r="M15045">
        <f t="shared" si="2"/>
      </c>
    </row>
    <row r="15046">
      <c r="G15046" s="9">
        <f t="shared" si="0"/>
      </c>
      <c r="L15046">
        <f t="shared" si="1"/>
      </c>
      <c r="M15046">
        <f t="shared" si="2"/>
      </c>
    </row>
    <row r="15047">
      <c r="G15047" s="9">
        <f t="shared" si="0"/>
      </c>
      <c r="L15047">
        <f t="shared" si="1"/>
      </c>
      <c r="M15047">
        <f t="shared" si="2"/>
      </c>
    </row>
    <row r="15048">
      <c r="G15048" s="9">
        <f t="shared" si="0"/>
      </c>
      <c r="L15048">
        <f t="shared" si="1"/>
      </c>
      <c r="M15048">
        <f t="shared" si="2"/>
      </c>
    </row>
    <row r="15049">
      <c r="G15049" s="9">
        <f t="shared" si="0"/>
      </c>
      <c r="L15049">
        <f t="shared" si="1"/>
      </c>
      <c r="M15049">
        <f t="shared" si="2"/>
      </c>
    </row>
    <row r="15050">
      <c r="G15050" s="9">
        <f t="shared" si="0"/>
      </c>
      <c r="L15050">
        <f t="shared" si="1"/>
      </c>
      <c r="M15050">
        <f t="shared" si="2"/>
      </c>
    </row>
    <row r="15051">
      <c r="G15051" s="9">
        <f t="shared" si="0"/>
      </c>
      <c r="L15051">
        <f t="shared" si="1"/>
      </c>
      <c r="M15051">
        <f t="shared" si="2"/>
      </c>
    </row>
    <row r="15052">
      <c r="G15052" s="9">
        <f t="shared" si="0"/>
      </c>
      <c r="L15052">
        <f t="shared" si="1"/>
      </c>
      <c r="M15052">
        <f t="shared" si="2"/>
      </c>
    </row>
    <row r="15053">
      <c r="G15053" s="9">
        <f t="shared" si="0"/>
      </c>
      <c r="L15053">
        <f t="shared" si="1"/>
      </c>
      <c r="M15053">
        <f t="shared" si="2"/>
      </c>
    </row>
    <row r="15054">
      <c r="G15054" s="9">
        <f t="shared" si="0"/>
      </c>
      <c r="L15054">
        <f t="shared" si="1"/>
      </c>
      <c r="M15054">
        <f t="shared" si="2"/>
      </c>
    </row>
    <row r="15055">
      <c r="G15055" s="9">
        <f t="shared" si="0"/>
      </c>
      <c r="L15055">
        <f t="shared" si="1"/>
      </c>
      <c r="M15055">
        <f t="shared" si="2"/>
      </c>
    </row>
    <row r="15056">
      <c r="G15056" s="9">
        <f t="shared" si="0"/>
      </c>
      <c r="L15056">
        <f t="shared" si="1"/>
      </c>
      <c r="M15056">
        <f t="shared" si="2"/>
      </c>
    </row>
    <row r="15057">
      <c r="G15057" s="9">
        <f t="shared" si="0"/>
      </c>
      <c r="L15057">
        <f t="shared" si="1"/>
      </c>
      <c r="M15057">
        <f t="shared" si="2"/>
      </c>
    </row>
    <row r="15058">
      <c r="G15058" s="9">
        <f t="shared" si="0"/>
      </c>
      <c r="L15058">
        <f t="shared" si="1"/>
      </c>
      <c r="M15058">
        <f t="shared" si="2"/>
      </c>
    </row>
    <row r="15059">
      <c r="G15059" s="9">
        <f t="shared" si="0"/>
      </c>
      <c r="L15059">
        <f t="shared" si="1"/>
      </c>
      <c r="M15059">
        <f t="shared" si="2"/>
      </c>
    </row>
    <row r="15060">
      <c r="G15060" s="9">
        <f t="shared" si="0"/>
      </c>
      <c r="L15060">
        <f t="shared" si="1"/>
      </c>
      <c r="M15060">
        <f t="shared" si="2"/>
      </c>
    </row>
    <row r="15061">
      <c r="G15061" s="9">
        <f t="shared" si="0"/>
      </c>
      <c r="L15061">
        <f t="shared" si="1"/>
      </c>
      <c r="M15061">
        <f t="shared" si="2"/>
      </c>
    </row>
    <row r="15062">
      <c r="G15062" s="9">
        <f t="shared" si="0"/>
      </c>
      <c r="L15062">
        <f t="shared" si="1"/>
      </c>
      <c r="M15062">
        <f t="shared" si="2"/>
      </c>
    </row>
    <row r="15063">
      <c r="G15063" s="9">
        <f t="shared" si="0"/>
      </c>
      <c r="L15063">
        <f t="shared" si="1"/>
      </c>
      <c r="M15063">
        <f t="shared" si="2"/>
      </c>
    </row>
    <row r="15064">
      <c r="G15064" s="9">
        <f t="shared" si="0"/>
      </c>
      <c r="L15064">
        <f t="shared" si="1"/>
      </c>
      <c r="M15064">
        <f t="shared" si="2"/>
      </c>
    </row>
    <row r="15065">
      <c r="G15065" s="9">
        <f t="shared" si="0"/>
      </c>
      <c r="L15065">
        <f t="shared" si="1"/>
      </c>
      <c r="M15065">
        <f t="shared" si="2"/>
      </c>
    </row>
    <row r="15066">
      <c r="G15066" s="9">
        <f t="shared" si="0"/>
      </c>
      <c r="L15066">
        <f t="shared" si="1"/>
      </c>
      <c r="M15066">
        <f t="shared" si="2"/>
      </c>
    </row>
    <row r="15067">
      <c r="G15067" s="9">
        <f t="shared" si="0"/>
      </c>
      <c r="L15067">
        <f t="shared" si="1"/>
      </c>
      <c r="M15067">
        <f t="shared" si="2"/>
      </c>
    </row>
    <row r="15068">
      <c r="G15068" s="9">
        <f t="shared" si="0"/>
      </c>
      <c r="L15068">
        <f t="shared" si="1"/>
      </c>
      <c r="M15068">
        <f t="shared" si="2"/>
      </c>
    </row>
    <row r="15069">
      <c r="G15069" s="9">
        <f t="shared" si="0"/>
      </c>
      <c r="L15069">
        <f t="shared" si="1"/>
      </c>
      <c r="M15069">
        <f t="shared" si="2"/>
      </c>
    </row>
    <row r="15070">
      <c r="G15070" s="9">
        <f t="shared" si="0"/>
      </c>
      <c r="L15070">
        <f t="shared" si="1"/>
      </c>
      <c r="M15070">
        <f t="shared" si="2"/>
      </c>
    </row>
    <row r="15071">
      <c r="G15071" s="9">
        <f t="shared" si="0"/>
      </c>
      <c r="L15071">
        <f t="shared" si="1"/>
      </c>
      <c r="M15071">
        <f t="shared" si="2"/>
      </c>
    </row>
    <row r="15072">
      <c r="G15072" s="9">
        <f t="shared" si="0"/>
      </c>
      <c r="L15072">
        <f t="shared" si="1"/>
      </c>
      <c r="M15072">
        <f t="shared" si="2"/>
      </c>
    </row>
    <row r="15073">
      <c r="G15073" s="9">
        <f t="shared" si="0"/>
      </c>
      <c r="L15073">
        <f t="shared" si="1"/>
      </c>
      <c r="M15073">
        <f t="shared" si="2"/>
      </c>
    </row>
    <row r="15074">
      <c r="G15074" s="9">
        <f t="shared" si="0"/>
      </c>
      <c r="L15074">
        <f t="shared" si="1"/>
      </c>
      <c r="M15074">
        <f t="shared" si="2"/>
      </c>
    </row>
    <row r="15075">
      <c r="G15075" s="9">
        <f t="shared" si="0"/>
      </c>
      <c r="L15075">
        <f t="shared" si="1"/>
      </c>
      <c r="M15075">
        <f t="shared" si="2"/>
      </c>
    </row>
    <row r="15076">
      <c r="G15076" s="9">
        <f t="shared" si="0"/>
      </c>
      <c r="L15076">
        <f t="shared" si="1"/>
      </c>
      <c r="M15076">
        <f t="shared" si="2"/>
      </c>
    </row>
    <row r="15077">
      <c r="G15077" s="9">
        <f t="shared" si="0"/>
      </c>
      <c r="L15077">
        <f t="shared" si="1"/>
      </c>
      <c r="M15077">
        <f t="shared" si="2"/>
      </c>
    </row>
    <row r="15078">
      <c r="G15078" s="9">
        <f t="shared" si="0"/>
      </c>
      <c r="L15078">
        <f t="shared" si="1"/>
      </c>
      <c r="M15078">
        <f t="shared" si="2"/>
      </c>
    </row>
    <row r="15079">
      <c r="G15079" s="9">
        <f t="shared" si="0"/>
      </c>
      <c r="L15079">
        <f t="shared" si="1"/>
      </c>
      <c r="M15079">
        <f t="shared" si="2"/>
      </c>
    </row>
    <row r="15080">
      <c r="G15080" s="9">
        <f t="shared" si="0"/>
      </c>
      <c r="L15080">
        <f t="shared" si="1"/>
      </c>
      <c r="M15080">
        <f t="shared" si="2"/>
      </c>
    </row>
    <row r="15081">
      <c r="G15081" s="9">
        <f t="shared" si="0"/>
      </c>
      <c r="L15081">
        <f t="shared" si="1"/>
      </c>
      <c r="M15081">
        <f t="shared" si="2"/>
      </c>
    </row>
    <row r="15082">
      <c r="G15082" s="9">
        <f t="shared" si="0"/>
      </c>
      <c r="L15082">
        <f t="shared" si="1"/>
      </c>
      <c r="M15082">
        <f t="shared" si="2"/>
      </c>
    </row>
    <row r="15083">
      <c r="G15083" s="9">
        <f t="shared" si="0"/>
      </c>
      <c r="L15083">
        <f t="shared" si="1"/>
      </c>
      <c r="M15083">
        <f t="shared" si="2"/>
      </c>
    </row>
    <row r="15084">
      <c r="G15084" s="9">
        <f t="shared" si="0"/>
      </c>
      <c r="L15084">
        <f t="shared" si="1"/>
      </c>
      <c r="M15084">
        <f t="shared" si="2"/>
      </c>
    </row>
    <row r="15085">
      <c r="G15085" s="9">
        <f t="shared" si="0"/>
      </c>
      <c r="L15085">
        <f t="shared" si="1"/>
      </c>
      <c r="M15085">
        <f t="shared" si="2"/>
      </c>
    </row>
    <row r="15086">
      <c r="G15086" s="9">
        <f t="shared" si="0"/>
      </c>
      <c r="L15086">
        <f t="shared" si="1"/>
      </c>
      <c r="M15086">
        <f t="shared" si="2"/>
      </c>
    </row>
    <row r="15087">
      <c r="G15087" s="9">
        <f t="shared" si="0"/>
      </c>
      <c r="L15087">
        <f t="shared" si="1"/>
      </c>
      <c r="M15087">
        <f t="shared" si="2"/>
      </c>
    </row>
    <row r="15088">
      <c r="G15088" s="9">
        <f t="shared" si="0"/>
      </c>
      <c r="L15088">
        <f t="shared" si="1"/>
      </c>
      <c r="M15088">
        <f t="shared" si="2"/>
      </c>
    </row>
    <row r="15089">
      <c r="G15089" s="9">
        <f t="shared" si="0"/>
      </c>
      <c r="L15089">
        <f t="shared" si="1"/>
      </c>
      <c r="M15089">
        <f t="shared" si="2"/>
      </c>
    </row>
    <row r="15090">
      <c r="G15090" s="9">
        <f t="shared" si="0"/>
      </c>
      <c r="L15090">
        <f t="shared" si="1"/>
      </c>
      <c r="M15090">
        <f t="shared" si="2"/>
      </c>
    </row>
    <row r="15091">
      <c r="G15091" s="9">
        <f t="shared" si="0"/>
      </c>
      <c r="L15091">
        <f t="shared" si="1"/>
      </c>
      <c r="M15091">
        <f t="shared" si="2"/>
      </c>
    </row>
    <row r="15092">
      <c r="G15092" s="9">
        <f t="shared" si="0"/>
      </c>
      <c r="L15092">
        <f t="shared" si="1"/>
      </c>
      <c r="M15092">
        <f t="shared" si="2"/>
      </c>
    </row>
    <row r="15093">
      <c r="G15093" s="9">
        <f t="shared" si="0"/>
      </c>
      <c r="L15093">
        <f t="shared" si="1"/>
      </c>
      <c r="M15093">
        <f t="shared" si="2"/>
      </c>
    </row>
    <row r="15094">
      <c r="G15094" s="9">
        <f t="shared" si="0"/>
      </c>
      <c r="L15094">
        <f t="shared" si="1"/>
      </c>
      <c r="M15094">
        <f t="shared" si="2"/>
      </c>
    </row>
    <row r="15095">
      <c r="G15095" s="9">
        <f t="shared" si="0"/>
      </c>
      <c r="L15095">
        <f t="shared" si="1"/>
      </c>
      <c r="M15095">
        <f t="shared" si="2"/>
      </c>
    </row>
    <row r="15096">
      <c r="G15096" s="9">
        <f t="shared" si="0"/>
      </c>
      <c r="L15096">
        <f t="shared" si="1"/>
      </c>
      <c r="M15096">
        <f t="shared" si="2"/>
      </c>
    </row>
    <row r="15097">
      <c r="G15097" s="9">
        <f t="shared" si="0"/>
      </c>
      <c r="L15097">
        <f t="shared" si="1"/>
      </c>
      <c r="M15097">
        <f t="shared" si="2"/>
      </c>
    </row>
    <row r="15098">
      <c r="G15098" s="9">
        <f t="shared" si="0"/>
      </c>
      <c r="L15098">
        <f t="shared" si="1"/>
      </c>
      <c r="M15098">
        <f t="shared" si="2"/>
      </c>
    </row>
    <row r="15099">
      <c r="G15099" s="9">
        <f t="shared" si="0"/>
      </c>
      <c r="L15099">
        <f t="shared" si="1"/>
      </c>
      <c r="M15099">
        <f t="shared" si="2"/>
      </c>
    </row>
    <row r="15100">
      <c r="G15100" s="9">
        <f t="shared" si="0"/>
      </c>
      <c r="L15100">
        <f t="shared" si="1"/>
      </c>
      <c r="M15100">
        <f t="shared" si="2"/>
      </c>
    </row>
    <row r="15101">
      <c r="G15101" s="9">
        <f t="shared" si="0"/>
      </c>
      <c r="L15101">
        <f t="shared" si="1"/>
      </c>
      <c r="M15101">
        <f t="shared" si="2"/>
      </c>
    </row>
    <row r="15102">
      <c r="G15102" s="9">
        <f t="shared" si="0"/>
      </c>
      <c r="L15102">
        <f t="shared" si="1"/>
      </c>
      <c r="M15102">
        <f t="shared" si="2"/>
      </c>
    </row>
    <row r="15103">
      <c r="G15103" s="9">
        <f t="shared" si="0"/>
      </c>
      <c r="L15103">
        <f t="shared" si="1"/>
      </c>
      <c r="M15103">
        <f t="shared" si="2"/>
      </c>
    </row>
    <row r="15104">
      <c r="G15104" s="9">
        <f t="shared" si="0"/>
      </c>
      <c r="L15104">
        <f t="shared" si="1"/>
      </c>
      <c r="M15104">
        <f t="shared" si="2"/>
      </c>
    </row>
    <row r="15105">
      <c r="G15105" s="9">
        <f t="shared" si="0"/>
      </c>
      <c r="L15105">
        <f t="shared" si="1"/>
      </c>
      <c r="M15105">
        <f t="shared" si="2"/>
      </c>
    </row>
    <row r="15106">
      <c r="G15106" s="9">
        <f t="shared" si="0"/>
      </c>
      <c r="L15106">
        <f t="shared" si="1"/>
      </c>
      <c r="M15106">
        <f t="shared" si="2"/>
      </c>
    </row>
    <row r="15107">
      <c r="G15107" s="9">
        <f t="shared" si="0"/>
      </c>
      <c r="L15107">
        <f t="shared" si="1"/>
      </c>
      <c r="M15107">
        <f t="shared" si="2"/>
      </c>
    </row>
    <row r="15108">
      <c r="G15108" s="9">
        <f t="shared" si="0"/>
      </c>
      <c r="L15108">
        <f t="shared" si="1"/>
      </c>
      <c r="M15108">
        <f t="shared" si="2"/>
      </c>
    </row>
    <row r="15109">
      <c r="G15109" s="9">
        <f t="shared" si="0"/>
      </c>
      <c r="L15109">
        <f t="shared" si="1"/>
      </c>
      <c r="M15109">
        <f t="shared" si="2"/>
      </c>
    </row>
    <row r="15110">
      <c r="G15110" s="9">
        <f t="shared" si="0"/>
      </c>
      <c r="L15110">
        <f t="shared" si="1"/>
      </c>
      <c r="M15110">
        <f t="shared" si="2"/>
      </c>
    </row>
    <row r="15111">
      <c r="G15111" s="9">
        <f t="shared" si="0"/>
      </c>
      <c r="L15111">
        <f t="shared" si="1"/>
      </c>
      <c r="M15111">
        <f t="shared" si="2"/>
      </c>
    </row>
    <row r="15112">
      <c r="G15112" s="9">
        <f t="shared" si="0"/>
      </c>
      <c r="L15112">
        <f t="shared" si="1"/>
      </c>
      <c r="M15112">
        <f t="shared" si="2"/>
      </c>
    </row>
    <row r="15113">
      <c r="G15113" s="9">
        <f t="shared" si="0"/>
      </c>
      <c r="L15113">
        <f t="shared" si="1"/>
      </c>
      <c r="M15113">
        <f t="shared" si="2"/>
      </c>
    </row>
    <row r="15114">
      <c r="G15114" s="9">
        <f t="shared" si="0"/>
      </c>
      <c r="L15114">
        <f t="shared" si="1"/>
      </c>
      <c r="M15114">
        <f t="shared" si="2"/>
      </c>
    </row>
    <row r="15115">
      <c r="G15115" s="9">
        <f t="shared" si="0"/>
      </c>
      <c r="L15115">
        <f t="shared" si="1"/>
      </c>
      <c r="M15115">
        <f t="shared" si="2"/>
      </c>
    </row>
    <row r="15116">
      <c r="G15116" s="9">
        <f t="shared" si="0"/>
      </c>
      <c r="L15116">
        <f t="shared" si="1"/>
      </c>
      <c r="M15116">
        <f t="shared" si="2"/>
      </c>
    </row>
    <row r="15117">
      <c r="G15117" s="9">
        <f t="shared" si="0"/>
      </c>
      <c r="L15117">
        <f t="shared" si="1"/>
      </c>
      <c r="M15117">
        <f t="shared" si="2"/>
      </c>
    </row>
    <row r="15118">
      <c r="G15118" s="9">
        <f t="shared" si="0"/>
      </c>
      <c r="L15118">
        <f t="shared" si="1"/>
      </c>
      <c r="M15118">
        <f t="shared" si="2"/>
      </c>
    </row>
    <row r="15119">
      <c r="G15119" s="9">
        <f t="shared" si="0"/>
      </c>
      <c r="L15119">
        <f t="shared" si="1"/>
      </c>
      <c r="M15119">
        <f t="shared" si="2"/>
      </c>
    </row>
    <row r="15120">
      <c r="G15120" s="9">
        <f t="shared" si="0"/>
      </c>
      <c r="L15120">
        <f t="shared" si="1"/>
      </c>
      <c r="M15120">
        <f t="shared" si="2"/>
      </c>
    </row>
    <row r="15121">
      <c r="G15121" s="9">
        <f t="shared" si="0"/>
      </c>
      <c r="L15121">
        <f t="shared" si="1"/>
      </c>
      <c r="M15121">
        <f t="shared" si="2"/>
      </c>
    </row>
    <row r="15122">
      <c r="G15122" s="9">
        <f t="shared" si="0"/>
      </c>
      <c r="L15122">
        <f t="shared" si="1"/>
      </c>
      <c r="M15122">
        <f t="shared" si="2"/>
      </c>
    </row>
    <row r="15123">
      <c r="G15123" s="9">
        <f t="shared" si="0"/>
      </c>
      <c r="L15123">
        <f t="shared" si="1"/>
      </c>
      <c r="M15123">
        <f t="shared" si="2"/>
      </c>
    </row>
    <row r="15124">
      <c r="G15124" s="9">
        <f t="shared" si="0"/>
      </c>
      <c r="L15124">
        <f t="shared" si="1"/>
      </c>
      <c r="M15124">
        <f t="shared" si="2"/>
      </c>
    </row>
    <row r="15125">
      <c r="G15125" s="9">
        <f t="shared" si="0"/>
      </c>
      <c r="L15125">
        <f t="shared" si="1"/>
      </c>
      <c r="M15125">
        <f t="shared" si="2"/>
      </c>
    </row>
    <row r="15126">
      <c r="G15126" s="9">
        <f t="shared" si="0"/>
      </c>
      <c r="L15126">
        <f t="shared" si="1"/>
      </c>
      <c r="M15126">
        <f t="shared" si="2"/>
      </c>
    </row>
    <row r="15127">
      <c r="G15127" s="9">
        <f t="shared" si="0"/>
      </c>
      <c r="L15127">
        <f t="shared" si="1"/>
      </c>
      <c r="M15127">
        <f t="shared" si="2"/>
      </c>
    </row>
    <row r="15128">
      <c r="G15128" s="9">
        <f t="shared" si="0"/>
      </c>
      <c r="L15128">
        <f t="shared" si="1"/>
      </c>
      <c r="M15128">
        <f t="shared" si="2"/>
      </c>
    </row>
    <row r="15129">
      <c r="G15129" s="9">
        <f t="shared" si="0"/>
      </c>
      <c r="L15129">
        <f t="shared" si="1"/>
      </c>
      <c r="M15129">
        <f t="shared" si="2"/>
      </c>
    </row>
    <row r="15130">
      <c r="G15130" s="9">
        <f t="shared" si="0"/>
      </c>
      <c r="L15130">
        <f t="shared" si="1"/>
      </c>
      <c r="M15130">
        <f t="shared" si="2"/>
      </c>
    </row>
    <row r="15131">
      <c r="G15131" s="9">
        <f t="shared" si="0"/>
      </c>
      <c r="L15131">
        <f t="shared" si="1"/>
      </c>
      <c r="M15131">
        <f t="shared" si="2"/>
      </c>
    </row>
    <row r="15132">
      <c r="G15132" s="9">
        <f t="shared" si="0"/>
      </c>
      <c r="L15132">
        <f t="shared" si="1"/>
      </c>
      <c r="M15132">
        <f t="shared" si="2"/>
      </c>
    </row>
    <row r="15133">
      <c r="G15133" s="9">
        <f t="shared" si="0"/>
      </c>
      <c r="L15133">
        <f t="shared" si="1"/>
      </c>
      <c r="M15133">
        <f t="shared" si="2"/>
      </c>
    </row>
    <row r="15134">
      <c r="G15134" s="9">
        <f t="shared" si="0"/>
      </c>
      <c r="L15134">
        <f t="shared" si="1"/>
      </c>
      <c r="M15134">
        <f t="shared" si="2"/>
      </c>
    </row>
    <row r="15135">
      <c r="G15135" s="9">
        <f t="shared" si="0"/>
      </c>
      <c r="L15135">
        <f t="shared" si="1"/>
      </c>
      <c r="M15135">
        <f t="shared" si="2"/>
      </c>
    </row>
    <row r="15136">
      <c r="G15136" s="9">
        <f t="shared" si="0"/>
      </c>
      <c r="L15136">
        <f t="shared" si="1"/>
      </c>
      <c r="M15136">
        <f t="shared" si="2"/>
      </c>
    </row>
    <row r="15137">
      <c r="G15137" s="9">
        <f t="shared" si="0"/>
      </c>
      <c r="L15137">
        <f t="shared" si="1"/>
      </c>
      <c r="M15137">
        <f t="shared" si="2"/>
      </c>
    </row>
    <row r="15138">
      <c r="G15138" s="9">
        <f t="shared" si="0"/>
      </c>
      <c r="L15138">
        <f t="shared" si="1"/>
      </c>
      <c r="M15138">
        <f t="shared" si="2"/>
      </c>
    </row>
    <row r="15139">
      <c r="G15139" s="9">
        <f t="shared" si="0"/>
      </c>
      <c r="L15139">
        <f t="shared" si="1"/>
      </c>
      <c r="M15139">
        <f t="shared" si="2"/>
      </c>
    </row>
    <row r="15140">
      <c r="G15140" s="9">
        <f t="shared" si="0"/>
      </c>
      <c r="L15140">
        <f t="shared" si="1"/>
      </c>
      <c r="M15140">
        <f t="shared" si="2"/>
      </c>
    </row>
    <row r="15141">
      <c r="G15141" s="9">
        <f t="shared" si="0"/>
      </c>
      <c r="L15141">
        <f t="shared" si="1"/>
      </c>
      <c r="M15141">
        <f t="shared" si="2"/>
      </c>
    </row>
    <row r="15142">
      <c r="G15142" s="9">
        <f t="shared" si="0"/>
      </c>
      <c r="L15142">
        <f t="shared" si="1"/>
      </c>
      <c r="M15142">
        <f t="shared" si="2"/>
      </c>
    </row>
    <row r="15143">
      <c r="G15143" s="9">
        <f t="shared" si="0"/>
      </c>
      <c r="L15143">
        <f t="shared" si="1"/>
      </c>
      <c r="M15143">
        <f t="shared" si="2"/>
      </c>
    </row>
    <row r="15144">
      <c r="G15144" s="9">
        <f t="shared" si="0"/>
      </c>
      <c r="L15144">
        <f t="shared" si="1"/>
      </c>
      <c r="M15144">
        <f t="shared" si="2"/>
      </c>
    </row>
    <row r="15145">
      <c r="G15145" s="9">
        <f t="shared" si="0"/>
      </c>
      <c r="L15145">
        <f t="shared" si="1"/>
      </c>
      <c r="M15145">
        <f t="shared" si="2"/>
      </c>
    </row>
    <row r="15146">
      <c r="G15146" s="9">
        <f t="shared" si="0"/>
      </c>
      <c r="L15146">
        <f t="shared" si="1"/>
      </c>
      <c r="M15146">
        <f t="shared" si="2"/>
      </c>
    </row>
    <row r="15147">
      <c r="G15147" s="9">
        <f t="shared" si="0"/>
      </c>
      <c r="L15147">
        <f t="shared" si="1"/>
      </c>
      <c r="M15147">
        <f t="shared" si="2"/>
      </c>
    </row>
    <row r="15148">
      <c r="G15148" s="9">
        <f t="shared" si="0"/>
      </c>
      <c r="L15148">
        <f t="shared" si="1"/>
      </c>
      <c r="M15148">
        <f t="shared" si="2"/>
      </c>
    </row>
    <row r="15149">
      <c r="G15149" s="9">
        <f t="shared" si="0"/>
      </c>
      <c r="L15149">
        <f t="shared" si="1"/>
      </c>
      <c r="M15149">
        <f t="shared" si="2"/>
      </c>
    </row>
    <row r="15150">
      <c r="G15150" s="9">
        <f t="shared" si="0"/>
      </c>
      <c r="L15150">
        <f t="shared" si="1"/>
      </c>
      <c r="M15150">
        <f t="shared" si="2"/>
      </c>
    </row>
    <row r="15151">
      <c r="G15151" s="9">
        <f t="shared" si="0"/>
      </c>
      <c r="L15151">
        <f t="shared" si="1"/>
      </c>
      <c r="M15151">
        <f t="shared" si="2"/>
      </c>
    </row>
    <row r="15152">
      <c r="G15152" s="9">
        <f t="shared" si="0"/>
      </c>
      <c r="L15152">
        <f t="shared" si="1"/>
      </c>
      <c r="M15152">
        <f t="shared" si="2"/>
      </c>
    </row>
    <row r="15153">
      <c r="G15153" s="9">
        <f t="shared" si="0"/>
      </c>
      <c r="L15153">
        <f t="shared" si="1"/>
      </c>
      <c r="M15153">
        <f t="shared" si="2"/>
      </c>
    </row>
    <row r="15154">
      <c r="G15154" s="9">
        <f t="shared" si="0"/>
      </c>
      <c r="L15154">
        <f t="shared" si="1"/>
      </c>
      <c r="M15154">
        <f t="shared" si="2"/>
      </c>
    </row>
    <row r="15155">
      <c r="G15155" s="9">
        <f t="shared" si="0"/>
      </c>
      <c r="L15155">
        <f t="shared" si="1"/>
      </c>
      <c r="M15155">
        <f t="shared" si="2"/>
      </c>
    </row>
    <row r="15156">
      <c r="G15156" s="9">
        <f t="shared" si="0"/>
      </c>
      <c r="L15156">
        <f t="shared" si="1"/>
      </c>
      <c r="M15156">
        <f t="shared" si="2"/>
      </c>
    </row>
    <row r="15157">
      <c r="G15157" s="9">
        <f t="shared" si="0"/>
      </c>
      <c r="L15157">
        <f t="shared" si="1"/>
      </c>
      <c r="M15157">
        <f t="shared" si="2"/>
      </c>
    </row>
    <row r="15158">
      <c r="G15158" s="9">
        <f t="shared" si="0"/>
      </c>
      <c r="L15158">
        <f t="shared" si="1"/>
      </c>
      <c r="M15158">
        <f t="shared" si="2"/>
      </c>
    </row>
    <row r="15159">
      <c r="G15159" s="9">
        <f t="shared" si="0"/>
      </c>
      <c r="L15159">
        <f t="shared" si="1"/>
      </c>
      <c r="M15159">
        <f t="shared" si="2"/>
      </c>
    </row>
    <row r="15160">
      <c r="G15160" s="9">
        <f t="shared" si="0"/>
      </c>
      <c r="L15160">
        <f t="shared" si="1"/>
      </c>
      <c r="M15160">
        <f t="shared" si="2"/>
      </c>
    </row>
    <row r="15161">
      <c r="G15161" s="9">
        <f t="shared" si="0"/>
      </c>
      <c r="L15161">
        <f t="shared" si="1"/>
      </c>
      <c r="M15161">
        <f t="shared" si="2"/>
      </c>
    </row>
    <row r="15162">
      <c r="G15162" s="9">
        <f t="shared" si="0"/>
      </c>
      <c r="L15162">
        <f t="shared" si="1"/>
      </c>
      <c r="M15162">
        <f t="shared" si="2"/>
      </c>
    </row>
    <row r="15163">
      <c r="G15163" s="9">
        <f t="shared" si="0"/>
      </c>
      <c r="L15163">
        <f t="shared" si="1"/>
      </c>
      <c r="M15163">
        <f t="shared" si="2"/>
      </c>
    </row>
    <row r="15164">
      <c r="G15164" s="9">
        <f t="shared" si="0"/>
      </c>
      <c r="L15164">
        <f t="shared" si="1"/>
      </c>
      <c r="M15164">
        <f t="shared" si="2"/>
      </c>
    </row>
    <row r="15165">
      <c r="G15165" s="9">
        <f t="shared" si="0"/>
      </c>
      <c r="L15165">
        <f t="shared" si="1"/>
      </c>
      <c r="M15165">
        <f t="shared" si="2"/>
      </c>
    </row>
    <row r="15166">
      <c r="G15166" s="9">
        <f t="shared" si="0"/>
      </c>
      <c r="L15166">
        <f t="shared" si="1"/>
      </c>
      <c r="M15166">
        <f t="shared" si="2"/>
      </c>
    </row>
    <row r="15167">
      <c r="G15167" s="9">
        <f t="shared" si="0"/>
      </c>
      <c r="L15167">
        <f t="shared" si="1"/>
      </c>
      <c r="M15167">
        <f t="shared" si="2"/>
      </c>
    </row>
    <row r="15168">
      <c r="G15168" s="9">
        <f t="shared" si="0"/>
      </c>
      <c r="L15168">
        <f t="shared" si="1"/>
      </c>
      <c r="M15168">
        <f t="shared" si="2"/>
      </c>
    </row>
    <row r="15169">
      <c r="G15169" s="9">
        <f t="shared" si="0"/>
      </c>
      <c r="L15169">
        <f t="shared" si="1"/>
      </c>
      <c r="M15169">
        <f t="shared" si="2"/>
      </c>
    </row>
    <row r="15170">
      <c r="G15170" s="9">
        <f t="shared" si="0"/>
      </c>
      <c r="L15170">
        <f t="shared" si="1"/>
      </c>
      <c r="M15170">
        <f t="shared" si="2"/>
      </c>
    </row>
    <row r="15171">
      <c r="G15171" s="9">
        <f t="shared" si="0"/>
      </c>
      <c r="L15171">
        <f t="shared" si="1"/>
      </c>
      <c r="M15171">
        <f t="shared" si="2"/>
      </c>
    </row>
    <row r="15172">
      <c r="G15172" s="9">
        <f t="shared" si="0"/>
      </c>
      <c r="L15172">
        <f t="shared" si="1"/>
      </c>
      <c r="M15172">
        <f t="shared" si="2"/>
      </c>
    </row>
    <row r="15173">
      <c r="G15173" s="9">
        <f t="shared" si="0"/>
      </c>
      <c r="L15173">
        <f t="shared" si="1"/>
      </c>
      <c r="M15173">
        <f t="shared" si="2"/>
      </c>
    </row>
    <row r="15174">
      <c r="G15174" s="9">
        <f t="shared" si="0"/>
      </c>
      <c r="L15174">
        <f t="shared" si="1"/>
      </c>
      <c r="M15174">
        <f t="shared" si="2"/>
      </c>
    </row>
    <row r="15175">
      <c r="G15175" s="9">
        <f t="shared" si="0"/>
      </c>
      <c r="L15175">
        <f t="shared" si="1"/>
      </c>
      <c r="M15175">
        <f t="shared" si="2"/>
      </c>
    </row>
    <row r="15176">
      <c r="G15176" s="9">
        <f t="shared" si="0"/>
      </c>
      <c r="L15176">
        <f t="shared" si="1"/>
      </c>
      <c r="M15176">
        <f t="shared" si="2"/>
      </c>
    </row>
    <row r="15177">
      <c r="G15177" s="9">
        <f t="shared" si="0"/>
      </c>
      <c r="L15177">
        <f t="shared" si="1"/>
      </c>
      <c r="M15177">
        <f t="shared" si="2"/>
      </c>
    </row>
    <row r="15178">
      <c r="G15178" s="9">
        <f t="shared" si="0"/>
      </c>
      <c r="L15178">
        <f t="shared" si="1"/>
      </c>
      <c r="M15178">
        <f t="shared" si="2"/>
      </c>
    </row>
    <row r="15179">
      <c r="G15179" s="9">
        <f t="shared" si="0"/>
      </c>
      <c r="L15179">
        <f t="shared" si="1"/>
      </c>
      <c r="M15179">
        <f t="shared" si="2"/>
      </c>
    </row>
    <row r="15180">
      <c r="G15180" s="9">
        <f t="shared" si="0"/>
      </c>
      <c r="L15180">
        <f t="shared" si="1"/>
      </c>
      <c r="M15180">
        <f t="shared" si="2"/>
      </c>
    </row>
    <row r="15181">
      <c r="G15181" s="9">
        <f t="shared" si="0"/>
      </c>
      <c r="L15181">
        <f t="shared" si="1"/>
      </c>
      <c r="M15181">
        <f t="shared" si="2"/>
      </c>
    </row>
    <row r="15182">
      <c r="G15182" s="9">
        <f t="shared" si="0"/>
      </c>
      <c r="L15182">
        <f t="shared" si="1"/>
      </c>
      <c r="M15182">
        <f t="shared" si="2"/>
      </c>
    </row>
    <row r="15183">
      <c r="G15183" s="9">
        <f t="shared" si="0"/>
      </c>
      <c r="L15183">
        <f t="shared" si="1"/>
      </c>
      <c r="M15183">
        <f t="shared" si="2"/>
      </c>
    </row>
    <row r="15184">
      <c r="G15184" s="9">
        <f t="shared" si="0"/>
      </c>
      <c r="L15184">
        <f t="shared" si="1"/>
      </c>
      <c r="M15184">
        <f t="shared" si="2"/>
      </c>
    </row>
    <row r="15185">
      <c r="G15185" s="9">
        <f t="shared" si="0"/>
      </c>
      <c r="L15185">
        <f t="shared" si="1"/>
      </c>
      <c r="M15185">
        <f t="shared" si="2"/>
      </c>
    </row>
    <row r="15186">
      <c r="G15186" s="9">
        <f t="shared" si="0"/>
      </c>
      <c r="L15186">
        <f t="shared" si="1"/>
      </c>
      <c r="M15186">
        <f t="shared" si="2"/>
      </c>
    </row>
    <row r="15187">
      <c r="G15187" s="9">
        <f t="shared" si="0"/>
      </c>
      <c r="L15187">
        <f t="shared" si="1"/>
      </c>
      <c r="M15187">
        <f t="shared" si="2"/>
      </c>
    </row>
    <row r="15188">
      <c r="G15188" s="9">
        <f t="shared" si="0"/>
      </c>
      <c r="L15188">
        <f t="shared" si="1"/>
      </c>
      <c r="M15188">
        <f t="shared" si="2"/>
      </c>
    </row>
    <row r="15189">
      <c r="G15189" s="9">
        <f t="shared" si="0"/>
      </c>
      <c r="L15189">
        <f t="shared" si="1"/>
      </c>
      <c r="M15189">
        <f t="shared" si="2"/>
      </c>
    </row>
    <row r="15190">
      <c r="G15190" s="9">
        <f t="shared" si="0"/>
      </c>
      <c r="L15190">
        <f t="shared" si="1"/>
      </c>
      <c r="M15190">
        <f t="shared" si="2"/>
      </c>
    </row>
    <row r="15191">
      <c r="G15191" s="9">
        <f t="shared" si="0"/>
      </c>
      <c r="L15191">
        <f t="shared" si="1"/>
      </c>
      <c r="M15191">
        <f t="shared" si="2"/>
      </c>
    </row>
    <row r="15192">
      <c r="G15192" s="9">
        <f t="shared" si="0"/>
      </c>
      <c r="L15192">
        <f t="shared" si="1"/>
      </c>
      <c r="M15192">
        <f t="shared" si="2"/>
      </c>
    </row>
    <row r="15193">
      <c r="G15193" s="9">
        <f t="shared" si="0"/>
      </c>
      <c r="L15193">
        <f t="shared" si="1"/>
      </c>
      <c r="M15193">
        <f t="shared" si="2"/>
      </c>
    </row>
    <row r="15194">
      <c r="G15194" s="9">
        <f t="shared" si="0"/>
      </c>
      <c r="L15194">
        <f t="shared" si="1"/>
      </c>
      <c r="M15194">
        <f t="shared" si="2"/>
      </c>
    </row>
    <row r="15195">
      <c r="G15195" s="9">
        <f t="shared" si="0"/>
      </c>
      <c r="L15195">
        <f t="shared" si="1"/>
      </c>
      <c r="M15195">
        <f t="shared" si="2"/>
      </c>
    </row>
    <row r="15196">
      <c r="G15196" s="9">
        <f t="shared" si="0"/>
      </c>
      <c r="L15196">
        <f t="shared" si="1"/>
      </c>
      <c r="M15196">
        <f t="shared" si="2"/>
      </c>
    </row>
    <row r="15197">
      <c r="G15197" s="9">
        <f t="shared" si="0"/>
      </c>
      <c r="L15197">
        <f t="shared" si="1"/>
      </c>
      <c r="M15197">
        <f t="shared" si="2"/>
      </c>
    </row>
    <row r="15198">
      <c r="G15198" s="9">
        <f t="shared" si="0"/>
      </c>
      <c r="L15198">
        <f t="shared" si="1"/>
      </c>
      <c r="M15198">
        <f t="shared" si="2"/>
      </c>
    </row>
    <row r="15199">
      <c r="G15199" s="9">
        <f t="shared" si="0"/>
      </c>
      <c r="L15199">
        <f t="shared" si="1"/>
      </c>
      <c r="M15199">
        <f t="shared" si="2"/>
      </c>
    </row>
    <row r="15200">
      <c r="G15200" s="9">
        <f t="shared" si="0"/>
      </c>
      <c r="L15200">
        <f t="shared" si="1"/>
      </c>
      <c r="M15200">
        <f t="shared" si="2"/>
      </c>
    </row>
    <row r="15201">
      <c r="G15201" s="9">
        <f t="shared" si="0"/>
      </c>
      <c r="L15201">
        <f t="shared" si="1"/>
      </c>
      <c r="M15201">
        <f t="shared" si="2"/>
      </c>
    </row>
    <row r="15202">
      <c r="G15202" s="9">
        <f t="shared" si="0"/>
      </c>
      <c r="L15202">
        <f t="shared" si="1"/>
      </c>
      <c r="M15202">
        <f t="shared" si="2"/>
      </c>
    </row>
    <row r="15203">
      <c r="G15203" s="9">
        <f t="shared" si="0"/>
      </c>
      <c r="L15203">
        <f t="shared" si="1"/>
      </c>
      <c r="M15203">
        <f t="shared" si="2"/>
      </c>
    </row>
    <row r="15204">
      <c r="G15204" s="9">
        <f t="shared" si="0"/>
      </c>
      <c r="L15204">
        <f t="shared" si="1"/>
      </c>
      <c r="M15204">
        <f t="shared" si="2"/>
      </c>
    </row>
    <row r="15205">
      <c r="G15205" s="9">
        <f t="shared" si="0"/>
      </c>
      <c r="L15205">
        <f t="shared" si="1"/>
      </c>
      <c r="M15205">
        <f t="shared" si="2"/>
      </c>
    </row>
    <row r="15206">
      <c r="G15206" s="9">
        <f t="shared" si="0"/>
      </c>
      <c r="L15206">
        <f t="shared" si="1"/>
      </c>
      <c r="M15206">
        <f t="shared" si="2"/>
      </c>
    </row>
    <row r="15207">
      <c r="G15207" s="9">
        <f t="shared" si="0"/>
      </c>
      <c r="L15207">
        <f t="shared" si="1"/>
      </c>
      <c r="M15207">
        <f t="shared" si="2"/>
      </c>
    </row>
    <row r="15208">
      <c r="G15208" s="9">
        <f t="shared" si="0"/>
      </c>
      <c r="L15208">
        <f t="shared" si="1"/>
      </c>
      <c r="M15208">
        <f t="shared" si="2"/>
      </c>
    </row>
    <row r="15209">
      <c r="G15209" s="9">
        <f t="shared" si="0"/>
      </c>
      <c r="L15209">
        <f t="shared" si="1"/>
      </c>
      <c r="M15209">
        <f t="shared" si="2"/>
      </c>
    </row>
    <row r="15210">
      <c r="G15210" s="9">
        <f t="shared" si="0"/>
      </c>
      <c r="L15210">
        <f t="shared" si="1"/>
      </c>
      <c r="M15210">
        <f t="shared" si="2"/>
      </c>
    </row>
    <row r="15211">
      <c r="G15211" s="9">
        <f t="shared" si="0"/>
      </c>
      <c r="L15211">
        <f t="shared" si="1"/>
      </c>
      <c r="M15211">
        <f t="shared" si="2"/>
      </c>
    </row>
    <row r="15212">
      <c r="G15212" s="9">
        <f t="shared" si="0"/>
      </c>
      <c r="L15212">
        <f t="shared" si="1"/>
      </c>
      <c r="M15212">
        <f t="shared" si="2"/>
      </c>
    </row>
    <row r="15213">
      <c r="G15213" s="9">
        <f t="shared" si="0"/>
      </c>
      <c r="L15213">
        <f t="shared" si="1"/>
      </c>
      <c r="M15213">
        <f t="shared" si="2"/>
      </c>
    </row>
    <row r="15214">
      <c r="G15214" s="9">
        <f t="shared" si="0"/>
      </c>
      <c r="L15214">
        <f t="shared" si="1"/>
      </c>
      <c r="M15214">
        <f t="shared" si="2"/>
      </c>
    </row>
    <row r="15215">
      <c r="G15215" s="9">
        <f t="shared" si="0"/>
      </c>
      <c r="L15215">
        <f t="shared" si="1"/>
      </c>
      <c r="M15215">
        <f t="shared" si="2"/>
      </c>
    </row>
    <row r="15216">
      <c r="G15216" s="9">
        <f t="shared" si="0"/>
      </c>
      <c r="L15216">
        <f t="shared" si="1"/>
      </c>
      <c r="M15216">
        <f t="shared" si="2"/>
      </c>
    </row>
    <row r="15217">
      <c r="G15217" s="9">
        <f t="shared" si="0"/>
      </c>
      <c r="L15217">
        <f t="shared" si="1"/>
      </c>
      <c r="M15217">
        <f t="shared" si="2"/>
      </c>
    </row>
    <row r="15218">
      <c r="G15218" s="9">
        <f t="shared" si="0"/>
      </c>
      <c r="L15218">
        <f t="shared" si="1"/>
      </c>
      <c r="M15218">
        <f t="shared" si="2"/>
      </c>
    </row>
    <row r="15219">
      <c r="G15219" s="9">
        <f t="shared" si="0"/>
      </c>
      <c r="L15219">
        <f t="shared" si="1"/>
      </c>
      <c r="M15219">
        <f t="shared" si="2"/>
      </c>
    </row>
    <row r="15220">
      <c r="G15220" s="9">
        <f t="shared" si="0"/>
      </c>
      <c r="L15220">
        <f t="shared" si="1"/>
      </c>
      <c r="M15220">
        <f t="shared" si="2"/>
      </c>
    </row>
    <row r="15221">
      <c r="G15221" s="9">
        <f t="shared" si="0"/>
      </c>
      <c r="L15221">
        <f t="shared" si="1"/>
      </c>
      <c r="M15221">
        <f t="shared" si="2"/>
      </c>
    </row>
    <row r="15222">
      <c r="G15222" s="9">
        <f t="shared" si="0"/>
      </c>
      <c r="L15222">
        <f t="shared" si="1"/>
      </c>
      <c r="M15222">
        <f t="shared" si="2"/>
      </c>
    </row>
    <row r="15223">
      <c r="G15223" s="9">
        <f t="shared" si="0"/>
      </c>
      <c r="L15223">
        <f t="shared" si="1"/>
      </c>
      <c r="M15223">
        <f t="shared" si="2"/>
      </c>
    </row>
    <row r="15224">
      <c r="G15224" s="9">
        <f t="shared" si="0"/>
      </c>
      <c r="L15224">
        <f t="shared" si="1"/>
      </c>
      <c r="M15224">
        <f t="shared" si="2"/>
      </c>
    </row>
    <row r="15225">
      <c r="G15225" s="9">
        <f t="shared" si="0"/>
      </c>
      <c r="L15225">
        <f t="shared" si="1"/>
      </c>
      <c r="M15225">
        <f t="shared" si="2"/>
      </c>
    </row>
    <row r="15226">
      <c r="G15226" s="9">
        <f t="shared" si="0"/>
      </c>
      <c r="L15226">
        <f t="shared" si="1"/>
      </c>
      <c r="M15226">
        <f t="shared" si="2"/>
      </c>
    </row>
    <row r="15227">
      <c r="G15227" s="9">
        <f t="shared" si="0"/>
      </c>
      <c r="L15227">
        <f t="shared" si="1"/>
      </c>
      <c r="M15227">
        <f t="shared" si="2"/>
      </c>
    </row>
    <row r="15228">
      <c r="G15228" s="9">
        <f t="shared" si="0"/>
      </c>
      <c r="L15228">
        <f t="shared" si="1"/>
      </c>
      <c r="M15228">
        <f t="shared" si="2"/>
      </c>
    </row>
    <row r="15229">
      <c r="G15229" s="9">
        <f t="shared" si="0"/>
      </c>
      <c r="L15229">
        <f t="shared" si="1"/>
      </c>
      <c r="M15229">
        <f t="shared" si="2"/>
      </c>
    </row>
    <row r="15230">
      <c r="G15230" s="9">
        <f t="shared" si="0"/>
      </c>
      <c r="L15230">
        <f t="shared" si="1"/>
      </c>
      <c r="M15230">
        <f t="shared" si="2"/>
      </c>
    </row>
    <row r="15231">
      <c r="G15231" s="9">
        <f t="shared" si="0"/>
      </c>
      <c r="L15231">
        <f t="shared" si="1"/>
      </c>
      <c r="M15231">
        <f t="shared" si="2"/>
      </c>
    </row>
    <row r="15232">
      <c r="G15232" s="9">
        <f t="shared" si="0"/>
      </c>
      <c r="L15232">
        <f t="shared" si="1"/>
      </c>
      <c r="M15232">
        <f t="shared" si="2"/>
      </c>
    </row>
    <row r="15233">
      <c r="G15233" s="9">
        <f t="shared" si="0"/>
      </c>
      <c r="L15233">
        <f t="shared" si="1"/>
      </c>
      <c r="M15233">
        <f t="shared" si="2"/>
      </c>
    </row>
    <row r="15234">
      <c r="G15234" s="9">
        <f t="shared" si="0"/>
      </c>
      <c r="L15234">
        <f t="shared" si="1"/>
      </c>
      <c r="M15234">
        <f t="shared" si="2"/>
      </c>
    </row>
    <row r="15235">
      <c r="G15235" s="9">
        <f t="shared" si="0"/>
      </c>
      <c r="L15235">
        <f t="shared" si="1"/>
      </c>
      <c r="M15235">
        <f t="shared" si="2"/>
      </c>
    </row>
    <row r="15236">
      <c r="G15236" s="9">
        <f t="shared" si="0"/>
      </c>
      <c r="L15236">
        <f t="shared" si="1"/>
      </c>
      <c r="M15236">
        <f t="shared" si="2"/>
      </c>
    </row>
    <row r="15237">
      <c r="G15237" s="9">
        <f t="shared" si="0"/>
      </c>
      <c r="L15237">
        <f t="shared" si="1"/>
      </c>
      <c r="M15237">
        <f t="shared" si="2"/>
      </c>
    </row>
    <row r="15238">
      <c r="G15238" s="9">
        <f t="shared" si="0"/>
      </c>
      <c r="L15238">
        <f t="shared" si="1"/>
      </c>
      <c r="M15238">
        <f t="shared" si="2"/>
      </c>
    </row>
    <row r="15239">
      <c r="G15239" s="9">
        <f t="shared" si="0"/>
      </c>
      <c r="L15239">
        <f t="shared" si="1"/>
      </c>
      <c r="M15239">
        <f t="shared" si="2"/>
      </c>
    </row>
    <row r="15240">
      <c r="G15240" s="9">
        <f t="shared" si="0"/>
      </c>
      <c r="L15240">
        <f t="shared" si="1"/>
      </c>
      <c r="M15240">
        <f t="shared" si="2"/>
      </c>
    </row>
    <row r="15241">
      <c r="G15241" s="9">
        <f t="shared" si="0"/>
      </c>
      <c r="L15241">
        <f t="shared" si="1"/>
      </c>
      <c r="M15241">
        <f t="shared" si="2"/>
      </c>
    </row>
    <row r="15242">
      <c r="G15242" s="9">
        <f t="shared" si="0"/>
      </c>
      <c r="L15242">
        <f t="shared" si="1"/>
      </c>
      <c r="M15242">
        <f t="shared" si="2"/>
      </c>
    </row>
    <row r="15243">
      <c r="G15243" s="9">
        <f t="shared" si="0"/>
      </c>
      <c r="L15243">
        <f t="shared" si="1"/>
      </c>
      <c r="M15243">
        <f t="shared" si="2"/>
      </c>
    </row>
    <row r="15244">
      <c r="G15244" s="9">
        <f t="shared" si="0"/>
      </c>
      <c r="L15244">
        <f t="shared" si="1"/>
      </c>
      <c r="M15244">
        <f t="shared" si="2"/>
      </c>
    </row>
    <row r="15245">
      <c r="G15245" s="9">
        <f t="shared" si="0"/>
      </c>
      <c r="L15245">
        <f t="shared" si="1"/>
      </c>
      <c r="M15245">
        <f t="shared" si="2"/>
      </c>
    </row>
    <row r="15246">
      <c r="G15246" s="9">
        <f t="shared" si="0"/>
      </c>
      <c r="L15246">
        <f t="shared" si="1"/>
      </c>
      <c r="M15246">
        <f t="shared" si="2"/>
      </c>
    </row>
    <row r="15247">
      <c r="G15247" s="9">
        <f t="shared" si="0"/>
      </c>
      <c r="L15247">
        <f t="shared" si="1"/>
      </c>
      <c r="M15247">
        <f t="shared" si="2"/>
      </c>
    </row>
    <row r="15248">
      <c r="G15248" s="9">
        <f t="shared" si="0"/>
      </c>
      <c r="L15248">
        <f t="shared" si="1"/>
      </c>
      <c r="M15248">
        <f t="shared" si="2"/>
      </c>
    </row>
    <row r="15249">
      <c r="G15249" s="9">
        <f t="shared" si="0"/>
      </c>
      <c r="L15249">
        <f t="shared" si="1"/>
      </c>
      <c r="M15249">
        <f t="shared" si="2"/>
      </c>
    </row>
    <row r="15250">
      <c r="G15250" s="9">
        <f t="shared" si="0"/>
      </c>
      <c r="L15250">
        <f t="shared" si="1"/>
      </c>
      <c r="M15250">
        <f t="shared" si="2"/>
      </c>
    </row>
    <row r="15251">
      <c r="G15251" s="9">
        <f t="shared" si="0"/>
      </c>
      <c r="L15251">
        <f t="shared" si="1"/>
      </c>
      <c r="M15251">
        <f t="shared" si="2"/>
      </c>
    </row>
    <row r="15252">
      <c r="G15252" s="9">
        <f t="shared" si="0"/>
      </c>
      <c r="L15252">
        <f t="shared" si="1"/>
      </c>
      <c r="M15252">
        <f t="shared" si="2"/>
      </c>
    </row>
    <row r="15253">
      <c r="G15253" s="9">
        <f t="shared" si="0"/>
      </c>
      <c r="L15253">
        <f t="shared" si="1"/>
      </c>
      <c r="M15253">
        <f t="shared" si="2"/>
      </c>
    </row>
    <row r="15254">
      <c r="G15254" s="9">
        <f t="shared" si="0"/>
      </c>
      <c r="L15254">
        <f t="shared" si="1"/>
      </c>
      <c r="M15254">
        <f t="shared" si="2"/>
      </c>
    </row>
    <row r="15255">
      <c r="G15255" s="9">
        <f t="shared" si="0"/>
      </c>
      <c r="L15255">
        <f t="shared" si="1"/>
      </c>
      <c r="M15255">
        <f t="shared" si="2"/>
      </c>
    </row>
    <row r="15256">
      <c r="G15256" s="9">
        <f t="shared" si="0"/>
      </c>
      <c r="L15256">
        <f t="shared" si="1"/>
      </c>
      <c r="M15256">
        <f t="shared" si="2"/>
      </c>
    </row>
    <row r="15257">
      <c r="G15257" s="9">
        <f t="shared" si="0"/>
      </c>
      <c r="L15257">
        <f t="shared" si="1"/>
      </c>
      <c r="M15257">
        <f t="shared" si="2"/>
      </c>
    </row>
    <row r="15258">
      <c r="G15258" s="9">
        <f t="shared" si="0"/>
      </c>
      <c r="L15258">
        <f t="shared" si="1"/>
      </c>
      <c r="M15258">
        <f t="shared" si="2"/>
      </c>
    </row>
    <row r="15259">
      <c r="G15259" s="9">
        <f t="shared" si="0"/>
      </c>
      <c r="L15259">
        <f t="shared" si="1"/>
      </c>
      <c r="M15259">
        <f t="shared" si="2"/>
      </c>
    </row>
    <row r="15260">
      <c r="G15260" s="9">
        <f t="shared" si="0"/>
      </c>
      <c r="L15260">
        <f t="shared" si="1"/>
      </c>
      <c r="M15260">
        <f t="shared" si="2"/>
      </c>
    </row>
    <row r="15261">
      <c r="G15261" s="9">
        <f t="shared" si="0"/>
      </c>
      <c r="L15261">
        <f t="shared" si="1"/>
      </c>
      <c r="M15261">
        <f t="shared" si="2"/>
      </c>
    </row>
    <row r="15262">
      <c r="G15262" s="9">
        <f t="shared" si="0"/>
      </c>
      <c r="L15262">
        <f t="shared" si="1"/>
      </c>
      <c r="M15262">
        <f t="shared" si="2"/>
      </c>
    </row>
    <row r="15263">
      <c r="G15263" s="9">
        <f t="shared" si="0"/>
      </c>
      <c r="L15263">
        <f t="shared" si="1"/>
      </c>
      <c r="M15263">
        <f t="shared" si="2"/>
      </c>
    </row>
    <row r="15264">
      <c r="G15264" s="9">
        <f t="shared" si="0"/>
      </c>
      <c r="L15264">
        <f t="shared" si="1"/>
      </c>
      <c r="M15264">
        <f t="shared" si="2"/>
      </c>
    </row>
    <row r="15265">
      <c r="G15265" s="9">
        <f t="shared" si="0"/>
      </c>
      <c r="L15265">
        <f t="shared" si="1"/>
      </c>
      <c r="M15265">
        <f t="shared" si="2"/>
      </c>
    </row>
    <row r="15266">
      <c r="G15266" s="9">
        <f t="shared" si="0"/>
      </c>
      <c r="L15266">
        <f t="shared" si="1"/>
      </c>
      <c r="M15266">
        <f t="shared" si="2"/>
      </c>
    </row>
    <row r="15267">
      <c r="G15267" s="9">
        <f t="shared" si="0"/>
      </c>
      <c r="L15267">
        <f t="shared" si="1"/>
      </c>
      <c r="M15267">
        <f t="shared" si="2"/>
      </c>
    </row>
    <row r="15268">
      <c r="G15268" s="9">
        <f t="shared" si="0"/>
      </c>
      <c r="L15268">
        <f t="shared" si="1"/>
      </c>
      <c r="M15268">
        <f t="shared" si="2"/>
      </c>
    </row>
    <row r="15269">
      <c r="G15269" s="9">
        <f t="shared" si="0"/>
      </c>
      <c r="L15269">
        <f t="shared" si="1"/>
      </c>
      <c r="M15269">
        <f t="shared" si="2"/>
      </c>
    </row>
    <row r="15270">
      <c r="G15270" s="9">
        <f t="shared" si="0"/>
      </c>
      <c r="L15270">
        <f t="shared" si="1"/>
      </c>
      <c r="M15270">
        <f t="shared" si="2"/>
      </c>
    </row>
    <row r="15271">
      <c r="G15271" s="9">
        <f t="shared" si="0"/>
      </c>
      <c r="L15271">
        <f t="shared" si="1"/>
      </c>
      <c r="M15271">
        <f t="shared" si="2"/>
      </c>
    </row>
    <row r="15272">
      <c r="G15272" s="9">
        <f t="shared" si="0"/>
      </c>
      <c r="L15272">
        <f t="shared" si="1"/>
      </c>
      <c r="M15272">
        <f t="shared" si="2"/>
      </c>
    </row>
    <row r="15273">
      <c r="G15273" s="9">
        <f t="shared" si="0"/>
      </c>
      <c r="L15273">
        <f t="shared" si="1"/>
      </c>
      <c r="M15273">
        <f t="shared" si="2"/>
      </c>
    </row>
    <row r="15274">
      <c r="G15274" s="9">
        <f t="shared" si="0"/>
      </c>
      <c r="L15274">
        <f t="shared" si="1"/>
      </c>
      <c r="M15274">
        <f t="shared" si="2"/>
      </c>
    </row>
    <row r="15275">
      <c r="G15275" s="9">
        <f t="shared" si="0"/>
      </c>
      <c r="L15275">
        <f t="shared" si="1"/>
      </c>
      <c r="M15275">
        <f t="shared" si="2"/>
      </c>
    </row>
    <row r="15276">
      <c r="G15276" s="9">
        <f t="shared" si="0"/>
      </c>
      <c r="L15276">
        <f t="shared" si="1"/>
      </c>
      <c r="M15276">
        <f t="shared" si="2"/>
      </c>
    </row>
    <row r="15277">
      <c r="G15277" s="9">
        <f t="shared" si="0"/>
      </c>
      <c r="L15277">
        <f t="shared" si="1"/>
      </c>
      <c r="M15277">
        <f t="shared" si="2"/>
      </c>
    </row>
    <row r="15278">
      <c r="G15278" s="9">
        <f t="shared" si="0"/>
      </c>
      <c r="L15278">
        <f t="shared" si="1"/>
      </c>
      <c r="M15278">
        <f t="shared" si="2"/>
      </c>
    </row>
    <row r="15279">
      <c r="G15279" s="9">
        <f t="shared" si="0"/>
      </c>
      <c r="L15279">
        <f t="shared" si="1"/>
      </c>
      <c r="M15279">
        <f t="shared" si="2"/>
      </c>
    </row>
    <row r="15280">
      <c r="G15280" s="9">
        <f t="shared" si="0"/>
      </c>
      <c r="L15280">
        <f t="shared" si="1"/>
      </c>
      <c r="M15280">
        <f t="shared" si="2"/>
      </c>
    </row>
    <row r="15281">
      <c r="G15281" s="9">
        <f t="shared" si="0"/>
      </c>
      <c r="L15281">
        <f t="shared" si="1"/>
      </c>
      <c r="M15281">
        <f t="shared" si="2"/>
      </c>
    </row>
    <row r="15282">
      <c r="G15282" s="9">
        <f t="shared" si="0"/>
      </c>
      <c r="L15282">
        <f t="shared" si="1"/>
      </c>
      <c r="M15282">
        <f t="shared" si="2"/>
      </c>
    </row>
    <row r="15283">
      <c r="G15283" s="9">
        <f t="shared" si="0"/>
      </c>
      <c r="L15283">
        <f t="shared" si="1"/>
      </c>
      <c r="M15283">
        <f t="shared" si="2"/>
      </c>
    </row>
    <row r="15284">
      <c r="G15284" s="9">
        <f t="shared" si="0"/>
      </c>
      <c r="L15284">
        <f t="shared" si="1"/>
      </c>
      <c r="M15284">
        <f t="shared" si="2"/>
      </c>
    </row>
    <row r="15285">
      <c r="G15285" s="9">
        <f t="shared" si="0"/>
      </c>
      <c r="L15285">
        <f t="shared" si="1"/>
      </c>
      <c r="M15285">
        <f t="shared" si="2"/>
      </c>
    </row>
    <row r="15286">
      <c r="G15286" s="9">
        <f t="shared" si="0"/>
      </c>
      <c r="L15286">
        <f t="shared" si="1"/>
      </c>
      <c r="M15286">
        <f t="shared" si="2"/>
      </c>
    </row>
    <row r="15287">
      <c r="G15287" s="9">
        <f t="shared" si="0"/>
      </c>
      <c r="L15287">
        <f t="shared" si="1"/>
      </c>
      <c r="M15287">
        <f t="shared" si="2"/>
      </c>
    </row>
    <row r="15288">
      <c r="G15288" s="9">
        <f t="shared" si="0"/>
      </c>
      <c r="L15288">
        <f t="shared" si="1"/>
      </c>
      <c r="M15288">
        <f t="shared" si="2"/>
      </c>
    </row>
    <row r="15289">
      <c r="G15289" s="9">
        <f t="shared" si="0"/>
      </c>
      <c r="L15289">
        <f t="shared" si="1"/>
      </c>
      <c r="M15289">
        <f t="shared" si="2"/>
      </c>
    </row>
    <row r="15290">
      <c r="G15290" s="9">
        <f t="shared" si="0"/>
      </c>
      <c r="L15290">
        <f t="shared" si="1"/>
      </c>
      <c r="M15290">
        <f t="shared" si="2"/>
      </c>
    </row>
    <row r="15291">
      <c r="G15291" s="9">
        <f t="shared" si="0"/>
      </c>
      <c r="L15291">
        <f t="shared" si="1"/>
      </c>
      <c r="M15291">
        <f t="shared" si="2"/>
      </c>
    </row>
    <row r="15292">
      <c r="G15292" s="9">
        <f t="shared" si="0"/>
      </c>
      <c r="L15292">
        <f t="shared" si="1"/>
      </c>
      <c r="M15292">
        <f t="shared" si="2"/>
      </c>
    </row>
    <row r="15293">
      <c r="G15293" s="9">
        <f t="shared" si="0"/>
      </c>
      <c r="L15293">
        <f t="shared" si="1"/>
      </c>
      <c r="M15293">
        <f t="shared" si="2"/>
      </c>
    </row>
    <row r="15294">
      <c r="G15294" s="9">
        <f t="shared" si="0"/>
      </c>
      <c r="L15294">
        <f t="shared" si="1"/>
      </c>
      <c r="M15294">
        <f t="shared" si="2"/>
      </c>
    </row>
    <row r="15295">
      <c r="G15295" s="9">
        <f t="shared" si="0"/>
      </c>
      <c r="L15295">
        <f t="shared" si="1"/>
      </c>
      <c r="M15295">
        <f t="shared" si="2"/>
      </c>
    </row>
    <row r="15296">
      <c r="G15296" s="9">
        <f t="shared" si="0"/>
      </c>
      <c r="L15296">
        <f t="shared" si="1"/>
      </c>
      <c r="M15296">
        <f t="shared" si="2"/>
      </c>
    </row>
    <row r="15297">
      <c r="G15297" s="9">
        <f t="shared" si="0"/>
      </c>
      <c r="L15297">
        <f t="shared" si="1"/>
      </c>
      <c r="M15297">
        <f t="shared" si="2"/>
      </c>
    </row>
    <row r="15298">
      <c r="G15298" s="9">
        <f t="shared" si="0"/>
      </c>
      <c r="L15298">
        <f t="shared" si="1"/>
      </c>
      <c r="M15298">
        <f t="shared" si="2"/>
      </c>
    </row>
    <row r="15299">
      <c r="G15299" s="9">
        <f t="shared" si="0"/>
      </c>
      <c r="L15299">
        <f t="shared" si="1"/>
      </c>
      <c r="M15299">
        <f t="shared" si="2"/>
      </c>
    </row>
    <row r="15300">
      <c r="G15300" s="9">
        <f t="shared" si="0"/>
      </c>
      <c r="L15300">
        <f t="shared" si="1"/>
      </c>
      <c r="M15300">
        <f t="shared" si="2"/>
      </c>
    </row>
    <row r="15301">
      <c r="G15301" s="9">
        <f t="shared" si="0"/>
      </c>
      <c r="L15301">
        <f t="shared" si="1"/>
      </c>
      <c r="M15301">
        <f t="shared" si="2"/>
      </c>
    </row>
    <row r="15302">
      <c r="G15302" s="9">
        <f t="shared" si="0"/>
      </c>
      <c r="L15302">
        <f t="shared" si="1"/>
      </c>
      <c r="M15302">
        <f t="shared" si="2"/>
      </c>
    </row>
    <row r="15303">
      <c r="G15303" s="9">
        <f t="shared" si="0"/>
      </c>
      <c r="L15303">
        <f t="shared" si="1"/>
      </c>
      <c r="M15303">
        <f t="shared" si="2"/>
      </c>
    </row>
    <row r="15304">
      <c r="G15304" s="9">
        <f t="shared" si="0"/>
      </c>
      <c r="L15304">
        <f t="shared" si="1"/>
      </c>
      <c r="M15304">
        <f t="shared" si="2"/>
      </c>
    </row>
    <row r="15305">
      <c r="G15305" s="9">
        <f t="shared" si="0"/>
      </c>
      <c r="L15305">
        <f t="shared" si="1"/>
      </c>
      <c r="M15305">
        <f t="shared" si="2"/>
      </c>
    </row>
    <row r="15306">
      <c r="G15306" s="9">
        <f t="shared" si="0"/>
      </c>
      <c r="L15306">
        <f t="shared" si="1"/>
      </c>
      <c r="M15306">
        <f t="shared" si="2"/>
      </c>
    </row>
    <row r="15307">
      <c r="G15307" s="9">
        <f t="shared" si="0"/>
      </c>
      <c r="L15307">
        <f t="shared" si="1"/>
      </c>
      <c r="M15307">
        <f t="shared" si="2"/>
      </c>
    </row>
    <row r="15308">
      <c r="G15308" s="9">
        <f t="shared" si="0"/>
      </c>
      <c r="L15308">
        <f t="shared" si="1"/>
      </c>
      <c r="M15308">
        <f t="shared" si="2"/>
      </c>
    </row>
    <row r="15309">
      <c r="G15309" s="9">
        <f t="shared" si="0"/>
      </c>
      <c r="L15309">
        <f t="shared" si="1"/>
      </c>
      <c r="M15309">
        <f t="shared" si="2"/>
      </c>
    </row>
    <row r="15310">
      <c r="G15310" s="9">
        <f t="shared" si="0"/>
      </c>
      <c r="L15310">
        <f t="shared" si="1"/>
      </c>
      <c r="M15310">
        <f t="shared" si="2"/>
      </c>
    </row>
    <row r="15311">
      <c r="G15311" s="9">
        <f t="shared" si="0"/>
      </c>
      <c r="L15311">
        <f t="shared" si="1"/>
      </c>
      <c r="M15311">
        <f t="shared" si="2"/>
      </c>
    </row>
    <row r="15312">
      <c r="G15312" s="9">
        <f t="shared" si="0"/>
      </c>
      <c r="L15312">
        <f t="shared" si="1"/>
      </c>
      <c r="M15312">
        <f t="shared" si="2"/>
      </c>
    </row>
    <row r="15313">
      <c r="G15313" s="9">
        <f t="shared" si="0"/>
      </c>
      <c r="L15313">
        <f t="shared" si="1"/>
      </c>
      <c r="M15313">
        <f t="shared" si="2"/>
      </c>
    </row>
    <row r="15314">
      <c r="G15314" s="9">
        <f t="shared" si="0"/>
      </c>
      <c r="L15314">
        <f t="shared" si="1"/>
      </c>
      <c r="M15314">
        <f t="shared" si="2"/>
      </c>
    </row>
    <row r="15315">
      <c r="G15315" s="9">
        <f t="shared" si="0"/>
      </c>
      <c r="L15315">
        <f t="shared" si="1"/>
      </c>
      <c r="M15315">
        <f t="shared" si="2"/>
      </c>
    </row>
    <row r="15316">
      <c r="G15316" s="9">
        <f t="shared" si="0"/>
      </c>
      <c r="L15316">
        <f t="shared" si="1"/>
      </c>
      <c r="M15316">
        <f t="shared" si="2"/>
      </c>
    </row>
    <row r="15317">
      <c r="G15317" s="9">
        <f t="shared" si="0"/>
      </c>
      <c r="L15317">
        <f t="shared" si="1"/>
      </c>
      <c r="M15317">
        <f t="shared" si="2"/>
      </c>
    </row>
    <row r="15318">
      <c r="G15318" s="9">
        <f t="shared" si="0"/>
      </c>
      <c r="L15318">
        <f t="shared" si="1"/>
      </c>
      <c r="M15318">
        <f t="shared" si="2"/>
      </c>
    </row>
    <row r="15319">
      <c r="G15319" s="9">
        <f t="shared" si="0"/>
      </c>
      <c r="L15319">
        <f t="shared" si="1"/>
      </c>
      <c r="M15319">
        <f t="shared" si="2"/>
      </c>
    </row>
    <row r="15320">
      <c r="G15320" s="9">
        <f t="shared" si="0"/>
      </c>
      <c r="L15320">
        <f t="shared" si="1"/>
      </c>
      <c r="M15320">
        <f t="shared" si="2"/>
      </c>
    </row>
    <row r="15321">
      <c r="G15321" s="9">
        <f t="shared" si="0"/>
      </c>
      <c r="L15321">
        <f t="shared" si="1"/>
      </c>
      <c r="M15321">
        <f t="shared" si="2"/>
      </c>
    </row>
    <row r="15322">
      <c r="G15322" s="9">
        <f t="shared" si="0"/>
      </c>
      <c r="L15322">
        <f t="shared" si="1"/>
      </c>
      <c r="M15322">
        <f t="shared" si="2"/>
      </c>
    </row>
    <row r="15323">
      <c r="G15323" s="9">
        <f t="shared" si="0"/>
      </c>
      <c r="L15323">
        <f t="shared" si="1"/>
      </c>
      <c r="M15323">
        <f t="shared" si="2"/>
      </c>
    </row>
    <row r="15324">
      <c r="G15324" s="9">
        <f t="shared" si="0"/>
      </c>
      <c r="L15324">
        <f t="shared" si="1"/>
      </c>
      <c r="M15324">
        <f t="shared" si="2"/>
      </c>
    </row>
    <row r="15325">
      <c r="G15325" s="9">
        <f t="shared" si="0"/>
      </c>
      <c r="L15325">
        <f t="shared" si="1"/>
      </c>
      <c r="M15325">
        <f t="shared" si="2"/>
      </c>
    </row>
    <row r="15326">
      <c r="G15326" s="9">
        <f t="shared" si="0"/>
      </c>
      <c r="L15326">
        <f t="shared" si="1"/>
      </c>
      <c r="M15326">
        <f t="shared" si="2"/>
      </c>
    </row>
    <row r="15327">
      <c r="G15327" s="9">
        <f t="shared" si="0"/>
      </c>
      <c r="L15327">
        <f t="shared" si="1"/>
      </c>
      <c r="M15327">
        <f t="shared" si="2"/>
      </c>
    </row>
    <row r="15328">
      <c r="G15328" s="9">
        <f t="shared" si="0"/>
      </c>
      <c r="L15328">
        <f t="shared" si="1"/>
      </c>
      <c r="M15328">
        <f t="shared" si="2"/>
      </c>
    </row>
    <row r="15329">
      <c r="G15329" s="9">
        <f t="shared" si="0"/>
      </c>
      <c r="L15329">
        <f t="shared" si="1"/>
      </c>
      <c r="M15329">
        <f t="shared" si="2"/>
      </c>
    </row>
    <row r="15330">
      <c r="G15330" s="9">
        <f t="shared" si="0"/>
      </c>
      <c r="L15330">
        <f t="shared" si="1"/>
      </c>
      <c r="M15330">
        <f t="shared" si="2"/>
      </c>
    </row>
    <row r="15331">
      <c r="G15331" s="9">
        <f t="shared" si="0"/>
      </c>
      <c r="L15331">
        <f t="shared" si="1"/>
      </c>
      <c r="M15331">
        <f t="shared" si="2"/>
      </c>
    </row>
    <row r="15332">
      <c r="G15332" s="9">
        <f t="shared" si="0"/>
      </c>
      <c r="L15332">
        <f t="shared" si="1"/>
      </c>
      <c r="M15332">
        <f t="shared" si="2"/>
      </c>
    </row>
    <row r="15333">
      <c r="G15333" s="9">
        <f t="shared" si="0"/>
      </c>
      <c r="L15333">
        <f t="shared" si="1"/>
      </c>
      <c r="M15333">
        <f t="shared" si="2"/>
      </c>
    </row>
    <row r="15334">
      <c r="G15334" s="9">
        <f t="shared" si="0"/>
      </c>
      <c r="L15334">
        <f t="shared" si="1"/>
      </c>
      <c r="M15334">
        <f t="shared" si="2"/>
      </c>
    </row>
    <row r="15335">
      <c r="G15335" s="9">
        <f t="shared" si="0"/>
      </c>
      <c r="L15335">
        <f t="shared" si="1"/>
      </c>
      <c r="M15335">
        <f t="shared" si="2"/>
      </c>
    </row>
    <row r="15336">
      <c r="G15336" s="9">
        <f t="shared" si="0"/>
      </c>
      <c r="L15336">
        <f t="shared" si="1"/>
      </c>
      <c r="M15336">
        <f t="shared" si="2"/>
      </c>
    </row>
    <row r="15337">
      <c r="G15337" s="9">
        <f t="shared" si="0"/>
      </c>
      <c r="L15337">
        <f t="shared" si="1"/>
      </c>
      <c r="M15337">
        <f t="shared" si="2"/>
      </c>
    </row>
    <row r="15338">
      <c r="G15338" s="9">
        <f t="shared" si="0"/>
      </c>
      <c r="L15338">
        <f t="shared" si="1"/>
      </c>
      <c r="M15338">
        <f t="shared" si="2"/>
      </c>
    </row>
    <row r="15339">
      <c r="G15339" s="9">
        <f t="shared" si="0"/>
      </c>
      <c r="L15339">
        <f t="shared" si="1"/>
      </c>
      <c r="M15339">
        <f t="shared" si="2"/>
      </c>
    </row>
    <row r="15340">
      <c r="G15340" s="9">
        <f t="shared" si="0"/>
      </c>
      <c r="L15340">
        <f t="shared" si="1"/>
      </c>
      <c r="M15340">
        <f t="shared" si="2"/>
      </c>
    </row>
    <row r="15341">
      <c r="G15341" s="9">
        <f t="shared" si="0"/>
      </c>
      <c r="L15341">
        <f t="shared" si="1"/>
      </c>
      <c r="M15341">
        <f t="shared" si="2"/>
      </c>
    </row>
    <row r="15342">
      <c r="G15342" s="9">
        <f t="shared" si="0"/>
      </c>
      <c r="L15342">
        <f t="shared" si="1"/>
      </c>
      <c r="M15342">
        <f t="shared" si="2"/>
      </c>
    </row>
    <row r="15343">
      <c r="G15343" s="9">
        <f t="shared" si="0"/>
      </c>
      <c r="L15343">
        <f t="shared" si="1"/>
      </c>
      <c r="M15343">
        <f t="shared" si="2"/>
      </c>
    </row>
    <row r="15344">
      <c r="G15344" s="9">
        <f t="shared" si="0"/>
      </c>
      <c r="L15344">
        <f t="shared" si="1"/>
      </c>
      <c r="M15344">
        <f t="shared" si="2"/>
      </c>
    </row>
    <row r="15345">
      <c r="G15345" s="9">
        <f t="shared" si="0"/>
      </c>
      <c r="L15345">
        <f t="shared" si="1"/>
      </c>
      <c r="M15345">
        <f t="shared" si="2"/>
      </c>
    </row>
    <row r="15346">
      <c r="G15346" s="9">
        <f t="shared" si="0"/>
      </c>
      <c r="L15346">
        <f t="shared" si="1"/>
      </c>
      <c r="M15346">
        <f t="shared" si="2"/>
      </c>
    </row>
    <row r="15347">
      <c r="G15347" s="9">
        <f t="shared" si="0"/>
      </c>
      <c r="L15347">
        <f t="shared" si="1"/>
      </c>
      <c r="M15347">
        <f t="shared" si="2"/>
      </c>
    </row>
    <row r="15348">
      <c r="G15348" s="9">
        <f t="shared" si="0"/>
      </c>
      <c r="L15348">
        <f t="shared" si="1"/>
      </c>
      <c r="M15348">
        <f t="shared" si="2"/>
      </c>
    </row>
    <row r="15349">
      <c r="G15349" s="9">
        <f t="shared" si="0"/>
      </c>
      <c r="L15349">
        <f t="shared" si="1"/>
      </c>
      <c r="M15349">
        <f t="shared" si="2"/>
      </c>
    </row>
    <row r="15350">
      <c r="G15350" s="9">
        <f t="shared" si="0"/>
      </c>
      <c r="L15350">
        <f t="shared" si="1"/>
      </c>
      <c r="M15350">
        <f t="shared" si="2"/>
      </c>
    </row>
    <row r="15351">
      <c r="G15351" s="9">
        <f t="shared" si="0"/>
      </c>
      <c r="L15351">
        <f t="shared" si="1"/>
      </c>
      <c r="M15351">
        <f t="shared" si="2"/>
      </c>
    </row>
    <row r="15352">
      <c r="G15352" s="9">
        <f t="shared" si="0"/>
      </c>
      <c r="L15352">
        <f t="shared" si="1"/>
      </c>
      <c r="M15352">
        <f t="shared" si="2"/>
      </c>
    </row>
    <row r="15353">
      <c r="G15353" s="9">
        <f t="shared" si="0"/>
      </c>
      <c r="L15353">
        <f t="shared" si="1"/>
      </c>
      <c r="M15353">
        <f t="shared" si="2"/>
      </c>
    </row>
    <row r="15354">
      <c r="G15354" s="9">
        <f t="shared" si="0"/>
      </c>
      <c r="L15354">
        <f t="shared" si="1"/>
      </c>
      <c r="M15354">
        <f t="shared" si="2"/>
      </c>
    </row>
    <row r="15355">
      <c r="G15355" s="9">
        <f t="shared" si="0"/>
      </c>
      <c r="L15355">
        <f t="shared" si="1"/>
      </c>
      <c r="M15355">
        <f t="shared" si="2"/>
      </c>
    </row>
    <row r="15356">
      <c r="G15356" s="9">
        <f t="shared" si="0"/>
      </c>
      <c r="L15356">
        <f t="shared" si="1"/>
      </c>
      <c r="M15356">
        <f t="shared" si="2"/>
      </c>
    </row>
    <row r="15357">
      <c r="G15357" s="9">
        <f t="shared" si="0"/>
      </c>
      <c r="L15357">
        <f t="shared" si="1"/>
      </c>
      <c r="M15357">
        <f t="shared" si="2"/>
      </c>
    </row>
    <row r="15358">
      <c r="G15358" s="9">
        <f t="shared" si="0"/>
      </c>
      <c r="L15358">
        <f t="shared" si="1"/>
      </c>
      <c r="M15358">
        <f t="shared" si="2"/>
      </c>
    </row>
    <row r="15359">
      <c r="G15359" s="9">
        <f t="shared" si="0"/>
      </c>
      <c r="L15359">
        <f t="shared" si="1"/>
      </c>
      <c r="M15359">
        <f t="shared" si="2"/>
      </c>
    </row>
    <row r="15360">
      <c r="G15360" s="9">
        <f t="shared" si="0"/>
      </c>
      <c r="L15360">
        <f t="shared" si="1"/>
      </c>
      <c r="M15360">
        <f t="shared" si="2"/>
      </c>
    </row>
    <row r="15361">
      <c r="G15361" s="9">
        <f t="shared" si="0"/>
      </c>
      <c r="L15361">
        <f t="shared" si="1"/>
      </c>
      <c r="M15361">
        <f t="shared" si="2"/>
      </c>
    </row>
    <row r="15362">
      <c r="G15362" s="9">
        <f t="shared" si="0"/>
      </c>
      <c r="L15362">
        <f t="shared" si="1"/>
      </c>
      <c r="M15362">
        <f t="shared" si="2"/>
      </c>
    </row>
    <row r="15363">
      <c r="G15363" s="9">
        <f t="shared" si="0"/>
      </c>
      <c r="L15363">
        <f t="shared" si="1"/>
      </c>
      <c r="M15363">
        <f t="shared" si="2"/>
      </c>
    </row>
    <row r="15364">
      <c r="G15364" s="9">
        <f t="shared" si="0"/>
      </c>
      <c r="L15364">
        <f t="shared" si="1"/>
      </c>
      <c r="M15364">
        <f t="shared" si="2"/>
      </c>
    </row>
    <row r="15365">
      <c r="G15365" s="9">
        <f t="shared" si="0"/>
      </c>
      <c r="L15365">
        <f t="shared" si="1"/>
      </c>
      <c r="M15365">
        <f t="shared" si="2"/>
      </c>
    </row>
    <row r="15366">
      <c r="G15366" s="9">
        <f t="shared" si="0"/>
      </c>
      <c r="L15366">
        <f t="shared" si="1"/>
      </c>
      <c r="M15366">
        <f t="shared" si="2"/>
      </c>
    </row>
    <row r="15367">
      <c r="G15367" s="9">
        <f t="shared" si="0"/>
      </c>
      <c r="L15367">
        <f t="shared" si="1"/>
      </c>
      <c r="M15367">
        <f t="shared" si="2"/>
      </c>
    </row>
    <row r="15368">
      <c r="G15368" s="9">
        <f t="shared" si="0"/>
      </c>
      <c r="L15368">
        <f t="shared" si="1"/>
      </c>
      <c r="M15368">
        <f t="shared" si="2"/>
      </c>
    </row>
    <row r="15369">
      <c r="G15369" s="9">
        <f t="shared" si="0"/>
      </c>
      <c r="L15369">
        <f t="shared" si="1"/>
      </c>
      <c r="M15369">
        <f t="shared" si="2"/>
      </c>
    </row>
    <row r="15370">
      <c r="G15370" s="9">
        <f t="shared" si="0"/>
      </c>
      <c r="L15370">
        <f t="shared" si="1"/>
      </c>
      <c r="M15370">
        <f t="shared" si="2"/>
      </c>
    </row>
    <row r="15371">
      <c r="G15371" s="9">
        <f t="shared" si="0"/>
      </c>
      <c r="L15371">
        <f t="shared" si="1"/>
      </c>
      <c r="M15371">
        <f t="shared" si="2"/>
      </c>
    </row>
    <row r="15372">
      <c r="G15372" s="9">
        <f t="shared" si="0"/>
      </c>
      <c r="L15372">
        <f t="shared" si="1"/>
      </c>
      <c r="M15372">
        <f t="shared" si="2"/>
      </c>
    </row>
    <row r="15373">
      <c r="G15373" s="9">
        <f t="shared" si="0"/>
      </c>
      <c r="L15373">
        <f t="shared" si="1"/>
      </c>
      <c r="M15373">
        <f t="shared" si="2"/>
      </c>
    </row>
    <row r="15374">
      <c r="G15374" s="9">
        <f t="shared" si="0"/>
      </c>
      <c r="L15374">
        <f t="shared" si="1"/>
      </c>
      <c r="M15374">
        <f t="shared" si="2"/>
      </c>
    </row>
    <row r="15375">
      <c r="G15375" s="9">
        <f t="shared" si="0"/>
      </c>
      <c r="L15375">
        <f t="shared" si="1"/>
      </c>
      <c r="M15375">
        <f t="shared" si="2"/>
      </c>
    </row>
    <row r="15376">
      <c r="G15376" s="9">
        <f t="shared" si="0"/>
      </c>
      <c r="L15376">
        <f t="shared" si="1"/>
      </c>
      <c r="M15376">
        <f t="shared" si="2"/>
      </c>
    </row>
    <row r="15377">
      <c r="G15377" s="9">
        <f t="shared" si="0"/>
      </c>
      <c r="L15377">
        <f t="shared" si="1"/>
      </c>
      <c r="M15377">
        <f t="shared" si="2"/>
      </c>
    </row>
    <row r="15378">
      <c r="G15378" s="9">
        <f t="shared" si="0"/>
      </c>
      <c r="L15378">
        <f t="shared" si="1"/>
      </c>
      <c r="M15378">
        <f t="shared" si="2"/>
      </c>
    </row>
    <row r="15379">
      <c r="G15379" s="9">
        <f t="shared" si="0"/>
      </c>
      <c r="L15379">
        <f t="shared" si="1"/>
      </c>
      <c r="M15379">
        <f t="shared" si="2"/>
      </c>
    </row>
    <row r="15380">
      <c r="G15380" s="9">
        <f t="shared" si="0"/>
      </c>
      <c r="L15380">
        <f t="shared" si="1"/>
      </c>
      <c r="M15380">
        <f t="shared" si="2"/>
      </c>
    </row>
    <row r="15381">
      <c r="G15381" s="9">
        <f t="shared" si="0"/>
      </c>
      <c r="L15381">
        <f t="shared" si="1"/>
      </c>
      <c r="M15381">
        <f t="shared" si="2"/>
      </c>
    </row>
    <row r="15382">
      <c r="G15382" s="9">
        <f t="shared" si="0"/>
      </c>
      <c r="L15382">
        <f t="shared" si="1"/>
      </c>
      <c r="M15382">
        <f t="shared" si="2"/>
      </c>
    </row>
    <row r="15383">
      <c r="G15383" s="9">
        <f t="shared" si="0"/>
      </c>
      <c r="L15383">
        <f t="shared" si="1"/>
      </c>
      <c r="M15383">
        <f t="shared" si="2"/>
      </c>
    </row>
    <row r="15384">
      <c r="G15384" s="9">
        <f t="shared" si="0"/>
      </c>
      <c r="L15384">
        <f t="shared" si="1"/>
      </c>
      <c r="M15384">
        <f t="shared" si="2"/>
      </c>
    </row>
    <row r="15385">
      <c r="G15385" s="9">
        <f t="shared" si="0"/>
      </c>
      <c r="L15385">
        <f t="shared" si="1"/>
      </c>
      <c r="M15385">
        <f t="shared" si="2"/>
      </c>
    </row>
    <row r="15386">
      <c r="G15386" s="9">
        <f t="shared" si="0"/>
      </c>
      <c r="L15386">
        <f t="shared" si="1"/>
      </c>
      <c r="M15386">
        <f t="shared" si="2"/>
      </c>
    </row>
    <row r="15387">
      <c r="G15387" s="9">
        <f t="shared" si="0"/>
      </c>
      <c r="L15387">
        <f t="shared" si="1"/>
      </c>
      <c r="M15387">
        <f t="shared" si="2"/>
      </c>
    </row>
    <row r="15388">
      <c r="G15388" s="9">
        <f t="shared" si="0"/>
      </c>
      <c r="L15388">
        <f t="shared" si="1"/>
      </c>
      <c r="M15388">
        <f t="shared" si="2"/>
      </c>
    </row>
    <row r="15389">
      <c r="G15389" s="9">
        <f t="shared" si="0"/>
      </c>
      <c r="L15389">
        <f t="shared" si="1"/>
      </c>
      <c r="M15389">
        <f t="shared" si="2"/>
      </c>
    </row>
    <row r="15390">
      <c r="G15390" s="9">
        <f t="shared" si="0"/>
      </c>
      <c r="L15390">
        <f t="shared" si="1"/>
      </c>
      <c r="M15390">
        <f t="shared" si="2"/>
      </c>
    </row>
    <row r="15391">
      <c r="G15391" s="9">
        <f t="shared" si="0"/>
      </c>
      <c r="L15391">
        <f t="shared" si="1"/>
      </c>
      <c r="M15391">
        <f t="shared" si="2"/>
      </c>
    </row>
    <row r="15392">
      <c r="G15392" s="9">
        <f t="shared" si="0"/>
      </c>
      <c r="L15392">
        <f t="shared" si="1"/>
      </c>
      <c r="M15392">
        <f t="shared" si="2"/>
      </c>
    </row>
    <row r="15393">
      <c r="G15393" s="9">
        <f t="shared" si="0"/>
      </c>
      <c r="L15393">
        <f t="shared" si="1"/>
      </c>
      <c r="M15393">
        <f t="shared" si="2"/>
      </c>
    </row>
    <row r="15394">
      <c r="G15394" s="9">
        <f t="shared" si="0"/>
      </c>
      <c r="L15394">
        <f t="shared" si="1"/>
      </c>
      <c r="M15394">
        <f t="shared" si="2"/>
      </c>
    </row>
    <row r="15395">
      <c r="G15395" s="9">
        <f t="shared" si="0"/>
      </c>
      <c r="L15395">
        <f t="shared" si="1"/>
      </c>
      <c r="M15395">
        <f t="shared" si="2"/>
      </c>
    </row>
    <row r="15396">
      <c r="G15396" s="9">
        <f t="shared" si="0"/>
      </c>
      <c r="L15396">
        <f t="shared" si="1"/>
      </c>
      <c r="M15396">
        <f t="shared" si="2"/>
      </c>
    </row>
    <row r="15397">
      <c r="G15397" s="9">
        <f t="shared" si="0"/>
      </c>
      <c r="L15397">
        <f t="shared" si="1"/>
      </c>
      <c r="M15397">
        <f t="shared" si="2"/>
      </c>
    </row>
    <row r="15398">
      <c r="G15398" s="9">
        <f t="shared" si="0"/>
      </c>
      <c r="L15398">
        <f t="shared" si="1"/>
      </c>
      <c r="M15398">
        <f t="shared" si="2"/>
      </c>
    </row>
    <row r="15399">
      <c r="G15399" s="9">
        <f t="shared" si="0"/>
      </c>
      <c r="L15399">
        <f t="shared" si="1"/>
      </c>
      <c r="M15399">
        <f t="shared" si="2"/>
      </c>
    </row>
    <row r="15400">
      <c r="G15400" s="9">
        <f t="shared" si="0"/>
      </c>
      <c r="L15400">
        <f t="shared" si="1"/>
      </c>
      <c r="M15400">
        <f t="shared" si="2"/>
      </c>
    </row>
    <row r="15401">
      <c r="G15401" s="9">
        <f t="shared" si="0"/>
      </c>
      <c r="L15401">
        <f t="shared" si="1"/>
      </c>
      <c r="M15401">
        <f t="shared" si="2"/>
      </c>
    </row>
    <row r="15402">
      <c r="G15402" s="9">
        <f t="shared" si="0"/>
      </c>
      <c r="L15402">
        <f t="shared" si="1"/>
      </c>
      <c r="M15402">
        <f t="shared" si="2"/>
      </c>
    </row>
    <row r="15403">
      <c r="G15403" s="9">
        <f t="shared" si="0"/>
      </c>
      <c r="L15403">
        <f t="shared" si="1"/>
      </c>
      <c r="M15403">
        <f t="shared" si="2"/>
      </c>
    </row>
    <row r="15404">
      <c r="G15404" s="9">
        <f t="shared" si="0"/>
      </c>
      <c r="L15404">
        <f t="shared" si="1"/>
      </c>
      <c r="M15404">
        <f t="shared" si="2"/>
      </c>
    </row>
    <row r="15405">
      <c r="G15405" s="9">
        <f t="shared" si="0"/>
      </c>
      <c r="L15405">
        <f t="shared" si="1"/>
      </c>
      <c r="M15405">
        <f t="shared" si="2"/>
      </c>
    </row>
    <row r="15406">
      <c r="G15406" s="9">
        <f t="shared" si="0"/>
      </c>
      <c r="L15406">
        <f t="shared" si="1"/>
      </c>
      <c r="M15406">
        <f t="shared" si="2"/>
      </c>
    </row>
    <row r="15407">
      <c r="G15407" s="9">
        <f t="shared" si="0"/>
      </c>
      <c r="L15407">
        <f t="shared" si="1"/>
      </c>
      <c r="M15407">
        <f t="shared" si="2"/>
      </c>
    </row>
    <row r="15408">
      <c r="G15408" s="9">
        <f t="shared" si="0"/>
      </c>
      <c r="L15408">
        <f t="shared" si="1"/>
      </c>
      <c r="M15408">
        <f t="shared" si="2"/>
      </c>
    </row>
    <row r="15409">
      <c r="G15409" s="9">
        <f t="shared" si="0"/>
      </c>
      <c r="L15409">
        <f t="shared" si="1"/>
      </c>
      <c r="M15409">
        <f t="shared" si="2"/>
      </c>
    </row>
    <row r="15410">
      <c r="G15410" s="9">
        <f t="shared" si="0"/>
      </c>
      <c r="L15410">
        <f t="shared" si="1"/>
      </c>
      <c r="M15410">
        <f t="shared" si="2"/>
      </c>
    </row>
    <row r="15411">
      <c r="G15411" s="9">
        <f t="shared" si="0"/>
      </c>
      <c r="L15411">
        <f t="shared" si="1"/>
      </c>
      <c r="M15411">
        <f t="shared" si="2"/>
      </c>
    </row>
    <row r="15412">
      <c r="G15412" s="9">
        <f t="shared" si="0"/>
      </c>
      <c r="L15412">
        <f t="shared" si="1"/>
      </c>
      <c r="M15412">
        <f t="shared" si="2"/>
      </c>
    </row>
    <row r="15413">
      <c r="G15413" s="9">
        <f t="shared" si="0"/>
      </c>
      <c r="L15413">
        <f t="shared" si="1"/>
      </c>
      <c r="M15413">
        <f t="shared" si="2"/>
      </c>
    </row>
    <row r="15414">
      <c r="G15414" s="9">
        <f t="shared" si="0"/>
      </c>
      <c r="L15414">
        <f t="shared" si="1"/>
      </c>
      <c r="M15414">
        <f t="shared" si="2"/>
      </c>
    </row>
    <row r="15415">
      <c r="G15415" s="9">
        <f t="shared" si="0"/>
      </c>
      <c r="L15415">
        <f t="shared" si="1"/>
      </c>
      <c r="M15415">
        <f t="shared" si="2"/>
      </c>
    </row>
    <row r="15416">
      <c r="G15416" s="9">
        <f t="shared" si="0"/>
      </c>
      <c r="L15416">
        <f t="shared" si="1"/>
      </c>
      <c r="M15416">
        <f t="shared" si="2"/>
      </c>
    </row>
    <row r="15417">
      <c r="G15417" s="9">
        <f t="shared" si="0"/>
      </c>
      <c r="L15417">
        <f t="shared" si="1"/>
      </c>
      <c r="M15417">
        <f t="shared" si="2"/>
      </c>
    </row>
    <row r="15418">
      <c r="G15418" s="9">
        <f t="shared" si="0"/>
      </c>
      <c r="L15418">
        <f t="shared" si="1"/>
      </c>
      <c r="M15418">
        <f t="shared" si="2"/>
      </c>
    </row>
    <row r="15419">
      <c r="G15419" s="9">
        <f t="shared" si="0"/>
      </c>
      <c r="L15419">
        <f t="shared" si="1"/>
      </c>
      <c r="M15419">
        <f t="shared" si="2"/>
      </c>
    </row>
    <row r="15420">
      <c r="G15420" s="9">
        <f t="shared" si="0"/>
      </c>
      <c r="L15420">
        <f t="shared" si="1"/>
      </c>
      <c r="M15420">
        <f t="shared" si="2"/>
      </c>
    </row>
    <row r="15421">
      <c r="G15421" s="9">
        <f t="shared" si="0"/>
      </c>
      <c r="L15421">
        <f t="shared" si="1"/>
      </c>
      <c r="M15421">
        <f t="shared" si="2"/>
      </c>
    </row>
    <row r="15422">
      <c r="G15422" s="9">
        <f t="shared" si="0"/>
      </c>
      <c r="L15422">
        <f t="shared" si="1"/>
      </c>
      <c r="M15422">
        <f t="shared" si="2"/>
      </c>
    </row>
    <row r="15423">
      <c r="G15423" s="9">
        <f t="shared" si="0"/>
      </c>
      <c r="L15423">
        <f t="shared" si="1"/>
      </c>
      <c r="M15423">
        <f t="shared" si="2"/>
      </c>
    </row>
    <row r="15424">
      <c r="G15424" s="9">
        <f t="shared" si="0"/>
      </c>
      <c r="L15424">
        <f t="shared" si="1"/>
      </c>
      <c r="M15424">
        <f t="shared" si="2"/>
      </c>
    </row>
    <row r="15425">
      <c r="G15425" s="9">
        <f t="shared" si="0"/>
      </c>
      <c r="L15425">
        <f t="shared" si="1"/>
      </c>
      <c r="M15425">
        <f t="shared" si="2"/>
      </c>
    </row>
    <row r="15426">
      <c r="G15426" s="9">
        <f t="shared" si="0"/>
      </c>
      <c r="L15426">
        <f t="shared" si="1"/>
      </c>
      <c r="M15426">
        <f t="shared" si="2"/>
      </c>
    </row>
    <row r="15427">
      <c r="G15427" s="9">
        <f t="shared" si="0"/>
      </c>
      <c r="L15427">
        <f t="shared" si="1"/>
      </c>
      <c r="M15427">
        <f t="shared" si="2"/>
      </c>
    </row>
    <row r="15428">
      <c r="G15428" s="9">
        <f t="shared" si="0"/>
      </c>
      <c r="L15428">
        <f t="shared" si="1"/>
      </c>
      <c r="M15428">
        <f t="shared" si="2"/>
      </c>
    </row>
    <row r="15429">
      <c r="G15429" s="9">
        <f t="shared" si="0"/>
      </c>
      <c r="L15429">
        <f t="shared" si="1"/>
      </c>
      <c r="M15429">
        <f t="shared" si="2"/>
      </c>
    </row>
    <row r="15430">
      <c r="G15430" s="9">
        <f t="shared" si="0"/>
      </c>
      <c r="L15430">
        <f t="shared" si="1"/>
      </c>
      <c r="M15430">
        <f t="shared" si="2"/>
      </c>
    </row>
    <row r="15431">
      <c r="G15431" s="9">
        <f t="shared" si="0"/>
      </c>
      <c r="L15431">
        <f t="shared" si="1"/>
      </c>
      <c r="M15431">
        <f t="shared" si="2"/>
      </c>
    </row>
    <row r="15432">
      <c r="G15432" s="9">
        <f t="shared" si="0"/>
      </c>
      <c r="L15432">
        <f t="shared" si="1"/>
      </c>
      <c r="M15432">
        <f t="shared" si="2"/>
      </c>
    </row>
    <row r="15433">
      <c r="G15433" s="9">
        <f t="shared" si="0"/>
      </c>
      <c r="L15433">
        <f t="shared" si="1"/>
      </c>
      <c r="M15433">
        <f t="shared" si="2"/>
      </c>
    </row>
    <row r="15434">
      <c r="G15434" s="9">
        <f t="shared" si="0"/>
      </c>
      <c r="L15434">
        <f t="shared" si="1"/>
      </c>
      <c r="M15434">
        <f t="shared" si="2"/>
      </c>
    </row>
    <row r="15435">
      <c r="G15435" s="9">
        <f t="shared" si="0"/>
      </c>
      <c r="L15435">
        <f t="shared" si="1"/>
      </c>
      <c r="M15435">
        <f t="shared" si="2"/>
      </c>
    </row>
    <row r="15436">
      <c r="G15436" s="9">
        <f t="shared" si="0"/>
      </c>
      <c r="L15436">
        <f t="shared" si="1"/>
      </c>
      <c r="M15436">
        <f t="shared" si="2"/>
      </c>
    </row>
    <row r="15437">
      <c r="G15437" s="9">
        <f t="shared" si="0"/>
      </c>
      <c r="L15437">
        <f t="shared" si="1"/>
      </c>
      <c r="M15437">
        <f t="shared" si="2"/>
      </c>
    </row>
    <row r="15438">
      <c r="G15438" s="9">
        <f t="shared" si="0"/>
      </c>
      <c r="L15438">
        <f t="shared" si="1"/>
      </c>
      <c r="M15438">
        <f t="shared" si="2"/>
      </c>
    </row>
    <row r="15439">
      <c r="G15439" s="9">
        <f t="shared" si="0"/>
      </c>
      <c r="L15439">
        <f t="shared" si="1"/>
      </c>
      <c r="M15439">
        <f t="shared" si="2"/>
      </c>
    </row>
    <row r="15440">
      <c r="G15440" s="9">
        <f t="shared" si="0"/>
      </c>
      <c r="L15440">
        <f t="shared" si="1"/>
      </c>
      <c r="M15440">
        <f t="shared" si="2"/>
      </c>
    </row>
    <row r="15441">
      <c r="G15441" s="9">
        <f t="shared" si="0"/>
      </c>
      <c r="L15441">
        <f t="shared" si="1"/>
      </c>
      <c r="M15441">
        <f t="shared" si="2"/>
      </c>
    </row>
    <row r="15442">
      <c r="G15442" s="9">
        <f t="shared" si="0"/>
      </c>
      <c r="L15442">
        <f t="shared" si="1"/>
      </c>
      <c r="M15442">
        <f t="shared" si="2"/>
      </c>
    </row>
    <row r="15443">
      <c r="G15443" s="9">
        <f t="shared" si="0"/>
      </c>
      <c r="L15443">
        <f t="shared" si="1"/>
      </c>
      <c r="M15443">
        <f t="shared" si="2"/>
      </c>
    </row>
    <row r="15444">
      <c r="G15444" s="9">
        <f t="shared" si="0"/>
      </c>
      <c r="L15444">
        <f t="shared" si="1"/>
      </c>
      <c r="M15444">
        <f t="shared" si="2"/>
      </c>
    </row>
    <row r="15445">
      <c r="G15445" s="9">
        <f t="shared" si="0"/>
      </c>
      <c r="L15445">
        <f t="shared" si="1"/>
      </c>
      <c r="M15445">
        <f t="shared" si="2"/>
      </c>
    </row>
    <row r="15446">
      <c r="G15446" s="9">
        <f t="shared" si="0"/>
      </c>
      <c r="L15446">
        <f t="shared" si="1"/>
      </c>
      <c r="M15446">
        <f t="shared" si="2"/>
      </c>
    </row>
    <row r="15447">
      <c r="G15447" s="9">
        <f t="shared" si="0"/>
      </c>
      <c r="L15447">
        <f t="shared" si="1"/>
      </c>
      <c r="M15447">
        <f t="shared" si="2"/>
      </c>
    </row>
    <row r="15448">
      <c r="G15448" s="9">
        <f t="shared" si="0"/>
      </c>
      <c r="L15448">
        <f t="shared" si="1"/>
      </c>
      <c r="M15448">
        <f t="shared" si="2"/>
      </c>
    </row>
    <row r="15449">
      <c r="G15449" s="9">
        <f t="shared" si="0"/>
      </c>
      <c r="L15449">
        <f t="shared" si="1"/>
      </c>
      <c r="M15449">
        <f t="shared" si="2"/>
      </c>
    </row>
    <row r="15450">
      <c r="G15450" s="9">
        <f t="shared" si="0"/>
      </c>
      <c r="L15450">
        <f t="shared" si="1"/>
      </c>
      <c r="M15450">
        <f t="shared" si="2"/>
      </c>
    </row>
    <row r="15451">
      <c r="G15451" s="9">
        <f t="shared" si="0"/>
      </c>
      <c r="L15451">
        <f t="shared" si="1"/>
      </c>
      <c r="M15451">
        <f t="shared" si="2"/>
      </c>
    </row>
    <row r="15452">
      <c r="G15452" s="9">
        <f t="shared" si="0"/>
      </c>
      <c r="L15452">
        <f t="shared" si="1"/>
      </c>
      <c r="M15452">
        <f t="shared" si="2"/>
      </c>
    </row>
    <row r="15453">
      <c r="G15453" s="9">
        <f t="shared" si="0"/>
      </c>
      <c r="L15453">
        <f t="shared" si="1"/>
      </c>
      <c r="M15453">
        <f t="shared" si="2"/>
      </c>
    </row>
    <row r="15454">
      <c r="G15454" s="9">
        <f t="shared" si="0"/>
      </c>
      <c r="L15454">
        <f t="shared" si="1"/>
      </c>
      <c r="M15454">
        <f t="shared" si="2"/>
      </c>
    </row>
    <row r="15455">
      <c r="G15455" s="9">
        <f t="shared" si="0"/>
      </c>
      <c r="L15455">
        <f t="shared" si="1"/>
      </c>
      <c r="M15455">
        <f t="shared" si="2"/>
      </c>
    </row>
    <row r="15456">
      <c r="G15456" s="9">
        <f t="shared" si="0"/>
      </c>
      <c r="L15456">
        <f t="shared" si="1"/>
      </c>
      <c r="M15456">
        <f t="shared" si="2"/>
      </c>
    </row>
    <row r="15457">
      <c r="G15457" s="9">
        <f t="shared" si="0"/>
      </c>
      <c r="L15457">
        <f t="shared" si="1"/>
      </c>
      <c r="M15457">
        <f t="shared" si="2"/>
      </c>
    </row>
    <row r="15458">
      <c r="G15458" s="9">
        <f t="shared" si="0"/>
      </c>
      <c r="L15458">
        <f t="shared" si="1"/>
      </c>
      <c r="M15458">
        <f t="shared" si="2"/>
      </c>
    </row>
    <row r="15459">
      <c r="G15459" s="9">
        <f t="shared" si="0"/>
      </c>
      <c r="L15459">
        <f t="shared" si="1"/>
      </c>
      <c r="M15459">
        <f t="shared" si="2"/>
      </c>
    </row>
    <row r="15460">
      <c r="G15460" s="9">
        <f t="shared" si="0"/>
      </c>
      <c r="L15460">
        <f t="shared" si="1"/>
      </c>
      <c r="M15460">
        <f t="shared" si="2"/>
      </c>
    </row>
    <row r="15461">
      <c r="G15461" s="9">
        <f t="shared" si="0"/>
      </c>
      <c r="L15461">
        <f t="shared" si="1"/>
      </c>
      <c r="M15461">
        <f t="shared" si="2"/>
      </c>
    </row>
    <row r="15462">
      <c r="G15462" s="9">
        <f t="shared" si="0"/>
      </c>
      <c r="L15462">
        <f t="shared" si="1"/>
      </c>
      <c r="M15462">
        <f t="shared" si="2"/>
      </c>
    </row>
    <row r="15463">
      <c r="G15463" s="9">
        <f t="shared" si="0"/>
      </c>
      <c r="L15463">
        <f t="shared" si="1"/>
      </c>
      <c r="M15463">
        <f t="shared" si="2"/>
      </c>
    </row>
    <row r="15464">
      <c r="G15464" s="9">
        <f t="shared" si="0"/>
      </c>
      <c r="L15464">
        <f t="shared" si="1"/>
      </c>
      <c r="M15464">
        <f t="shared" si="2"/>
      </c>
    </row>
    <row r="15465">
      <c r="G15465" s="9">
        <f t="shared" si="0"/>
      </c>
      <c r="L15465">
        <f t="shared" si="1"/>
      </c>
      <c r="M15465">
        <f t="shared" si="2"/>
      </c>
    </row>
    <row r="15466">
      <c r="G15466" s="9">
        <f t="shared" si="0"/>
      </c>
      <c r="L15466">
        <f t="shared" si="1"/>
      </c>
      <c r="M15466">
        <f t="shared" si="2"/>
      </c>
    </row>
    <row r="15467">
      <c r="G15467" s="9">
        <f t="shared" si="0"/>
      </c>
      <c r="L15467">
        <f t="shared" si="1"/>
      </c>
      <c r="M15467">
        <f t="shared" si="2"/>
      </c>
    </row>
    <row r="15468">
      <c r="G15468" s="9">
        <f t="shared" si="0"/>
      </c>
      <c r="L15468">
        <f t="shared" si="1"/>
      </c>
      <c r="M15468">
        <f t="shared" si="2"/>
      </c>
    </row>
    <row r="15469">
      <c r="G15469" s="9">
        <f t="shared" si="0"/>
      </c>
      <c r="L15469">
        <f t="shared" si="1"/>
      </c>
      <c r="M15469">
        <f t="shared" si="2"/>
      </c>
    </row>
    <row r="15470">
      <c r="G15470" s="9">
        <f t="shared" si="0"/>
      </c>
      <c r="L15470">
        <f t="shared" si="1"/>
      </c>
      <c r="M15470">
        <f t="shared" si="2"/>
      </c>
    </row>
    <row r="15471">
      <c r="G15471" s="9">
        <f t="shared" si="0"/>
      </c>
      <c r="L15471">
        <f t="shared" si="1"/>
      </c>
      <c r="M15471">
        <f t="shared" si="2"/>
      </c>
    </row>
    <row r="15472">
      <c r="G15472" s="9">
        <f t="shared" si="0"/>
      </c>
      <c r="L15472">
        <f t="shared" si="1"/>
      </c>
      <c r="M15472">
        <f t="shared" si="2"/>
      </c>
    </row>
    <row r="15473">
      <c r="G15473" s="9">
        <f t="shared" si="0"/>
      </c>
      <c r="L15473">
        <f t="shared" si="1"/>
      </c>
      <c r="M15473">
        <f t="shared" si="2"/>
      </c>
    </row>
    <row r="15474">
      <c r="G15474" s="9">
        <f t="shared" si="0"/>
      </c>
      <c r="L15474">
        <f t="shared" si="1"/>
      </c>
      <c r="M15474">
        <f t="shared" si="2"/>
      </c>
    </row>
    <row r="15475">
      <c r="G15475" s="9">
        <f t="shared" si="0"/>
      </c>
      <c r="L15475">
        <f t="shared" si="1"/>
      </c>
      <c r="M15475">
        <f t="shared" si="2"/>
      </c>
    </row>
    <row r="15476">
      <c r="G15476" s="9">
        <f t="shared" si="0"/>
      </c>
      <c r="L15476">
        <f t="shared" si="1"/>
      </c>
      <c r="M15476">
        <f t="shared" si="2"/>
      </c>
    </row>
    <row r="15477">
      <c r="G15477" s="9">
        <f t="shared" si="0"/>
      </c>
      <c r="L15477">
        <f t="shared" si="1"/>
      </c>
      <c r="M15477">
        <f t="shared" si="2"/>
      </c>
    </row>
    <row r="15478">
      <c r="G15478" s="9">
        <f t="shared" si="0"/>
      </c>
      <c r="L15478">
        <f t="shared" si="1"/>
      </c>
      <c r="M15478">
        <f t="shared" si="2"/>
      </c>
    </row>
    <row r="15479">
      <c r="G15479" s="9">
        <f t="shared" si="0"/>
      </c>
      <c r="L15479">
        <f t="shared" si="1"/>
      </c>
      <c r="M15479">
        <f t="shared" si="2"/>
      </c>
    </row>
    <row r="15480">
      <c r="G15480" s="9">
        <f t="shared" si="0"/>
      </c>
      <c r="L15480">
        <f t="shared" si="1"/>
      </c>
      <c r="M15480">
        <f t="shared" si="2"/>
      </c>
    </row>
    <row r="15481">
      <c r="G15481" s="9">
        <f t="shared" si="0"/>
      </c>
      <c r="L15481">
        <f t="shared" si="1"/>
      </c>
      <c r="M15481">
        <f t="shared" si="2"/>
      </c>
    </row>
    <row r="15482">
      <c r="G15482" s="9">
        <f t="shared" si="0"/>
      </c>
      <c r="L15482">
        <f t="shared" si="1"/>
      </c>
      <c r="M15482">
        <f t="shared" si="2"/>
      </c>
    </row>
    <row r="15483">
      <c r="G15483" s="9">
        <f t="shared" si="0"/>
      </c>
      <c r="L15483">
        <f t="shared" si="1"/>
      </c>
      <c r="M15483">
        <f t="shared" si="2"/>
      </c>
    </row>
    <row r="15484">
      <c r="G15484" s="9">
        <f t="shared" si="0"/>
      </c>
      <c r="L15484">
        <f t="shared" si="1"/>
      </c>
      <c r="M15484">
        <f t="shared" si="2"/>
      </c>
    </row>
    <row r="15485">
      <c r="G15485" s="9">
        <f t="shared" si="0"/>
      </c>
      <c r="L15485">
        <f t="shared" si="1"/>
      </c>
      <c r="M15485">
        <f t="shared" si="2"/>
      </c>
    </row>
    <row r="15486">
      <c r="G15486" s="9">
        <f t="shared" si="0"/>
      </c>
      <c r="L15486">
        <f t="shared" si="1"/>
      </c>
      <c r="M15486">
        <f t="shared" si="2"/>
      </c>
    </row>
    <row r="15487">
      <c r="G15487" s="9">
        <f t="shared" si="0"/>
      </c>
      <c r="L15487">
        <f t="shared" si="1"/>
      </c>
      <c r="M15487">
        <f t="shared" si="2"/>
      </c>
    </row>
    <row r="15488">
      <c r="G15488" s="9">
        <f t="shared" si="0"/>
      </c>
      <c r="L15488">
        <f t="shared" si="1"/>
      </c>
      <c r="M15488">
        <f t="shared" si="2"/>
      </c>
    </row>
    <row r="15489">
      <c r="G15489" s="9">
        <f t="shared" si="0"/>
      </c>
      <c r="L15489">
        <f t="shared" si="1"/>
      </c>
      <c r="M15489">
        <f t="shared" si="2"/>
      </c>
    </row>
    <row r="15490">
      <c r="G15490" s="9">
        <f t="shared" si="0"/>
      </c>
      <c r="L15490">
        <f t="shared" si="1"/>
      </c>
      <c r="M15490">
        <f t="shared" si="2"/>
      </c>
    </row>
    <row r="15491">
      <c r="G15491" s="9">
        <f t="shared" si="0"/>
      </c>
      <c r="L15491">
        <f t="shared" si="1"/>
      </c>
      <c r="M15491">
        <f t="shared" si="2"/>
      </c>
    </row>
    <row r="15492">
      <c r="G15492" s="9">
        <f t="shared" si="0"/>
      </c>
      <c r="L15492">
        <f t="shared" si="1"/>
      </c>
      <c r="M15492">
        <f t="shared" si="2"/>
      </c>
    </row>
    <row r="15493">
      <c r="G15493" s="9">
        <f t="shared" si="0"/>
      </c>
      <c r="L15493">
        <f t="shared" si="1"/>
      </c>
      <c r="M15493">
        <f t="shared" si="2"/>
      </c>
    </row>
    <row r="15494">
      <c r="G15494" s="9">
        <f t="shared" si="0"/>
      </c>
      <c r="L15494">
        <f t="shared" si="1"/>
      </c>
      <c r="M15494">
        <f t="shared" si="2"/>
      </c>
    </row>
    <row r="15495">
      <c r="G15495" s="9">
        <f t="shared" si="0"/>
      </c>
      <c r="L15495">
        <f t="shared" si="1"/>
      </c>
      <c r="M15495">
        <f t="shared" si="2"/>
      </c>
    </row>
    <row r="15496">
      <c r="G15496" s="9">
        <f t="shared" si="0"/>
      </c>
      <c r="L15496">
        <f t="shared" si="1"/>
      </c>
      <c r="M15496">
        <f t="shared" si="2"/>
      </c>
    </row>
    <row r="15497">
      <c r="G15497" s="9">
        <f t="shared" si="0"/>
      </c>
      <c r="L15497">
        <f t="shared" si="1"/>
      </c>
      <c r="M15497">
        <f t="shared" si="2"/>
      </c>
    </row>
    <row r="15498">
      <c r="G15498" s="9">
        <f t="shared" si="0"/>
      </c>
      <c r="L15498">
        <f t="shared" si="1"/>
      </c>
      <c r="M15498">
        <f t="shared" si="2"/>
      </c>
    </row>
    <row r="15499">
      <c r="G15499" s="9">
        <f t="shared" si="0"/>
      </c>
      <c r="L15499">
        <f t="shared" si="1"/>
      </c>
      <c r="M15499">
        <f t="shared" si="2"/>
      </c>
    </row>
    <row r="15500">
      <c r="G15500" s="9">
        <f t="shared" si="0"/>
      </c>
      <c r="L15500">
        <f t="shared" si="1"/>
      </c>
      <c r="M15500">
        <f t="shared" si="2"/>
      </c>
    </row>
    <row r="15501">
      <c r="G15501" s="9">
        <f t="shared" si="0"/>
      </c>
      <c r="L15501">
        <f t="shared" si="1"/>
      </c>
      <c r="M15501">
        <f t="shared" si="2"/>
      </c>
    </row>
    <row r="15502">
      <c r="G15502" s="9">
        <f t="shared" si="0"/>
      </c>
      <c r="L15502">
        <f t="shared" si="1"/>
      </c>
      <c r="M15502">
        <f t="shared" si="2"/>
      </c>
    </row>
    <row r="15503">
      <c r="G15503" s="9">
        <f t="shared" si="0"/>
      </c>
      <c r="L15503">
        <f t="shared" si="1"/>
      </c>
      <c r="M15503">
        <f t="shared" si="2"/>
      </c>
    </row>
    <row r="15504">
      <c r="G15504" s="9">
        <f t="shared" si="0"/>
      </c>
      <c r="L15504">
        <f t="shared" si="1"/>
      </c>
      <c r="M15504">
        <f t="shared" si="2"/>
      </c>
    </row>
    <row r="15505">
      <c r="G15505" s="9">
        <f t="shared" si="0"/>
      </c>
      <c r="L15505">
        <f t="shared" si="1"/>
      </c>
      <c r="M15505">
        <f t="shared" si="2"/>
      </c>
    </row>
    <row r="15506">
      <c r="G15506" s="9">
        <f t="shared" si="0"/>
      </c>
      <c r="L15506">
        <f t="shared" si="1"/>
      </c>
      <c r="M15506">
        <f t="shared" si="2"/>
      </c>
    </row>
    <row r="15507">
      <c r="G15507" s="9">
        <f t="shared" si="0"/>
      </c>
      <c r="L15507">
        <f t="shared" si="1"/>
      </c>
      <c r="M15507">
        <f t="shared" si="2"/>
      </c>
    </row>
    <row r="15508">
      <c r="G15508" s="9">
        <f t="shared" si="0"/>
      </c>
      <c r="L15508">
        <f t="shared" si="1"/>
      </c>
      <c r="M15508">
        <f t="shared" si="2"/>
      </c>
    </row>
    <row r="15509">
      <c r="G15509" s="9">
        <f t="shared" si="0"/>
      </c>
      <c r="L15509">
        <f t="shared" si="1"/>
      </c>
      <c r="M15509">
        <f t="shared" si="2"/>
      </c>
    </row>
    <row r="15510">
      <c r="G15510" s="9">
        <f t="shared" si="0"/>
      </c>
      <c r="L15510">
        <f t="shared" si="1"/>
      </c>
      <c r="M15510">
        <f t="shared" si="2"/>
      </c>
    </row>
    <row r="15511">
      <c r="G15511" s="9">
        <f t="shared" si="0"/>
      </c>
      <c r="L15511">
        <f t="shared" si="1"/>
      </c>
      <c r="M15511">
        <f t="shared" si="2"/>
      </c>
    </row>
    <row r="15512">
      <c r="G15512" s="9">
        <f t="shared" si="0"/>
      </c>
      <c r="L15512">
        <f t="shared" si="1"/>
      </c>
      <c r="M15512">
        <f t="shared" si="2"/>
      </c>
    </row>
    <row r="15513">
      <c r="G15513" s="9">
        <f t="shared" si="0"/>
      </c>
      <c r="L15513">
        <f t="shared" si="1"/>
      </c>
      <c r="M15513">
        <f t="shared" si="2"/>
      </c>
    </row>
    <row r="15514">
      <c r="G15514" s="9">
        <f t="shared" si="0"/>
      </c>
      <c r="L15514">
        <f t="shared" si="1"/>
      </c>
      <c r="M15514">
        <f t="shared" si="2"/>
      </c>
    </row>
    <row r="15515">
      <c r="G15515" s="9">
        <f t="shared" si="0"/>
      </c>
      <c r="L15515">
        <f t="shared" si="1"/>
      </c>
      <c r="M15515">
        <f t="shared" si="2"/>
      </c>
    </row>
    <row r="15516">
      <c r="G15516" s="9">
        <f t="shared" si="0"/>
      </c>
      <c r="L15516">
        <f t="shared" si="1"/>
      </c>
      <c r="M15516">
        <f t="shared" si="2"/>
      </c>
    </row>
    <row r="15517">
      <c r="G15517" s="9">
        <f t="shared" si="0"/>
      </c>
      <c r="L15517">
        <f t="shared" si="1"/>
      </c>
      <c r="M15517">
        <f t="shared" si="2"/>
      </c>
    </row>
    <row r="15518">
      <c r="G15518" s="9">
        <f t="shared" si="0"/>
      </c>
      <c r="L15518">
        <f t="shared" si="1"/>
      </c>
      <c r="M15518">
        <f t="shared" si="2"/>
      </c>
    </row>
    <row r="15519">
      <c r="G15519" s="9">
        <f t="shared" si="0"/>
      </c>
      <c r="L15519">
        <f t="shared" si="1"/>
      </c>
      <c r="M15519">
        <f t="shared" si="2"/>
      </c>
    </row>
    <row r="15520">
      <c r="G15520" s="9">
        <f t="shared" si="0"/>
      </c>
      <c r="L15520">
        <f t="shared" si="1"/>
      </c>
      <c r="M15520">
        <f t="shared" si="2"/>
      </c>
    </row>
    <row r="15521">
      <c r="G15521" s="9">
        <f t="shared" si="0"/>
      </c>
      <c r="L15521">
        <f t="shared" si="1"/>
      </c>
      <c r="M15521">
        <f t="shared" si="2"/>
      </c>
    </row>
    <row r="15522">
      <c r="G15522" s="9">
        <f t="shared" si="0"/>
      </c>
      <c r="L15522">
        <f t="shared" si="1"/>
      </c>
      <c r="M15522">
        <f t="shared" si="2"/>
      </c>
    </row>
    <row r="15523">
      <c r="G15523" s="9">
        <f t="shared" si="0"/>
      </c>
      <c r="L15523">
        <f t="shared" si="1"/>
      </c>
      <c r="M15523">
        <f t="shared" si="2"/>
      </c>
    </row>
    <row r="15524">
      <c r="G15524" s="9">
        <f t="shared" si="0"/>
      </c>
      <c r="L15524">
        <f t="shared" si="1"/>
      </c>
      <c r="M15524">
        <f t="shared" si="2"/>
      </c>
    </row>
    <row r="15525">
      <c r="G15525" s="9">
        <f t="shared" si="0"/>
      </c>
      <c r="L15525">
        <f t="shared" si="1"/>
      </c>
      <c r="M15525">
        <f t="shared" si="2"/>
      </c>
    </row>
    <row r="15526">
      <c r="G15526" s="9">
        <f t="shared" si="0"/>
      </c>
      <c r="L15526">
        <f t="shared" si="1"/>
      </c>
      <c r="M15526">
        <f t="shared" si="2"/>
      </c>
    </row>
    <row r="15527">
      <c r="G15527" s="9">
        <f t="shared" si="0"/>
      </c>
      <c r="L15527">
        <f t="shared" si="1"/>
      </c>
      <c r="M15527">
        <f t="shared" si="2"/>
      </c>
    </row>
    <row r="15528">
      <c r="G15528" s="9">
        <f t="shared" si="0"/>
      </c>
      <c r="L15528">
        <f t="shared" si="1"/>
      </c>
      <c r="M15528">
        <f t="shared" si="2"/>
      </c>
    </row>
    <row r="15529">
      <c r="G15529" s="9">
        <f t="shared" si="0"/>
      </c>
      <c r="L15529">
        <f t="shared" si="1"/>
      </c>
      <c r="M15529">
        <f t="shared" si="2"/>
      </c>
    </row>
    <row r="15530">
      <c r="G15530" s="9">
        <f t="shared" si="0"/>
      </c>
      <c r="L15530">
        <f t="shared" si="1"/>
      </c>
      <c r="M15530">
        <f t="shared" si="2"/>
      </c>
    </row>
    <row r="15531">
      <c r="G15531" s="9">
        <f t="shared" si="0"/>
      </c>
      <c r="L15531">
        <f t="shared" si="1"/>
      </c>
      <c r="M15531">
        <f t="shared" si="2"/>
      </c>
    </row>
    <row r="15532">
      <c r="G15532" s="9">
        <f t="shared" si="0"/>
      </c>
      <c r="L15532">
        <f t="shared" si="1"/>
      </c>
      <c r="M15532">
        <f t="shared" si="2"/>
      </c>
    </row>
    <row r="15533">
      <c r="G15533" s="9">
        <f t="shared" si="0"/>
      </c>
      <c r="L15533">
        <f t="shared" si="1"/>
      </c>
      <c r="M15533">
        <f t="shared" si="2"/>
      </c>
    </row>
    <row r="15534">
      <c r="G15534" s="9">
        <f t="shared" si="0"/>
      </c>
      <c r="L15534">
        <f t="shared" si="1"/>
      </c>
      <c r="M15534">
        <f t="shared" si="2"/>
      </c>
    </row>
    <row r="15535">
      <c r="G15535" s="9">
        <f t="shared" si="0"/>
      </c>
      <c r="L15535">
        <f t="shared" si="1"/>
      </c>
      <c r="M15535">
        <f t="shared" si="2"/>
      </c>
    </row>
    <row r="15536">
      <c r="G15536" s="9">
        <f t="shared" si="0"/>
      </c>
      <c r="L15536">
        <f t="shared" si="1"/>
      </c>
      <c r="M15536">
        <f t="shared" si="2"/>
      </c>
    </row>
    <row r="15537">
      <c r="G15537" s="9">
        <f t="shared" si="0"/>
      </c>
      <c r="L15537">
        <f t="shared" si="1"/>
      </c>
      <c r="M15537">
        <f t="shared" si="2"/>
      </c>
    </row>
    <row r="15538">
      <c r="G15538" s="9">
        <f t="shared" si="0"/>
      </c>
      <c r="L15538">
        <f t="shared" si="1"/>
      </c>
      <c r="M15538">
        <f t="shared" si="2"/>
      </c>
    </row>
    <row r="15539">
      <c r="G15539" s="9">
        <f t="shared" si="0"/>
      </c>
      <c r="L15539">
        <f t="shared" si="1"/>
      </c>
      <c r="M15539">
        <f t="shared" si="2"/>
      </c>
    </row>
    <row r="15540">
      <c r="G15540" s="9">
        <f t="shared" si="0"/>
      </c>
      <c r="L15540">
        <f t="shared" si="1"/>
      </c>
      <c r="M15540">
        <f t="shared" si="2"/>
      </c>
    </row>
    <row r="15541">
      <c r="G15541" s="9">
        <f t="shared" si="0"/>
      </c>
      <c r="L15541">
        <f t="shared" si="1"/>
      </c>
      <c r="M15541">
        <f t="shared" si="2"/>
      </c>
    </row>
    <row r="15542">
      <c r="G15542" s="9">
        <f t="shared" si="0"/>
      </c>
      <c r="L15542">
        <f t="shared" si="1"/>
      </c>
      <c r="M15542">
        <f t="shared" si="2"/>
      </c>
    </row>
    <row r="15543">
      <c r="G15543" s="9">
        <f t="shared" si="0"/>
      </c>
      <c r="L15543">
        <f t="shared" si="1"/>
      </c>
      <c r="M15543">
        <f t="shared" si="2"/>
      </c>
    </row>
    <row r="15544">
      <c r="G15544" s="9">
        <f t="shared" si="0"/>
      </c>
      <c r="L15544">
        <f t="shared" si="1"/>
      </c>
      <c r="M15544">
        <f t="shared" si="2"/>
      </c>
    </row>
    <row r="15545">
      <c r="G15545" s="9">
        <f t="shared" si="0"/>
      </c>
      <c r="L15545">
        <f t="shared" si="1"/>
      </c>
      <c r="M15545">
        <f t="shared" si="2"/>
      </c>
    </row>
    <row r="15546">
      <c r="G15546" s="9">
        <f t="shared" si="0"/>
      </c>
      <c r="L15546">
        <f t="shared" si="1"/>
      </c>
      <c r="M15546">
        <f t="shared" si="2"/>
      </c>
    </row>
    <row r="15547">
      <c r="G15547" s="9">
        <f t="shared" si="0"/>
      </c>
      <c r="L15547">
        <f t="shared" si="1"/>
      </c>
      <c r="M15547">
        <f t="shared" si="2"/>
      </c>
    </row>
    <row r="15548">
      <c r="G15548" s="9">
        <f t="shared" si="0"/>
      </c>
      <c r="L15548">
        <f t="shared" si="1"/>
      </c>
      <c r="M15548">
        <f t="shared" si="2"/>
      </c>
    </row>
    <row r="15549">
      <c r="G15549" s="9">
        <f t="shared" si="0"/>
      </c>
      <c r="L15549">
        <f t="shared" si="1"/>
      </c>
      <c r="M15549">
        <f t="shared" si="2"/>
      </c>
    </row>
    <row r="15550">
      <c r="G15550" s="9">
        <f t="shared" si="0"/>
      </c>
      <c r="L15550">
        <f t="shared" si="1"/>
      </c>
      <c r="M15550">
        <f t="shared" si="2"/>
      </c>
    </row>
    <row r="15551">
      <c r="G15551" s="9">
        <f t="shared" si="0"/>
      </c>
      <c r="L15551">
        <f t="shared" si="1"/>
      </c>
      <c r="M15551">
        <f t="shared" si="2"/>
      </c>
    </row>
    <row r="15552">
      <c r="G15552" s="9">
        <f t="shared" si="0"/>
      </c>
      <c r="L15552">
        <f t="shared" si="1"/>
      </c>
      <c r="M15552">
        <f t="shared" si="2"/>
      </c>
    </row>
    <row r="15553">
      <c r="G15553" s="9">
        <f t="shared" si="0"/>
      </c>
      <c r="L15553">
        <f t="shared" si="1"/>
      </c>
      <c r="M15553">
        <f t="shared" si="2"/>
      </c>
    </row>
    <row r="15554">
      <c r="G15554" s="9">
        <f t="shared" si="0"/>
      </c>
      <c r="L15554">
        <f t="shared" si="1"/>
      </c>
      <c r="M15554">
        <f t="shared" si="2"/>
      </c>
    </row>
    <row r="15555">
      <c r="G15555" s="9">
        <f t="shared" si="0"/>
      </c>
      <c r="L15555">
        <f t="shared" si="1"/>
      </c>
      <c r="M15555">
        <f t="shared" si="2"/>
      </c>
    </row>
    <row r="15556">
      <c r="G15556" s="9">
        <f t="shared" si="0"/>
      </c>
      <c r="L15556">
        <f t="shared" si="1"/>
      </c>
      <c r="M15556">
        <f t="shared" si="2"/>
      </c>
    </row>
    <row r="15557">
      <c r="G15557" s="9">
        <f t="shared" si="0"/>
      </c>
      <c r="L15557">
        <f t="shared" si="1"/>
      </c>
      <c r="M15557">
        <f t="shared" si="2"/>
      </c>
    </row>
    <row r="15558">
      <c r="G15558" s="9">
        <f t="shared" si="0"/>
      </c>
      <c r="L15558">
        <f t="shared" si="1"/>
      </c>
      <c r="M15558">
        <f t="shared" si="2"/>
      </c>
    </row>
    <row r="15559">
      <c r="G15559" s="9">
        <f t="shared" si="0"/>
      </c>
      <c r="L15559">
        <f t="shared" si="1"/>
      </c>
      <c r="M15559">
        <f t="shared" si="2"/>
      </c>
    </row>
    <row r="15560">
      <c r="G15560" s="9">
        <f t="shared" si="0"/>
      </c>
      <c r="L15560">
        <f t="shared" si="1"/>
      </c>
      <c r="M15560">
        <f t="shared" si="2"/>
      </c>
    </row>
    <row r="15561">
      <c r="G15561" s="9">
        <f t="shared" si="0"/>
      </c>
      <c r="L15561">
        <f t="shared" si="1"/>
      </c>
      <c r="M15561">
        <f t="shared" si="2"/>
      </c>
    </row>
    <row r="15562">
      <c r="G15562" s="9">
        <f t="shared" si="0"/>
      </c>
      <c r="L15562">
        <f t="shared" si="1"/>
      </c>
      <c r="M15562">
        <f t="shared" si="2"/>
      </c>
    </row>
    <row r="15563">
      <c r="G15563" s="9">
        <f t="shared" si="0"/>
      </c>
      <c r="L15563">
        <f t="shared" si="1"/>
      </c>
      <c r="M15563">
        <f t="shared" si="2"/>
      </c>
    </row>
    <row r="15564">
      <c r="G15564" s="9">
        <f t="shared" si="0"/>
      </c>
      <c r="L15564">
        <f t="shared" si="1"/>
      </c>
      <c r="M15564">
        <f t="shared" si="2"/>
      </c>
    </row>
    <row r="15565">
      <c r="G15565" s="9">
        <f t="shared" si="0"/>
      </c>
      <c r="L15565">
        <f t="shared" si="1"/>
      </c>
      <c r="M15565">
        <f t="shared" si="2"/>
      </c>
    </row>
    <row r="15566">
      <c r="G15566" s="9">
        <f t="shared" si="0"/>
      </c>
      <c r="L15566">
        <f t="shared" si="1"/>
      </c>
      <c r="M15566">
        <f t="shared" si="2"/>
      </c>
    </row>
    <row r="15567">
      <c r="G15567" s="9">
        <f t="shared" si="0"/>
      </c>
      <c r="L15567">
        <f t="shared" si="1"/>
      </c>
      <c r="M15567">
        <f t="shared" si="2"/>
      </c>
    </row>
    <row r="15568">
      <c r="G15568" s="9">
        <f t="shared" si="0"/>
      </c>
      <c r="L15568">
        <f t="shared" si="1"/>
      </c>
      <c r="M15568">
        <f t="shared" si="2"/>
      </c>
    </row>
    <row r="15569">
      <c r="G15569" s="9">
        <f t="shared" si="0"/>
      </c>
      <c r="L15569">
        <f t="shared" si="1"/>
      </c>
      <c r="M15569">
        <f t="shared" si="2"/>
      </c>
    </row>
    <row r="15570">
      <c r="G15570" s="9">
        <f t="shared" si="0"/>
      </c>
      <c r="L15570">
        <f t="shared" si="1"/>
      </c>
      <c r="M15570">
        <f t="shared" si="2"/>
      </c>
    </row>
    <row r="15571">
      <c r="G15571" s="9">
        <f t="shared" si="0"/>
      </c>
      <c r="L15571">
        <f t="shared" si="1"/>
      </c>
      <c r="M15571">
        <f t="shared" si="2"/>
      </c>
    </row>
    <row r="15572">
      <c r="G15572" s="9">
        <f t="shared" si="0"/>
      </c>
      <c r="L15572">
        <f t="shared" si="1"/>
      </c>
      <c r="M15572">
        <f t="shared" si="2"/>
      </c>
    </row>
    <row r="15573">
      <c r="G15573" s="9">
        <f t="shared" si="0"/>
      </c>
      <c r="L15573">
        <f t="shared" si="1"/>
      </c>
      <c r="M15573">
        <f t="shared" si="2"/>
      </c>
    </row>
    <row r="15574">
      <c r="G15574" s="9">
        <f t="shared" si="0"/>
      </c>
      <c r="L15574">
        <f t="shared" si="1"/>
      </c>
      <c r="M15574">
        <f t="shared" si="2"/>
      </c>
    </row>
    <row r="15575">
      <c r="G15575" s="9">
        <f t="shared" si="0"/>
      </c>
      <c r="L15575">
        <f t="shared" si="1"/>
      </c>
      <c r="M15575">
        <f t="shared" si="2"/>
      </c>
    </row>
    <row r="15576">
      <c r="G15576" s="9">
        <f t="shared" si="0"/>
      </c>
      <c r="L15576">
        <f t="shared" si="1"/>
      </c>
      <c r="M15576">
        <f t="shared" si="2"/>
      </c>
    </row>
    <row r="15577">
      <c r="G15577" s="9">
        <f t="shared" si="0"/>
      </c>
      <c r="L15577">
        <f t="shared" si="1"/>
      </c>
      <c r="M15577">
        <f t="shared" si="2"/>
      </c>
    </row>
    <row r="15578">
      <c r="G15578" s="9">
        <f t="shared" si="0"/>
      </c>
      <c r="L15578">
        <f t="shared" si="1"/>
      </c>
      <c r="M15578">
        <f t="shared" si="2"/>
      </c>
    </row>
    <row r="15579">
      <c r="G15579" s="9">
        <f t="shared" si="0"/>
      </c>
      <c r="L15579">
        <f t="shared" si="1"/>
      </c>
      <c r="M15579">
        <f t="shared" si="2"/>
      </c>
    </row>
    <row r="15580">
      <c r="G15580" s="9">
        <f t="shared" si="0"/>
      </c>
      <c r="L15580">
        <f t="shared" si="1"/>
      </c>
      <c r="M15580">
        <f t="shared" si="2"/>
      </c>
    </row>
    <row r="15581">
      <c r="G15581" s="9">
        <f t="shared" si="0"/>
      </c>
      <c r="L15581">
        <f t="shared" si="1"/>
      </c>
      <c r="M15581">
        <f t="shared" si="2"/>
      </c>
    </row>
    <row r="15582">
      <c r="G15582" s="9">
        <f t="shared" si="0"/>
      </c>
      <c r="L15582">
        <f t="shared" si="1"/>
      </c>
      <c r="M15582">
        <f t="shared" si="2"/>
      </c>
    </row>
    <row r="15583">
      <c r="G15583" s="9">
        <f t="shared" si="0"/>
      </c>
      <c r="L15583">
        <f t="shared" si="1"/>
      </c>
      <c r="M15583">
        <f t="shared" si="2"/>
      </c>
    </row>
    <row r="15584">
      <c r="G15584" s="9">
        <f t="shared" si="0"/>
      </c>
      <c r="L15584">
        <f t="shared" si="1"/>
      </c>
      <c r="M15584">
        <f t="shared" si="2"/>
      </c>
    </row>
    <row r="15585">
      <c r="G15585" s="9">
        <f t="shared" si="0"/>
      </c>
      <c r="L15585">
        <f t="shared" si="1"/>
      </c>
      <c r="M15585">
        <f t="shared" si="2"/>
      </c>
    </row>
    <row r="15586">
      <c r="G15586" s="9">
        <f t="shared" si="0"/>
      </c>
      <c r="L15586">
        <f t="shared" si="1"/>
      </c>
      <c r="M15586">
        <f t="shared" si="2"/>
      </c>
    </row>
    <row r="15587">
      <c r="G15587" s="9">
        <f t="shared" si="0"/>
      </c>
      <c r="L15587">
        <f t="shared" si="1"/>
      </c>
      <c r="M15587">
        <f t="shared" si="2"/>
      </c>
    </row>
    <row r="15588">
      <c r="G15588" s="9">
        <f t="shared" si="0"/>
      </c>
      <c r="L15588">
        <f t="shared" si="1"/>
      </c>
      <c r="M15588">
        <f t="shared" si="2"/>
      </c>
    </row>
    <row r="15589">
      <c r="G15589" s="9">
        <f t="shared" si="0"/>
      </c>
      <c r="L15589">
        <f t="shared" si="1"/>
      </c>
      <c r="M15589">
        <f t="shared" si="2"/>
      </c>
    </row>
    <row r="15590">
      <c r="G15590" s="9">
        <f t="shared" si="0"/>
      </c>
      <c r="L15590">
        <f t="shared" si="1"/>
      </c>
      <c r="M15590">
        <f t="shared" si="2"/>
      </c>
    </row>
    <row r="15591">
      <c r="G15591" s="9">
        <f t="shared" si="0"/>
      </c>
      <c r="L15591">
        <f t="shared" si="1"/>
      </c>
      <c r="M15591">
        <f t="shared" si="2"/>
      </c>
    </row>
    <row r="15592">
      <c r="G15592" s="9">
        <f t="shared" si="0"/>
      </c>
      <c r="L15592">
        <f t="shared" si="1"/>
      </c>
      <c r="M15592">
        <f t="shared" si="2"/>
      </c>
    </row>
    <row r="15593">
      <c r="G15593" s="9">
        <f t="shared" si="0"/>
      </c>
      <c r="L15593">
        <f t="shared" si="1"/>
      </c>
      <c r="M15593">
        <f t="shared" si="2"/>
      </c>
    </row>
    <row r="15594">
      <c r="G15594" s="9">
        <f t="shared" si="0"/>
      </c>
      <c r="L15594">
        <f t="shared" si="1"/>
      </c>
      <c r="M15594">
        <f t="shared" si="2"/>
      </c>
    </row>
    <row r="15595">
      <c r="G15595" s="9">
        <f t="shared" si="0"/>
      </c>
      <c r="L15595">
        <f t="shared" si="1"/>
      </c>
      <c r="M15595">
        <f t="shared" si="2"/>
      </c>
    </row>
    <row r="15596">
      <c r="G15596" s="9">
        <f t="shared" si="0"/>
      </c>
      <c r="L15596">
        <f t="shared" si="1"/>
      </c>
      <c r="M15596">
        <f t="shared" si="2"/>
      </c>
    </row>
    <row r="15597">
      <c r="G15597" s="9">
        <f t="shared" si="0"/>
      </c>
      <c r="L15597">
        <f t="shared" si="1"/>
      </c>
      <c r="M15597">
        <f t="shared" si="2"/>
      </c>
    </row>
    <row r="15598">
      <c r="G15598" s="9">
        <f t="shared" si="0"/>
      </c>
      <c r="L15598">
        <f t="shared" si="1"/>
      </c>
      <c r="M15598">
        <f t="shared" si="2"/>
      </c>
    </row>
    <row r="15599">
      <c r="G15599" s="9">
        <f t="shared" si="0"/>
      </c>
      <c r="L15599">
        <f t="shared" si="1"/>
      </c>
      <c r="M15599">
        <f t="shared" si="2"/>
      </c>
    </row>
    <row r="15600">
      <c r="G15600" s="9">
        <f t="shared" si="0"/>
      </c>
      <c r="L15600">
        <f t="shared" si="1"/>
      </c>
      <c r="M15600">
        <f t="shared" si="2"/>
      </c>
    </row>
    <row r="15601">
      <c r="G15601" s="9">
        <f t="shared" si="0"/>
      </c>
      <c r="L15601">
        <f t="shared" si="1"/>
      </c>
      <c r="M15601">
        <f t="shared" si="2"/>
      </c>
    </row>
    <row r="15602">
      <c r="G15602" s="9">
        <f t="shared" si="0"/>
      </c>
      <c r="L15602">
        <f t="shared" si="1"/>
      </c>
      <c r="M15602">
        <f t="shared" si="2"/>
      </c>
    </row>
    <row r="15603">
      <c r="G15603" s="9">
        <f t="shared" si="0"/>
      </c>
      <c r="L15603">
        <f t="shared" si="1"/>
      </c>
      <c r="M15603">
        <f t="shared" si="2"/>
      </c>
    </row>
    <row r="15604">
      <c r="G15604" s="9">
        <f t="shared" si="0"/>
      </c>
      <c r="L15604">
        <f t="shared" si="1"/>
      </c>
      <c r="M15604">
        <f t="shared" si="2"/>
      </c>
    </row>
    <row r="15605">
      <c r="G15605" s="9">
        <f t="shared" si="0"/>
      </c>
      <c r="L15605">
        <f t="shared" si="1"/>
      </c>
      <c r="M15605">
        <f t="shared" si="2"/>
      </c>
    </row>
    <row r="15606">
      <c r="G15606" s="9">
        <f t="shared" si="0"/>
      </c>
      <c r="L15606">
        <f t="shared" si="1"/>
      </c>
      <c r="M15606">
        <f t="shared" si="2"/>
      </c>
    </row>
    <row r="15607">
      <c r="G15607" s="9">
        <f t="shared" si="0"/>
      </c>
      <c r="L15607">
        <f t="shared" si="1"/>
      </c>
      <c r="M15607">
        <f t="shared" si="2"/>
      </c>
    </row>
    <row r="15608">
      <c r="G15608" s="9">
        <f t="shared" si="0"/>
      </c>
      <c r="L15608">
        <f t="shared" si="1"/>
      </c>
      <c r="M15608">
        <f t="shared" si="2"/>
      </c>
    </row>
    <row r="15609">
      <c r="G15609" s="9">
        <f t="shared" si="0"/>
      </c>
      <c r="L15609">
        <f t="shared" si="1"/>
      </c>
      <c r="M15609">
        <f t="shared" si="2"/>
      </c>
    </row>
    <row r="15610">
      <c r="G15610" s="9">
        <f t="shared" si="0"/>
      </c>
      <c r="L15610">
        <f t="shared" si="1"/>
      </c>
      <c r="M15610">
        <f t="shared" si="2"/>
      </c>
    </row>
    <row r="15611">
      <c r="G15611" s="9">
        <f t="shared" si="0"/>
      </c>
      <c r="L15611">
        <f t="shared" si="1"/>
      </c>
      <c r="M15611">
        <f t="shared" si="2"/>
      </c>
    </row>
    <row r="15612">
      <c r="G15612" s="9">
        <f t="shared" si="0"/>
      </c>
      <c r="L15612">
        <f t="shared" si="1"/>
      </c>
      <c r="M15612">
        <f t="shared" si="2"/>
      </c>
    </row>
    <row r="15613">
      <c r="G15613" s="9">
        <f t="shared" si="0"/>
      </c>
      <c r="L15613">
        <f t="shared" si="1"/>
      </c>
      <c r="M15613">
        <f t="shared" si="2"/>
      </c>
    </row>
    <row r="15614">
      <c r="G15614" s="9">
        <f t="shared" si="0"/>
      </c>
      <c r="L15614">
        <f t="shared" si="1"/>
      </c>
      <c r="M15614">
        <f t="shared" si="2"/>
      </c>
    </row>
    <row r="15615">
      <c r="G15615" s="9">
        <f t="shared" si="0"/>
      </c>
      <c r="L15615">
        <f t="shared" si="1"/>
      </c>
      <c r="M15615">
        <f t="shared" si="2"/>
      </c>
    </row>
    <row r="15616">
      <c r="G15616" s="9">
        <f t="shared" si="0"/>
      </c>
      <c r="L15616">
        <f t="shared" si="1"/>
      </c>
      <c r="M15616">
        <f t="shared" si="2"/>
      </c>
    </row>
    <row r="15617">
      <c r="G15617" s="9">
        <f t="shared" si="0"/>
      </c>
      <c r="L15617">
        <f t="shared" si="1"/>
      </c>
      <c r="M15617">
        <f t="shared" si="2"/>
      </c>
    </row>
    <row r="15618">
      <c r="G15618" s="9">
        <f t="shared" si="0"/>
      </c>
      <c r="L15618">
        <f t="shared" si="1"/>
      </c>
      <c r="M15618">
        <f t="shared" si="2"/>
      </c>
    </row>
    <row r="15619">
      <c r="G15619" s="9">
        <f t="shared" si="0"/>
      </c>
      <c r="L15619">
        <f t="shared" si="1"/>
      </c>
      <c r="M15619">
        <f t="shared" si="2"/>
      </c>
    </row>
    <row r="15620">
      <c r="G15620" s="9">
        <f t="shared" si="0"/>
      </c>
      <c r="L15620">
        <f t="shared" si="1"/>
      </c>
      <c r="M15620">
        <f t="shared" si="2"/>
      </c>
    </row>
    <row r="15621">
      <c r="G15621" s="9">
        <f t="shared" si="0"/>
      </c>
      <c r="L15621">
        <f t="shared" si="1"/>
      </c>
      <c r="M15621">
        <f t="shared" si="2"/>
      </c>
    </row>
    <row r="15622">
      <c r="G15622" s="9">
        <f t="shared" si="0"/>
      </c>
      <c r="L15622">
        <f t="shared" si="1"/>
      </c>
      <c r="M15622">
        <f t="shared" si="2"/>
      </c>
    </row>
    <row r="15623">
      <c r="G15623" s="9">
        <f t="shared" si="0"/>
      </c>
      <c r="L15623">
        <f t="shared" si="1"/>
      </c>
      <c r="M15623">
        <f t="shared" si="2"/>
      </c>
    </row>
    <row r="15624">
      <c r="G15624" s="9">
        <f t="shared" si="0"/>
      </c>
      <c r="L15624">
        <f t="shared" si="1"/>
      </c>
      <c r="M15624">
        <f t="shared" si="2"/>
      </c>
    </row>
    <row r="15625">
      <c r="G15625" s="9">
        <f t="shared" si="0"/>
      </c>
      <c r="L15625">
        <f t="shared" si="1"/>
      </c>
      <c r="M15625">
        <f t="shared" si="2"/>
      </c>
    </row>
    <row r="15626">
      <c r="G15626" s="9">
        <f t="shared" si="0"/>
      </c>
      <c r="L15626">
        <f t="shared" si="1"/>
      </c>
      <c r="M15626">
        <f t="shared" si="2"/>
      </c>
    </row>
    <row r="15627">
      <c r="G15627" s="9">
        <f t="shared" si="0"/>
      </c>
      <c r="L15627">
        <f t="shared" si="1"/>
      </c>
      <c r="M15627">
        <f t="shared" si="2"/>
      </c>
    </row>
    <row r="15628">
      <c r="G15628" s="9">
        <f t="shared" si="0"/>
      </c>
      <c r="L15628">
        <f t="shared" si="1"/>
      </c>
      <c r="M15628">
        <f t="shared" si="2"/>
      </c>
    </row>
    <row r="15629">
      <c r="G15629" s="9">
        <f t="shared" si="0"/>
      </c>
      <c r="L15629">
        <f t="shared" si="1"/>
      </c>
      <c r="M15629">
        <f t="shared" si="2"/>
      </c>
    </row>
    <row r="15630">
      <c r="G15630" s="9">
        <f t="shared" si="0"/>
      </c>
      <c r="L15630">
        <f t="shared" si="1"/>
      </c>
      <c r="M15630">
        <f t="shared" si="2"/>
      </c>
    </row>
    <row r="15631">
      <c r="G15631" s="9">
        <f t="shared" si="0"/>
      </c>
      <c r="L15631">
        <f t="shared" si="1"/>
      </c>
      <c r="M15631">
        <f t="shared" si="2"/>
      </c>
    </row>
    <row r="15632">
      <c r="G15632" s="9">
        <f t="shared" si="0"/>
      </c>
      <c r="L15632">
        <f t="shared" si="1"/>
      </c>
      <c r="M15632">
        <f t="shared" si="2"/>
      </c>
    </row>
    <row r="15633">
      <c r="G15633" s="9">
        <f t="shared" si="0"/>
      </c>
      <c r="L15633">
        <f t="shared" si="1"/>
      </c>
      <c r="M15633">
        <f t="shared" si="2"/>
      </c>
    </row>
    <row r="15634">
      <c r="G15634" s="9">
        <f t="shared" si="0"/>
      </c>
      <c r="L15634">
        <f t="shared" si="1"/>
      </c>
      <c r="M15634">
        <f t="shared" si="2"/>
      </c>
    </row>
    <row r="15635">
      <c r="G15635" s="9">
        <f t="shared" si="0"/>
      </c>
      <c r="L15635">
        <f t="shared" si="1"/>
      </c>
      <c r="M15635">
        <f t="shared" si="2"/>
      </c>
    </row>
    <row r="15636">
      <c r="G15636" s="9">
        <f t="shared" si="0"/>
      </c>
      <c r="L15636">
        <f t="shared" si="1"/>
      </c>
      <c r="M15636">
        <f t="shared" si="2"/>
      </c>
    </row>
    <row r="15637">
      <c r="G15637" s="9">
        <f t="shared" si="0"/>
      </c>
      <c r="L15637">
        <f t="shared" si="1"/>
      </c>
      <c r="M15637">
        <f t="shared" si="2"/>
      </c>
    </row>
    <row r="15638">
      <c r="G15638" s="9">
        <f t="shared" si="0"/>
      </c>
      <c r="L15638">
        <f t="shared" si="1"/>
      </c>
      <c r="M15638">
        <f t="shared" si="2"/>
      </c>
    </row>
    <row r="15639">
      <c r="G15639" s="9">
        <f t="shared" si="0"/>
      </c>
      <c r="L15639">
        <f t="shared" si="1"/>
      </c>
      <c r="M15639">
        <f t="shared" si="2"/>
      </c>
    </row>
    <row r="15640">
      <c r="G15640" s="9">
        <f t="shared" si="0"/>
      </c>
      <c r="L15640">
        <f t="shared" si="1"/>
      </c>
      <c r="M15640">
        <f t="shared" si="2"/>
      </c>
    </row>
    <row r="15641">
      <c r="G15641" s="9">
        <f t="shared" si="0"/>
      </c>
      <c r="L15641">
        <f t="shared" si="1"/>
      </c>
      <c r="M15641">
        <f t="shared" si="2"/>
      </c>
    </row>
    <row r="15642">
      <c r="G15642" s="9">
        <f t="shared" si="0"/>
      </c>
      <c r="L15642">
        <f t="shared" si="1"/>
      </c>
      <c r="M15642">
        <f t="shared" si="2"/>
      </c>
    </row>
    <row r="15643">
      <c r="G15643" s="9">
        <f t="shared" si="0"/>
      </c>
      <c r="L15643">
        <f t="shared" si="1"/>
      </c>
      <c r="M15643">
        <f t="shared" si="2"/>
      </c>
    </row>
    <row r="15644">
      <c r="G15644" s="9">
        <f t="shared" si="0"/>
      </c>
      <c r="L15644">
        <f t="shared" si="1"/>
      </c>
      <c r="M15644">
        <f t="shared" si="2"/>
      </c>
    </row>
    <row r="15645">
      <c r="G15645" s="9">
        <f t="shared" si="0"/>
      </c>
      <c r="L15645">
        <f t="shared" si="1"/>
      </c>
      <c r="M15645">
        <f t="shared" si="2"/>
      </c>
    </row>
    <row r="15646">
      <c r="G15646" s="9">
        <f t="shared" si="0"/>
      </c>
      <c r="L15646">
        <f t="shared" si="1"/>
      </c>
      <c r="M15646">
        <f t="shared" si="2"/>
      </c>
    </row>
    <row r="15647">
      <c r="G15647" s="9">
        <f t="shared" si="0"/>
      </c>
      <c r="L15647">
        <f t="shared" si="1"/>
      </c>
      <c r="M15647">
        <f t="shared" si="2"/>
      </c>
    </row>
    <row r="15648">
      <c r="G15648" s="9">
        <f t="shared" si="0"/>
      </c>
      <c r="L15648">
        <f t="shared" si="1"/>
      </c>
      <c r="M15648">
        <f t="shared" si="2"/>
      </c>
    </row>
    <row r="15649">
      <c r="G15649" s="9">
        <f t="shared" si="0"/>
      </c>
      <c r="L15649">
        <f t="shared" si="1"/>
      </c>
      <c r="M15649">
        <f t="shared" si="2"/>
      </c>
    </row>
    <row r="15650">
      <c r="G15650" s="9">
        <f t="shared" si="0"/>
      </c>
      <c r="L15650">
        <f t="shared" si="1"/>
      </c>
      <c r="M15650">
        <f t="shared" si="2"/>
      </c>
    </row>
    <row r="15651">
      <c r="G15651" s="9">
        <f t="shared" si="0"/>
      </c>
      <c r="L15651">
        <f t="shared" si="1"/>
      </c>
      <c r="M15651">
        <f t="shared" si="2"/>
      </c>
    </row>
    <row r="15652">
      <c r="G15652" s="9">
        <f t="shared" si="0"/>
      </c>
      <c r="L15652">
        <f t="shared" si="1"/>
      </c>
      <c r="M15652">
        <f t="shared" si="2"/>
      </c>
    </row>
    <row r="15653">
      <c r="G15653" s="9">
        <f t="shared" si="0"/>
      </c>
      <c r="L15653">
        <f t="shared" si="1"/>
      </c>
      <c r="M15653">
        <f t="shared" si="2"/>
      </c>
    </row>
    <row r="15654">
      <c r="G15654" s="9">
        <f t="shared" si="0"/>
      </c>
      <c r="L15654">
        <f t="shared" si="1"/>
      </c>
      <c r="M15654">
        <f t="shared" si="2"/>
      </c>
    </row>
    <row r="15655">
      <c r="G15655" s="9">
        <f t="shared" si="0"/>
      </c>
      <c r="L15655">
        <f t="shared" si="1"/>
      </c>
      <c r="M15655">
        <f t="shared" si="2"/>
      </c>
    </row>
    <row r="15656">
      <c r="G15656" s="9">
        <f t="shared" si="0"/>
      </c>
      <c r="L15656">
        <f t="shared" si="1"/>
      </c>
      <c r="M15656">
        <f t="shared" si="2"/>
      </c>
    </row>
    <row r="15657">
      <c r="G15657" s="9">
        <f t="shared" si="0"/>
      </c>
      <c r="L15657">
        <f t="shared" si="1"/>
      </c>
      <c r="M15657">
        <f t="shared" si="2"/>
      </c>
    </row>
    <row r="15658">
      <c r="G15658" s="9">
        <f t="shared" si="0"/>
      </c>
      <c r="L15658">
        <f t="shared" si="1"/>
      </c>
      <c r="M15658">
        <f t="shared" si="2"/>
      </c>
    </row>
    <row r="15659">
      <c r="G15659" s="9">
        <f t="shared" si="0"/>
      </c>
      <c r="L15659">
        <f t="shared" si="1"/>
      </c>
      <c r="M15659">
        <f t="shared" si="2"/>
      </c>
    </row>
    <row r="15660">
      <c r="G15660" s="9">
        <f t="shared" si="0"/>
      </c>
      <c r="L15660">
        <f t="shared" si="1"/>
      </c>
      <c r="M15660">
        <f t="shared" si="2"/>
      </c>
    </row>
    <row r="15661">
      <c r="G15661" s="9">
        <f t="shared" si="0"/>
      </c>
      <c r="L15661">
        <f t="shared" si="1"/>
      </c>
      <c r="M15661">
        <f t="shared" si="2"/>
      </c>
    </row>
    <row r="15662">
      <c r="G15662" s="9">
        <f t="shared" si="0"/>
      </c>
      <c r="L15662">
        <f t="shared" si="1"/>
      </c>
      <c r="M15662">
        <f t="shared" si="2"/>
      </c>
    </row>
    <row r="15663">
      <c r="G15663" s="9">
        <f t="shared" si="0"/>
      </c>
      <c r="L15663">
        <f t="shared" si="1"/>
      </c>
      <c r="M15663">
        <f t="shared" si="2"/>
      </c>
    </row>
    <row r="15664">
      <c r="G15664" s="9">
        <f t="shared" si="0"/>
      </c>
      <c r="L15664">
        <f t="shared" si="1"/>
      </c>
      <c r="M15664">
        <f t="shared" si="2"/>
      </c>
    </row>
    <row r="15665">
      <c r="G15665" s="9">
        <f t="shared" si="0"/>
      </c>
      <c r="L15665">
        <f t="shared" si="1"/>
      </c>
      <c r="M15665">
        <f t="shared" si="2"/>
      </c>
    </row>
    <row r="15666">
      <c r="G15666" s="9">
        <f t="shared" si="0"/>
      </c>
      <c r="L15666">
        <f t="shared" si="1"/>
      </c>
      <c r="M15666">
        <f t="shared" si="2"/>
      </c>
    </row>
    <row r="15667">
      <c r="G15667" s="9">
        <f t="shared" si="0"/>
      </c>
      <c r="L15667">
        <f t="shared" si="1"/>
      </c>
      <c r="M15667">
        <f t="shared" si="2"/>
      </c>
    </row>
    <row r="15668">
      <c r="G15668" s="9">
        <f t="shared" si="0"/>
      </c>
      <c r="L15668">
        <f t="shared" si="1"/>
      </c>
      <c r="M15668">
        <f t="shared" si="2"/>
      </c>
    </row>
    <row r="15669">
      <c r="G15669" s="9">
        <f t="shared" si="0"/>
      </c>
      <c r="L15669">
        <f t="shared" si="1"/>
      </c>
      <c r="M15669">
        <f t="shared" si="2"/>
      </c>
    </row>
    <row r="15670">
      <c r="G15670" s="9">
        <f t="shared" si="0"/>
      </c>
      <c r="L15670">
        <f t="shared" si="1"/>
      </c>
      <c r="M15670">
        <f t="shared" si="2"/>
      </c>
    </row>
    <row r="15671">
      <c r="G15671" s="9">
        <f t="shared" si="0"/>
      </c>
      <c r="L15671">
        <f t="shared" si="1"/>
      </c>
      <c r="M15671">
        <f t="shared" si="2"/>
      </c>
    </row>
    <row r="15672">
      <c r="G15672" s="9">
        <f t="shared" si="0"/>
      </c>
      <c r="L15672">
        <f t="shared" si="1"/>
      </c>
      <c r="M15672">
        <f t="shared" si="2"/>
      </c>
    </row>
    <row r="15673">
      <c r="G15673" s="9">
        <f t="shared" si="0"/>
      </c>
      <c r="L15673">
        <f t="shared" si="1"/>
      </c>
      <c r="M15673">
        <f t="shared" si="2"/>
      </c>
    </row>
    <row r="15674">
      <c r="G15674" s="9">
        <f t="shared" si="0"/>
      </c>
      <c r="L15674">
        <f t="shared" si="1"/>
      </c>
      <c r="M15674">
        <f t="shared" si="2"/>
      </c>
    </row>
    <row r="15675">
      <c r="G15675" s="9">
        <f t="shared" si="0"/>
      </c>
      <c r="L15675">
        <f t="shared" si="1"/>
      </c>
      <c r="M15675">
        <f t="shared" si="2"/>
      </c>
    </row>
    <row r="15676">
      <c r="G15676" s="9">
        <f t="shared" si="0"/>
      </c>
      <c r="L15676">
        <f t="shared" si="1"/>
      </c>
      <c r="M15676">
        <f t="shared" si="2"/>
      </c>
    </row>
    <row r="15677">
      <c r="G15677" s="9">
        <f t="shared" si="0"/>
      </c>
      <c r="L15677">
        <f t="shared" si="1"/>
      </c>
      <c r="M15677">
        <f t="shared" si="2"/>
      </c>
    </row>
    <row r="15678">
      <c r="G15678" s="9">
        <f t="shared" si="0"/>
      </c>
      <c r="L15678">
        <f t="shared" si="1"/>
      </c>
      <c r="M15678">
        <f t="shared" si="2"/>
      </c>
    </row>
    <row r="15679">
      <c r="G15679" s="9">
        <f t="shared" si="0"/>
      </c>
      <c r="L15679">
        <f t="shared" si="1"/>
      </c>
      <c r="M15679">
        <f t="shared" si="2"/>
      </c>
    </row>
    <row r="15680">
      <c r="G15680" s="9">
        <f t="shared" si="0"/>
      </c>
      <c r="L15680">
        <f t="shared" si="1"/>
      </c>
      <c r="M15680">
        <f t="shared" si="2"/>
      </c>
    </row>
    <row r="15681">
      <c r="G15681" s="9">
        <f t="shared" si="0"/>
      </c>
      <c r="L15681">
        <f t="shared" si="1"/>
      </c>
      <c r="M15681">
        <f t="shared" si="2"/>
      </c>
    </row>
    <row r="15682">
      <c r="G15682" s="9">
        <f t="shared" si="0"/>
      </c>
      <c r="L15682">
        <f t="shared" si="1"/>
      </c>
      <c r="M15682">
        <f t="shared" si="2"/>
      </c>
    </row>
    <row r="15683">
      <c r="G15683" s="9">
        <f t="shared" si="0"/>
      </c>
      <c r="L15683">
        <f t="shared" si="1"/>
      </c>
      <c r="M15683">
        <f t="shared" si="2"/>
      </c>
    </row>
    <row r="15684">
      <c r="G15684" s="9">
        <f t="shared" si="0"/>
      </c>
      <c r="L15684">
        <f t="shared" si="1"/>
      </c>
      <c r="M15684">
        <f t="shared" si="2"/>
      </c>
    </row>
    <row r="15685">
      <c r="G15685" s="9">
        <f t="shared" si="0"/>
      </c>
      <c r="L15685">
        <f t="shared" si="1"/>
      </c>
      <c r="M15685">
        <f t="shared" si="2"/>
      </c>
    </row>
    <row r="15686">
      <c r="G15686" s="9">
        <f t="shared" si="0"/>
      </c>
      <c r="L15686">
        <f t="shared" si="1"/>
      </c>
      <c r="M15686">
        <f t="shared" si="2"/>
      </c>
    </row>
    <row r="15687">
      <c r="G15687" s="9">
        <f t="shared" si="0"/>
      </c>
      <c r="L15687">
        <f t="shared" si="1"/>
      </c>
      <c r="M15687">
        <f t="shared" si="2"/>
      </c>
    </row>
    <row r="15688">
      <c r="G15688" s="9">
        <f t="shared" si="0"/>
      </c>
      <c r="L15688">
        <f t="shared" si="1"/>
      </c>
      <c r="M15688">
        <f t="shared" si="2"/>
      </c>
    </row>
    <row r="15689">
      <c r="G15689" s="9">
        <f t="shared" si="0"/>
      </c>
      <c r="L15689">
        <f t="shared" si="1"/>
      </c>
      <c r="M15689">
        <f t="shared" si="2"/>
      </c>
    </row>
    <row r="15690">
      <c r="G15690" s="9">
        <f t="shared" si="0"/>
      </c>
      <c r="L15690">
        <f t="shared" si="1"/>
      </c>
      <c r="M15690">
        <f t="shared" si="2"/>
      </c>
    </row>
    <row r="15691">
      <c r="G15691" s="9">
        <f t="shared" si="0"/>
      </c>
      <c r="L15691">
        <f t="shared" si="1"/>
      </c>
      <c r="M15691">
        <f t="shared" si="2"/>
      </c>
    </row>
    <row r="15692">
      <c r="G15692" s="9">
        <f t="shared" si="0"/>
      </c>
      <c r="L15692">
        <f t="shared" si="1"/>
      </c>
      <c r="M15692">
        <f t="shared" si="2"/>
      </c>
    </row>
    <row r="15693">
      <c r="G15693" s="9">
        <f t="shared" si="0"/>
      </c>
      <c r="L15693">
        <f t="shared" si="1"/>
      </c>
      <c r="M15693">
        <f t="shared" si="2"/>
      </c>
    </row>
    <row r="15694">
      <c r="G15694" s="9">
        <f t="shared" si="0"/>
      </c>
      <c r="L15694">
        <f t="shared" si="1"/>
      </c>
      <c r="M15694">
        <f t="shared" si="2"/>
      </c>
    </row>
    <row r="15695">
      <c r="G15695" s="9">
        <f t="shared" si="0"/>
      </c>
      <c r="L15695">
        <f t="shared" si="1"/>
      </c>
      <c r="M15695">
        <f t="shared" si="2"/>
      </c>
    </row>
    <row r="15696">
      <c r="G15696" s="9">
        <f t="shared" si="0"/>
      </c>
      <c r="L15696">
        <f t="shared" si="1"/>
      </c>
      <c r="M15696">
        <f t="shared" si="2"/>
      </c>
    </row>
    <row r="15697">
      <c r="G15697" s="9">
        <f t="shared" si="0"/>
      </c>
      <c r="L15697">
        <f t="shared" si="1"/>
      </c>
      <c r="M15697">
        <f t="shared" si="2"/>
      </c>
    </row>
    <row r="15698">
      <c r="G15698" s="9">
        <f t="shared" si="0"/>
      </c>
      <c r="L15698">
        <f t="shared" si="1"/>
      </c>
      <c r="M15698">
        <f t="shared" si="2"/>
      </c>
    </row>
    <row r="15699">
      <c r="G15699" s="9">
        <f t="shared" si="0"/>
      </c>
      <c r="L15699">
        <f t="shared" si="1"/>
      </c>
      <c r="M15699">
        <f t="shared" si="2"/>
      </c>
    </row>
    <row r="15700">
      <c r="G15700" s="9">
        <f t="shared" si="0"/>
      </c>
      <c r="L15700">
        <f t="shared" si="1"/>
      </c>
      <c r="M15700">
        <f t="shared" si="2"/>
      </c>
    </row>
    <row r="15701">
      <c r="G15701" s="9">
        <f t="shared" si="0"/>
      </c>
      <c r="L15701">
        <f t="shared" si="1"/>
      </c>
      <c r="M15701">
        <f t="shared" si="2"/>
      </c>
    </row>
    <row r="15702">
      <c r="G15702" s="9">
        <f t="shared" si="0"/>
      </c>
      <c r="L15702">
        <f t="shared" si="1"/>
      </c>
      <c r="M15702">
        <f t="shared" si="2"/>
      </c>
    </row>
    <row r="15703">
      <c r="G15703" s="9">
        <f t="shared" si="0"/>
      </c>
      <c r="L15703">
        <f t="shared" si="1"/>
      </c>
      <c r="M15703">
        <f t="shared" si="2"/>
      </c>
    </row>
    <row r="15704">
      <c r="G15704" s="9">
        <f t="shared" si="0"/>
      </c>
      <c r="L15704">
        <f t="shared" si="1"/>
      </c>
      <c r="M15704">
        <f t="shared" si="2"/>
      </c>
    </row>
    <row r="15705">
      <c r="G15705" s="9">
        <f t="shared" si="0"/>
      </c>
      <c r="L15705">
        <f t="shared" si="1"/>
      </c>
      <c r="M15705">
        <f t="shared" si="2"/>
      </c>
    </row>
    <row r="15706">
      <c r="G15706" s="9">
        <f t="shared" si="0"/>
      </c>
      <c r="L15706">
        <f t="shared" si="1"/>
      </c>
      <c r="M15706">
        <f t="shared" si="2"/>
      </c>
    </row>
    <row r="15707">
      <c r="G15707" s="9">
        <f t="shared" si="0"/>
      </c>
      <c r="L15707">
        <f t="shared" si="1"/>
      </c>
      <c r="M15707">
        <f t="shared" si="2"/>
      </c>
    </row>
    <row r="15708">
      <c r="G15708" s="9">
        <f t="shared" si="0"/>
      </c>
      <c r="L15708">
        <f t="shared" si="1"/>
      </c>
      <c r="M15708">
        <f t="shared" si="2"/>
      </c>
    </row>
    <row r="15709">
      <c r="G15709" s="9">
        <f t="shared" si="0"/>
      </c>
      <c r="L15709">
        <f t="shared" si="1"/>
      </c>
      <c r="M15709">
        <f t="shared" si="2"/>
      </c>
    </row>
    <row r="15710">
      <c r="G15710" s="9">
        <f t="shared" si="0"/>
      </c>
      <c r="L15710">
        <f t="shared" si="1"/>
      </c>
      <c r="M15710">
        <f t="shared" si="2"/>
      </c>
    </row>
    <row r="15711">
      <c r="G15711" s="9">
        <f t="shared" si="0"/>
      </c>
      <c r="L15711">
        <f t="shared" si="1"/>
      </c>
      <c r="M15711">
        <f t="shared" si="2"/>
      </c>
    </row>
    <row r="15712">
      <c r="G15712" s="9">
        <f t="shared" si="0"/>
      </c>
      <c r="L15712">
        <f t="shared" si="1"/>
      </c>
      <c r="M15712">
        <f t="shared" si="2"/>
      </c>
    </row>
    <row r="15713">
      <c r="G15713" s="9">
        <f t="shared" si="0"/>
      </c>
      <c r="L15713">
        <f t="shared" si="1"/>
      </c>
      <c r="M15713">
        <f t="shared" si="2"/>
      </c>
    </row>
    <row r="15714">
      <c r="G15714" s="9">
        <f t="shared" si="0"/>
      </c>
      <c r="L15714">
        <f t="shared" si="1"/>
      </c>
      <c r="M15714">
        <f t="shared" si="2"/>
      </c>
    </row>
    <row r="15715">
      <c r="G15715" s="9">
        <f t="shared" si="0"/>
      </c>
      <c r="L15715">
        <f t="shared" si="1"/>
      </c>
      <c r="M15715">
        <f t="shared" si="2"/>
      </c>
    </row>
    <row r="15716">
      <c r="G15716" s="9">
        <f t="shared" si="0"/>
      </c>
      <c r="L15716">
        <f t="shared" si="1"/>
      </c>
      <c r="M15716">
        <f t="shared" si="2"/>
      </c>
    </row>
    <row r="15717">
      <c r="G15717" s="9">
        <f t="shared" si="0"/>
      </c>
      <c r="L15717">
        <f t="shared" si="1"/>
      </c>
      <c r="M15717">
        <f t="shared" si="2"/>
      </c>
    </row>
    <row r="15718">
      <c r="G15718" s="9">
        <f t="shared" si="0"/>
      </c>
      <c r="L15718">
        <f t="shared" si="1"/>
      </c>
      <c r="M15718">
        <f t="shared" si="2"/>
      </c>
    </row>
    <row r="15719">
      <c r="G15719" s="9">
        <f t="shared" si="0"/>
      </c>
      <c r="L15719">
        <f t="shared" si="1"/>
      </c>
      <c r="M15719">
        <f t="shared" si="2"/>
      </c>
    </row>
    <row r="15720">
      <c r="G15720" s="9">
        <f t="shared" si="0"/>
      </c>
      <c r="L15720">
        <f t="shared" si="1"/>
      </c>
      <c r="M15720">
        <f t="shared" si="2"/>
      </c>
    </row>
    <row r="15721">
      <c r="G15721" s="9">
        <f t="shared" si="0"/>
      </c>
      <c r="L15721">
        <f t="shared" si="1"/>
      </c>
      <c r="M15721">
        <f t="shared" si="2"/>
      </c>
    </row>
    <row r="15722">
      <c r="G15722" s="9">
        <f t="shared" si="0"/>
      </c>
      <c r="L15722">
        <f t="shared" si="1"/>
      </c>
      <c r="M15722">
        <f t="shared" si="2"/>
      </c>
    </row>
    <row r="15723">
      <c r="G15723" s="9">
        <f t="shared" si="0"/>
      </c>
      <c r="L15723">
        <f t="shared" si="1"/>
      </c>
      <c r="M15723">
        <f t="shared" si="2"/>
      </c>
    </row>
    <row r="15724">
      <c r="G15724" s="9">
        <f t="shared" si="0"/>
      </c>
      <c r="L15724">
        <f t="shared" si="1"/>
      </c>
      <c r="M15724">
        <f t="shared" si="2"/>
      </c>
    </row>
    <row r="15725">
      <c r="G15725" s="9">
        <f t="shared" si="0"/>
      </c>
      <c r="L15725">
        <f t="shared" si="1"/>
      </c>
      <c r="M15725">
        <f t="shared" si="2"/>
      </c>
    </row>
    <row r="15726">
      <c r="G15726" s="9">
        <f t="shared" si="0"/>
      </c>
      <c r="L15726">
        <f t="shared" si="1"/>
      </c>
      <c r="M15726">
        <f t="shared" si="2"/>
      </c>
    </row>
    <row r="15727">
      <c r="G15727" s="9">
        <f t="shared" si="0"/>
      </c>
      <c r="L15727">
        <f t="shared" si="1"/>
      </c>
      <c r="M15727">
        <f t="shared" si="2"/>
      </c>
    </row>
    <row r="15728">
      <c r="G15728" s="9">
        <f t="shared" si="0"/>
      </c>
      <c r="L15728">
        <f t="shared" si="1"/>
      </c>
      <c r="M15728">
        <f t="shared" si="2"/>
      </c>
    </row>
    <row r="15729">
      <c r="G15729" s="9">
        <f t="shared" si="0"/>
      </c>
      <c r="L15729">
        <f t="shared" si="1"/>
      </c>
      <c r="M15729">
        <f t="shared" si="2"/>
      </c>
    </row>
    <row r="15730">
      <c r="G15730" s="9">
        <f t="shared" si="0"/>
      </c>
      <c r="L15730">
        <f t="shared" si="1"/>
      </c>
      <c r="M15730">
        <f t="shared" si="2"/>
      </c>
    </row>
    <row r="15731">
      <c r="G15731" s="9">
        <f t="shared" si="0"/>
      </c>
      <c r="L15731">
        <f t="shared" si="1"/>
      </c>
      <c r="M15731">
        <f t="shared" si="2"/>
      </c>
    </row>
    <row r="15732">
      <c r="G15732" s="9">
        <f t="shared" si="0"/>
      </c>
      <c r="L15732">
        <f t="shared" si="1"/>
      </c>
      <c r="M15732">
        <f t="shared" si="2"/>
      </c>
    </row>
    <row r="15733">
      <c r="G15733" s="9">
        <f t="shared" si="0"/>
      </c>
      <c r="L15733">
        <f t="shared" si="1"/>
      </c>
      <c r="M15733">
        <f t="shared" si="2"/>
      </c>
    </row>
    <row r="15734">
      <c r="G15734" s="9">
        <f t="shared" si="0"/>
      </c>
      <c r="L15734">
        <f t="shared" si="1"/>
      </c>
      <c r="M15734">
        <f t="shared" si="2"/>
      </c>
    </row>
    <row r="15735">
      <c r="G15735" s="9">
        <f t="shared" si="0"/>
      </c>
      <c r="L15735">
        <f t="shared" si="1"/>
      </c>
      <c r="M15735">
        <f t="shared" si="2"/>
      </c>
    </row>
    <row r="15736">
      <c r="G15736" s="9">
        <f t="shared" si="0"/>
      </c>
      <c r="L15736">
        <f t="shared" si="1"/>
      </c>
      <c r="M15736">
        <f t="shared" si="2"/>
      </c>
    </row>
    <row r="15737">
      <c r="G15737" s="9">
        <f t="shared" si="0"/>
      </c>
      <c r="L15737">
        <f t="shared" si="1"/>
      </c>
      <c r="M15737">
        <f t="shared" si="2"/>
      </c>
    </row>
    <row r="15738">
      <c r="G15738" s="9">
        <f t="shared" si="0"/>
      </c>
      <c r="L15738">
        <f t="shared" si="1"/>
      </c>
      <c r="M15738">
        <f t="shared" si="2"/>
      </c>
    </row>
    <row r="15739">
      <c r="G15739" s="9">
        <f t="shared" si="0"/>
      </c>
      <c r="L15739">
        <f t="shared" si="1"/>
      </c>
      <c r="M15739">
        <f t="shared" si="2"/>
      </c>
    </row>
    <row r="15740">
      <c r="G15740" s="9">
        <f t="shared" si="0"/>
      </c>
      <c r="L15740">
        <f t="shared" si="1"/>
      </c>
      <c r="M15740">
        <f t="shared" si="2"/>
      </c>
    </row>
    <row r="15741">
      <c r="G15741" s="9">
        <f t="shared" si="0"/>
      </c>
      <c r="L15741">
        <f t="shared" si="1"/>
      </c>
      <c r="M15741">
        <f t="shared" si="2"/>
      </c>
    </row>
    <row r="15742">
      <c r="G15742" s="9">
        <f t="shared" si="0"/>
      </c>
      <c r="L15742">
        <f t="shared" si="1"/>
      </c>
      <c r="M15742">
        <f t="shared" si="2"/>
      </c>
    </row>
    <row r="15743">
      <c r="G15743" s="9">
        <f t="shared" si="0"/>
      </c>
      <c r="L15743">
        <f t="shared" si="1"/>
      </c>
      <c r="M15743">
        <f t="shared" si="2"/>
      </c>
    </row>
    <row r="15744">
      <c r="G15744" s="9">
        <f t="shared" si="0"/>
      </c>
      <c r="L15744">
        <f t="shared" si="1"/>
      </c>
      <c r="M15744">
        <f t="shared" si="2"/>
      </c>
    </row>
    <row r="15745">
      <c r="G15745" s="9">
        <f t="shared" si="0"/>
      </c>
      <c r="L15745">
        <f t="shared" si="1"/>
      </c>
      <c r="M15745">
        <f t="shared" si="2"/>
      </c>
    </row>
    <row r="15746">
      <c r="G15746" s="9">
        <f t="shared" si="0"/>
      </c>
      <c r="L15746">
        <f t="shared" si="1"/>
      </c>
      <c r="M15746">
        <f t="shared" si="2"/>
      </c>
    </row>
    <row r="15747">
      <c r="G15747" s="9">
        <f t="shared" si="0"/>
      </c>
      <c r="L15747">
        <f t="shared" si="1"/>
      </c>
      <c r="M15747">
        <f t="shared" si="2"/>
      </c>
    </row>
    <row r="15748">
      <c r="G15748" s="9">
        <f t="shared" si="0"/>
      </c>
      <c r="L15748">
        <f t="shared" si="1"/>
      </c>
      <c r="M15748">
        <f t="shared" si="2"/>
      </c>
    </row>
    <row r="15749">
      <c r="G15749" s="9">
        <f t="shared" si="0"/>
      </c>
      <c r="L15749">
        <f t="shared" si="1"/>
      </c>
      <c r="M15749">
        <f t="shared" si="2"/>
      </c>
    </row>
    <row r="15750">
      <c r="G15750" s="9">
        <f t="shared" si="0"/>
      </c>
      <c r="L15750">
        <f t="shared" si="1"/>
      </c>
      <c r="M15750">
        <f t="shared" si="2"/>
      </c>
    </row>
    <row r="15751">
      <c r="G15751" s="9">
        <f t="shared" si="0"/>
      </c>
      <c r="L15751">
        <f t="shared" si="1"/>
      </c>
      <c r="M15751">
        <f t="shared" si="2"/>
      </c>
    </row>
    <row r="15752">
      <c r="G15752" s="9">
        <f t="shared" si="0"/>
      </c>
      <c r="L15752">
        <f t="shared" si="1"/>
      </c>
      <c r="M15752">
        <f t="shared" si="2"/>
      </c>
    </row>
    <row r="15753">
      <c r="G15753" s="9">
        <f t="shared" si="0"/>
      </c>
      <c r="L15753">
        <f t="shared" si="1"/>
      </c>
      <c r="M15753">
        <f t="shared" si="2"/>
      </c>
    </row>
    <row r="15754">
      <c r="G15754" s="9">
        <f t="shared" si="0"/>
      </c>
      <c r="L15754">
        <f t="shared" si="1"/>
      </c>
      <c r="M15754">
        <f t="shared" si="2"/>
      </c>
    </row>
    <row r="15755">
      <c r="G15755" s="9">
        <f t="shared" si="0"/>
      </c>
      <c r="L15755">
        <f t="shared" si="1"/>
      </c>
      <c r="M15755">
        <f t="shared" si="2"/>
      </c>
    </row>
    <row r="15756">
      <c r="G15756" s="9">
        <f t="shared" si="0"/>
      </c>
      <c r="L15756">
        <f t="shared" si="1"/>
      </c>
      <c r="M15756">
        <f t="shared" si="2"/>
      </c>
    </row>
    <row r="15757">
      <c r="G15757" s="9">
        <f t="shared" si="0"/>
      </c>
      <c r="L15757">
        <f t="shared" si="1"/>
      </c>
      <c r="M15757">
        <f t="shared" si="2"/>
      </c>
    </row>
    <row r="15758">
      <c r="G15758" s="9">
        <f t="shared" si="0"/>
      </c>
      <c r="L15758">
        <f t="shared" si="1"/>
      </c>
      <c r="M15758">
        <f t="shared" si="2"/>
      </c>
    </row>
    <row r="15759">
      <c r="G15759" s="9">
        <f t="shared" si="0"/>
      </c>
      <c r="L15759">
        <f t="shared" si="1"/>
      </c>
      <c r="M15759">
        <f t="shared" si="2"/>
      </c>
    </row>
    <row r="15760">
      <c r="G15760" s="9">
        <f t="shared" si="0"/>
      </c>
      <c r="L15760">
        <f t="shared" si="1"/>
      </c>
      <c r="M15760">
        <f t="shared" si="2"/>
      </c>
    </row>
    <row r="15761">
      <c r="G15761" s="9">
        <f t="shared" si="0"/>
      </c>
      <c r="L15761">
        <f t="shared" si="1"/>
      </c>
      <c r="M15761">
        <f t="shared" si="2"/>
      </c>
    </row>
    <row r="15762">
      <c r="G15762" s="9">
        <f t="shared" si="0"/>
      </c>
      <c r="L15762">
        <f t="shared" si="1"/>
      </c>
      <c r="M15762">
        <f t="shared" si="2"/>
      </c>
    </row>
    <row r="15763">
      <c r="G15763" s="9">
        <f t="shared" si="0"/>
      </c>
      <c r="L15763">
        <f t="shared" si="1"/>
      </c>
      <c r="M15763">
        <f t="shared" si="2"/>
      </c>
    </row>
    <row r="15764">
      <c r="G15764" s="9">
        <f t="shared" si="0"/>
      </c>
      <c r="L15764">
        <f t="shared" si="1"/>
      </c>
      <c r="M15764">
        <f t="shared" si="2"/>
      </c>
    </row>
    <row r="15765">
      <c r="G15765" s="9">
        <f t="shared" si="0"/>
      </c>
      <c r="L15765">
        <f t="shared" si="1"/>
      </c>
      <c r="M15765">
        <f t="shared" si="2"/>
      </c>
    </row>
    <row r="15766">
      <c r="G15766" s="9">
        <f t="shared" si="0"/>
      </c>
      <c r="L15766">
        <f t="shared" si="1"/>
      </c>
      <c r="M15766">
        <f t="shared" si="2"/>
      </c>
    </row>
    <row r="15767">
      <c r="G15767" s="9">
        <f t="shared" si="0"/>
      </c>
      <c r="L15767">
        <f t="shared" si="1"/>
      </c>
      <c r="M15767">
        <f t="shared" si="2"/>
      </c>
    </row>
    <row r="15768">
      <c r="G15768" s="9">
        <f t="shared" si="0"/>
      </c>
      <c r="L15768">
        <f t="shared" si="1"/>
      </c>
      <c r="M15768">
        <f t="shared" si="2"/>
      </c>
    </row>
    <row r="15769">
      <c r="G15769" s="9">
        <f t="shared" si="0"/>
      </c>
      <c r="L15769">
        <f t="shared" si="1"/>
      </c>
      <c r="M15769">
        <f t="shared" si="2"/>
      </c>
    </row>
    <row r="15770">
      <c r="G15770" s="9">
        <f t="shared" si="0"/>
      </c>
      <c r="L15770">
        <f t="shared" si="1"/>
      </c>
      <c r="M15770">
        <f t="shared" si="2"/>
      </c>
    </row>
    <row r="15771">
      <c r="G15771" s="9">
        <f t="shared" si="0"/>
      </c>
      <c r="L15771">
        <f t="shared" si="1"/>
      </c>
      <c r="M15771">
        <f t="shared" si="2"/>
      </c>
    </row>
    <row r="15772">
      <c r="G15772" s="9">
        <f t="shared" si="0"/>
      </c>
      <c r="L15772">
        <f t="shared" si="1"/>
      </c>
      <c r="M15772">
        <f t="shared" si="2"/>
      </c>
    </row>
    <row r="15773">
      <c r="G15773" s="9">
        <f t="shared" si="0"/>
      </c>
      <c r="L15773">
        <f t="shared" si="1"/>
      </c>
      <c r="M15773">
        <f t="shared" si="2"/>
      </c>
    </row>
    <row r="15774">
      <c r="G15774" s="9">
        <f t="shared" si="0"/>
      </c>
      <c r="L15774">
        <f t="shared" si="1"/>
      </c>
      <c r="M15774">
        <f t="shared" si="2"/>
      </c>
    </row>
    <row r="15775">
      <c r="G15775" s="9">
        <f t="shared" si="0"/>
      </c>
      <c r="L15775">
        <f t="shared" si="1"/>
      </c>
      <c r="M15775">
        <f t="shared" si="2"/>
      </c>
    </row>
    <row r="15776">
      <c r="G15776" s="9">
        <f t="shared" si="0"/>
      </c>
      <c r="L15776">
        <f t="shared" si="1"/>
      </c>
      <c r="M15776">
        <f t="shared" si="2"/>
      </c>
    </row>
    <row r="15777">
      <c r="G15777" s="9">
        <f t="shared" si="0"/>
      </c>
      <c r="L15777">
        <f t="shared" si="1"/>
      </c>
      <c r="M15777">
        <f t="shared" si="2"/>
      </c>
    </row>
    <row r="15778">
      <c r="G15778" s="9">
        <f t="shared" si="0"/>
      </c>
      <c r="L15778">
        <f t="shared" si="1"/>
      </c>
      <c r="M15778">
        <f t="shared" si="2"/>
      </c>
    </row>
    <row r="15779">
      <c r="G15779" s="9">
        <f t="shared" si="0"/>
      </c>
      <c r="L15779">
        <f t="shared" si="1"/>
      </c>
      <c r="M15779">
        <f t="shared" si="2"/>
      </c>
    </row>
    <row r="15780">
      <c r="G15780" s="9">
        <f t="shared" si="0"/>
      </c>
      <c r="L15780">
        <f t="shared" si="1"/>
      </c>
      <c r="M15780">
        <f t="shared" si="2"/>
      </c>
    </row>
    <row r="15781">
      <c r="G15781" s="9">
        <f t="shared" si="0"/>
      </c>
      <c r="L15781">
        <f t="shared" si="1"/>
      </c>
      <c r="M15781">
        <f t="shared" si="2"/>
      </c>
    </row>
    <row r="15782">
      <c r="G15782" s="9">
        <f t="shared" si="0"/>
      </c>
      <c r="L15782">
        <f t="shared" si="1"/>
      </c>
      <c r="M15782">
        <f t="shared" si="2"/>
      </c>
    </row>
    <row r="15783">
      <c r="G15783" s="9">
        <f t="shared" si="0"/>
      </c>
      <c r="L15783">
        <f t="shared" si="1"/>
      </c>
      <c r="M15783">
        <f t="shared" si="2"/>
      </c>
    </row>
    <row r="15784">
      <c r="G15784" s="9">
        <f t="shared" si="0"/>
      </c>
      <c r="L15784">
        <f t="shared" si="1"/>
      </c>
      <c r="M15784">
        <f t="shared" si="2"/>
      </c>
    </row>
    <row r="15785">
      <c r="G15785" s="9">
        <f t="shared" si="0"/>
      </c>
      <c r="L15785">
        <f t="shared" si="1"/>
      </c>
      <c r="M15785">
        <f t="shared" si="2"/>
      </c>
    </row>
    <row r="15786">
      <c r="G15786" s="9">
        <f t="shared" si="0"/>
      </c>
      <c r="L15786">
        <f t="shared" si="1"/>
      </c>
      <c r="M15786">
        <f t="shared" si="2"/>
      </c>
    </row>
    <row r="15787">
      <c r="G15787" s="9">
        <f t="shared" si="0"/>
      </c>
      <c r="L15787">
        <f t="shared" si="1"/>
      </c>
      <c r="M15787">
        <f t="shared" si="2"/>
      </c>
    </row>
    <row r="15788">
      <c r="G15788" s="9">
        <f t="shared" si="0"/>
      </c>
      <c r="L15788">
        <f t="shared" si="1"/>
      </c>
      <c r="M15788">
        <f t="shared" si="2"/>
      </c>
    </row>
    <row r="15789">
      <c r="G15789" s="9">
        <f t="shared" si="0"/>
      </c>
      <c r="L15789">
        <f t="shared" si="1"/>
      </c>
      <c r="M15789">
        <f t="shared" si="2"/>
      </c>
    </row>
    <row r="15790">
      <c r="G15790" s="9">
        <f t="shared" si="0"/>
      </c>
      <c r="L15790">
        <f t="shared" si="1"/>
      </c>
      <c r="M15790">
        <f t="shared" si="2"/>
      </c>
    </row>
    <row r="15791">
      <c r="G15791" s="9">
        <f t="shared" si="0"/>
      </c>
      <c r="L15791">
        <f t="shared" si="1"/>
      </c>
      <c r="M15791">
        <f t="shared" si="2"/>
      </c>
    </row>
    <row r="15792">
      <c r="G15792" s="9">
        <f t="shared" si="0"/>
      </c>
      <c r="L15792">
        <f t="shared" si="1"/>
      </c>
      <c r="M15792">
        <f t="shared" si="2"/>
      </c>
    </row>
    <row r="15793">
      <c r="G15793" s="9">
        <f t="shared" si="0"/>
      </c>
      <c r="L15793">
        <f t="shared" si="1"/>
      </c>
      <c r="M15793">
        <f t="shared" si="2"/>
      </c>
    </row>
    <row r="15794">
      <c r="G15794" s="9">
        <f t="shared" si="0"/>
      </c>
      <c r="L15794">
        <f t="shared" si="1"/>
      </c>
      <c r="M15794">
        <f t="shared" si="2"/>
      </c>
    </row>
    <row r="15795">
      <c r="G15795" s="9">
        <f t="shared" si="0"/>
      </c>
      <c r="L15795">
        <f t="shared" si="1"/>
      </c>
      <c r="M15795">
        <f t="shared" si="2"/>
      </c>
    </row>
    <row r="15796">
      <c r="G15796" s="9">
        <f t="shared" si="0"/>
      </c>
      <c r="L15796">
        <f t="shared" si="1"/>
      </c>
      <c r="M15796">
        <f t="shared" si="2"/>
      </c>
    </row>
    <row r="15797">
      <c r="G15797" s="9">
        <f t="shared" si="0"/>
      </c>
      <c r="L15797">
        <f t="shared" si="1"/>
      </c>
      <c r="M15797">
        <f t="shared" si="2"/>
      </c>
    </row>
    <row r="15798">
      <c r="G15798" s="9">
        <f t="shared" si="0"/>
      </c>
      <c r="L15798">
        <f t="shared" si="1"/>
      </c>
      <c r="M15798">
        <f t="shared" si="2"/>
      </c>
    </row>
    <row r="15799">
      <c r="G15799" s="9">
        <f t="shared" si="0"/>
      </c>
      <c r="L15799">
        <f t="shared" si="1"/>
      </c>
      <c r="M15799">
        <f t="shared" si="2"/>
      </c>
    </row>
    <row r="15800">
      <c r="G15800" s="9">
        <f t="shared" si="0"/>
      </c>
      <c r="L15800">
        <f t="shared" si="1"/>
      </c>
      <c r="M15800">
        <f t="shared" si="2"/>
      </c>
    </row>
    <row r="15801">
      <c r="G15801" s="9">
        <f t="shared" si="0"/>
      </c>
      <c r="L15801">
        <f t="shared" si="1"/>
      </c>
      <c r="M15801">
        <f t="shared" si="2"/>
      </c>
    </row>
    <row r="15802">
      <c r="G15802" s="9">
        <f t="shared" si="0"/>
      </c>
      <c r="L15802">
        <f t="shared" si="1"/>
      </c>
      <c r="M15802">
        <f t="shared" si="2"/>
      </c>
    </row>
    <row r="15803">
      <c r="G15803" s="9">
        <f t="shared" si="0"/>
      </c>
      <c r="L15803">
        <f t="shared" si="1"/>
      </c>
      <c r="M15803">
        <f t="shared" si="2"/>
      </c>
    </row>
    <row r="15804">
      <c r="G15804" s="9">
        <f t="shared" si="0"/>
      </c>
      <c r="L15804">
        <f t="shared" si="1"/>
      </c>
      <c r="M15804">
        <f t="shared" si="2"/>
      </c>
    </row>
    <row r="15805">
      <c r="G15805" s="9">
        <f t="shared" si="0"/>
      </c>
      <c r="L15805">
        <f t="shared" si="1"/>
      </c>
      <c r="M15805">
        <f t="shared" si="2"/>
      </c>
    </row>
    <row r="15806">
      <c r="G15806" s="9">
        <f t="shared" si="0"/>
      </c>
      <c r="L15806">
        <f t="shared" si="1"/>
      </c>
      <c r="M15806">
        <f t="shared" si="2"/>
      </c>
    </row>
    <row r="15807">
      <c r="G15807" s="9">
        <f t="shared" si="0"/>
      </c>
      <c r="L15807">
        <f t="shared" si="1"/>
      </c>
      <c r="M15807">
        <f t="shared" si="2"/>
      </c>
    </row>
    <row r="15808">
      <c r="G15808" s="9">
        <f t="shared" si="0"/>
      </c>
      <c r="L15808">
        <f t="shared" si="1"/>
      </c>
      <c r="M15808">
        <f t="shared" si="2"/>
      </c>
    </row>
    <row r="15809">
      <c r="G15809" s="9">
        <f t="shared" si="0"/>
      </c>
      <c r="L15809">
        <f t="shared" si="1"/>
      </c>
      <c r="M15809">
        <f t="shared" si="2"/>
      </c>
    </row>
    <row r="15810">
      <c r="G15810" s="9">
        <f t="shared" si="0"/>
      </c>
      <c r="L15810">
        <f t="shared" si="1"/>
      </c>
      <c r="M15810">
        <f t="shared" si="2"/>
      </c>
    </row>
    <row r="15811">
      <c r="G15811" s="9">
        <f t="shared" si="0"/>
      </c>
      <c r="L15811">
        <f t="shared" si="1"/>
      </c>
      <c r="M15811">
        <f t="shared" si="2"/>
      </c>
    </row>
    <row r="15812">
      <c r="G15812" s="9">
        <f t="shared" si="0"/>
      </c>
      <c r="L15812">
        <f t="shared" si="1"/>
      </c>
      <c r="M15812">
        <f t="shared" si="2"/>
      </c>
    </row>
    <row r="15813">
      <c r="G15813" s="9">
        <f t="shared" si="0"/>
      </c>
      <c r="L15813">
        <f t="shared" si="1"/>
      </c>
      <c r="M15813">
        <f t="shared" si="2"/>
      </c>
    </row>
    <row r="15814">
      <c r="G15814" s="9">
        <f t="shared" si="0"/>
      </c>
      <c r="L15814">
        <f t="shared" si="1"/>
      </c>
      <c r="M15814">
        <f t="shared" si="2"/>
      </c>
    </row>
    <row r="15815">
      <c r="G15815" s="9">
        <f t="shared" si="0"/>
      </c>
      <c r="L15815">
        <f t="shared" si="1"/>
      </c>
      <c r="M15815">
        <f t="shared" si="2"/>
      </c>
    </row>
    <row r="15816">
      <c r="G15816" s="9">
        <f t="shared" si="0"/>
      </c>
      <c r="L15816">
        <f t="shared" si="1"/>
      </c>
      <c r="M15816">
        <f t="shared" si="2"/>
      </c>
    </row>
    <row r="15817">
      <c r="G15817" s="9">
        <f t="shared" si="0"/>
      </c>
      <c r="L15817">
        <f t="shared" si="1"/>
      </c>
      <c r="M15817">
        <f t="shared" si="2"/>
      </c>
    </row>
    <row r="15818">
      <c r="G15818" s="9">
        <f t="shared" si="0"/>
      </c>
      <c r="L15818">
        <f t="shared" si="1"/>
      </c>
      <c r="M15818">
        <f t="shared" si="2"/>
      </c>
    </row>
    <row r="15819">
      <c r="G15819" s="9">
        <f t="shared" si="0"/>
      </c>
      <c r="L15819">
        <f t="shared" si="1"/>
      </c>
      <c r="M15819">
        <f t="shared" si="2"/>
      </c>
    </row>
    <row r="15820">
      <c r="G15820" s="9">
        <f t="shared" si="0"/>
      </c>
      <c r="L15820">
        <f t="shared" si="1"/>
      </c>
      <c r="M15820">
        <f t="shared" si="2"/>
      </c>
    </row>
    <row r="15821">
      <c r="G15821" s="9">
        <f t="shared" si="0"/>
      </c>
      <c r="L15821">
        <f t="shared" si="1"/>
      </c>
      <c r="M15821">
        <f t="shared" si="2"/>
      </c>
    </row>
    <row r="15822">
      <c r="G15822" s="9">
        <f t="shared" si="0"/>
      </c>
      <c r="L15822">
        <f t="shared" si="1"/>
      </c>
      <c r="M15822">
        <f t="shared" si="2"/>
      </c>
    </row>
    <row r="15823">
      <c r="G15823" s="9">
        <f t="shared" si="0"/>
      </c>
      <c r="L15823">
        <f t="shared" si="1"/>
      </c>
      <c r="M15823">
        <f t="shared" si="2"/>
      </c>
    </row>
    <row r="15824">
      <c r="G15824" s="9">
        <f t="shared" si="0"/>
      </c>
      <c r="L15824">
        <f t="shared" si="1"/>
      </c>
      <c r="M15824">
        <f t="shared" si="2"/>
      </c>
    </row>
    <row r="15825">
      <c r="G15825" s="9">
        <f t="shared" si="0"/>
      </c>
      <c r="L15825">
        <f t="shared" si="1"/>
      </c>
      <c r="M15825">
        <f t="shared" si="2"/>
      </c>
    </row>
    <row r="15826">
      <c r="G15826" s="9">
        <f t="shared" si="0"/>
      </c>
      <c r="L15826">
        <f t="shared" si="1"/>
      </c>
      <c r="M15826">
        <f t="shared" si="2"/>
      </c>
    </row>
    <row r="15827">
      <c r="G15827" s="9">
        <f t="shared" si="0"/>
      </c>
      <c r="L15827">
        <f t="shared" si="1"/>
      </c>
      <c r="M15827">
        <f t="shared" si="2"/>
      </c>
    </row>
    <row r="15828">
      <c r="G15828" s="9">
        <f t="shared" si="0"/>
      </c>
      <c r="L15828">
        <f t="shared" si="1"/>
      </c>
      <c r="M15828">
        <f t="shared" si="2"/>
      </c>
    </row>
    <row r="15829">
      <c r="G15829" s="9">
        <f t="shared" si="0"/>
      </c>
      <c r="L15829">
        <f t="shared" si="1"/>
      </c>
      <c r="M15829">
        <f t="shared" si="2"/>
      </c>
    </row>
    <row r="15830">
      <c r="G15830" s="9">
        <f t="shared" si="0"/>
      </c>
      <c r="L15830">
        <f t="shared" si="1"/>
      </c>
      <c r="M15830">
        <f t="shared" si="2"/>
      </c>
    </row>
    <row r="15831">
      <c r="G15831" s="9">
        <f t="shared" si="0"/>
      </c>
      <c r="L15831">
        <f t="shared" si="1"/>
      </c>
      <c r="M15831">
        <f t="shared" si="2"/>
      </c>
    </row>
    <row r="15832">
      <c r="G15832" s="9">
        <f t="shared" si="0"/>
      </c>
      <c r="L15832">
        <f t="shared" si="1"/>
      </c>
      <c r="M15832">
        <f t="shared" si="2"/>
      </c>
    </row>
    <row r="15833">
      <c r="G15833" s="9">
        <f t="shared" si="0"/>
      </c>
      <c r="L15833">
        <f t="shared" si="1"/>
      </c>
      <c r="M15833">
        <f t="shared" si="2"/>
      </c>
    </row>
    <row r="15834">
      <c r="G15834" s="9">
        <f t="shared" si="0"/>
      </c>
      <c r="L15834">
        <f t="shared" si="1"/>
      </c>
      <c r="M15834">
        <f t="shared" si="2"/>
      </c>
    </row>
    <row r="15835">
      <c r="G15835" s="9">
        <f t="shared" si="0"/>
      </c>
      <c r="L15835">
        <f t="shared" si="1"/>
      </c>
      <c r="M15835">
        <f t="shared" si="2"/>
      </c>
    </row>
    <row r="15836">
      <c r="G15836" s="9">
        <f t="shared" si="0"/>
      </c>
      <c r="L15836">
        <f t="shared" si="1"/>
      </c>
      <c r="M15836">
        <f t="shared" si="2"/>
      </c>
    </row>
    <row r="15837">
      <c r="G15837" s="9">
        <f t="shared" si="0"/>
      </c>
      <c r="L15837">
        <f t="shared" si="1"/>
      </c>
      <c r="M15837">
        <f t="shared" si="2"/>
      </c>
    </row>
    <row r="15838">
      <c r="G15838" s="9">
        <f t="shared" si="0"/>
      </c>
      <c r="L15838">
        <f t="shared" si="1"/>
      </c>
      <c r="M15838">
        <f t="shared" si="2"/>
      </c>
    </row>
    <row r="15839">
      <c r="G15839" s="9">
        <f t="shared" si="0"/>
      </c>
      <c r="L15839">
        <f t="shared" si="1"/>
      </c>
      <c r="M15839">
        <f t="shared" si="2"/>
      </c>
    </row>
    <row r="15840">
      <c r="G15840" s="9">
        <f t="shared" si="0"/>
      </c>
      <c r="L15840">
        <f t="shared" si="1"/>
      </c>
      <c r="M15840">
        <f t="shared" si="2"/>
      </c>
    </row>
    <row r="15841">
      <c r="G15841" s="9">
        <f t="shared" si="0"/>
      </c>
      <c r="L15841">
        <f t="shared" si="1"/>
      </c>
      <c r="M15841">
        <f t="shared" si="2"/>
      </c>
    </row>
    <row r="15842">
      <c r="G15842" s="9">
        <f t="shared" si="0"/>
      </c>
      <c r="L15842">
        <f t="shared" si="1"/>
      </c>
      <c r="M15842">
        <f t="shared" si="2"/>
      </c>
    </row>
    <row r="15843">
      <c r="G15843" s="9">
        <f t="shared" si="0"/>
      </c>
      <c r="L15843">
        <f t="shared" si="1"/>
      </c>
      <c r="M15843">
        <f t="shared" si="2"/>
      </c>
    </row>
    <row r="15844">
      <c r="G15844" s="9">
        <f t="shared" si="0"/>
      </c>
      <c r="L15844">
        <f t="shared" si="1"/>
      </c>
      <c r="M15844">
        <f t="shared" si="2"/>
      </c>
    </row>
    <row r="15845">
      <c r="G15845" s="9">
        <f t="shared" si="0"/>
      </c>
      <c r="L15845">
        <f t="shared" si="1"/>
      </c>
      <c r="M15845">
        <f t="shared" si="2"/>
      </c>
    </row>
    <row r="15846">
      <c r="G15846" s="9">
        <f t="shared" si="0"/>
      </c>
      <c r="L15846">
        <f t="shared" si="1"/>
      </c>
      <c r="M15846">
        <f t="shared" si="2"/>
      </c>
    </row>
    <row r="15847">
      <c r="G15847" s="9">
        <f t="shared" si="0"/>
      </c>
      <c r="L15847">
        <f t="shared" si="1"/>
      </c>
      <c r="M15847">
        <f t="shared" si="2"/>
      </c>
    </row>
    <row r="15848">
      <c r="G15848" s="9">
        <f t="shared" si="0"/>
      </c>
      <c r="L15848">
        <f t="shared" si="1"/>
      </c>
      <c r="M15848">
        <f t="shared" si="2"/>
      </c>
    </row>
    <row r="15849">
      <c r="G15849" s="9">
        <f t="shared" si="0"/>
      </c>
      <c r="L15849">
        <f t="shared" si="1"/>
      </c>
      <c r="M15849">
        <f t="shared" si="2"/>
      </c>
    </row>
    <row r="15850">
      <c r="G15850" s="9">
        <f t="shared" si="0"/>
      </c>
      <c r="L15850">
        <f t="shared" si="1"/>
      </c>
      <c r="M15850">
        <f t="shared" si="2"/>
      </c>
    </row>
    <row r="15851">
      <c r="G15851" s="9">
        <f t="shared" si="0"/>
      </c>
      <c r="L15851">
        <f t="shared" si="1"/>
      </c>
      <c r="M15851">
        <f t="shared" si="2"/>
      </c>
    </row>
    <row r="15852">
      <c r="G15852" s="9">
        <f t="shared" si="0"/>
      </c>
      <c r="L15852">
        <f t="shared" si="1"/>
      </c>
      <c r="M15852">
        <f t="shared" si="2"/>
      </c>
    </row>
    <row r="15853">
      <c r="G15853" s="9">
        <f t="shared" si="0"/>
      </c>
      <c r="L15853">
        <f t="shared" si="1"/>
      </c>
      <c r="M15853">
        <f t="shared" si="2"/>
      </c>
    </row>
    <row r="15854">
      <c r="G15854" s="9">
        <f t="shared" si="0"/>
      </c>
      <c r="L15854">
        <f t="shared" si="1"/>
      </c>
      <c r="M15854">
        <f t="shared" si="2"/>
      </c>
    </row>
    <row r="15855">
      <c r="G15855" s="9">
        <f t="shared" si="0"/>
      </c>
      <c r="L15855">
        <f t="shared" si="1"/>
      </c>
      <c r="M15855">
        <f t="shared" si="2"/>
      </c>
    </row>
    <row r="15856">
      <c r="G15856" s="9">
        <f t="shared" si="0"/>
      </c>
      <c r="L15856">
        <f t="shared" si="1"/>
      </c>
      <c r="M15856">
        <f t="shared" si="2"/>
      </c>
    </row>
    <row r="15857">
      <c r="G15857" s="9">
        <f t="shared" si="0"/>
      </c>
      <c r="L15857">
        <f t="shared" si="1"/>
      </c>
      <c r="M15857">
        <f t="shared" si="2"/>
      </c>
    </row>
    <row r="15858">
      <c r="G15858" s="9">
        <f t="shared" si="0"/>
      </c>
      <c r="L15858">
        <f t="shared" si="1"/>
      </c>
      <c r="M15858">
        <f t="shared" si="2"/>
      </c>
    </row>
    <row r="15859">
      <c r="G15859" s="9">
        <f t="shared" si="0"/>
      </c>
      <c r="L15859">
        <f t="shared" si="1"/>
      </c>
      <c r="M15859">
        <f t="shared" si="2"/>
      </c>
    </row>
    <row r="15860">
      <c r="G15860" s="9">
        <f t="shared" si="0"/>
      </c>
      <c r="L15860">
        <f t="shared" si="1"/>
      </c>
      <c r="M15860">
        <f t="shared" si="2"/>
      </c>
    </row>
    <row r="15861">
      <c r="G15861" s="9">
        <f t="shared" si="0"/>
      </c>
      <c r="L15861">
        <f t="shared" si="1"/>
      </c>
      <c r="M15861">
        <f t="shared" si="2"/>
      </c>
    </row>
    <row r="15862">
      <c r="G15862" s="9">
        <f t="shared" si="0"/>
      </c>
      <c r="L15862">
        <f t="shared" si="1"/>
      </c>
      <c r="M15862">
        <f t="shared" si="2"/>
      </c>
    </row>
    <row r="15863">
      <c r="G15863" s="9">
        <f t="shared" si="0"/>
      </c>
      <c r="L15863">
        <f t="shared" si="1"/>
      </c>
      <c r="M15863">
        <f t="shared" si="2"/>
      </c>
    </row>
    <row r="15864">
      <c r="G15864" s="9">
        <f t="shared" si="0"/>
      </c>
      <c r="L15864">
        <f t="shared" si="1"/>
      </c>
      <c r="M15864">
        <f t="shared" si="2"/>
      </c>
    </row>
    <row r="15865">
      <c r="G15865" s="9">
        <f t="shared" si="0"/>
      </c>
      <c r="L15865">
        <f t="shared" si="1"/>
      </c>
      <c r="M15865">
        <f t="shared" si="2"/>
      </c>
    </row>
    <row r="15866">
      <c r="G15866" s="9">
        <f t="shared" si="0"/>
      </c>
      <c r="L15866">
        <f t="shared" si="1"/>
      </c>
      <c r="M15866">
        <f t="shared" si="2"/>
      </c>
    </row>
    <row r="15867">
      <c r="G15867" s="9">
        <f t="shared" si="0"/>
      </c>
      <c r="L15867">
        <f t="shared" si="1"/>
      </c>
      <c r="M15867">
        <f t="shared" si="2"/>
      </c>
    </row>
    <row r="15868">
      <c r="G15868" s="9">
        <f t="shared" si="0"/>
      </c>
      <c r="L15868">
        <f t="shared" si="1"/>
      </c>
      <c r="M15868">
        <f t="shared" si="2"/>
      </c>
    </row>
    <row r="15869">
      <c r="G15869" s="9">
        <f t="shared" si="0"/>
      </c>
      <c r="L15869">
        <f t="shared" si="1"/>
      </c>
      <c r="M15869">
        <f t="shared" si="2"/>
      </c>
    </row>
    <row r="15870">
      <c r="G15870" s="9">
        <f t="shared" si="0"/>
      </c>
      <c r="L15870">
        <f t="shared" si="1"/>
      </c>
      <c r="M15870">
        <f t="shared" si="2"/>
      </c>
    </row>
    <row r="15871">
      <c r="G15871" s="9">
        <f t="shared" si="0"/>
      </c>
      <c r="L15871">
        <f t="shared" si="1"/>
      </c>
      <c r="M15871">
        <f t="shared" si="2"/>
      </c>
    </row>
    <row r="15872">
      <c r="G15872" s="9">
        <f t="shared" si="0"/>
      </c>
      <c r="L15872">
        <f t="shared" si="1"/>
      </c>
      <c r="M15872">
        <f t="shared" si="2"/>
      </c>
    </row>
    <row r="15873">
      <c r="G15873" s="9">
        <f t="shared" si="0"/>
      </c>
      <c r="L15873">
        <f t="shared" si="1"/>
      </c>
      <c r="M15873">
        <f t="shared" si="2"/>
      </c>
    </row>
    <row r="15874">
      <c r="G15874" s="9">
        <f t="shared" si="0"/>
      </c>
      <c r="L15874">
        <f t="shared" si="1"/>
      </c>
      <c r="M15874">
        <f t="shared" si="2"/>
      </c>
    </row>
    <row r="15875">
      <c r="G15875" s="9">
        <f t="shared" si="0"/>
      </c>
      <c r="L15875">
        <f t="shared" si="1"/>
      </c>
      <c r="M15875">
        <f t="shared" si="2"/>
      </c>
    </row>
    <row r="15876">
      <c r="G15876" s="9">
        <f t="shared" si="0"/>
      </c>
      <c r="L15876">
        <f t="shared" si="1"/>
      </c>
      <c r="M15876">
        <f t="shared" si="2"/>
      </c>
    </row>
    <row r="15877">
      <c r="G15877" s="9">
        <f t="shared" si="0"/>
      </c>
      <c r="L15877">
        <f t="shared" si="1"/>
      </c>
      <c r="M15877">
        <f t="shared" si="2"/>
      </c>
    </row>
    <row r="15878">
      <c r="G15878" s="9">
        <f t="shared" si="0"/>
      </c>
      <c r="L15878">
        <f t="shared" si="1"/>
      </c>
      <c r="M15878">
        <f t="shared" si="2"/>
      </c>
    </row>
    <row r="15879">
      <c r="G15879" s="9">
        <f t="shared" si="0"/>
      </c>
      <c r="L15879">
        <f t="shared" si="1"/>
      </c>
      <c r="M15879">
        <f t="shared" si="2"/>
      </c>
    </row>
    <row r="15880">
      <c r="G15880" s="9">
        <f t="shared" si="0"/>
      </c>
      <c r="L15880">
        <f t="shared" si="1"/>
      </c>
      <c r="M15880">
        <f t="shared" si="2"/>
      </c>
    </row>
    <row r="15881">
      <c r="G15881" s="9">
        <f t="shared" si="0"/>
      </c>
      <c r="L15881">
        <f t="shared" si="1"/>
      </c>
      <c r="M15881">
        <f t="shared" si="2"/>
      </c>
    </row>
    <row r="15882">
      <c r="G15882" s="9">
        <f t="shared" si="0"/>
      </c>
      <c r="L15882">
        <f t="shared" si="1"/>
      </c>
      <c r="M15882">
        <f t="shared" si="2"/>
      </c>
    </row>
    <row r="15883">
      <c r="G15883" s="9">
        <f t="shared" si="0"/>
      </c>
      <c r="L15883">
        <f t="shared" si="1"/>
      </c>
      <c r="M15883">
        <f t="shared" si="2"/>
      </c>
    </row>
    <row r="15884">
      <c r="G15884" s="9">
        <f t="shared" si="0"/>
      </c>
      <c r="L15884">
        <f t="shared" si="1"/>
      </c>
      <c r="M15884">
        <f t="shared" si="2"/>
      </c>
    </row>
    <row r="15885">
      <c r="G15885" s="9">
        <f t="shared" si="0"/>
      </c>
      <c r="L15885">
        <f t="shared" si="1"/>
      </c>
      <c r="M15885">
        <f t="shared" si="2"/>
      </c>
    </row>
    <row r="15886">
      <c r="G15886" s="9">
        <f t="shared" si="0"/>
      </c>
      <c r="L15886">
        <f t="shared" si="1"/>
      </c>
      <c r="M15886">
        <f t="shared" si="2"/>
      </c>
    </row>
    <row r="15887">
      <c r="G15887" s="9">
        <f t="shared" si="0"/>
      </c>
      <c r="L15887">
        <f t="shared" si="1"/>
      </c>
      <c r="M15887">
        <f t="shared" si="2"/>
      </c>
    </row>
    <row r="15888">
      <c r="G15888" s="9">
        <f t="shared" si="0"/>
      </c>
      <c r="L15888">
        <f t="shared" si="1"/>
      </c>
      <c r="M15888">
        <f t="shared" si="2"/>
      </c>
    </row>
    <row r="15889">
      <c r="G15889" s="9">
        <f t="shared" si="0"/>
      </c>
      <c r="L15889">
        <f t="shared" si="1"/>
      </c>
      <c r="M15889">
        <f t="shared" si="2"/>
      </c>
    </row>
    <row r="15890">
      <c r="G15890" s="9">
        <f t="shared" si="0"/>
      </c>
      <c r="L15890">
        <f t="shared" si="1"/>
      </c>
      <c r="M15890">
        <f t="shared" si="2"/>
      </c>
    </row>
    <row r="15891">
      <c r="G15891" s="9">
        <f t="shared" si="0"/>
      </c>
      <c r="L15891">
        <f t="shared" si="1"/>
      </c>
      <c r="M15891">
        <f t="shared" si="2"/>
      </c>
    </row>
    <row r="15892">
      <c r="G15892" s="9">
        <f t="shared" si="0"/>
      </c>
      <c r="L15892">
        <f t="shared" si="1"/>
      </c>
      <c r="M15892">
        <f t="shared" si="2"/>
      </c>
    </row>
    <row r="15893">
      <c r="G15893" s="9">
        <f t="shared" si="0"/>
      </c>
      <c r="L15893">
        <f t="shared" si="1"/>
      </c>
      <c r="M15893">
        <f t="shared" si="2"/>
      </c>
    </row>
    <row r="15894">
      <c r="G15894" s="9">
        <f t="shared" si="0"/>
      </c>
      <c r="L15894">
        <f t="shared" si="1"/>
      </c>
      <c r="M15894">
        <f t="shared" si="2"/>
      </c>
    </row>
    <row r="15895">
      <c r="G15895" s="9">
        <f t="shared" si="0"/>
      </c>
      <c r="L15895">
        <f t="shared" si="1"/>
      </c>
      <c r="M15895">
        <f t="shared" si="2"/>
      </c>
    </row>
    <row r="15896">
      <c r="G15896" s="9">
        <f t="shared" si="0"/>
      </c>
      <c r="L15896">
        <f t="shared" si="1"/>
      </c>
      <c r="M15896">
        <f t="shared" si="2"/>
      </c>
    </row>
    <row r="15897">
      <c r="G15897" s="9">
        <f t="shared" si="0"/>
      </c>
      <c r="L15897">
        <f t="shared" si="1"/>
      </c>
      <c r="M15897">
        <f t="shared" si="2"/>
      </c>
    </row>
    <row r="15898">
      <c r="G15898" s="9">
        <f t="shared" si="0"/>
      </c>
      <c r="L15898">
        <f t="shared" si="1"/>
      </c>
      <c r="M15898">
        <f t="shared" si="2"/>
      </c>
    </row>
    <row r="15899">
      <c r="G15899" s="9">
        <f t="shared" si="0"/>
      </c>
      <c r="L15899">
        <f t="shared" si="1"/>
      </c>
      <c r="M15899">
        <f t="shared" si="2"/>
      </c>
    </row>
    <row r="15900">
      <c r="G15900" s="9">
        <f t="shared" si="0"/>
      </c>
      <c r="L15900">
        <f t="shared" si="1"/>
      </c>
      <c r="M15900">
        <f t="shared" si="2"/>
      </c>
    </row>
    <row r="15901">
      <c r="G15901" s="9">
        <f t="shared" si="0"/>
      </c>
      <c r="L15901">
        <f t="shared" si="1"/>
      </c>
      <c r="M15901">
        <f t="shared" si="2"/>
      </c>
    </row>
    <row r="15902">
      <c r="G15902" s="9">
        <f t="shared" si="0"/>
      </c>
      <c r="L15902">
        <f t="shared" si="1"/>
      </c>
      <c r="M15902">
        <f t="shared" si="2"/>
      </c>
    </row>
    <row r="15903">
      <c r="G15903" s="9">
        <f t="shared" si="0"/>
      </c>
      <c r="L15903">
        <f t="shared" si="1"/>
      </c>
      <c r="M15903">
        <f t="shared" si="2"/>
      </c>
    </row>
    <row r="15904">
      <c r="G15904" s="9">
        <f t="shared" si="0"/>
      </c>
      <c r="L15904">
        <f t="shared" si="1"/>
      </c>
      <c r="M15904">
        <f t="shared" si="2"/>
      </c>
    </row>
    <row r="15905">
      <c r="G15905" s="9">
        <f t="shared" si="0"/>
      </c>
      <c r="L15905">
        <f t="shared" si="1"/>
      </c>
      <c r="M15905">
        <f t="shared" si="2"/>
      </c>
    </row>
    <row r="15906">
      <c r="G15906" s="9">
        <f t="shared" si="0"/>
      </c>
      <c r="L15906">
        <f t="shared" si="1"/>
      </c>
      <c r="M15906">
        <f t="shared" si="2"/>
      </c>
    </row>
    <row r="15907">
      <c r="G15907" s="9">
        <f t="shared" si="0"/>
      </c>
      <c r="L15907">
        <f t="shared" si="1"/>
      </c>
      <c r="M15907">
        <f t="shared" si="2"/>
      </c>
    </row>
    <row r="15908">
      <c r="G15908" s="9">
        <f t="shared" si="0"/>
      </c>
      <c r="L15908">
        <f t="shared" si="1"/>
      </c>
      <c r="M15908">
        <f t="shared" si="2"/>
      </c>
    </row>
    <row r="15909">
      <c r="G15909" s="9">
        <f t="shared" si="0"/>
      </c>
      <c r="L15909">
        <f t="shared" si="1"/>
      </c>
      <c r="M15909">
        <f t="shared" si="2"/>
      </c>
    </row>
    <row r="15910">
      <c r="G15910" s="9">
        <f t="shared" si="0"/>
      </c>
      <c r="L15910">
        <f t="shared" si="1"/>
      </c>
      <c r="M15910">
        <f t="shared" si="2"/>
      </c>
    </row>
    <row r="15911">
      <c r="G15911" s="9">
        <f t="shared" si="0"/>
      </c>
      <c r="L15911">
        <f t="shared" si="1"/>
      </c>
      <c r="M15911">
        <f t="shared" si="2"/>
      </c>
    </row>
    <row r="15912">
      <c r="G15912" s="9">
        <f t="shared" si="0"/>
      </c>
      <c r="L15912">
        <f t="shared" si="1"/>
      </c>
      <c r="M15912">
        <f t="shared" si="2"/>
      </c>
    </row>
    <row r="15913">
      <c r="G15913" s="9">
        <f t="shared" si="0"/>
      </c>
      <c r="L15913">
        <f t="shared" si="1"/>
      </c>
      <c r="M15913">
        <f t="shared" si="2"/>
      </c>
    </row>
    <row r="15914">
      <c r="G15914" s="9">
        <f t="shared" si="0"/>
      </c>
      <c r="L15914">
        <f t="shared" si="1"/>
      </c>
      <c r="M15914">
        <f t="shared" si="2"/>
      </c>
    </row>
    <row r="15915">
      <c r="G15915" s="9">
        <f t="shared" si="0"/>
      </c>
      <c r="L15915">
        <f t="shared" si="1"/>
      </c>
      <c r="M15915">
        <f t="shared" si="2"/>
      </c>
    </row>
    <row r="15916">
      <c r="G15916" s="9">
        <f t="shared" si="0"/>
      </c>
      <c r="L15916">
        <f t="shared" si="1"/>
      </c>
      <c r="M15916">
        <f t="shared" si="2"/>
      </c>
    </row>
    <row r="15917">
      <c r="G15917" s="9">
        <f t="shared" si="0"/>
      </c>
      <c r="L15917">
        <f t="shared" si="1"/>
      </c>
      <c r="M15917">
        <f t="shared" si="2"/>
      </c>
    </row>
    <row r="15918">
      <c r="G15918" s="9">
        <f t="shared" si="0"/>
      </c>
      <c r="L15918">
        <f t="shared" si="1"/>
      </c>
      <c r="M15918">
        <f t="shared" si="2"/>
      </c>
    </row>
    <row r="15919">
      <c r="G15919" s="9">
        <f t="shared" si="0"/>
      </c>
      <c r="L15919">
        <f t="shared" si="1"/>
      </c>
      <c r="M15919">
        <f t="shared" si="2"/>
      </c>
    </row>
    <row r="15920">
      <c r="G15920" s="9">
        <f t="shared" si="0"/>
      </c>
      <c r="L15920">
        <f t="shared" si="1"/>
      </c>
      <c r="M15920">
        <f t="shared" si="2"/>
      </c>
    </row>
    <row r="15921">
      <c r="G15921" s="9">
        <f t="shared" si="0"/>
      </c>
      <c r="L15921">
        <f t="shared" si="1"/>
      </c>
      <c r="M15921">
        <f t="shared" si="2"/>
      </c>
    </row>
    <row r="15922">
      <c r="G15922" s="9">
        <f t="shared" si="0"/>
      </c>
      <c r="L15922">
        <f t="shared" si="1"/>
      </c>
      <c r="M15922">
        <f t="shared" si="2"/>
      </c>
    </row>
    <row r="15923">
      <c r="G15923" s="9">
        <f t="shared" si="0"/>
      </c>
      <c r="L15923">
        <f t="shared" si="1"/>
      </c>
      <c r="M15923">
        <f t="shared" si="2"/>
      </c>
    </row>
    <row r="15924">
      <c r="G15924" s="9">
        <f t="shared" si="0"/>
      </c>
      <c r="L15924">
        <f t="shared" si="1"/>
      </c>
      <c r="M15924">
        <f t="shared" si="2"/>
      </c>
    </row>
    <row r="15925">
      <c r="G15925" s="9">
        <f t="shared" si="0"/>
      </c>
      <c r="L15925">
        <f t="shared" si="1"/>
      </c>
      <c r="M15925">
        <f t="shared" si="2"/>
      </c>
    </row>
    <row r="15926">
      <c r="G15926" s="9">
        <f t="shared" si="0"/>
      </c>
      <c r="L15926">
        <f t="shared" si="1"/>
      </c>
      <c r="M15926">
        <f t="shared" si="2"/>
      </c>
    </row>
    <row r="15927">
      <c r="G15927" s="9">
        <f t="shared" si="0"/>
      </c>
      <c r="L15927">
        <f t="shared" si="1"/>
      </c>
      <c r="M15927">
        <f t="shared" si="2"/>
      </c>
    </row>
    <row r="15928">
      <c r="G15928" s="9">
        <f t="shared" si="0"/>
      </c>
      <c r="L15928">
        <f t="shared" si="1"/>
      </c>
      <c r="M15928">
        <f t="shared" si="2"/>
      </c>
    </row>
    <row r="15929">
      <c r="G15929" s="9">
        <f t="shared" si="0"/>
      </c>
      <c r="L15929">
        <f t="shared" si="1"/>
      </c>
      <c r="M15929">
        <f t="shared" si="2"/>
      </c>
    </row>
    <row r="15930">
      <c r="G15930" s="9">
        <f t="shared" si="0"/>
      </c>
      <c r="L15930">
        <f t="shared" si="1"/>
      </c>
      <c r="M15930">
        <f t="shared" si="2"/>
      </c>
    </row>
    <row r="15931">
      <c r="G15931" s="9">
        <f t="shared" si="0"/>
      </c>
      <c r="L15931">
        <f t="shared" si="1"/>
      </c>
      <c r="M15931">
        <f t="shared" si="2"/>
      </c>
    </row>
    <row r="15932">
      <c r="G15932" s="9">
        <f t="shared" si="0"/>
      </c>
      <c r="L15932">
        <f t="shared" si="1"/>
      </c>
      <c r="M15932">
        <f t="shared" si="2"/>
      </c>
    </row>
    <row r="15933">
      <c r="G15933" s="9">
        <f t="shared" si="0"/>
      </c>
      <c r="L15933">
        <f t="shared" si="1"/>
      </c>
      <c r="M15933">
        <f t="shared" si="2"/>
      </c>
    </row>
    <row r="15934">
      <c r="G15934" s="9">
        <f t="shared" si="0"/>
      </c>
      <c r="L15934">
        <f t="shared" si="1"/>
      </c>
      <c r="M15934">
        <f t="shared" si="2"/>
      </c>
    </row>
    <row r="15935">
      <c r="G15935" s="9">
        <f t="shared" si="0"/>
      </c>
      <c r="L15935">
        <f t="shared" si="1"/>
      </c>
      <c r="M15935">
        <f t="shared" si="2"/>
      </c>
    </row>
    <row r="15936">
      <c r="G15936" s="9">
        <f t="shared" si="0"/>
      </c>
      <c r="L15936">
        <f t="shared" si="1"/>
      </c>
      <c r="M15936">
        <f t="shared" si="2"/>
      </c>
    </row>
    <row r="15937">
      <c r="G15937" s="9">
        <f t="shared" si="0"/>
      </c>
      <c r="L15937">
        <f t="shared" si="1"/>
      </c>
      <c r="M15937">
        <f t="shared" si="2"/>
      </c>
    </row>
    <row r="15938">
      <c r="G15938" s="9">
        <f t="shared" si="0"/>
      </c>
      <c r="L15938">
        <f t="shared" si="1"/>
      </c>
      <c r="M15938">
        <f t="shared" si="2"/>
      </c>
    </row>
    <row r="15939">
      <c r="G15939" s="9">
        <f t="shared" si="0"/>
      </c>
      <c r="L15939">
        <f t="shared" si="1"/>
      </c>
      <c r="M15939">
        <f t="shared" si="2"/>
      </c>
    </row>
    <row r="15940">
      <c r="G15940" s="9">
        <f t="shared" si="0"/>
      </c>
      <c r="L15940">
        <f t="shared" si="1"/>
      </c>
      <c r="M15940">
        <f t="shared" si="2"/>
      </c>
    </row>
    <row r="15941">
      <c r="G15941" s="9">
        <f t="shared" si="0"/>
      </c>
      <c r="L15941">
        <f t="shared" si="1"/>
      </c>
      <c r="M15941">
        <f t="shared" si="2"/>
      </c>
    </row>
    <row r="15942">
      <c r="G15942" s="9">
        <f t="shared" si="0"/>
      </c>
      <c r="L15942">
        <f t="shared" si="1"/>
      </c>
      <c r="M15942">
        <f t="shared" si="2"/>
      </c>
    </row>
    <row r="15943">
      <c r="G15943" s="9">
        <f t="shared" si="0"/>
      </c>
      <c r="L15943">
        <f t="shared" si="1"/>
      </c>
      <c r="M15943">
        <f t="shared" si="2"/>
      </c>
    </row>
    <row r="15944">
      <c r="G15944" s="9">
        <f t="shared" si="0"/>
      </c>
      <c r="L15944">
        <f t="shared" si="1"/>
      </c>
      <c r="M15944">
        <f t="shared" si="2"/>
      </c>
    </row>
    <row r="15945">
      <c r="G15945" s="9">
        <f t="shared" si="0"/>
      </c>
      <c r="L15945">
        <f t="shared" si="1"/>
      </c>
      <c r="M15945">
        <f t="shared" si="2"/>
      </c>
    </row>
    <row r="15946">
      <c r="G15946" s="9">
        <f t="shared" si="0"/>
      </c>
      <c r="L15946">
        <f t="shared" si="1"/>
      </c>
      <c r="M15946">
        <f t="shared" si="2"/>
      </c>
    </row>
    <row r="15947">
      <c r="G15947" s="9">
        <f t="shared" si="0"/>
      </c>
      <c r="L15947">
        <f t="shared" si="1"/>
      </c>
      <c r="M15947">
        <f t="shared" si="2"/>
      </c>
    </row>
    <row r="15948">
      <c r="G15948" s="9">
        <f t="shared" si="0"/>
      </c>
      <c r="L15948">
        <f t="shared" si="1"/>
      </c>
      <c r="M15948">
        <f t="shared" si="2"/>
      </c>
    </row>
    <row r="15949">
      <c r="G15949" s="9">
        <f t="shared" si="0"/>
      </c>
      <c r="L15949">
        <f t="shared" si="1"/>
      </c>
      <c r="M15949">
        <f t="shared" si="2"/>
      </c>
    </row>
    <row r="15950">
      <c r="G15950" s="9">
        <f t="shared" si="0"/>
      </c>
      <c r="L15950">
        <f t="shared" si="1"/>
      </c>
      <c r="M15950">
        <f t="shared" si="2"/>
      </c>
    </row>
    <row r="15951">
      <c r="G15951" s="9">
        <f t="shared" si="0"/>
      </c>
      <c r="L15951">
        <f t="shared" si="1"/>
      </c>
      <c r="M15951">
        <f t="shared" si="2"/>
      </c>
    </row>
    <row r="15952">
      <c r="G15952" s="9">
        <f t="shared" si="0"/>
      </c>
      <c r="L15952">
        <f t="shared" si="1"/>
      </c>
      <c r="M15952">
        <f t="shared" si="2"/>
      </c>
    </row>
    <row r="15953">
      <c r="G15953" s="9">
        <f t="shared" si="0"/>
      </c>
      <c r="L15953">
        <f t="shared" si="1"/>
      </c>
      <c r="M15953">
        <f t="shared" si="2"/>
      </c>
    </row>
    <row r="15954">
      <c r="G15954" s="9">
        <f t="shared" si="0"/>
      </c>
      <c r="L15954">
        <f t="shared" si="1"/>
      </c>
      <c r="M15954">
        <f t="shared" si="2"/>
      </c>
    </row>
    <row r="15955">
      <c r="G15955" s="9">
        <f t="shared" si="0"/>
      </c>
      <c r="L15955">
        <f t="shared" si="1"/>
      </c>
      <c r="M15955">
        <f t="shared" si="2"/>
      </c>
    </row>
    <row r="15956">
      <c r="G15956" s="9">
        <f t="shared" si="0"/>
      </c>
      <c r="L15956">
        <f t="shared" si="1"/>
      </c>
      <c r="M15956">
        <f t="shared" si="2"/>
      </c>
    </row>
    <row r="15957">
      <c r="G15957" s="9">
        <f t="shared" si="0"/>
      </c>
      <c r="L15957">
        <f t="shared" si="1"/>
      </c>
      <c r="M15957">
        <f t="shared" si="2"/>
      </c>
    </row>
    <row r="15958">
      <c r="G15958" s="9">
        <f t="shared" si="0"/>
      </c>
      <c r="L15958">
        <f t="shared" si="1"/>
      </c>
      <c r="M15958">
        <f t="shared" si="2"/>
      </c>
    </row>
    <row r="15959">
      <c r="G15959" s="9">
        <f t="shared" si="0"/>
      </c>
      <c r="L15959">
        <f t="shared" si="1"/>
      </c>
      <c r="M15959">
        <f t="shared" si="2"/>
      </c>
    </row>
    <row r="15960">
      <c r="G15960" s="9">
        <f t="shared" si="0"/>
      </c>
      <c r="L15960">
        <f t="shared" si="1"/>
      </c>
      <c r="M15960">
        <f t="shared" si="2"/>
      </c>
    </row>
    <row r="15961">
      <c r="G15961" s="9">
        <f t="shared" si="0"/>
      </c>
      <c r="L15961">
        <f t="shared" si="1"/>
      </c>
      <c r="M15961">
        <f t="shared" si="2"/>
      </c>
    </row>
    <row r="15962">
      <c r="G15962" s="9">
        <f t="shared" si="0"/>
      </c>
      <c r="L15962">
        <f t="shared" si="1"/>
      </c>
      <c r="M15962">
        <f t="shared" si="2"/>
      </c>
    </row>
    <row r="15963">
      <c r="G15963" s="9">
        <f t="shared" si="0"/>
      </c>
      <c r="L15963">
        <f t="shared" si="1"/>
      </c>
      <c r="M15963">
        <f t="shared" si="2"/>
      </c>
    </row>
    <row r="15964">
      <c r="G15964" s="9">
        <f t="shared" si="0"/>
      </c>
      <c r="L15964">
        <f t="shared" si="1"/>
      </c>
      <c r="M15964">
        <f t="shared" si="2"/>
      </c>
    </row>
    <row r="15965">
      <c r="G15965" s="9">
        <f t="shared" si="0"/>
      </c>
      <c r="L15965">
        <f t="shared" si="1"/>
      </c>
      <c r="M15965">
        <f t="shared" si="2"/>
      </c>
    </row>
    <row r="15966">
      <c r="G15966" s="9">
        <f t="shared" si="0"/>
      </c>
      <c r="L15966">
        <f t="shared" si="1"/>
      </c>
      <c r="M15966">
        <f t="shared" si="2"/>
      </c>
    </row>
    <row r="15967">
      <c r="G15967" s="9">
        <f t="shared" si="0"/>
      </c>
      <c r="L15967">
        <f t="shared" si="1"/>
      </c>
      <c r="M15967">
        <f t="shared" si="2"/>
      </c>
    </row>
    <row r="15968">
      <c r="G15968" s="9">
        <f t="shared" si="0"/>
      </c>
      <c r="L15968">
        <f t="shared" si="1"/>
      </c>
      <c r="M15968">
        <f t="shared" si="2"/>
      </c>
    </row>
    <row r="15969">
      <c r="G15969" s="9">
        <f t="shared" si="0"/>
      </c>
      <c r="L15969">
        <f t="shared" si="1"/>
      </c>
      <c r="M15969">
        <f t="shared" si="2"/>
      </c>
    </row>
    <row r="15970">
      <c r="G15970" s="9">
        <f t="shared" si="0"/>
      </c>
      <c r="L15970">
        <f t="shared" si="1"/>
      </c>
      <c r="M15970">
        <f t="shared" si="2"/>
      </c>
    </row>
    <row r="15971">
      <c r="G15971" s="9">
        <f t="shared" si="0"/>
      </c>
      <c r="L15971">
        <f t="shared" si="1"/>
      </c>
      <c r="M15971">
        <f t="shared" si="2"/>
      </c>
    </row>
    <row r="15972">
      <c r="G15972" s="9">
        <f t="shared" si="0"/>
      </c>
      <c r="L15972">
        <f t="shared" si="1"/>
      </c>
      <c r="M15972">
        <f t="shared" si="2"/>
      </c>
    </row>
    <row r="15973">
      <c r="G15973" s="9">
        <f t="shared" si="0"/>
      </c>
      <c r="L15973">
        <f t="shared" si="1"/>
      </c>
      <c r="M15973">
        <f t="shared" si="2"/>
      </c>
    </row>
    <row r="15974">
      <c r="G15974" s="9">
        <f t="shared" si="0"/>
      </c>
      <c r="L15974">
        <f t="shared" si="1"/>
      </c>
      <c r="M15974">
        <f t="shared" si="2"/>
      </c>
    </row>
    <row r="15975">
      <c r="G15975" s="9">
        <f t="shared" si="0"/>
      </c>
      <c r="L15975">
        <f t="shared" si="1"/>
      </c>
      <c r="M15975">
        <f t="shared" si="2"/>
      </c>
    </row>
    <row r="15976">
      <c r="G15976" s="9">
        <f t="shared" si="0"/>
      </c>
      <c r="L15976">
        <f t="shared" si="1"/>
      </c>
      <c r="M15976">
        <f t="shared" si="2"/>
      </c>
    </row>
    <row r="15977">
      <c r="G15977" s="9">
        <f t="shared" si="0"/>
      </c>
      <c r="L15977">
        <f t="shared" si="1"/>
      </c>
      <c r="M15977">
        <f t="shared" si="2"/>
      </c>
    </row>
    <row r="15978">
      <c r="G15978" s="9">
        <f t="shared" si="0"/>
      </c>
      <c r="L15978">
        <f t="shared" si="1"/>
      </c>
      <c r="M15978">
        <f t="shared" si="2"/>
      </c>
    </row>
    <row r="15979">
      <c r="G15979" s="9">
        <f t="shared" si="0"/>
      </c>
      <c r="L15979">
        <f t="shared" si="1"/>
      </c>
      <c r="M15979">
        <f t="shared" si="2"/>
      </c>
    </row>
    <row r="15980">
      <c r="G15980" s="9">
        <f t="shared" si="0"/>
      </c>
      <c r="L15980">
        <f t="shared" si="1"/>
      </c>
      <c r="M15980">
        <f t="shared" si="2"/>
      </c>
    </row>
    <row r="15981">
      <c r="G15981" s="9">
        <f t="shared" si="0"/>
      </c>
      <c r="L15981">
        <f t="shared" si="1"/>
      </c>
      <c r="M15981">
        <f t="shared" si="2"/>
      </c>
    </row>
    <row r="15982">
      <c r="G15982" s="9">
        <f t="shared" si="0"/>
      </c>
      <c r="L15982">
        <f t="shared" si="1"/>
      </c>
      <c r="M15982">
        <f t="shared" si="2"/>
      </c>
    </row>
    <row r="15983">
      <c r="G15983" s="9">
        <f t="shared" si="0"/>
      </c>
      <c r="L15983">
        <f t="shared" si="1"/>
      </c>
      <c r="M15983">
        <f t="shared" si="2"/>
      </c>
    </row>
    <row r="15984">
      <c r="G15984" s="9">
        <f t="shared" si="0"/>
      </c>
      <c r="L15984">
        <f t="shared" si="1"/>
      </c>
      <c r="M15984">
        <f t="shared" si="2"/>
      </c>
    </row>
    <row r="15985">
      <c r="G15985" s="9">
        <f t="shared" si="0"/>
      </c>
      <c r="L15985">
        <f t="shared" si="1"/>
      </c>
      <c r="M15985">
        <f t="shared" si="2"/>
      </c>
    </row>
    <row r="15986">
      <c r="G15986" s="9">
        <f t="shared" si="0"/>
      </c>
      <c r="L15986">
        <f t="shared" si="1"/>
      </c>
      <c r="M15986">
        <f t="shared" si="2"/>
      </c>
    </row>
    <row r="15987">
      <c r="G15987" s="9">
        <f t="shared" si="0"/>
      </c>
      <c r="L15987">
        <f t="shared" si="1"/>
      </c>
      <c r="M15987">
        <f t="shared" si="2"/>
      </c>
    </row>
    <row r="15988">
      <c r="G15988" s="9">
        <f t="shared" si="0"/>
      </c>
      <c r="L15988">
        <f t="shared" si="1"/>
      </c>
      <c r="M15988">
        <f t="shared" si="2"/>
      </c>
    </row>
    <row r="15989">
      <c r="G15989" s="9">
        <f t="shared" si="0"/>
      </c>
      <c r="L15989">
        <f t="shared" si="1"/>
      </c>
      <c r="M15989">
        <f t="shared" si="2"/>
      </c>
    </row>
    <row r="15990">
      <c r="G15990" s="9">
        <f t="shared" si="0"/>
      </c>
      <c r="L15990">
        <f t="shared" si="1"/>
      </c>
      <c r="M15990">
        <f t="shared" si="2"/>
      </c>
    </row>
    <row r="15991">
      <c r="G15991" s="9">
        <f t="shared" si="0"/>
      </c>
      <c r="L15991">
        <f t="shared" si="1"/>
      </c>
      <c r="M15991">
        <f t="shared" si="2"/>
      </c>
    </row>
    <row r="15992">
      <c r="G15992" s="9">
        <f t="shared" si="0"/>
      </c>
      <c r="L15992">
        <f t="shared" si="1"/>
      </c>
      <c r="M15992">
        <f t="shared" si="2"/>
      </c>
    </row>
    <row r="15993">
      <c r="G15993" s="9">
        <f t="shared" si="0"/>
      </c>
      <c r="L15993">
        <f t="shared" si="1"/>
      </c>
      <c r="M15993">
        <f t="shared" si="2"/>
      </c>
    </row>
    <row r="15994">
      <c r="G15994" s="9">
        <f t="shared" si="0"/>
      </c>
      <c r="L15994">
        <f t="shared" si="1"/>
      </c>
      <c r="M15994">
        <f t="shared" si="2"/>
      </c>
    </row>
    <row r="15995">
      <c r="G15995" s="9">
        <f t="shared" si="0"/>
      </c>
      <c r="L15995">
        <f t="shared" si="1"/>
      </c>
      <c r="M15995">
        <f t="shared" si="2"/>
      </c>
    </row>
    <row r="15996">
      <c r="G15996" s="9">
        <f t="shared" si="0"/>
      </c>
      <c r="L15996">
        <f t="shared" si="1"/>
      </c>
      <c r="M15996">
        <f t="shared" si="2"/>
      </c>
    </row>
    <row r="15997">
      <c r="G15997" s="9">
        <f t="shared" si="0"/>
      </c>
      <c r="L15997">
        <f t="shared" si="1"/>
      </c>
      <c r="M15997">
        <f t="shared" si="2"/>
      </c>
    </row>
    <row r="15998">
      <c r="G15998" s="9">
        <f t="shared" si="0"/>
      </c>
      <c r="L15998">
        <f t="shared" si="1"/>
      </c>
      <c r="M15998">
        <f t="shared" si="2"/>
      </c>
    </row>
    <row r="15999">
      <c r="G15999" s="9">
        <f t="shared" si="0"/>
      </c>
      <c r="L15999">
        <f t="shared" si="1"/>
      </c>
      <c r="M15999">
        <f t="shared" si="2"/>
      </c>
    </row>
    <row r="16000">
      <c r="G16000" s="9">
        <f t="shared" si="0"/>
      </c>
      <c r="L16000">
        <f t="shared" si="1"/>
      </c>
      <c r="M16000">
        <f t="shared" si="2"/>
      </c>
    </row>
    <row r="16001">
      <c r="G16001" s="9">
        <f t="shared" si="0"/>
      </c>
      <c r="L16001">
        <f t="shared" si="1"/>
      </c>
      <c r="M16001">
        <f t="shared" si="2"/>
      </c>
    </row>
    <row r="16002">
      <c r="G16002" s="9">
        <f t="shared" si="0"/>
      </c>
      <c r="L16002">
        <f t="shared" si="1"/>
      </c>
      <c r="M16002">
        <f t="shared" si="2"/>
      </c>
    </row>
    <row r="16003">
      <c r="G16003" s="9">
        <f t="shared" si="0"/>
      </c>
      <c r="L16003">
        <f t="shared" si="1"/>
      </c>
      <c r="M16003">
        <f t="shared" si="2"/>
      </c>
    </row>
    <row r="16004">
      <c r="G16004" s="9">
        <f t="shared" si="0"/>
      </c>
      <c r="L16004">
        <f t="shared" si="1"/>
      </c>
      <c r="M16004">
        <f t="shared" si="2"/>
      </c>
    </row>
    <row r="16005">
      <c r="G16005" s="9">
        <f t="shared" si="0"/>
      </c>
      <c r="L16005">
        <f t="shared" si="1"/>
      </c>
      <c r="M16005">
        <f t="shared" si="2"/>
      </c>
    </row>
    <row r="16006">
      <c r="G16006" s="9">
        <f t="shared" si="0"/>
      </c>
      <c r="L16006">
        <f t="shared" si="1"/>
      </c>
      <c r="M16006">
        <f t="shared" si="2"/>
      </c>
    </row>
    <row r="16007">
      <c r="G16007" s="9">
        <f t="shared" si="0"/>
      </c>
      <c r="L16007">
        <f t="shared" si="1"/>
      </c>
      <c r="M16007">
        <f t="shared" si="2"/>
      </c>
    </row>
    <row r="16008">
      <c r="G16008" s="9">
        <f t="shared" si="0"/>
      </c>
      <c r="L16008">
        <f t="shared" si="1"/>
      </c>
      <c r="M16008">
        <f t="shared" si="2"/>
      </c>
    </row>
    <row r="16009">
      <c r="G16009" s="9">
        <f t="shared" si="0"/>
      </c>
      <c r="L16009">
        <f t="shared" si="1"/>
      </c>
      <c r="M16009">
        <f t="shared" si="2"/>
      </c>
    </row>
    <row r="16010">
      <c r="G16010" s="9">
        <f t="shared" si="0"/>
      </c>
      <c r="L16010">
        <f t="shared" si="1"/>
      </c>
      <c r="M16010">
        <f t="shared" si="2"/>
      </c>
    </row>
    <row r="16011">
      <c r="G16011" s="9">
        <f t="shared" si="0"/>
      </c>
      <c r="L16011">
        <f t="shared" si="1"/>
      </c>
      <c r="M16011">
        <f t="shared" si="2"/>
      </c>
    </row>
    <row r="16012">
      <c r="G16012" s="9">
        <f t="shared" si="0"/>
      </c>
      <c r="L16012">
        <f t="shared" si="1"/>
      </c>
      <c r="M16012">
        <f t="shared" si="2"/>
      </c>
    </row>
    <row r="16013">
      <c r="G16013" s="9">
        <f t="shared" si="0"/>
      </c>
      <c r="L16013">
        <f t="shared" si="1"/>
      </c>
      <c r="M16013">
        <f t="shared" si="2"/>
      </c>
    </row>
    <row r="16014">
      <c r="G16014" s="9">
        <f t="shared" si="0"/>
      </c>
      <c r="L16014">
        <f t="shared" si="1"/>
      </c>
      <c r="M16014">
        <f t="shared" si="2"/>
      </c>
    </row>
    <row r="16015">
      <c r="G16015" s="9">
        <f t="shared" si="0"/>
      </c>
      <c r="L16015">
        <f t="shared" si="1"/>
      </c>
      <c r="M16015">
        <f t="shared" si="2"/>
      </c>
    </row>
    <row r="16016">
      <c r="G16016" s="9">
        <f t="shared" si="0"/>
      </c>
      <c r="L16016">
        <f t="shared" si="1"/>
      </c>
      <c r="M16016">
        <f t="shared" si="2"/>
      </c>
    </row>
    <row r="16017">
      <c r="G16017" s="9">
        <f t="shared" si="0"/>
      </c>
      <c r="L16017">
        <f t="shared" si="1"/>
      </c>
      <c r="M16017">
        <f t="shared" si="2"/>
      </c>
    </row>
    <row r="16018">
      <c r="G16018" s="9">
        <f t="shared" si="0"/>
      </c>
      <c r="L16018">
        <f t="shared" si="1"/>
      </c>
      <c r="M16018">
        <f t="shared" si="2"/>
      </c>
    </row>
    <row r="16019">
      <c r="G16019" s="9">
        <f t="shared" si="0"/>
      </c>
      <c r="L16019">
        <f t="shared" si="1"/>
      </c>
      <c r="M16019">
        <f t="shared" si="2"/>
      </c>
    </row>
    <row r="16020">
      <c r="G16020" s="9">
        <f t="shared" si="0"/>
      </c>
      <c r="L16020">
        <f t="shared" si="1"/>
      </c>
      <c r="M16020">
        <f t="shared" si="2"/>
      </c>
    </row>
    <row r="16021">
      <c r="G16021" s="9">
        <f t="shared" si="0"/>
      </c>
      <c r="L16021">
        <f t="shared" si="1"/>
      </c>
      <c r="M16021">
        <f t="shared" si="2"/>
      </c>
    </row>
    <row r="16022">
      <c r="G16022" s="9">
        <f t="shared" si="0"/>
      </c>
      <c r="L16022">
        <f t="shared" si="1"/>
      </c>
      <c r="M16022">
        <f t="shared" si="2"/>
      </c>
    </row>
    <row r="16023">
      <c r="G16023" s="9">
        <f t="shared" si="0"/>
      </c>
      <c r="L16023">
        <f t="shared" si="1"/>
      </c>
      <c r="M16023">
        <f t="shared" si="2"/>
      </c>
    </row>
    <row r="16024">
      <c r="G16024" s="9">
        <f t="shared" si="0"/>
      </c>
      <c r="L16024">
        <f t="shared" si="1"/>
      </c>
      <c r="M16024">
        <f t="shared" si="2"/>
      </c>
    </row>
    <row r="16025">
      <c r="G16025" s="9">
        <f t="shared" si="0"/>
      </c>
      <c r="L16025">
        <f t="shared" si="1"/>
      </c>
      <c r="M16025">
        <f t="shared" si="2"/>
      </c>
    </row>
    <row r="16026">
      <c r="G16026" s="9">
        <f t="shared" si="0"/>
      </c>
      <c r="L16026">
        <f t="shared" si="1"/>
      </c>
      <c r="M16026">
        <f t="shared" si="2"/>
      </c>
    </row>
    <row r="16027">
      <c r="G16027" s="9">
        <f t="shared" si="0"/>
      </c>
      <c r="L16027">
        <f t="shared" si="1"/>
      </c>
      <c r="M16027">
        <f t="shared" si="2"/>
      </c>
    </row>
    <row r="16028">
      <c r="G16028" s="9">
        <f t="shared" si="0"/>
      </c>
      <c r="L16028">
        <f t="shared" si="1"/>
      </c>
      <c r="M16028">
        <f t="shared" si="2"/>
      </c>
    </row>
    <row r="16029">
      <c r="G16029" s="9">
        <f t="shared" si="0"/>
      </c>
      <c r="L16029">
        <f t="shared" si="1"/>
      </c>
      <c r="M16029">
        <f t="shared" si="2"/>
      </c>
    </row>
    <row r="16030">
      <c r="G16030" s="9">
        <f t="shared" si="0"/>
      </c>
      <c r="L16030">
        <f t="shared" si="1"/>
      </c>
      <c r="M16030">
        <f t="shared" si="2"/>
      </c>
    </row>
    <row r="16031">
      <c r="G16031" s="9">
        <f t="shared" si="0"/>
      </c>
      <c r="L16031">
        <f t="shared" si="1"/>
      </c>
      <c r="M16031">
        <f t="shared" si="2"/>
      </c>
    </row>
    <row r="16032">
      <c r="G16032" s="9">
        <f t="shared" si="0"/>
      </c>
      <c r="L16032">
        <f t="shared" si="1"/>
      </c>
      <c r="M16032">
        <f t="shared" si="2"/>
      </c>
    </row>
    <row r="16033">
      <c r="G16033" s="9">
        <f t="shared" si="0"/>
      </c>
      <c r="L16033">
        <f t="shared" si="1"/>
      </c>
      <c r="M16033">
        <f t="shared" si="2"/>
      </c>
    </row>
    <row r="16034">
      <c r="G16034" s="9">
        <f t="shared" si="0"/>
      </c>
      <c r="L16034">
        <f t="shared" si="1"/>
      </c>
      <c r="M16034">
        <f t="shared" si="2"/>
      </c>
    </row>
    <row r="16035">
      <c r="G16035" s="9">
        <f t="shared" si="0"/>
      </c>
      <c r="L16035">
        <f t="shared" si="1"/>
      </c>
      <c r="M16035">
        <f t="shared" si="2"/>
      </c>
    </row>
    <row r="16036">
      <c r="G16036" s="9">
        <f t="shared" si="0"/>
      </c>
      <c r="L16036">
        <f t="shared" si="1"/>
      </c>
      <c r="M16036">
        <f t="shared" si="2"/>
      </c>
    </row>
    <row r="16037">
      <c r="G16037" s="9">
        <f t="shared" si="0"/>
      </c>
      <c r="L16037">
        <f t="shared" si="1"/>
      </c>
      <c r="M16037">
        <f t="shared" si="2"/>
      </c>
    </row>
    <row r="16038">
      <c r="G16038" s="9">
        <f t="shared" si="0"/>
      </c>
      <c r="L16038">
        <f t="shared" si="1"/>
      </c>
      <c r="M16038">
        <f t="shared" si="2"/>
      </c>
    </row>
    <row r="16039">
      <c r="G16039" s="9">
        <f t="shared" si="0"/>
      </c>
      <c r="L16039">
        <f t="shared" si="1"/>
      </c>
      <c r="M16039">
        <f t="shared" si="2"/>
      </c>
    </row>
    <row r="16040">
      <c r="G16040" s="9">
        <f t="shared" si="0"/>
      </c>
      <c r="L16040">
        <f t="shared" si="1"/>
      </c>
      <c r="M16040">
        <f t="shared" si="2"/>
      </c>
    </row>
    <row r="16041">
      <c r="G16041" s="9">
        <f t="shared" si="0"/>
      </c>
      <c r="L16041">
        <f t="shared" si="1"/>
      </c>
      <c r="M16041">
        <f t="shared" si="2"/>
      </c>
    </row>
    <row r="16042">
      <c r="G16042" s="9">
        <f t="shared" si="0"/>
      </c>
      <c r="L16042">
        <f t="shared" si="1"/>
      </c>
      <c r="M16042">
        <f t="shared" si="2"/>
      </c>
    </row>
    <row r="16043">
      <c r="G16043" s="9">
        <f t="shared" si="0"/>
      </c>
      <c r="L16043">
        <f t="shared" si="1"/>
      </c>
      <c r="M16043">
        <f t="shared" si="2"/>
      </c>
    </row>
    <row r="16044">
      <c r="G16044" s="9">
        <f t="shared" si="0"/>
      </c>
      <c r="L16044">
        <f t="shared" si="1"/>
      </c>
      <c r="M16044">
        <f t="shared" si="2"/>
      </c>
    </row>
    <row r="16045">
      <c r="G16045" s="9">
        <f t="shared" si="0"/>
      </c>
      <c r="L16045">
        <f t="shared" si="1"/>
      </c>
      <c r="M16045">
        <f t="shared" si="2"/>
      </c>
    </row>
    <row r="16046">
      <c r="G16046" s="9">
        <f t="shared" si="0"/>
      </c>
      <c r="L16046">
        <f t="shared" si="1"/>
      </c>
      <c r="M16046">
        <f t="shared" si="2"/>
      </c>
    </row>
    <row r="16047">
      <c r="G16047" s="9">
        <f t="shared" si="0"/>
      </c>
      <c r="L16047">
        <f t="shared" si="1"/>
      </c>
      <c r="M16047">
        <f t="shared" si="2"/>
      </c>
    </row>
    <row r="16048">
      <c r="G16048" s="9">
        <f t="shared" si="0"/>
      </c>
      <c r="L16048">
        <f t="shared" si="1"/>
      </c>
      <c r="M16048">
        <f t="shared" si="2"/>
      </c>
    </row>
    <row r="16049">
      <c r="G16049" s="9">
        <f t="shared" si="0"/>
      </c>
      <c r="L16049">
        <f t="shared" si="1"/>
      </c>
      <c r="M16049">
        <f t="shared" si="2"/>
      </c>
    </row>
    <row r="16050">
      <c r="G16050" s="9">
        <f t="shared" si="0"/>
      </c>
      <c r="L16050">
        <f t="shared" si="1"/>
      </c>
      <c r="M16050">
        <f t="shared" si="2"/>
      </c>
    </row>
    <row r="16051">
      <c r="G16051" s="9">
        <f t="shared" si="0"/>
      </c>
      <c r="L16051">
        <f t="shared" si="1"/>
      </c>
      <c r="M16051">
        <f t="shared" si="2"/>
      </c>
    </row>
    <row r="16052">
      <c r="G16052" s="9">
        <f t="shared" si="0"/>
      </c>
      <c r="L16052">
        <f t="shared" si="1"/>
      </c>
      <c r="M16052">
        <f t="shared" si="2"/>
      </c>
    </row>
    <row r="16053">
      <c r="G16053" s="9">
        <f t="shared" si="0"/>
      </c>
      <c r="L16053">
        <f t="shared" si="1"/>
      </c>
      <c r="M16053">
        <f t="shared" si="2"/>
      </c>
    </row>
    <row r="16054">
      <c r="G16054" s="9">
        <f t="shared" si="0"/>
      </c>
      <c r="L16054">
        <f t="shared" si="1"/>
      </c>
      <c r="M16054">
        <f t="shared" si="2"/>
      </c>
    </row>
    <row r="16055">
      <c r="G16055" s="9">
        <f t="shared" si="0"/>
      </c>
      <c r="L16055">
        <f t="shared" si="1"/>
      </c>
      <c r="M16055">
        <f t="shared" si="2"/>
      </c>
    </row>
    <row r="16056">
      <c r="G16056" s="9">
        <f t="shared" si="0"/>
      </c>
      <c r="L16056">
        <f t="shared" si="1"/>
      </c>
      <c r="M16056">
        <f t="shared" si="2"/>
      </c>
    </row>
    <row r="16057">
      <c r="G16057" s="9">
        <f t="shared" si="0"/>
      </c>
      <c r="L16057">
        <f t="shared" si="1"/>
      </c>
      <c r="M16057">
        <f t="shared" si="2"/>
      </c>
    </row>
    <row r="16058">
      <c r="G16058" s="9">
        <f t="shared" si="0"/>
      </c>
      <c r="L16058">
        <f t="shared" si="1"/>
      </c>
      <c r="M16058">
        <f t="shared" si="2"/>
      </c>
    </row>
    <row r="16059">
      <c r="G16059" s="9">
        <f t="shared" si="0"/>
      </c>
      <c r="L16059">
        <f t="shared" si="1"/>
      </c>
      <c r="M16059">
        <f t="shared" si="2"/>
      </c>
    </row>
    <row r="16060">
      <c r="G16060" s="9">
        <f t="shared" si="0"/>
      </c>
      <c r="L16060">
        <f t="shared" si="1"/>
      </c>
      <c r="M16060">
        <f t="shared" si="2"/>
      </c>
    </row>
    <row r="16061">
      <c r="G16061" s="9">
        <f t="shared" si="0"/>
      </c>
      <c r="L16061">
        <f t="shared" si="1"/>
      </c>
      <c r="M16061">
        <f t="shared" si="2"/>
      </c>
    </row>
    <row r="16062">
      <c r="G16062" s="9">
        <f t="shared" si="0"/>
      </c>
      <c r="L16062">
        <f t="shared" si="1"/>
      </c>
      <c r="M16062">
        <f t="shared" si="2"/>
      </c>
    </row>
    <row r="16063">
      <c r="G16063" s="9">
        <f t="shared" si="0"/>
      </c>
      <c r="L16063">
        <f t="shared" si="1"/>
      </c>
      <c r="M16063">
        <f t="shared" si="2"/>
      </c>
    </row>
    <row r="16064">
      <c r="G16064" s="9">
        <f t="shared" si="0"/>
      </c>
      <c r="L16064">
        <f t="shared" si="1"/>
      </c>
      <c r="M16064">
        <f t="shared" si="2"/>
      </c>
    </row>
    <row r="16065">
      <c r="G16065" s="9">
        <f t="shared" si="0"/>
      </c>
      <c r="L16065">
        <f t="shared" si="1"/>
      </c>
      <c r="M16065">
        <f t="shared" si="2"/>
      </c>
    </row>
    <row r="16066">
      <c r="G16066" s="9">
        <f t="shared" si="0"/>
      </c>
      <c r="L16066">
        <f t="shared" si="1"/>
      </c>
      <c r="M16066">
        <f t="shared" si="2"/>
      </c>
    </row>
    <row r="16067">
      <c r="G16067" s="9">
        <f t="shared" si="0"/>
      </c>
      <c r="L16067">
        <f t="shared" si="1"/>
      </c>
      <c r="M16067">
        <f t="shared" si="2"/>
      </c>
    </row>
    <row r="16068">
      <c r="G16068" s="9">
        <f t="shared" si="0"/>
      </c>
      <c r="L16068">
        <f t="shared" si="1"/>
      </c>
      <c r="M16068">
        <f t="shared" si="2"/>
      </c>
    </row>
    <row r="16069">
      <c r="G16069" s="9">
        <f t="shared" si="0"/>
      </c>
      <c r="L16069">
        <f t="shared" si="1"/>
      </c>
      <c r="M16069">
        <f t="shared" si="2"/>
      </c>
    </row>
    <row r="16070">
      <c r="G16070" s="9">
        <f t="shared" si="0"/>
      </c>
      <c r="L16070">
        <f t="shared" si="1"/>
      </c>
      <c r="M16070">
        <f t="shared" si="2"/>
      </c>
    </row>
    <row r="16071">
      <c r="G16071" s="9">
        <f t="shared" si="0"/>
      </c>
      <c r="L16071">
        <f t="shared" si="1"/>
      </c>
      <c r="M16071">
        <f t="shared" si="2"/>
      </c>
    </row>
    <row r="16072">
      <c r="G16072" s="9">
        <f t="shared" si="0"/>
      </c>
      <c r="L16072">
        <f t="shared" si="1"/>
      </c>
      <c r="M16072">
        <f t="shared" si="2"/>
      </c>
    </row>
    <row r="16073">
      <c r="G16073" s="9">
        <f t="shared" si="0"/>
      </c>
      <c r="L16073">
        <f t="shared" si="1"/>
      </c>
      <c r="M16073">
        <f t="shared" si="2"/>
      </c>
    </row>
    <row r="16074">
      <c r="G16074" s="9">
        <f t="shared" si="0"/>
      </c>
      <c r="L16074">
        <f t="shared" si="1"/>
      </c>
      <c r="M16074">
        <f t="shared" si="2"/>
      </c>
    </row>
    <row r="16075">
      <c r="G16075" s="9">
        <f t="shared" si="0"/>
      </c>
      <c r="L16075">
        <f t="shared" si="1"/>
      </c>
      <c r="M16075">
        <f t="shared" si="2"/>
      </c>
    </row>
    <row r="16076">
      <c r="G16076" s="9">
        <f t="shared" si="0"/>
      </c>
      <c r="L16076">
        <f t="shared" si="1"/>
      </c>
      <c r="M16076">
        <f t="shared" si="2"/>
      </c>
    </row>
    <row r="16077">
      <c r="G16077" s="9">
        <f t="shared" si="0"/>
      </c>
      <c r="L16077">
        <f t="shared" si="1"/>
      </c>
      <c r="M16077">
        <f t="shared" si="2"/>
      </c>
    </row>
    <row r="16078">
      <c r="G16078" s="9">
        <f t="shared" si="0"/>
      </c>
      <c r="L16078">
        <f t="shared" si="1"/>
      </c>
      <c r="M16078">
        <f t="shared" si="2"/>
      </c>
    </row>
    <row r="16079">
      <c r="G16079" s="9">
        <f t="shared" si="0"/>
      </c>
      <c r="L16079">
        <f t="shared" si="1"/>
      </c>
      <c r="M16079">
        <f t="shared" si="2"/>
      </c>
    </row>
    <row r="16080">
      <c r="G16080" s="9">
        <f t="shared" si="0"/>
      </c>
      <c r="L16080">
        <f t="shared" si="1"/>
      </c>
      <c r="M16080">
        <f t="shared" si="2"/>
      </c>
    </row>
    <row r="16081">
      <c r="G16081" s="9">
        <f t="shared" si="0"/>
      </c>
      <c r="L16081">
        <f t="shared" si="1"/>
      </c>
      <c r="M16081">
        <f t="shared" si="2"/>
      </c>
    </row>
    <row r="16082">
      <c r="G16082" s="9">
        <f t="shared" si="0"/>
      </c>
      <c r="L16082">
        <f t="shared" si="1"/>
      </c>
      <c r="M16082">
        <f t="shared" si="2"/>
      </c>
    </row>
    <row r="16083">
      <c r="G16083" s="9">
        <f t="shared" si="0"/>
      </c>
      <c r="L16083">
        <f t="shared" si="1"/>
      </c>
      <c r="M16083">
        <f t="shared" si="2"/>
      </c>
    </row>
    <row r="16084">
      <c r="G16084" s="9">
        <f t="shared" si="0"/>
      </c>
      <c r="L16084">
        <f t="shared" si="1"/>
      </c>
      <c r="M16084">
        <f t="shared" si="2"/>
      </c>
    </row>
    <row r="16085">
      <c r="G16085" s="9">
        <f t="shared" si="0"/>
      </c>
      <c r="L16085">
        <f t="shared" si="1"/>
      </c>
      <c r="M16085">
        <f t="shared" si="2"/>
      </c>
    </row>
    <row r="16086">
      <c r="G16086" s="9">
        <f t="shared" si="0"/>
      </c>
      <c r="L16086">
        <f t="shared" si="1"/>
      </c>
      <c r="M16086">
        <f t="shared" si="2"/>
      </c>
    </row>
    <row r="16087">
      <c r="G16087" s="9">
        <f t="shared" si="0"/>
      </c>
      <c r="L16087">
        <f t="shared" si="1"/>
      </c>
      <c r="M16087">
        <f t="shared" si="2"/>
      </c>
    </row>
    <row r="16088">
      <c r="G16088" s="9">
        <f t="shared" si="0"/>
      </c>
      <c r="L16088">
        <f t="shared" si="1"/>
      </c>
      <c r="M16088">
        <f t="shared" si="2"/>
      </c>
    </row>
    <row r="16089">
      <c r="G16089" s="9">
        <f t="shared" si="0"/>
      </c>
      <c r="L16089">
        <f t="shared" si="1"/>
      </c>
      <c r="M16089">
        <f t="shared" si="2"/>
      </c>
    </row>
    <row r="16090">
      <c r="G16090" s="9">
        <f t="shared" si="0"/>
      </c>
      <c r="L16090">
        <f t="shared" si="1"/>
      </c>
      <c r="M16090">
        <f t="shared" si="2"/>
      </c>
    </row>
    <row r="16091">
      <c r="G16091" s="9">
        <f t="shared" si="0"/>
      </c>
      <c r="L16091">
        <f t="shared" si="1"/>
      </c>
      <c r="M16091">
        <f t="shared" si="2"/>
      </c>
    </row>
    <row r="16092">
      <c r="G16092" s="9">
        <f t="shared" si="0"/>
      </c>
      <c r="L16092">
        <f t="shared" si="1"/>
      </c>
      <c r="M16092">
        <f t="shared" si="2"/>
      </c>
    </row>
    <row r="16093">
      <c r="G16093" s="9">
        <f t="shared" si="0"/>
      </c>
      <c r="L16093">
        <f t="shared" si="1"/>
      </c>
      <c r="M16093">
        <f t="shared" si="2"/>
      </c>
    </row>
    <row r="16094">
      <c r="G16094" s="9">
        <f t="shared" si="0"/>
      </c>
      <c r="L16094">
        <f t="shared" si="1"/>
      </c>
      <c r="M16094">
        <f t="shared" si="2"/>
      </c>
    </row>
    <row r="16095">
      <c r="G16095" s="9">
        <f t="shared" si="0"/>
      </c>
      <c r="L16095">
        <f t="shared" si="1"/>
      </c>
      <c r="M16095">
        <f t="shared" si="2"/>
      </c>
    </row>
    <row r="16096">
      <c r="G16096" s="9">
        <f t="shared" si="0"/>
      </c>
      <c r="L16096">
        <f t="shared" si="1"/>
      </c>
      <c r="M16096">
        <f t="shared" si="2"/>
      </c>
    </row>
    <row r="16097">
      <c r="G16097" s="9">
        <f t="shared" si="0"/>
      </c>
      <c r="L16097">
        <f t="shared" si="1"/>
      </c>
      <c r="M16097">
        <f t="shared" si="2"/>
      </c>
    </row>
    <row r="16098">
      <c r="G16098" s="9">
        <f t="shared" si="0"/>
      </c>
      <c r="L16098">
        <f t="shared" si="1"/>
      </c>
      <c r="M16098">
        <f t="shared" si="2"/>
      </c>
    </row>
    <row r="16099">
      <c r="G16099" s="9">
        <f t="shared" si="0"/>
      </c>
      <c r="L16099">
        <f t="shared" si="1"/>
      </c>
      <c r="M16099">
        <f t="shared" si="2"/>
      </c>
    </row>
    <row r="16100">
      <c r="G16100" s="9">
        <f t="shared" si="0"/>
      </c>
      <c r="L16100">
        <f t="shared" si="1"/>
      </c>
      <c r="M16100">
        <f t="shared" si="2"/>
      </c>
    </row>
    <row r="16101">
      <c r="G16101" s="9">
        <f t="shared" si="0"/>
      </c>
      <c r="L16101">
        <f t="shared" si="1"/>
      </c>
      <c r="M16101">
        <f t="shared" si="2"/>
      </c>
    </row>
    <row r="16102">
      <c r="G16102" s="9">
        <f t="shared" si="0"/>
      </c>
      <c r="L16102">
        <f t="shared" si="1"/>
      </c>
      <c r="M16102">
        <f t="shared" si="2"/>
      </c>
    </row>
    <row r="16103">
      <c r="G16103" s="9">
        <f t="shared" si="0"/>
      </c>
      <c r="L16103">
        <f t="shared" si="1"/>
      </c>
      <c r="M16103">
        <f t="shared" si="2"/>
      </c>
    </row>
    <row r="16104">
      <c r="G16104" s="9">
        <f t="shared" si="0"/>
      </c>
      <c r="L16104">
        <f t="shared" si="1"/>
      </c>
      <c r="M16104">
        <f t="shared" si="2"/>
      </c>
    </row>
    <row r="16105">
      <c r="G16105" s="9">
        <f t="shared" si="0"/>
      </c>
      <c r="L16105">
        <f t="shared" si="1"/>
      </c>
      <c r="M16105">
        <f t="shared" si="2"/>
      </c>
    </row>
    <row r="16106">
      <c r="G16106" s="9">
        <f t="shared" si="0"/>
      </c>
      <c r="L16106">
        <f t="shared" si="1"/>
      </c>
      <c r="M16106">
        <f t="shared" si="2"/>
      </c>
    </row>
    <row r="16107">
      <c r="G16107" s="9">
        <f t="shared" si="0"/>
      </c>
      <c r="L16107">
        <f t="shared" si="1"/>
      </c>
      <c r="M16107">
        <f t="shared" si="2"/>
      </c>
    </row>
    <row r="16108">
      <c r="G16108" s="9">
        <f t="shared" si="0"/>
      </c>
      <c r="L16108">
        <f t="shared" si="1"/>
      </c>
      <c r="M16108">
        <f t="shared" si="2"/>
      </c>
    </row>
    <row r="16109">
      <c r="G16109" s="9">
        <f t="shared" si="0"/>
      </c>
      <c r="L16109">
        <f t="shared" si="1"/>
      </c>
      <c r="M16109">
        <f t="shared" si="2"/>
      </c>
    </row>
    <row r="16110">
      <c r="G16110" s="9">
        <f t="shared" si="0"/>
      </c>
      <c r="L16110">
        <f t="shared" si="1"/>
      </c>
      <c r="M16110">
        <f t="shared" si="2"/>
      </c>
    </row>
    <row r="16111">
      <c r="G16111" s="9">
        <f t="shared" si="0"/>
      </c>
      <c r="L16111">
        <f t="shared" si="1"/>
      </c>
      <c r="M16111">
        <f t="shared" si="2"/>
      </c>
    </row>
    <row r="16112">
      <c r="G16112" s="9">
        <f t="shared" si="0"/>
      </c>
      <c r="L16112">
        <f t="shared" si="1"/>
      </c>
      <c r="M16112">
        <f t="shared" si="2"/>
      </c>
    </row>
    <row r="16113">
      <c r="G16113" s="9">
        <f t="shared" si="0"/>
      </c>
      <c r="L16113">
        <f t="shared" si="1"/>
      </c>
      <c r="M16113">
        <f t="shared" si="2"/>
      </c>
    </row>
    <row r="16114">
      <c r="G16114" s="9">
        <f t="shared" si="0"/>
      </c>
      <c r="L16114">
        <f t="shared" si="1"/>
      </c>
      <c r="M16114">
        <f t="shared" si="2"/>
      </c>
    </row>
    <row r="16115">
      <c r="G16115" s="9">
        <f t="shared" si="0"/>
      </c>
      <c r="L16115">
        <f t="shared" si="1"/>
      </c>
      <c r="M16115">
        <f t="shared" si="2"/>
      </c>
    </row>
    <row r="16116">
      <c r="G16116" s="9">
        <f t="shared" si="0"/>
      </c>
      <c r="L16116">
        <f t="shared" si="1"/>
      </c>
      <c r="M16116">
        <f t="shared" si="2"/>
      </c>
    </row>
    <row r="16117">
      <c r="G16117" s="9">
        <f t="shared" si="0"/>
      </c>
      <c r="L16117">
        <f t="shared" si="1"/>
      </c>
      <c r="M16117">
        <f t="shared" si="2"/>
      </c>
    </row>
    <row r="16118">
      <c r="G16118" s="9">
        <f t="shared" si="0"/>
      </c>
      <c r="L16118">
        <f t="shared" si="1"/>
      </c>
      <c r="M16118">
        <f t="shared" si="2"/>
      </c>
    </row>
    <row r="16119">
      <c r="G16119" s="9">
        <f t="shared" si="0"/>
      </c>
      <c r="L16119">
        <f t="shared" si="1"/>
      </c>
      <c r="M16119">
        <f t="shared" si="2"/>
      </c>
    </row>
    <row r="16120">
      <c r="G16120" s="9">
        <f t="shared" si="0"/>
      </c>
      <c r="L16120">
        <f t="shared" si="1"/>
      </c>
      <c r="M16120">
        <f t="shared" si="2"/>
      </c>
    </row>
    <row r="16121">
      <c r="G16121" s="9">
        <f t="shared" si="0"/>
      </c>
      <c r="L16121">
        <f t="shared" si="1"/>
      </c>
      <c r="M16121">
        <f t="shared" si="2"/>
      </c>
    </row>
    <row r="16122">
      <c r="G16122" s="9">
        <f t="shared" si="0"/>
      </c>
      <c r="L16122">
        <f t="shared" si="1"/>
      </c>
      <c r="M16122">
        <f t="shared" si="2"/>
      </c>
    </row>
    <row r="16123">
      <c r="G16123" s="9">
        <f t="shared" si="0"/>
      </c>
      <c r="L16123">
        <f t="shared" si="1"/>
      </c>
      <c r="M16123">
        <f t="shared" si="2"/>
      </c>
    </row>
    <row r="16124">
      <c r="G16124" s="9">
        <f t="shared" si="0"/>
      </c>
      <c r="L16124">
        <f t="shared" si="1"/>
      </c>
      <c r="M16124">
        <f t="shared" si="2"/>
      </c>
    </row>
    <row r="16125">
      <c r="G16125" s="9">
        <f t="shared" si="0"/>
      </c>
      <c r="L16125">
        <f t="shared" si="1"/>
      </c>
      <c r="M16125">
        <f t="shared" si="2"/>
      </c>
    </row>
    <row r="16126">
      <c r="G16126" s="9">
        <f t="shared" si="0"/>
      </c>
      <c r="L16126">
        <f t="shared" si="1"/>
      </c>
      <c r="M16126">
        <f t="shared" si="2"/>
      </c>
    </row>
    <row r="16127">
      <c r="G16127" s="9">
        <f t="shared" si="0"/>
      </c>
      <c r="L16127">
        <f t="shared" si="1"/>
      </c>
      <c r="M16127">
        <f t="shared" si="2"/>
      </c>
    </row>
    <row r="16128">
      <c r="G16128" s="9">
        <f t="shared" si="0"/>
      </c>
      <c r="L16128">
        <f t="shared" si="1"/>
      </c>
      <c r="M16128">
        <f t="shared" si="2"/>
      </c>
    </row>
    <row r="16129">
      <c r="G16129" s="9">
        <f t="shared" si="0"/>
      </c>
      <c r="L16129">
        <f t="shared" si="1"/>
      </c>
      <c r="M16129">
        <f t="shared" si="2"/>
      </c>
    </row>
    <row r="16130">
      <c r="G16130" s="9">
        <f t="shared" si="0"/>
      </c>
      <c r="L16130">
        <f t="shared" si="1"/>
      </c>
      <c r="M16130">
        <f t="shared" si="2"/>
      </c>
    </row>
    <row r="16131">
      <c r="G16131" s="9">
        <f t="shared" si="0"/>
      </c>
      <c r="L16131">
        <f t="shared" si="1"/>
      </c>
      <c r="M16131">
        <f t="shared" si="2"/>
      </c>
    </row>
    <row r="16132">
      <c r="G16132" s="9">
        <f t="shared" si="0"/>
      </c>
      <c r="L16132">
        <f t="shared" si="1"/>
      </c>
      <c r="M16132">
        <f t="shared" si="2"/>
      </c>
    </row>
    <row r="16133">
      <c r="G16133" s="9">
        <f t="shared" si="0"/>
      </c>
      <c r="L16133">
        <f t="shared" si="1"/>
      </c>
      <c r="M16133">
        <f t="shared" si="2"/>
      </c>
    </row>
    <row r="16134">
      <c r="G16134" s="9">
        <f t="shared" si="0"/>
      </c>
      <c r="L16134">
        <f t="shared" si="1"/>
      </c>
      <c r="M16134">
        <f t="shared" si="2"/>
      </c>
    </row>
    <row r="16135">
      <c r="G16135" s="9">
        <f t="shared" si="0"/>
      </c>
      <c r="L16135">
        <f t="shared" si="1"/>
      </c>
      <c r="M16135">
        <f t="shared" si="2"/>
      </c>
    </row>
    <row r="16136">
      <c r="G16136" s="9">
        <f t="shared" si="0"/>
      </c>
      <c r="L16136">
        <f t="shared" si="1"/>
      </c>
      <c r="M16136">
        <f t="shared" si="2"/>
      </c>
    </row>
    <row r="16137">
      <c r="G16137" s="9">
        <f t="shared" si="0"/>
      </c>
      <c r="L16137">
        <f t="shared" si="1"/>
      </c>
      <c r="M16137">
        <f t="shared" si="2"/>
      </c>
    </row>
    <row r="16138">
      <c r="G16138" s="9">
        <f t="shared" si="0"/>
      </c>
      <c r="L16138">
        <f t="shared" si="1"/>
      </c>
      <c r="M16138">
        <f t="shared" si="2"/>
      </c>
    </row>
    <row r="16139">
      <c r="G16139" s="9">
        <f t="shared" si="0"/>
      </c>
      <c r="L16139">
        <f t="shared" si="1"/>
      </c>
      <c r="M16139">
        <f t="shared" si="2"/>
      </c>
    </row>
    <row r="16140">
      <c r="G16140" s="9">
        <f t="shared" si="0"/>
      </c>
      <c r="L16140">
        <f t="shared" si="1"/>
      </c>
      <c r="M16140">
        <f t="shared" si="2"/>
      </c>
    </row>
    <row r="16141">
      <c r="G16141" s="9">
        <f t="shared" si="0"/>
      </c>
      <c r="L16141">
        <f t="shared" si="1"/>
      </c>
      <c r="M16141">
        <f t="shared" si="2"/>
      </c>
    </row>
    <row r="16142">
      <c r="G16142" s="9">
        <f t="shared" si="0"/>
      </c>
      <c r="L16142">
        <f t="shared" si="1"/>
      </c>
      <c r="M16142">
        <f t="shared" si="2"/>
      </c>
    </row>
    <row r="16143">
      <c r="G16143" s="9">
        <f t="shared" si="0"/>
      </c>
      <c r="L16143">
        <f t="shared" si="1"/>
      </c>
      <c r="M16143">
        <f t="shared" si="2"/>
      </c>
    </row>
    <row r="16144">
      <c r="G16144" s="9">
        <f t="shared" si="0"/>
      </c>
      <c r="L16144">
        <f t="shared" si="1"/>
      </c>
      <c r="M16144">
        <f t="shared" si="2"/>
      </c>
    </row>
    <row r="16145">
      <c r="G16145" s="9">
        <f t="shared" si="0"/>
      </c>
      <c r="L16145">
        <f t="shared" si="1"/>
      </c>
      <c r="M16145">
        <f t="shared" si="2"/>
      </c>
    </row>
    <row r="16146">
      <c r="G16146" s="9">
        <f t="shared" si="0"/>
      </c>
      <c r="L16146">
        <f t="shared" si="1"/>
      </c>
      <c r="M16146">
        <f t="shared" si="2"/>
      </c>
    </row>
    <row r="16147">
      <c r="G16147" s="9">
        <f t="shared" si="0"/>
      </c>
      <c r="L16147">
        <f t="shared" si="1"/>
      </c>
      <c r="M16147">
        <f t="shared" si="2"/>
      </c>
    </row>
    <row r="16148">
      <c r="G16148" s="9">
        <f t="shared" si="0"/>
      </c>
      <c r="L16148">
        <f t="shared" si="1"/>
      </c>
      <c r="M16148">
        <f t="shared" si="2"/>
      </c>
    </row>
    <row r="16149">
      <c r="G16149" s="9">
        <f t="shared" si="0"/>
      </c>
      <c r="L16149">
        <f t="shared" si="1"/>
      </c>
      <c r="M16149">
        <f t="shared" si="2"/>
      </c>
    </row>
    <row r="16150">
      <c r="G16150" s="9">
        <f t="shared" si="0"/>
      </c>
      <c r="L16150">
        <f t="shared" si="1"/>
      </c>
      <c r="M16150">
        <f t="shared" si="2"/>
      </c>
    </row>
    <row r="16151">
      <c r="G16151" s="9">
        <f t="shared" si="0"/>
      </c>
      <c r="L16151">
        <f t="shared" si="1"/>
      </c>
      <c r="M16151">
        <f t="shared" si="2"/>
      </c>
    </row>
    <row r="16152">
      <c r="G16152" s="9">
        <f t="shared" si="0"/>
      </c>
      <c r="L16152">
        <f t="shared" si="1"/>
      </c>
      <c r="M16152">
        <f t="shared" si="2"/>
      </c>
    </row>
    <row r="16153">
      <c r="G16153" s="9">
        <f t="shared" si="0"/>
      </c>
      <c r="L16153">
        <f t="shared" si="1"/>
      </c>
      <c r="M16153">
        <f t="shared" si="2"/>
      </c>
    </row>
    <row r="16154">
      <c r="G16154" s="9">
        <f t="shared" si="0"/>
      </c>
      <c r="L16154">
        <f t="shared" si="1"/>
      </c>
      <c r="M16154">
        <f t="shared" si="2"/>
      </c>
    </row>
    <row r="16155">
      <c r="G16155" s="9">
        <f t="shared" si="0"/>
      </c>
      <c r="L16155">
        <f t="shared" si="1"/>
      </c>
      <c r="M16155">
        <f t="shared" si="2"/>
      </c>
    </row>
    <row r="16156">
      <c r="G16156" s="9">
        <f t="shared" si="0"/>
      </c>
      <c r="L16156">
        <f t="shared" si="1"/>
      </c>
      <c r="M16156">
        <f t="shared" si="2"/>
      </c>
    </row>
    <row r="16157">
      <c r="G16157" s="9">
        <f t="shared" si="0"/>
      </c>
      <c r="L16157">
        <f t="shared" si="1"/>
      </c>
      <c r="M16157">
        <f t="shared" si="2"/>
      </c>
    </row>
    <row r="16158">
      <c r="G16158" s="9">
        <f t="shared" si="0"/>
      </c>
      <c r="L16158">
        <f t="shared" si="1"/>
      </c>
      <c r="M16158">
        <f t="shared" si="2"/>
      </c>
    </row>
    <row r="16159">
      <c r="G16159" s="9">
        <f t="shared" si="0"/>
      </c>
      <c r="L16159">
        <f t="shared" si="1"/>
      </c>
      <c r="M16159">
        <f t="shared" si="2"/>
      </c>
    </row>
    <row r="16160">
      <c r="G16160" s="9">
        <f t="shared" si="0"/>
      </c>
      <c r="L16160">
        <f t="shared" si="1"/>
      </c>
      <c r="M16160">
        <f t="shared" si="2"/>
      </c>
    </row>
    <row r="16161">
      <c r="G16161" s="9">
        <f t="shared" si="0"/>
      </c>
      <c r="L16161">
        <f t="shared" si="1"/>
      </c>
      <c r="M16161">
        <f t="shared" si="2"/>
      </c>
    </row>
    <row r="16162">
      <c r="G16162" s="9">
        <f t="shared" si="0"/>
      </c>
      <c r="L16162">
        <f t="shared" si="1"/>
      </c>
      <c r="M16162">
        <f t="shared" si="2"/>
      </c>
    </row>
    <row r="16163">
      <c r="G16163" s="9">
        <f t="shared" si="0"/>
      </c>
      <c r="L16163">
        <f t="shared" si="1"/>
      </c>
      <c r="M16163">
        <f t="shared" si="2"/>
      </c>
    </row>
    <row r="16164">
      <c r="G16164" s="9">
        <f t="shared" si="0"/>
      </c>
      <c r="L16164">
        <f t="shared" si="1"/>
      </c>
      <c r="M16164">
        <f t="shared" si="2"/>
      </c>
    </row>
    <row r="16165">
      <c r="G16165" s="9">
        <f t="shared" si="0"/>
      </c>
      <c r="L16165">
        <f t="shared" si="1"/>
      </c>
      <c r="M16165">
        <f t="shared" si="2"/>
      </c>
    </row>
    <row r="16166">
      <c r="G16166" s="9">
        <f t="shared" si="0"/>
      </c>
      <c r="L16166">
        <f t="shared" si="1"/>
      </c>
      <c r="M16166">
        <f t="shared" si="2"/>
      </c>
    </row>
    <row r="16167">
      <c r="G16167" s="9">
        <f t="shared" si="0"/>
      </c>
      <c r="L16167">
        <f t="shared" si="1"/>
      </c>
      <c r="M16167">
        <f t="shared" si="2"/>
      </c>
    </row>
    <row r="16168">
      <c r="G16168" s="9">
        <f t="shared" si="0"/>
      </c>
      <c r="L16168">
        <f t="shared" si="1"/>
      </c>
      <c r="M16168">
        <f t="shared" si="2"/>
      </c>
    </row>
    <row r="16169">
      <c r="G16169" s="9">
        <f t="shared" si="0"/>
      </c>
      <c r="L16169">
        <f t="shared" si="1"/>
      </c>
      <c r="M16169">
        <f t="shared" si="2"/>
      </c>
    </row>
    <row r="16170">
      <c r="G16170" s="9">
        <f t="shared" si="0"/>
      </c>
      <c r="L16170">
        <f t="shared" si="1"/>
      </c>
      <c r="M16170">
        <f t="shared" si="2"/>
      </c>
    </row>
    <row r="16171">
      <c r="G16171" s="9">
        <f t="shared" si="0"/>
      </c>
      <c r="L16171">
        <f t="shared" si="1"/>
      </c>
      <c r="M16171">
        <f t="shared" si="2"/>
      </c>
    </row>
    <row r="16172">
      <c r="G16172" s="9">
        <f t="shared" si="0"/>
      </c>
      <c r="L16172">
        <f t="shared" si="1"/>
      </c>
      <c r="M16172">
        <f t="shared" si="2"/>
      </c>
    </row>
    <row r="16173">
      <c r="G16173" s="9">
        <f t="shared" si="0"/>
      </c>
      <c r="L16173">
        <f t="shared" si="1"/>
      </c>
      <c r="M16173">
        <f t="shared" si="2"/>
      </c>
    </row>
    <row r="16174">
      <c r="G16174" s="9">
        <f t="shared" si="0"/>
      </c>
      <c r="L16174">
        <f t="shared" si="1"/>
      </c>
      <c r="M16174">
        <f t="shared" si="2"/>
      </c>
    </row>
    <row r="16175">
      <c r="G16175" s="9">
        <f t="shared" si="0"/>
      </c>
      <c r="L16175">
        <f t="shared" si="1"/>
      </c>
      <c r="M16175">
        <f t="shared" si="2"/>
      </c>
    </row>
    <row r="16176">
      <c r="G16176" s="9">
        <f t="shared" si="0"/>
      </c>
      <c r="L16176">
        <f t="shared" si="1"/>
      </c>
      <c r="M16176">
        <f t="shared" si="2"/>
      </c>
    </row>
    <row r="16177">
      <c r="G16177" s="9">
        <f t="shared" si="0"/>
      </c>
      <c r="L16177">
        <f t="shared" si="1"/>
      </c>
      <c r="M16177">
        <f t="shared" si="2"/>
      </c>
    </row>
    <row r="16178">
      <c r="G16178" s="9">
        <f t="shared" si="0"/>
      </c>
      <c r="L16178">
        <f t="shared" si="1"/>
      </c>
      <c r="M16178">
        <f t="shared" si="2"/>
      </c>
    </row>
    <row r="16179">
      <c r="G16179" s="9">
        <f t="shared" si="0"/>
      </c>
      <c r="L16179">
        <f t="shared" si="1"/>
      </c>
      <c r="M16179">
        <f t="shared" si="2"/>
      </c>
    </row>
    <row r="16180">
      <c r="G16180" s="9">
        <f t="shared" si="0"/>
      </c>
      <c r="L16180">
        <f t="shared" si="1"/>
      </c>
      <c r="M16180">
        <f t="shared" si="2"/>
      </c>
    </row>
    <row r="16181">
      <c r="G16181" s="9">
        <f t="shared" si="0"/>
      </c>
      <c r="L16181">
        <f t="shared" si="1"/>
      </c>
      <c r="M16181">
        <f t="shared" si="2"/>
      </c>
    </row>
    <row r="16182">
      <c r="G16182" s="9">
        <f t="shared" si="0"/>
      </c>
      <c r="L16182">
        <f t="shared" si="1"/>
      </c>
      <c r="M16182">
        <f t="shared" si="2"/>
      </c>
    </row>
    <row r="16183">
      <c r="G16183" s="9">
        <f t="shared" si="0"/>
      </c>
      <c r="L16183">
        <f t="shared" si="1"/>
      </c>
      <c r="M16183">
        <f t="shared" si="2"/>
      </c>
    </row>
    <row r="16184">
      <c r="G16184" s="9">
        <f t="shared" si="0"/>
      </c>
      <c r="L16184">
        <f t="shared" si="1"/>
      </c>
      <c r="M16184">
        <f t="shared" si="2"/>
      </c>
    </row>
    <row r="16185">
      <c r="G16185" s="9">
        <f t="shared" si="0"/>
      </c>
      <c r="L16185">
        <f t="shared" si="1"/>
      </c>
      <c r="M16185">
        <f t="shared" si="2"/>
      </c>
    </row>
    <row r="16186">
      <c r="G16186" s="9">
        <f t="shared" si="0"/>
      </c>
      <c r="L16186">
        <f t="shared" si="1"/>
      </c>
      <c r="M16186">
        <f t="shared" si="2"/>
      </c>
    </row>
    <row r="16187">
      <c r="G16187" s="9">
        <f t="shared" si="0"/>
      </c>
      <c r="L16187">
        <f t="shared" si="1"/>
      </c>
      <c r="M16187">
        <f t="shared" si="2"/>
      </c>
    </row>
    <row r="16188">
      <c r="G16188" s="9">
        <f t="shared" si="0"/>
      </c>
      <c r="L16188">
        <f t="shared" si="1"/>
      </c>
      <c r="M16188">
        <f t="shared" si="2"/>
      </c>
    </row>
    <row r="16189">
      <c r="G16189" s="9">
        <f t="shared" si="0"/>
      </c>
      <c r="L16189">
        <f t="shared" si="1"/>
      </c>
      <c r="M16189">
        <f t="shared" si="2"/>
      </c>
    </row>
    <row r="16190">
      <c r="G16190" s="9">
        <f t="shared" si="0"/>
      </c>
      <c r="L16190">
        <f t="shared" si="1"/>
      </c>
      <c r="M16190">
        <f t="shared" si="2"/>
      </c>
    </row>
    <row r="16191">
      <c r="G16191" s="9">
        <f t="shared" si="0"/>
      </c>
      <c r="L16191">
        <f t="shared" si="1"/>
      </c>
      <c r="M16191">
        <f t="shared" si="2"/>
      </c>
    </row>
    <row r="16192">
      <c r="G16192" s="9">
        <f t="shared" si="0"/>
      </c>
      <c r="L16192">
        <f t="shared" si="1"/>
      </c>
      <c r="M16192">
        <f t="shared" si="2"/>
      </c>
    </row>
    <row r="16193">
      <c r="G16193" s="9">
        <f t="shared" si="0"/>
      </c>
      <c r="L16193">
        <f t="shared" si="1"/>
      </c>
      <c r="M16193">
        <f t="shared" si="2"/>
      </c>
    </row>
    <row r="16194">
      <c r="G16194" s="9">
        <f t="shared" si="0"/>
      </c>
      <c r="L16194">
        <f t="shared" si="1"/>
      </c>
      <c r="M16194">
        <f t="shared" si="2"/>
      </c>
    </row>
    <row r="16195">
      <c r="G16195" s="9">
        <f t="shared" si="0"/>
      </c>
      <c r="L16195">
        <f t="shared" si="1"/>
      </c>
      <c r="M16195">
        <f t="shared" si="2"/>
      </c>
    </row>
    <row r="16196">
      <c r="G16196" s="9">
        <f t="shared" si="0"/>
      </c>
      <c r="L16196">
        <f t="shared" si="1"/>
      </c>
      <c r="M16196">
        <f t="shared" si="2"/>
      </c>
    </row>
    <row r="16197">
      <c r="G16197" s="9">
        <f t="shared" si="0"/>
      </c>
      <c r="L16197">
        <f t="shared" si="1"/>
      </c>
      <c r="M16197">
        <f t="shared" si="2"/>
      </c>
    </row>
    <row r="16198">
      <c r="G16198" s="9">
        <f t="shared" si="0"/>
      </c>
      <c r="L16198">
        <f t="shared" si="1"/>
      </c>
      <c r="M16198">
        <f t="shared" si="2"/>
      </c>
    </row>
    <row r="16199">
      <c r="G16199" s="9">
        <f t="shared" si="0"/>
      </c>
      <c r="L16199">
        <f t="shared" si="1"/>
      </c>
      <c r="M16199">
        <f t="shared" si="2"/>
      </c>
    </row>
    <row r="16200">
      <c r="G16200" s="9">
        <f t="shared" si="0"/>
      </c>
      <c r="L16200">
        <f t="shared" si="1"/>
      </c>
      <c r="M16200">
        <f t="shared" si="2"/>
      </c>
    </row>
    <row r="16201">
      <c r="G16201" s="9">
        <f t="shared" si="0"/>
      </c>
      <c r="L16201">
        <f t="shared" si="1"/>
      </c>
      <c r="M16201">
        <f t="shared" si="2"/>
      </c>
    </row>
    <row r="16202">
      <c r="G16202" s="9">
        <f t="shared" si="0"/>
      </c>
      <c r="L16202">
        <f t="shared" si="1"/>
      </c>
      <c r="M16202">
        <f t="shared" si="2"/>
      </c>
    </row>
    <row r="16203">
      <c r="G16203" s="9">
        <f t="shared" si="0"/>
      </c>
      <c r="L16203">
        <f t="shared" si="1"/>
      </c>
      <c r="M16203">
        <f t="shared" si="2"/>
      </c>
    </row>
    <row r="16204">
      <c r="G16204" s="9">
        <f t="shared" si="0"/>
      </c>
      <c r="L16204">
        <f t="shared" si="1"/>
      </c>
      <c r="M16204">
        <f t="shared" si="2"/>
      </c>
    </row>
    <row r="16205">
      <c r="G16205" s="9">
        <f t="shared" si="0"/>
      </c>
      <c r="L16205">
        <f t="shared" si="1"/>
      </c>
      <c r="M16205">
        <f t="shared" si="2"/>
      </c>
    </row>
    <row r="16206">
      <c r="G16206" s="9">
        <f t="shared" si="0"/>
      </c>
      <c r="L16206">
        <f t="shared" si="1"/>
      </c>
      <c r="M16206">
        <f t="shared" si="2"/>
      </c>
    </row>
    <row r="16207">
      <c r="G16207" s="9">
        <f t="shared" si="0"/>
      </c>
      <c r="L16207">
        <f t="shared" si="1"/>
      </c>
      <c r="M16207">
        <f t="shared" si="2"/>
      </c>
    </row>
    <row r="16208">
      <c r="G16208" s="9">
        <f t="shared" si="0"/>
      </c>
      <c r="L16208">
        <f t="shared" si="1"/>
      </c>
      <c r="M16208">
        <f t="shared" si="2"/>
      </c>
    </row>
    <row r="16209">
      <c r="G16209" s="9">
        <f t="shared" si="0"/>
      </c>
      <c r="L16209">
        <f t="shared" si="1"/>
      </c>
      <c r="M16209">
        <f t="shared" si="2"/>
      </c>
    </row>
    <row r="16210">
      <c r="G16210" s="9">
        <f t="shared" si="0"/>
      </c>
      <c r="L16210">
        <f t="shared" si="1"/>
      </c>
      <c r="M16210">
        <f t="shared" si="2"/>
      </c>
    </row>
    <row r="16211">
      <c r="G16211" s="9">
        <f t="shared" si="0"/>
      </c>
      <c r="L16211">
        <f t="shared" si="1"/>
      </c>
      <c r="M16211">
        <f t="shared" si="2"/>
      </c>
    </row>
    <row r="16212">
      <c r="G16212" s="9">
        <f t="shared" si="0"/>
      </c>
      <c r="L16212">
        <f t="shared" si="1"/>
      </c>
      <c r="M16212">
        <f t="shared" si="2"/>
      </c>
    </row>
    <row r="16213">
      <c r="G16213" s="9">
        <f t="shared" si="0"/>
      </c>
      <c r="L16213">
        <f t="shared" si="1"/>
      </c>
      <c r="M16213">
        <f t="shared" si="2"/>
      </c>
    </row>
    <row r="16214">
      <c r="G16214" s="9">
        <f t="shared" si="0"/>
      </c>
      <c r="L16214">
        <f t="shared" si="1"/>
      </c>
      <c r="M16214">
        <f t="shared" si="2"/>
      </c>
    </row>
    <row r="16215">
      <c r="G16215" s="9">
        <f t="shared" si="0"/>
      </c>
      <c r="L16215">
        <f t="shared" si="1"/>
      </c>
      <c r="M16215">
        <f t="shared" si="2"/>
      </c>
    </row>
    <row r="16216">
      <c r="G16216" s="9">
        <f t="shared" si="0"/>
      </c>
      <c r="L16216">
        <f t="shared" si="1"/>
      </c>
      <c r="M16216">
        <f t="shared" si="2"/>
      </c>
    </row>
    <row r="16217">
      <c r="G16217" s="9">
        <f t="shared" si="0"/>
      </c>
      <c r="L16217">
        <f t="shared" si="1"/>
      </c>
      <c r="M16217">
        <f t="shared" si="2"/>
      </c>
    </row>
    <row r="16218">
      <c r="G16218" s="9">
        <f t="shared" si="0"/>
      </c>
      <c r="L16218">
        <f t="shared" si="1"/>
      </c>
      <c r="M16218">
        <f t="shared" si="2"/>
      </c>
    </row>
    <row r="16219">
      <c r="G16219" s="9">
        <f t="shared" si="0"/>
      </c>
      <c r="L16219">
        <f t="shared" si="1"/>
      </c>
      <c r="M16219">
        <f t="shared" si="2"/>
      </c>
    </row>
    <row r="16220">
      <c r="G16220" s="9">
        <f t="shared" si="0"/>
      </c>
      <c r="L16220">
        <f t="shared" si="1"/>
      </c>
      <c r="M16220">
        <f t="shared" si="2"/>
      </c>
    </row>
    <row r="16221">
      <c r="G16221" s="9">
        <f t="shared" si="0"/>
      </c>
      <c r="L16221">
        <f t="shared" si="1"/>
      </c>
      <c r="M16221">
        <f t="shared" si="2"/>
      </c>
    </row>
    <row r="16222">
      <c r="G16222" s="9">
        <f t="shared" si="0"/>
      </c>
      <c r="L16222">
        <f t="shared" si="1"/>
      </c>
      <c r="M16222">
        <f t="shared" si="2"/>
      </c>
    </row>
    <row r="16223">
      <c r="G16223" s="9">
        <f t="shared" si="0"/>
      </c>
      <c r="L16223">
        <f t="shared" si="1"/>
      </c>
      <c r="M16223">
        <f t="shared" si="2"/>
      </c>
    </row>
    <row r="16224">
      <c r="G16224" s="9">
        <f t="shared" si="0"/>
      </c>
      <c r="L16224">
        <f t="shared" si="1"/>
      </c>
      <c r="M16224">
        <f t="shared" si="2"/>
      </c>
    </row>
    <row r="16225">
      <c r="G16225" s="9">
        <f t="shared" si="0"/>
      </c>
      <c r="L16225">
        <f t="shared" si="1"/>
      </c>
      <c r="M16225">
        <f t="shared" si="2"/>
      </c>
    </row>
    <row r="16226">
      <c r="G16226" s="9">
        <f t="shared" si="0"/>
      </c>
      <c r="L16226">
        <f t="shared" si="1"/>
      </c>
      <c r="M16226">
        <f t="shared" si="2"/>
      </c>
    </row>
    <row r="16227">
      <c r="G16227" s="9">
        <f t="shared" si="0"/>
      </c>
      <c r="L16227">
        <f t="shared" si="1"/>
      </c>
      <c r="M16227">
        <f t="shared" si="2"/>
      </c>
    </row>
    <row r="16228">
      <c r="G16228" s="9">
        <f t="shared" si="0"/>
      </c>
      <c r="L16228">
        <f t="shared" si="1"/>
      </c>
      <c r="M16228">
        <f t="shared" si="2"/>
      </c>
    </row>
    <row r="16229">
      <c r="G16229" s="9">
        <f t="shared" si="0"/>
      </c>
      <c r="L16229">
        <f t="shared" si="1"/>
      </c>
      <c r="M16229">
        <f t="shared" si="2"/>
      </c>
    </row>
    <row r="16230">
      <c r="G16230" s="9">
        <f t="shared" si="0"/>
      </c>
      <c r="L16230">
        <f t="shared" si="1"/>
      </c>
      <c r="M16230">
        <f t="shared" si="2"/>
      </c>
    </row>
    <row r="16231">
      <c r="G16231" s="9">
        <f t="shared" si="0"/>
      </c>
      <c r="L16231">
        <f t="shared" si="1"/>
      </c>
      <c r="M16231">
        <f t="shared" si="2"/>
      </c>
    </row>
    <row r="16232">
      <c r="G16232" s="9">
        <f t="shared" si="0"/>
      </c>
      <c r="L16232">
        <f t="shared" si="1"/>
      </c>
      <c r="M16232">
        <f t="shared" si="2"/>
      </c>
    </row>
    <row r="16233">
      <c r="G16233" s="9">
        <f t="shared" si="0"/>
      </c>
      <c r="L16233">
        <f t="shared" si="1"/>
      </c>
      <c r="M16233">
        <f t="shared" si="2"/>
      </c>
    </row>
    <row r="16234">
      <c r="G16234" s="9">
        <f t="shared" si="0"/>
      </c>
      <c r="L16234">
        <f t="shared" si="1"/>
      </c>
      <c r="M16234">
        <f t="shared" si="2"/>
      </c>
    </row>
    <row r="16235">
      <c r="G16235" s="9">
        <f t="shared" si="0"/>
      </c>
      <c r="L16235">
        <f t="shared" si="1"/>
      </c>
      <c r="M16235">
        <f t="shared" si="2"/>
      </c>
    </row>
    <row r="16236">
      <c r="G16236" s="9">
        <f t="shared" si="0"/>
      </c>
      <c r="L16236">
        <f t="shared" si="1"/>
      </c>
      <c r="M16236">
        <f t="shared" si="2"/>
      </c>
    </row>
    <row r="16237">
      <c r="G16237" s="9">
        <f t="shared" si="0"/>
      </c>
      <c r="L16237">
        <f t="shared" si="1"/>
      </c>
      <c r="M16237">
        <f t="shared" si="2"/>
      </c>
    </row>
    <row r="16238">
      <c r="G16238" s="9">
        <f t="shared" si="0"/>
      </c>
      <c r="L16238">
        <f t="shared" si="1"/>
      </c>
      <c r="M16238">
        <f t="shared" si="2"/>
      </c>
    </row>
    <row r="16239">
      <c r="G16239" s="9">
        <f t="shared" si="0"/>
      </c>
      <c r="L16239">
        <f t="shared" si="1"/>
      </c>
      <c r="M16239">
        <f t="shared" si="2"/>
      </c>
    </row>
    <row r="16240">
      <c r="G16240" s="9">
        <f t="shared" si="0"/>
      </c>
      <c r="L16240">
        <f t="shared" si="1"/>
      </c>
      <c r="M16240">
        <f t="shared" si="2"/>
      </c>
    </row>
    <row r="16241">
      <c r="G16241" s="9">
        <f t="shared" si="0"/>
      </c>
      <c r="L16241">
        <f t="shared" si="1"/>
      </c>
      <c r="M16241">
        <f t="shared" si="2"/>
      </c>
    </row>
    <row r="16242">
      <c r="G16242" s="9">
        <f t="shared" si="0"/>
      </c>
      <c r="L16242">
        <f t="shared" si="1"/>
      </c>
      <c r="M16242">
        <f t="shared" si="2"/>
      </c>
    </row>
    <row r="16243">
      <c r="G16243" s="9">
        <f t="shared" si="0"/>
      </c>
      <c r="L16243">
        <f t="shared" si="1"/>
      </c>
      <c r="M16243">
        <f t="shared" si="2"/>
      </c>
    </row>
    <row r="16244">
      <c r="G16244" s="9">
        <f t="shared" si="0"/>
      </c>
      <c r="L16244">
        <f t="shared" si="1"/>
      </c>
      <c r="M16244">
        <f t="shared" si="2"/>
      </c>
    </row>
    <row r="16245">
      <c r="G16245" s="9">
        <f t="shared" si="0"/>
      </c>
      <c r="L16245">
        <f t="shared" si="1"/>
      </c>
      <c r="M16245">
        <f t="shared" si="2"/>
      </c>
    </row>
    <row r="16246">
      <c r="G16246" s="9">
        <f t="shared" si="0"/>
      </c>
      <c r="L16246">
        <f t="shared" si="1"/>
      </c>
      <c r="M16246">
        <f t="shared" si="2"/>
      </c>
    </row>
    <row r="16247">
      <c r="G16247" s="9">
        <f t="shared" si="0"/>
      </c>
      <c r="L16247">
        <f t="shared" si="1"/>
      </c>
      <c r="M16247">
        <f t="shared" si="2"/>
      </c>
    </row>
    <row r="16248">
      <c r="G16248" s="9">
        <f t="shared" si="0"/>
      </c>
      <c r="L16248">
        <f t="shared" si="1"/>
      </c>
      <c r="M16248">
        <f t="shared" si="2"/>
      </c>
    </row>
    <row r="16249">
      <c r="G16249" s="9">
        <f t="shared" si="0"/>
      </c>
      <c r="L16249">
        <f t="shared" si="1"/>
      </c>
      <c r="M16249">
        <f t="shared" si="2"/>
      </c>
    </row>
    <row r="16250">
      <c r="G16250" s="9">
        <f t="shared" si="0"/>
      </c>
      <c r="L16250">
        <f t="shared" si="1"/>
      </c>
      <c r="M16250">
        <f t="shared" si="2"/>
      </c>
    </row>
    <row r="16251">
      <c r="G16251" s="9">
        <f t="shared" si="0"/>
      </c>
      <c r="L16251">
        <f t="shared" si="1"/>
      </c>
      <c r="M16251">
        <f t="shared" si="2"/>
      </c>
    </row>
    <row r="16252">
      <c r="G16252" s="9">
        <f t="shared" si="0"/>
      </c>
      <c r="L16252">
        <f t="shared" si="1"/>
      </c>
      <c r="M16252">
        <f t="shared" si="2"/>
      </c>
    </row>
    <row r="16253">
      <c r="G16253" s="9">
        <f t="shared" si="0"/>
      </c>
      <c r="L16253">
        <f t="shared" si="1"/>
      </c>
      <c r="M16253">
        <f t="shared" si="2"/>
      </c>
    </row>
    <row r="16254">
      <c r="G16254" s="9">
        <f t="shared" si="0"/>
      </c>
      <c r="L16254">
        <f t="shared" si="1"/>
      </c>
      <c r="M16254">
        <f t="shared" si="2"/>
      </c>
    </row>
    <row r="16255">
      <c r="G16255" s="9">
        <f t="shared" si="0"/>
      </c>
      <c r="L16255">
        <f t="shared" si="1"/>
      </c>
      <c r="M16255">
        <f t="shared" si="2"/>
      </c>
    </row>
    <row r="16256">
      <c r="G16256" s="9">
        <f t="shared" si="0"/>
      </c>
      <c r="L16256">
        <f t="shared" si="1"/>
      </c>
      <c r="M16256">
        <f t="shared" si="2"/>
      </c>
    </row>
    <row r="16257">
      <c r="G16257" s="9">
        <f t="shared" si="0"/>
      </c>
      <c r="L16257">
        <f t="shared" si="1"/>
      </c>
      <c r="M16257">
        <f t="shared" si="2"/>
      </c>
    </row>
    <row r="16258">
      <c r="G16258" s="9">
        <f t="shared" si="0"/>
      </c>
      <c r="L16258">
        <f t="shared" si="1"/>
      </c>
      <c r="M16258">
        <f t="shared" si="2"/>
      </c>
    </row>
    <row r="16259">
      <c r="G16259" s="9">
        <f t="shared" si="0"/>
      </c>
      <c r="L16259">
        <f t="shared" si="1"/>
      </c>
      <c r="M16259">
        <f t="shared" si="2"/>
      </c>
    </row>
    <row r="16260">
      <c r="G16260" s="9">
        <f t="shared" si="0"/>
      </c>
      <c r="L16260">
        <f t="shared" si="1"/>
      </c>
      <c r="M16260">
        <f t="shared" si="2"/>
      </c>
    </row>
    <row r="16261">
      <c r="G16261" s="9">
        <f t="shared" si="0"/>
      </c>
      <c r="L16261">
        <f t="shared" si="1"/>
      </c>
      <c r="M16261">
        <f t="shared" si="2"/>
      </c>
    </row>
    <row r="16262">
      <c r="G16262" s="9">
        <f t="shared" si="0"/>
      </c>
      <c r="L16262">
        <f t="shared" si="1"/>
      </c>
      <c r="M16262">
        <f t="shared" si="2"/>
      </c>
    </row>
    <row r="16263">
      <c r="G16263" s="9">
        <f t="shared" si="0"/>
      </c>
      <c r="L16263">
        <f t="shared" si="1"/>
      </c>
      <c r="M16263">
        <f t="shared" si="2"/>
      </c>
    </row>
    <row r="16264">
      <c r="G16264" s="9">
        <f t="shared" si="0"/>
      </c>
      <c r="L16264">
        <f t="shared" si="1"/>
      </c>
      <c r="M16264">
        <f t="shared" si="2"/>
      </c>
    </row>
    <row r="16265">
      <c r="G16265" s="9">
        <f t="shared" si="0"/>
      </c>
      <c r="L16265">
        <f t="shared" si="1"/>
      </c>
      <c r="M16265">
        <f t="shared" si="2"/>
      </c>
    </row>
    <row r="16266">
      <c r="G16266" s="9">
        <f t="shared" si="0"/>
      </c>
      <c r="L16266">
        <f t="shared" si="1"/>
      </c>
      <c r="M16266">
        <f t="shared" si="2"/>
      </c>
    </row>
    <row r="16267">
      <c r="G16267" s="9">
        <f t="shared" si="0"/>
      </c>
      <c r="L16267">
        <f t="shared" si="1"/>
      </c>
      <c r="M16267">
        <f t="shared" si="2"/>
      </c>
    </row>
    <row r="16268">
      <c r="G16268" s="9">
        <f t="shared" si="0"/>
      </c>
      <c r="L16268">
        <f t="shared" si="1"/>
      </c>
      <c r="M16268">
        <f t="shared" si="2"/>
      </c>
    </row>
    <row r="16269">
      <c r="G16269" s="9">
        <f t="shared" si="0"/>
      </c>
      <c r="L16269">
        <f t="shared" si="1"/>
      </c>
      <c r="M16269">
        <f t="shared" si="2"/>
      </c>
    </row>
    <row r="16270">
      <c r="G16270" s="9">
        <f t="shared" si="0"/>
      </c>
      <c r="L16270">
        <f t="shared" si="1"/>
      </c>
      <c r="M16270">
        <f t="shared" si="2"/>
      </c>
    </row>
    <row r="16271">
      <c r="G16271" s="9">
        <f t="shared" si="0"/>
      </c>
      <c r="L16271">
        <f t="shared" si="1"/>
      </c>
      <c r="M16271">
        <f t="shared" si="2"/>
      </c>
    </row>
    <row r="16272">
      <c r="G16272" s="9">
        <f t="shared" si="0"/>
      </c>
      <c r="L16272">
        <f t="shared" si="1"/>
      </c>
      <c r="M16272">
        <f t="shared" si="2"/>
      </c>
    </row>
    <row r="16273">
      <c r="G16273" s="9">
        <f t="shared" si="0"/>
      </c>
      <c r="L16273">
        <f t="shared" si="1"/>
      </c>
      <c r="M16273">
        <f t="shared" si="2"/>
      </c>
    </row>
    <row r="16274">
      <c r="G16274" s="9">
        <f t="shared" si="0"/>
      </c>
      <c r="L16274">
        <f t="shared" si="1"/>
      </c>
      <c r="M16274">
        <f t="shared" si="2"/>
      </c>
    </row>
    <row r="16275">
      <c r="G16275" s="9">
        <f t="shared" si="0"/>
      </c>
      <c r="L16275">
        <f t="shared" si="1"/>
      </c>
      <c r="M16275">
        <f t="shared" si="2"/>
      </c>
    </row>
    <row r="16276">
      <c r="G16276" s="9">
        <f t="shared" si="0"/>
      </c>
      <c r="L16276">
        <f t="shared" si="1"/>
      </c>
      <c r="M16276">
        <f t="shared" si="2"/>
      </c>
    </row>
    <row r="16277">
      <c r="G16277" s="9">
        <f t="shared" si="0"/>
      </c>
      <c r="L16277">
        <f t="shared" si="1"/>
      </c>
      <c r="M16277">
        <f t="shared" si="2"/>
      </c>
    </row>
    <row r="16278">
      <c r="G16278" s="9">
        <f t="shared" si="0"/>
      </c>
      <c r="L16278">
        <f t="shared" si="1"/>
      </c>
      <c r="M16278">
        <f t="shared" si="2"/>
      </c>
    </row>
    <row r="16279">
      <c r="G16279" s="9">
        <f t="shared" si="0"/>
      </c>
      <c r="L16279">
        <f t="shared" si="1"/>
      </c>
      <c r="M16279">
        <f t="shared" si="2"/>
      </c>
    </row>
    <row r="16280">
      <c r="G16280" s="9">
        <f t="shared" si="0"/>
      </c>
      <c r="L16280">
        <f t="shared" si="1"/>
      </c>
      <c r="M16280">
        <f t="shared" si="2"/>
      </c>
    </row>
    <row r="16281">
      <c r="G16281" s="9">
        <f t="shared" si="0"/>
      </c>
      <c r="L16281">
        <f t="shared" si="1"/>
      </c>
      <c r="M16281">
        <f t="shared" si="2"/>
      </c>
    </row>
    <row r="16282">
      <c r="G16282" s="9">
        <f t="shared" si="0"/>
      </c>
      <c r="L16282">
        <f t="shared" si="1"/>
      </c>
      <c r="M16282">
        <f t="shared" si="2"/>
      </c>
    </row>
    <row r="16283">
      <c r="G16283" s="9">
        <f t="shared" si="0"/>
      </c>
      <c r="L16283">
        <f t="shared" si="1"/>
      </c>
      <c r="M16283">
        <f t="shared" si="2"/>
      </c>
    </row>
    <row r="16284">
      <c r="G16284" s="9">
        <f t="shared" si="0"/>
      </c>
      <c r="L16284">
        <f t="shared" si="1"/>
      </c>
      <c r="M16284">
        <f t="shared" si="2"/>
      </c>
    </row>
    <row r="16285">
      <c r="G16285" s="9">
        <f t="shared" si="0"/>
      </c>
      <c r="L16285">
        <f t="shared" si="1"/>
      </c>
      <c r="M16285">
        <f t="shared" si="2"/>
      </c>
    </row>
    <row r="16286">
      <c r="G16286" s="9">
        <f t="shared" si="0"/>
      </c>
      <c r="L16286">
        <f t="shared" si="1"/>
      </c>
      <c r="M16286">
        <f t="shared" si="2"/>
      </c>
    </row>
    <row r="16287">
      <c r="G16287" s="9">
        <f t="shared" si="0"/>
      </c>
      <c r="L16287">
        <f t="shared" si="1"/>
      </c>
      <c r="M16287">
        <f t="shared" si="2"/>
      </c>
    </row>
    <row r="16288">
      <c r="G16288" s="9">
        <f t="shared" si="0"/>
      </c>
      <c r="L16288">
        <f t="shared" si="1"/>
      </c>
      <c r="M16288">
        <f t="shared" si="2"/>
      </c>
    </row>
    <row r="16289">
      <c r="G16289" s="9">
        <f t="shared" si="0"/>
      </c>
      <c r="L16289">
        <f t="shared" si="1"/>
      </c>
      <c r="M16289">
        <f t="shared" si="2"/>
      </c>
    </row>
    <row r="16290">
      <c r="G16290" s="9">
        <f t="shared" si="0"/>
      </c>
      <c r="L16290">
        <f t="shared" si="1"/>
      </c>
      <c r="M16290">
        <f t="shared" si="2"/>
      </c>
    </row>
    <row r="16291">
      <c r="G16291" s="9">
        <f t="shared" si="0"/>
      </c>
      <c r="L16291">
        <f t="shared" si="1"/>
      </c>
      <c r="M16291">
        <f t="shared" si="2"/>
      </c>
    </row>
    <row r="16292">
      <c r="G16292" s="9">
        <f t="shared" si="0"/>
      </c>
      <c r="L16292">
        <f t="shared" si="1"/>
      </c>
      <c r="M16292">
        <f t="shared" si="2"/>
      </c>
    </row>
    <row r="16293">
      <c r="G16293" s="9">
        <f t="shared" si="0"/>
      </c>
      <c r="L16293">
        <f t="shared" si="1"/>
      </c>
      <c r="M16293">
        <f t="shared" si="2"/>
      </c>
    </row>
    <row r="16294">
      <c r="G16294" s="9">
        <f t="shared" si="0"/>
      </c>
      <c r="L16294">
        <f t="shared" si="1"/>
      </c>
      <c r="M16294">
        <f t="shared" si="2"/>
      </c>
    </row>
    <row r="16295">
      <c r="G16295" s="9">
        <f t="shared" si="0"/>
      </c>
      <c r="L16295">
        <f t="shared" si="1"/>
      </c>
      <c r="M16295">
        <f t="shared" si="2"/>
      </c>
    </row>
    <row r="16296">
      <c r="G16296" s="9">
        <f t="shared" si="0"/>
      </c>
      <c r="L16296">
        <f t="shared" si="1"/>
      </c>
      <c r="M16296">
        <f t="shared" si="2"/>
      </c>
    </row>
    <row r="16297">
      <c r="G16297" s="9">
        <f t="shared" si="0"/>
      </c>
      <c r="L16297">
        <f t="shared" si="1"/>
      </c>
      <c r="M16297">
        <f t="shared" si="2"/>
      </c>
    </row>
    <row r="16298">
      <c r="G16298" s="9">
        <f t="shared" si="0"/>
      </c>
      <c r="L16298">
        <f t="shared" si="1"/>
      </c>
      <c r="M16298">
        <f t="shared" si="2"/>
      </c>
    </row>
    <row r="16299">
      <c r="G16299" s="9">
        <f t="shared" si="0"/>
      </c>
      <c r="L16299">
        <f t="shared" si="1"/>
      </c>
      <c r="M16299">
        <f t="shared" si="2"/>
      </c>
    </row>
    <row r="16300">
      <c r="G16300" s="9">
        <f t="shared" si="0"/>
      </c>
      <c r="L16300">
        <f t="shared" si="1"/>
      </c>
      <c r="M16300">
        <f t="shared" si="2"/>
      </c>
    </row>
    <row r="16301">
      <c r="G16301" s="9">
        <f t="shared" si="0"/>
      </c>
      <c r="L16301">
        <f t="shared" si="1"/>
      </c>
      <c r="M16301">
        <f t="shared" si="2"/>
      </c>
    </row>
    <row r="16302">
      <c r="G16302" s="9">
        <f t="shared" si="0"/>
      </c>
      <c r="L16302">
        <f t="shared" si="1"/>
      </c>
      <c r="M16302">
        <f t="shared" si="2"/>
      </c>
    </row>
    <row r="16303">
      <c r="G16303" s="9">
        <f t="shared" si="0"/>
      </c>
      <c r="L16303">
        <f t="shared" si="1"/>
      </c>
      <c r="M16303">
        <f t="shared" si="2"/>
      </c>
    </row>
    <row r="16304">
      <c r="G16304" s="9">
        <f t="shared" si="0"/>
      </c>
      <c r="L16304">
        <f t="shared" si="1"/>
      </c>
      <c r="M16304">
        <f t="shared" si="2"/>
      </c>
    </row>
    <row r="16305">
      <c r="G16305" s="9">
        <f t="shared" si="0"/>
      </c>
      <c r="L16305">
        <f t="shared" si="1"/>
      </c>
      <c r="M16305">
        <f t="shared" si="2"/>
      </c>
    </row>
    <row r="16306">
      <c r="G16306" s="9">
        <f t="shared" si="0"/>
      </c>
      <c r="L16306">
        <f t="shared" si="1"/>
      </c>
      <c r="M16306">
        <f t="shared" si="2"/>
      </c>
    </row>
    <row r="16307">
      <c r="G16307" s="9">
        <f t="shared" si="0"/>
      </c>
      <c r="L16307">
        <f t="shared" si="1"/>
      </c>
      <c r="M16307">
        <f t="shared" si="2"/>
      </c>
    </row>
    <row r="16308">
      <c r="G16308" s="9">
        <f t="shared" si="0"/>
      </c>
      <c r="L16308">
        <f t="shared" si="1"/>
      </c>
      <c r="M16308">
        <f t="shared" si="2"/>
      </c>
    </row>
    <row r="16309">
      <c r="G16309" s="9">
        <f t="shared" si="0"/>
      </c>
      <c r="L16309">
        <f t="shared" si="1"/>
      </c>
      <c r="M16309">
        <f t="shared" si="2"/>
      </c>
    </row>
    <row r="16310">
      <c r="G16310" s="9">
        <f t="shared" si="0"/>
      </c>
      <c r="L16310">
        <f t="shared" si="1"/>
      </c>
      <c r="M16310">
        <f t="shared" si="2"/>
      </c>
    </row>
    <row r="16311">
      <c r="G16311" s="9">
        <f t="shared" si="0"/>
      </c>
      <c r="L16311">
        <f t="shared" si="1"/>
      </c>
      <c r="M16311">
        <f t="shared" si="2"/>
      </c>
    </row>
    <row r="16312">
      <c r="G16312" s="9">
        <f t="shared" si="0"/>
      </c>
      <c r="L16312">
        <f t="shared" si="1"/>
      </c>
      <c r="M16312">
        <f t="shared" si="2"/>
      </c>
    </row>
    <row r="16313">
      <c r="G16313" s="9">
        <f t="shared" si="0"/>
      </c>
      <c r="L16313">
        <f t="shared" si="1"/>
      </c>
      <c r="M16313">
        <f t="shared" si="2"/>
      </c>
    </row>
    <row r="16314">
      <c r="G16314" s="9">
        <f t="shared" si="0"/>
      </c>
      <c r="L16314">
        <f t="shared" si="1"/>
      </c>
      <c r="M16314">
        <f t="shared" si="2"/>
      </c>
    </row>
    <row r="16315">
      <c r="G16315" s="9">
        <f t="shared" si="0"/>
      </c>
      <c r="L16315">
        <f t="shared" si="1"/>
      </c>
      <c r="M16315">
        <f t="shared" si="2"/>
      </c>
    </row>
    <row r="16316">
      <c r="G16316" s="9">
        <f t="shared" si="0"/>
      </c>
      <c r="L16316">
        <f t="shared" si="1"/>
      </c>
      <c r="M16316">
        <f t="shared" si="2"/>
      </c>
    </row>
    <row r="16317">
      <c r="G16317" s="9">
        <f t="shared" si="0"/>
      </c>
      <c r="L16317">
        <f t="shared" si="1"/>
      </c>
      <c r="M16317">
        <f t="shared" si="2"/>
      </c>
    </row>
    <row r="16318">
      <c r="G16318" s="9">
        <f t="shared" si="0"/>
      </c>
      <c r="L16318">
        <f t="shared" si="1"/>
      </c>
      <c r="M16318">
        <f t="shared" si="2"/>
      </c>
    </row>
    <row r="16319">
      <c r="G16319" s="9">
        <f t="shared" si="0"/>
      </c>
      <c r="L16319">
        <f t="shared" si="1"/>
      </c>
      <c r="M16319">
        <f t="shared" si="2"/>
      </c>
    </row>
    <row r="16320">
      <c r="G16320" s="9">
        <f t="shared" si="0"/>
      </c>
      <c r="L16320">
        <f t="shared" si="1"/>
      </c>
      <c r="M16320">
        <f t="shared" si="2"/>
      </c>
    </row>
    <row r="16321">
      <c r="G16321" s="9">
        <f t="shared" si="0"/>
      </c>
      <c r="L16321">
        <f t="shared" si="1"/>
      </c>
      <c r="M16321">
        <f t="shared" si="2"/>
      </c>
    </row>
    <row r="16322">
      <c r="G16322" s="9">
        <f t="shared" si="0"/>
      </c>
      <c r="L16322">
        <f t="shared" si="1"/>
      </c>
      <c r="M16322">
        <f t="shared" si="2"/>
      </c>
    </row>
    <row r="16323">
      <c r="G16323" s="9">
        <f t="shared" si="0"/>
      </c>
      <c r="L16323">
        <f t="shared" si="1"/>
      </c>
      <c r="M16323">
        <f t="shared" si="2"/>
      </c>
    </row>
    <row r="16324">
      <c r="G16324" s="9">
        <f t="shared" si="0"/>
      </c>
      <c r="L16324">
        <f t="shared" si="1"/>
      </c>
      <c r="M16324">
        <f t="shared" si="2"/>
      </c>
    </row>
    <row r="16325">
      <c r="G16325" s="9">
        <f t="shared" si="0"/>
      </c>
      <c r="L16325">
        <f t="shared" si="1"/>
      </c>
      <c r="M16325">
        <f t="shared" si="2"/>
      </c>
    </row>
    <row r="16326">
      <c r="G16326" s="9">
        <f t="shared" si="0"/>
      </c>
      <c r="L16326">
        <f t="shared" si="1"/>
      </c>
      <c r="M16326">
        <f t="shared" si="2"/>
      </c>
    </row>
    <row r="16327">
      <c r="G16327" s="9">
        <f t="shared" si="0"/>
      </c>
      <c r="L16327">
        <f t="shared" si="1"/>
      </c>
      <c r="M16327">
        <f t="shared" si="2"/>
      </c>
    </row>
    <row r="16328">
      <c r="G16328" s="9">
        <f t="shared" si="0"/>
      </c>
      <c r="L16328">
        <f t="shared" si="1"/>
      </c>
      <c r="M16328">
        <f t="shared" si="2"/>
      </c>
    </row>
    <row r="16329">
      <c r="G16329" s="9">
        <f t="shared" si="0"/>
      </c>
      <c r="L16329">
        <f t="shared" si="1"/>
      </c>
      <c r="M16329">
        <f t="shared" si="2"/>
      </c>
    </row>
    <row r="16330">
      <c r="G16330" s="9">
        <f t="shared" si="0"/>
      </c>
      <c r="L16330">
        <f t="shared" si="1"/>
      </c>
      <c r="M16330">
        <f t="shared" si="2"/>
      </c>
    </row>
    <row r="16331">
      <c r="G16331" s="9">
        <f t="shared" si="0"/>
      </c>
      <c r="L16331">
        <f t="shared" si="1"/>
      </c>
      <c r="M16331">
        <f t="shared" si="2"/>
      </c>
    </row>
    <row r="16332">
      <c r="G16332" s="9">
        <f t="shared" si="0"/>
      </c>
      <c r="L16332">
        <f t="shared" si="1"/>
      </c>
      <c r="M16332">
        <f t="shared" si="2"/>
      </c>
    </row>
    <row r="16333">
      <c r="G16333" s="9">
        <f t="shared" si="0"/>
      </c>
      <c r="L16333">
        <f t="shared" si="1"/>
      </c>
      <c r="M16333">
        <f t="shared" si="2"/>
      </c>
    </row>
    <row r="16334">
      <c r="G16334" s="9">
        <f t="shared" si="0"/>
      </c>
      <c r="L16334">
        <f t="shared" si="1"/>
      </c>
      <c r="M16334">
        <f t="shared" si="2"/>
      </c>
    </row>
    <row r="16335">
      <c r="G16335" s="9">
        <f t="shared" si="0"/>
      </c>
      <c r="L16335">
        <f t="shared" si="1"/>
      </c>
      <c r="M16335">
        <f t="shared" si="2"/>
      </c>
    </row>
    <row r="16336">
      <c r="G16336" s="9">
        <f t="shared" si="0"/>
      </c>
      <c r="L16336">
        <f t="shared" si="1"/>
      </c>
      <c r="M16336">
        <f t="shared" si="2"/>
      </c>
    </row>
    <row r="16337">
      <c r="G16337" s="9">
        <f t="shared" si="0"/>
      </c>
      <c r="L16337">
        <f t="shared" si="1"/>
      </c>
      <c r="M16337">
        <f t="shared" si="2"/>
      </c>
    </row>
    <row r="16338">
      <c r="G16338" s="9">
        <f t="shared" si="0"/>
      </c>
      <c r="L16338">
        <f t="shared" si="1"/>
      </c>
      <c r="M16338">
        <f t="shared" si="2"/>
      </c>
    </row>
    <row r="16339">
      <c r="G16339" s="9">
        <f t="shared" si="0"/>
      </c>
      <c r="L16339">
        <f t="shared" si="1"/>
      </c>
      <c r="M16339">
        <f t="shared" si="2"/>
      </c>
    </row>
    <row r="16340">
      <c r="G16340" s="9">
        <f t="shared" si="0"/>
      </c>
      <c r="L16340">
        <f t="shared" si="1"/>
      </c>
      <c r="M16340">
        <f t="shared" si="2"/>
      </c>
    </row>
    <row r="16341">
      <c r="G16341" s="9">
        <f t="shared" si="0"/>
      </c>
      <c r="L16341">
        <f t="shared" si="1"/>
      </c>
      <c r="M16341">
        <f t="shared" si="2"/>
      </c>
    </row>
    <row r="16342">
      <c r="G16342" s="9">
        <f t="shared" si="0"/>
      </c>
      <c r="L16342">
        <f t="shared" si="1"/>
      </c>
      <c r="M16342">
        <f t="shared" si="2"/>
      </c>
    </row>
    <row r="16343">
      <c r="G16343" s="9">
        <f t="shared" si="0"/>
      </c>
      <c r="L16343">
        <f t="shared" si="1"/>
      </c>
      <c r="M16343">
        <f t="shared" si="2"/>
      </c>
    </row>
    <row r="16344">
      <c r="G16344" s="9">
        <f t="shared" si="0"/>
      </c>
      <c r="L16344">
        <f t="shared" si="1"/>
      </c>
      <c r="M16344">
        <f t="shared" si="2"/>
      </c>
    </row>
    <row r="16345">
      <c r="G16345" s="9">
        <f t="shared" si="0"/>
      </c>
      <c r="L16345">
        <f t="shared" si="1"/>
      </c>
      <c r="M16345">
        <f t="shared" si="2"/>
      </c>
    </row>
    <row r="16346">
      <c r="G16346" s="9">
        <f t="shared" si="0"/>
      </c>
      <c r="L16346">
        <f t="shared" si="1"/>
      </c>
      <c r="M16346">
        <f t="shared" si="2"/>
      </c>
    </row>
    <row r="16347">
      <c r="G16347" s="9">
        <f t="shared" si="0"/>
      </c>
      <c r="L16347">
        <f t="shared" si="1"/>
      </c>
      <c r="M16347">
        <f t="shared" si="2"/>
      </c>
    </row>
    <row r="16348">
      <c r="G16348" s="9">
        <f t="shared" si="0"/>
      </c>
      <c r="L16348">
        <f t="shared" si="1"/>
      </c>
      <c r="M16348">
        <f t="shared" si="2"/>
      </c>
    </row>
    <row r="16349">
      <c r="G16349" s="9">
        <f t="shared" si="0"/>
      </c>
      <c r="L16349">
        <f t="shared" si="1"/>
      </c>
      <c r="M16349">
        <f t="shared" si="2"/>
      </c>
    </row>
    <row r="16350">
      <c r="G16350" s="9">
        <f t="shared" si="0"/>
      </c>
      <c r="L16350">
        <f t="shared" si="1"/>
      </c>
      <c r="M16350">
        <f t="shared" si="2"/>
      </c>
    </row>
    <row r="16351">
      <c r="G16351" s="9">
        <f t="shared" si="0"/>
      </c>
      <c r="L16351">
        <f t="shared" si="1"/>
      </c>
      <c r="M16351">
        <f t="shared" si="2"/>
      </c>
    </row>
    <row r="16352">
      <c r="G16352" s="9">
        <f t="shared" si="0"/>
      </c>
      <c r="L16352">
        <f t="shared" si="1"/>
      </c>
      <c r="M16352">
        <f t="shared" si="2"/>
      </c>
    </row>
    <row r="16353">
      <c r="G16353" s="9">
        <f t="shared" si="0"/>
      </c>
      <c r="L16353">
        <f t="shared" si="1"/>
      </c>
      <c r="M16353">
        <f t="shared" si="2"/>
      </c>
    </row>
    <row r="16354">
      <c r="G16354" s="9">
        <f t="shared" si="0"/>
      </c>
      <c r="L16354">
        <f t="shared" si="1"/>
      </c>
      <c r="M16354">
        <f t="shared" si="2"/>
      </c>
    </row>
    <row r="16355">
      <c r="G16355" s="9">
        <f t="shared" si="0"/>
      </c>
      <c r="L16355">
        <f t="shared" si="1"/>
      </c>
      <c r="M16355">
        <f t="shared" si="2"/>
      </c>
    </row>
    <row r="16356">
      <c r="G16356" s="9">
        <f t="shared" si="0"/>
      </c>
      <c r="L16356">
        <f t="shared" si="1"/>
      </c>
      <c r="M16356">
        <f t="shared" si="2"/>
      </c>
    </row>
    <row r="16357">
      <c r="G16357" s="9">
        <f t="shared" si="0"/>
      </c>
      <c r="L16357">
        <f t="shared" si="1"/>
      </c>
      <c r="M16357">
        <f t="shared" si="2"/>
      </c>
    </row>
    <row r="16358">
      <c r="G16358" s="9">
        <f t="shared" si="0"/>
      </c>
      <c r="L16358">
        <f t="shared" si="1"/>
      </c>
      <c r="M16358">
        <f t="shared" si="2"/>
      </c>
    </row>
    <row r="16359">
      <c r="G16359" s="9">
        <f t="shared" si="0"/>
      </c>
      <c r="L16359">
        <f t="shared" si="1"/>
      </c>
      <c r="M16359">
        <f t="shared" si="2"/>
      </c>
    </row>
    <row r="16360">
      <c r="G16360" s="9">
        <f t="shared" si="0"/>
      </c>
      <c r="L16360">
        <f t="shared" si="1"/>
      </c>
      <c r="M16360">
        <f t="shared" si="2"/>
      </c>
    </row>
    <row r="16361">
      <c r="G16361" s="9">
        <f t="shared" si="0"/>
      </c>
      <c r="L16361">
        <f t="shared" si="1"/>
      </c>
      <c r="M16361">
        <f t="shared" si="2"/>
      </c>
    </row>
    <row r="16362">
      <c r="G16362" s="9">
        <f t="shared" si="0"/>
      </c>
      <c r="L16362">
        <f t="shared" si="1"/>
      </c>
      <c r="M16362">
        <f t="shared" si="2"/>
      </c>
    </row>
    <row r="16363">
      <c r="G16363" s="9">
        <f t="shared" si="0"/>
      </c>
      <c r="L16363">
        <f t="shared" si="1"/>
      </c>
      <c r="M16363">
        <f t="shared" si="2"/>
      </c>
    </row>
    <row r="16364">
      <c r="G16364" s="9">
        <f t="shared" si="0"/>
      </c>
      <c r="L16364">
        <f t="shared" si="1"/>
      </c>
      <c r="M16364">
        <f t="shared" si="2"/>
      </c>
    </row>
    <row r="16365">
      <c r="G16365" s="9">
        <f t="shared" si="0"/>
      </c>
      <c r="L16365">
        <f t="shared" si="1"/>
      </c>
      <c r="M16365">
        <f t="shared" si="2"/>
      </c>
    </row>
    <row r="16366">
      <c r="G16366" s="9">
        <f t="shared" si="0"/>
      </c>
      <c r="L16366">
        <f t="shared" si="1"/>
      </c>
      <c r="M16366">
        <f t="shared" si="2"/>
      </c>
    </row>
    <row r="16367">
      <c r="G16367" s="9">
        <f t="shared" si="0"/>
      </c>
      <c r="L16367">
        <f t="shared" si="1"/>
      </c>
      <c r="M16367">
        <f t="shared" si="2"/>
      </c>
    </row>
    <row r="16368">
      <c r="G16368" s="9">
        <f t="shared" si="0"/>
      </c>
      <c r="L16368">
        <f t="shared" si="1"/>
      </c>
      <c r="M16368">
        <f t="shared" si="2"/>
      </c>
    </row>
    <row r="16369">
      <c r="G16369" s="9">
        <f t="shared" si="0"/>
      </c>
      <c r="L16369">
        <f t="shared" si="1"/>
      </c>
      <c r="M16369">
        <f t="shared" si="2"/>
      </c>
    </row>
    <row r="16370">
      <c r="G16370" s="9">
        <f t="shared" si="0"/>
      </c>
      <c r="L16370">
        <f t="shared" si="1"/>
      </c>
      <c r="M16370">
        <f t="shared" si="2"/>
      </c>
    </row>
    <row r="16371">
      <c r="G16371" s="9">
        <f t="shared" si="0"/>
      </c>
      <c r="L16371">
        <f t="shared" si="1"/>
      </c>
      <c r="M16371">
        <f t="shared" si="2"/>
      </c>
    </row>
    <row r="16372">
      <c r="G16372" s="9">
        <f t="shared" si="0"/>
      </c>
      <c r="L16372">
        <f t="shared" si="1"/>
      </c>
      <c r="M16372">
        <f t="shared" si="2"/>
      </c>
    </row>
    <row r="16373">
      <c r="G16373" s="9">
        <f t="shared" si="0"/>
      </c>
      <c r="L16373">
        <f t="shared" si="1"/>
      </c>
      <c r="M16373">
        <f t="shared" si="2"/>
      </c>
    </row>
    <row r="16374">
      <c r="G16374" s="9">
        <f t="shared" si="0"/>
      </c>
      <c r="L16374">
        <f t="shared" si="1"/>
      </c>
      <c r="M16374">
        <f t="shared" si="2"/>
      </c>
    </row>
    <row r="16375">
      <c r="G16375" s="9">
        <f t="shared" si="0"/>
      </c>
      <c r="L16375">
        <f t="shared" si="1"/>
      </c>
      <c r="M16375">
        <f t="shared" si="2"/>
      </c>
    </row>
    <row r="16376">
      <c r="G16376" s="9">
        <f t="shared" si="0"/>
      </c>
      <c r="L16376">
        <f t="shared" si="1"/>
      </c>
      <c r="M16376">
        <f t="shared" si="2"/>
      </c>
    </row>
    <row r="16377">
      <c r="G16377" s="9">
        <f t="shared" si="0"/>
      </c>
      <c r="L16377">
        <f t="shared" si="1"/>
      </c>
      <c r="M16377">
        <f t="shared" si="2"/>
      </c>
    </row>
    <row r="16378">
      <c r="G16378" s="9">
        <f t="shared" si="0"/>
      </c>
      <c r="L16378">
        <f t="shared" si="1"/>
      </c>
      <c r="M16378">
        <f t="shared" si="2"/>
      </c>
    </row>
    <row r="16379">
      <c r="G16379" s="9">
        <f t="shared" si="0"/>
      </c>
      <c r="L16379">
        <f t="shared" si="1"/>
      </c>
      <c r="M16379">
        <f t="shared" si="2"/>
      </c>
    </row>
    <row r="16380">
      <c r="G16380" s="9">
        <f t="shared" si="0"/>
      </c>
      <c r="L16380">
        <f t="shared" si="1"/>
      </c>
      <c r="M16380">
        <f t="shared" si="2"/>
      </c>
    </row>
    <row r="16381">
      <c r="G16381" s="9">
        <f t="shared" si="0"/>
      </c>
      <c r="L16381">
        <f t="shared" si="1"/>
      </c>
      <c r="M16381">
        <f t="shared" si="2"/>
      </c>
    </row>
    <row r="16382">
      <c r="G16382" s="9">
        <f t="shared" si="0"/>
      </c>
      <c r="L16382">
        <f t="shared" si="1"/>
      </c>
      <c r="M16382">
        <f t="shared" si="2"/>
      </c>
    </row>
    <row r="16383">
      <c r="G16383" s="9">
        <f t="shared" si="0"/>
      </c>
      <c r="L16383">
        <f t="shared" si="1"/>
      </c>
      <c r="M16383">
        <f t="shared" si="2"/>
      </c>
    </row>
    <row r="16384">
      <c r="G16384" s="9">
        <f t="shared" si="0"/>
      </c>
      <c r="L16384">
        <f t="shared" si="1"/>
      </c>
      <c r="M16384">
        <f t="shared" si="2"/>
      </c>
    </row>
    <row r="16385">
      <c r="G16385" s="9">
        <f t="shared" si="0"/>
      </c>
      <c r="L16385">
        <f t="shared" si="1"/>
      </c>
      <c r="M16385">
        <f t="shared" si="2"/>
      </c>
    </row>
    <row r="16386">
      <c r="G16386" s="9">
        <f t="shared" si="0"/>
      </c>
      <c r="L16386">
        <f t="shared" si="1"/>
      </c>
      <c r="M16386">
        <f t="shared" si="2"/>
      </c>
    </row>
    <row r="16387">
      <c r="G16387" s="9">
        <f t="shared" si="0"/>
      </c>
      <c r="L16387">
        <f t="shared" si="1"/>
      </c>
      <c r="M16387">
        <f t="shared" si="2"/>
      </c>
    </row>
    <row r="16388">
      <c r="G16388" s="9">
        <f t="shared" si="0"/>
      </c>
      <c r="L16388">
        <f t="shared" si="1"/>
      </c>
      <c r="M16388">
        <f t="shared" si="2"/>
      </c>
    </row>
    <row r="16389">
      <c r="G16389" s="9">
        <f t="shared" si="0"/>
      </c>
      <c r="L16389">
        <f t="shared" si="1"/>
      </c>
      <c r="M16389">
        <f t="shared" si="2"/>
      </c>
    </row>
    <row r="16390">
      <c r="G16390" s="9">
        <f t="shared" si="0"/>
      </c>
      <c r="L16390">
        <f t="shared" si="1"/>
      </c>
      <c r="M16390">
        <f t="shared" si="2"/>
      </c>
    </row>
    <row r="16391">
      <c r="G16391" s="9">
        <f t="shared" si="0"/>
      </c>
      <c r="L16391">
        <f t="shared" si="1"/>
      </c>
      <c r="M16391">
        <f t="shared" si="2"/>
      </c>
    </row>
    <row r="16392">
      <c r="G16392" s="9">
        <f t="shared" si="0"/>
      </c>
      <c r="L16392">
        <f t="shared" si="1"/>
      </c>
      <c r="M16392">
        <f t="shared" si="2"/>
      </c>
    </row>
    <row r="16393">
      <c r="G16393" s="9">
        <f t="shared" si="0"/>
      </c>
      <c r="L16393">
        <f t="shared" si="1"/>
      </c>
      <c r="M16393">
        <f t="shared" si="2"/>
      </c>
    </row>
    <row r="16394">
      <c r="G16394" s="9">
        <f t="shared" si="0"/>
      </c>
      <c r="L16394">
        <f t="shared" si="1"/>
      </c>
      <c r="M16394">
        <f t="shared" si="2"/>
      </c>
    </row>
    <row r="16395">
      <c r="G16395" s="9">
        <f t="shared" si="0"/>
      </c>
      <c r="L16395">
        <f t="shared" si="1"/>
      </c>
      <c r="M16395">
        <f t="shared" si="2"/>
      </c>
    </row>
    <row r="16396">
      <c r="G16396" s="9">
        <f t="shared" si="0"/>
      </c>
      <c r="L16396">
        <f t="shared" si="1"/>
      </c>
      <c r="M16396">
        <f t="shared" si="2"/>
      </c>
    </row>
    <row r="16397">
      <c r="G16397" s="9">
        <f t="shared" si="0"/>
      </c>
      <c r="L16397">
        <f t="shared" si="1"/>
      </c>
      <c r="M16397">
        <f t="shared" si="2"/>
      </c>
    </row>
    <row r="16398">
      <c r="G16398" s="9">
        <f t="shared" si="0"/>
      </c>
      <c r="L16398">
        <f t="shared" si="1"/>
      </c>
      <c r="M16398">
        <f t="shared" si="2"/>
      </c>
    </row>
    <row r="16399">
      <c r="G16399" s="9">
        <f t="shared" si="0"/>
      </c>
      <c r="L16399">
        <f t="shared" si="1"/>
      </c>
      <c r="M16399">
        <f t="shared" si="2"/>
      </c>
    </row>
    <row r="16400">
      <c r="G16400" s="9">
        <f t="shared" si="0"/>
      </c>
      <c r="L16400">
        <f t="shared" si="1"/>
      </c>
      <c r="M16400">
        <f t="shared" si="2"/>
      </c>
    </row>
    <row r="16401">
      <c r="G16401" s="9">
        <f t="shared" si="0"/>
      </c>
      <c r="L16401">
        <f t="shared" si="1"/>
      </c>
      <c r="M16401">
        <f t="shared" si="2"/>
      </c>
    </row>
    <row r="16402">
      <c r="G16402" s="9">
        <f t="shared" si="0"/>
      </c>
      <c r="L16402">
        <f t="shared" si="1"/>
      </c>
      <c r="M16402">
        <f t="shared" si="2"/>
      </c>
    </row>
    <row r="16403">
      <c r="G16403" s="9">
        <f t="shared" si="0"/>
      </c>
      <c r="L16403">
        <f t="shared" si="1"/>
      </c>
      <c r="M16403">
        <f t="shared" si="2"/>
      </c>
    </row>
    <row r="16404">
      <c r="G16404" s="9">
        <f t="shared" si="0"/>
      </c>
      <c r="L16404">
        <f t="shared" si="1"/>
      </c>
      <c r="M16404">
        <f t="shared" si="2"/>
      </c>
    </row>
    <row r="16405">
      <c r="G16405" s="9">
        <f t="shared" si="0"/>
      </c>
      <c r="L16405">
        <f t="shared" si="1"/>
      </c>
      <c r="M16405">
        <f t="shared" si="2"/>
      </c>
    </row>
    <row r="16406">
      <c r="G16406" s="9">
        <f t="shared" si="0"/>
      </c>
      <c r="L16406">
        <f t="shared" si="1"/>
      </c>
      <c r="M16406">
        <f t="shared" si="2"/>
      </c>
    </row>
    <row r="16407">
      <c r="G16407" s="9">
        <f t="shared" si="0"/>
      </c>
      <c r="L16407">
        <f t="shared" si="1"/>
      </c>
      <c r="M16407">
        <f t="shared" si="2"/>
      </c>
    </row>
    <row r="16408">
      <c r="G16408" s="9">
        <f t="shared" si="0"/>
      </c>
      <c r="L16408">
        <f t="shared" si="1"/>
      </c>
      <c r="M16408">
        <f t="shared" si="2"/>
      </c>
    </row>
    <row r="16409">
      <c r="G16409" s="9">
        <f t="shared" si="0"/>
      </c>
      <c r="L16409">
        <f t="shared" si="1"/>
      </c>
      <c r="M16409">
        <f t="shared" si="2"/>
      </c>
    </row>
    <row r="16410">
      <c r="G16410" s="9">
        <f t="shared" si="0"/>
      </c>
      <c r="L16410">
        <f t="shared" si="1"/>
      </c>
      <c r="M16410">
        <f t="shared" si="2"/>
      </c>
    </row>
    <row r="16411">
      <c r="G16411" s="9">
        <f t="shared" si="0"/>
      </c>
      <c r="L16411">
        <f t="shared" si="1"/>
      </c>
      <c r="M16411">
        <f t="shared" si="2"/>
      </c>
    </row>
    <row r="16412">
      <c r="G16412" s="9">
        <f t="shared" si="0"/>
      </c>
      <c r="L16412">
        <f t="shared" si="1"/>
      </c>
      <c r="M16412">
        <f t="shared" si="2"/>
      </c>
    </row>
    <row r="16413">
      <c r="G16413" s="9">
        <f t="shared" si="0"/>
      </c>
      <c r="L16413">
        <f t="shared" si="1"/>
      </c>
      <c r="M16413">
        <f t="shared" si="2"/>
      </c>
    </row>
    <row r="16414">
      <c r="G16414" s="9">
        <f t="shared" si="0"/>
      </c>
      <c r="L16414">
        <f t="shared" si="1"/>
      </c>
      <c r="M16414">
        <f t="shared" si="2"/>
      </c>
    </row>
    <row r="16415">
      <c r="G16415" s="9">
        <f t="shared" si="0"/>
      </c>
      <c r="L16415">
        <f t="shared" si="1"/>
      </c>
      <c r="M16415">
        <f t="shared" si="2"/>
      </c>
    </row>
    <row r="16416">
      <c r="G16416" s="9">
        <f t="shared" si="0"/>
      </c>
      <c r="L16416">
        <f t="shared" si="1"/>
      </c>
      <c r="M16416">
        <f t="shared" si="2"/>
      </c>
    </row>
    <row r="16417">
      <c r="G16417" s="9">
        <f t="shared" si="0"/>
      </c>
      <c r="L16417">
        <f t="shared" si="1"/>
      </c>
      <c r="M16417">
        <f t="shared" si="2"/>
      </c>
    </row>
    <row r="16418">
      <c r="G16418" s="9">
        <f t="shared" si="0"/>
      </c>
      <c r="L16418">
        <f t="shared" si="1"/>
      </c>
      <c r="M16418">
        <f t="shared" si="2"/>
      </c>
    </row>
    <row r="16419">
      <c r="G16419" s="9">
        <f t="shared" si="0"/>
      </c>
      <c r="L16419">
        <f t="shared" si="1"/>
      </c>
      <c r="M16419">
        <f t="shared" si="2"/>
      </c>
    </row>
    <row r="16420">
      <c r="G16420" s="9">
        <f t="shared" si="0"/>
      </c>
      <c r="L16420">
        <f t="shared" si="1"/>
      </c>
      <c r="M16420">
        <f t="shared" si="2"/>
      </c>
    </row>
    <row r="16421">
      <c r="G16421" s="9">
        <f t="shared" si="0"/>
      </c>
      <c r="L16421">
        <f t="shared" si="1"/>
      </c>
      <c r="M16421">
        <f t="shared" si="2"/>
      </c>
    </row>
    <row r="16422">
      <c r="G16422" s="9">
        <f t="shared" si="0"/>
      </c>
      <c r="L16422">
        <f t="shared" si="1"/>
      </c>
      <c r="M16422">
        <f t="shared" si="2"/>
      </c>
    </row>
    <row r="16423">
      <c r="G16423" s="9">
        <f t="shared" si="0"/>
      </c>
      <c r="L16423">
        <f t="shared" si="1"/>
      </c>
      <c r="M16423">
        <f t="shared" si="2"/>
      </c>
    </row>
    <row r="16424">
      <c r="G16424" s="9">
        <f t="shared" si="0"/>
      </c>
      <c r="L16424">
        <f t="shared" si="1"/>
      </c>
      <c r="M16424">
        <f t="shared" si="2"/>
      </c>
    </row>
    <row r="16425">
      <c r="G16425" s="9">
        <f t="shared" si="0"/>
      </c>
      <c r="L16425">
        <f t="shared" si="1"/>
      </c>
      <c r="M16425">
        <f t="shared" si="2"/>
      </c>
    </row>
    <row r="16426">
      <c r="G16426" s="9">
        <f t="shared" si="0"/>
      </c>
      <c r="L16426">
        <f t="shared" si="1"/>
      </c>
      <c r="M16426">
        <f t="shared" si="2"/>
      </c>
    </row>
    <row r="16427">
      <c r="G16427" s="9">
        <f t="shared" si="0"/>
      </c>
      <c r="L16427">
        <f t="shared" si="1"/>
      </c>
      <c r="M16427">
        <f t="shared" si="2"/>
      </c>
    </row>
    <row r="16428">
      <c r="G16428" s="9">
        <f t="shared" si="0"/>
      </c>
      <c r="L16428">
        <f t="shared" si="1"/>
      </c>
      <c r="M16428">
        <f t="shared" si="2"/>
      </c>
    </row>
    <row r="16429">
      <c r="G16429" s="9">
        <f t="shared" si="0"/>
      </c>
      <c r="L16429">
        <f t="shared" si="1"/>
      </c>
      <c r="M16429">
        <f t="shared" si="2"/>
      </c>
    </row>
    <row r="16430">
      <c r="G16430" s="9">
        <f t="shared" si="0"/>
      </c>
      <c r="L16430">
        <f t="shared" si="1"/>
      </c>
      <c r="M16430">
        <f t="shared" si="2"/>
      </c>
    </row>
    <row r="16431">
      <c r="G16431" s="9">
        <f t="shared" si="0"/>
      </c>
      <c r="L16431">
        <f t="shared" si="1"/>
      </c>
      <c r="M16431">
        <f t="shared" si="2"/>
      </c>
    </row>
    <row r="16432">
      <c r="G16432" s="9">
        <f t="shared" si="0"/>
      </c>
      <c r="L16432">
        <f t="shared" si="1"/>
      </c>
      <c r="M16432">
        <f t="shared" si="2"/>
      </c>
    </row>
    <row r="16433">
      <c r="G16433" s="9">
        <f t="shared" si="0"/>
      </c>
      <c r="L16433">
        <f t="shared" si="1"/>
      </c>
      <c r="M16433">
        <f t="shared" si="2"/>
      </c>
    </row>
    <row r="16434">
      <c r="G16434" s="9">
        <f t="shared" si="0"/>
      </c>
      <c r="L16434">
        <f t="shared" si="1"/>
      </c>
      <c r="M16434">
        <f t="shared" si="2"/>
      </c>
    </row>
    <row r="16435">
      <c r="G16435" s="9">
        <f t="shared" si="0"/>
      </c>
      <c r="L16435">
        <f t="shared" si="1"/>
      </c>
      <c r="M16435">
        <f t="shared" si="2"/>
      </c>
    </row>
    <row r="16436">
      <c r="G16436" s="9">
        <f t="shared" si="0"/>
      </c>
      <c r="L16436">
        <f t="shared" si="1"/>
      </c>
      <c r="M16436">
        <f t="shared" si="2"/>
      </c>
    </row>
    <row r="16437">
      <c r="G16437" s="9">
        <f t="shared" si="0"/>
      </c>
      <c r="L16437">
        <f t="shared" si="1"/>
      </c>
      <c r="M16437">
        <f t="shared" si="2"/>
      </c>
    </row>
    <row r="16438">
      <c r="G16438" s="9">
        <f t="shared" si="0"/>
      </c>
      <c r="L16438">
        <f t="shared" si="1"/>
      </c>
      <c r="M16438">
        <f t="shared" si="2"/>
      </c>
    </row>
    <row r="16439">
      <c r="G16439" s="9">
        <f t="shared" si="0"/>
      </c>
      <c r="L16439">
        <f t="shared" si="1"/>
      </c>
      <c r="M16439">
        <f t="shared" si="2"/>
      </c>
    </row>
    <row r="16440">
      <c r="G16440" s="9">
        <f t="shared" si="0"/>
      </c>
      <c r="L16440">
        <f t="shared" si="1"/>
      </c>
      <c r="M16440">
        <f t="shared" si="2"/>
      </c>
    </row>
    <row r="16441">
      <c r="G16441" s="9">
        <f t="shared" si="0"/>
      </c>
      <c r="L16441">
        <f t="shared" si="1"/>
      </c>
      <c r="M16441">
        <f t="shared" si="2"/>
      </c>
    </row>
    <row r="16442">
      <c r="G16442" s="9">
        <f t="shared" si="0"/>
      </c>
      <c r="L16442">
        <f t="shared" si="1"/>
      </c>
      <c r="M16442">
        <f t="shared" si="2"/>
      </c>
    </row>
    <row r="16443">
      <c r="G16443" s="9">
        <f t="shared" si="0"/>
      </c>
      <c r="L16443">
        <f t="shared" si="1"/>
      </c>
      <c r="M16443">
        <f t="shared" si="2"/>
      </c>
    </row>
    <row r="16444">
      <c r="G16444" s="9">
        <f t="shared" si="0"/>
      </c>
      <c r="L16444">
        <f t="shared" si="1"/>
      </c>
      <c r="M16444">
        <f t="shared" si="2"/>
      </c>
    </row>
    <row r="16445">
      <c r="G16445" s="9">
        <f t="shared" si="0"/>
      </c>
      <c r="L16445">
        <f t="shared" si="1"/>
      </c>
      <c r="M16445">
        <f t="shared" si="2"/>
      </c>
    </row>
    <row r="16446">
      <c r="G16446" s="9">
        <f t="shared" si="0"/>
      </c>
      <c r="L16446">
        <f t="shared" si="1"/>
      </c>
      <c r="M16446">
        <f t="shared" si="2"/>
      </c>
    </row>
    <row r="16447">
      <c r="G16447" s="9">
        <f t="shared" si="0"/>
      </c>
      <c r="L16447">
        <f t="shared" si="1"/>
      </c>
      <c r="M16447">
        <f t="shared" si="2"/>
      </c>
    </row>
    <row r="16448">
      <c r="G16448" s="9">
        <f t="shared" si="0"/>
      </c>
      <c r="L16448">
        <f t="shared" si="1"/>
      </c>
      <c r="M16448">
        <f t="shared" si="2"/>
      </c>
    </row>
    <row r="16449">
      <c r="G16449" s="9">
        <f t="shared" si="0"/>
      </c>
      <c r="L16449">
        <f t="shared" si="1"/>
      </c>
      <c r="M16449">
        <f t="shared" si="2"/>
      </c>
    </row>
    <row r="16450">
      <c r="G16450" s="9">
        <f t="shared" si="0"/>
      </c>
      <c r="L16450">
        <f t="shared" si="1"/>
      </c>
      <c r="M16450">
        <f t="shared" si="2"/>
      </c>
    </row>
    <row r="16451">
      <c r="G16451" s="9">
        <f t="shared" si="0"/>
      </c>
      <c r="L16451">
        <f t="shared" si="1"/>
      </c>
      <c r="M16451">
        <f t="shared" si="2"/>
      </c>
    </row>
    <row r="16452">
      <c r="G16452" s="9">
        <f t="shared" si="0"/>
      </c>
      <c r="L16452">
        <f t="shared" si="1"/>
      </c>
      <c r="M16452">
        <f t="shared" si="2"/>
      </c>
    </row>
    <row r="16453">
      <c r="G16453" s="9">
        <f t="shared" si="0"/>
      </c>
      <c r="L16453">
        <f t="shared" si="1"/>
      </c>
      <c r="M16453">
        <f t="shared" si="2"/>
      </c>
    </row>
    <row r="16454">
      <c r="G16454" s="9">
        <f t="shared" si="0"/>
      </c>
      <c r="L16454">
        <f t="shared" si="1"/>
      </c>
      <c r="M16454">
        <f t="shared" si="2"/>
      </c>
    </row>
    <row r="16455">
      <c r="G16455" s="9">
        <f t="shared" si="0"/>
      </c>
      <c r="L16455">
        <f t="shared" si="1"/>
      </c>
      <c r="M16455">
        <f t="shared" si="2"/>
      </c>
    </row>
    <row r="16456">
      <c r="G16456" s="9">
        <f t="shared" si="0"/>
      </c>
      <c r="L16456">
        <f t="shared" si="1"/>
      </c>
      <c r="M16456">
        <f t="shared" si="2"/>
      </c>
    </row>
    <row r="16457">
      <c r="G16457" s="9">
        <f t="shared" si="0"/>
      </c>
      <c r="L16457">
        <f t="shared" si="1"/>
      </c>
      <c r="M16457">
        <f t="shared" si="2"/>
      </c>
    </row>
    <row r="16458">
      <c r="G16458" s="9">
        <f t="shared" si="0"/>
      </c>
      <c r="L16458">
        <f t="shared" si="1"/>
      </c>
      <c r="M16458">
        <f t="shared" si="2"/>
      </c>
    </row>
    <row r="16459">
      <c r="G16459" s="9">
        <f t="shared" si="0"/>
      </c>
      <c r="L16459">
        <f t="shared" si="1"/>
      </c>
      <c r="M16459">
        <f t="shared" si="2"/>
      </c>
    </row>
    <row r="16460">
      <c r="G16460" s="9">
        <f t="shared" si="0"/>
      </c>
      <c r="L16460">
        <f t="shared" si="1"/>
      </c>
      <c r="M16460">
        <f t="shared" si="2"/>
      </c>
    </row>
    <row r="16461">
      <c r="G16461" s="9">
        <f t="shared" si="0"/>
      </c>
      <c r="L16461">
        <f t="shared" si="1"/>
      </c>
      <c r="M16461">
        <f t="shared" si="2"/>
      </c>
    </row>
    <row r="16462">
      <c r="G16462" s="9">
        <f t="shared" si="0"/>
      </c>
      <c r="L16462">
        <f t="shared" si="1"/>
      </c>
      <c r="M16462">
        <f t="shared" si="2"/>
      </c>
    </row>
    <row r="16463">
      <c r="G16463" s="9">
        <f t="shared" si="0"/>
      </c>
      <c r="L16463">
        <f t="shared" si="1"/>
      </c>
      <c r="M16463">
        <f t="shared" si="2"/>
      </c>
    </row>
    <row r="16464">
      <c r="G16464" s="9">
        <f t="shared" si="0"/>
      </c>
      <c r="L16464">
        <f t="shared" si="1"/>
      </c>
      <c r="M16464">
        <f t="shared" si="2"/>
      </c>
    </row>
    <row r="16465">
      <c r="G16465" s="9">
        <f t="shared" si="0"/>
      </c>
      <c r="L16465">
        <f t="shared" si="1"/>
      </c>
      <c r="M16465">
        <f t="shared" si="2"/>
      </c>
    </row>
    <row r="16466">
      <c r="G16466" s="9">
        <f t="shared" si="0"/>
      </c>
      <c r="L16466">
        <f t="shared" si="1"/>
      </c>
      <c r="M16466">
        <f t="shared" si="2"/>
      </c>
    </row>
    <row r="16467">
      <c r="G16467" s="9">
        <f t="shared" si="0"/>
      </c>
      <c r="L16467">
        <f t="shared" si="1"/>
      </c>
      <c r="M16467">
        <f t="shared" si="2"/>
      </c>
    </row>
    <row r="16468">
      <c r="G16468" s="9">
        <f t="shared" si="0"/>
      </c>
      <c r="L16468">
        <f t="shared" si="1"/>
      </c>
      <c r="M16468">
        <f t="shared" si="2"/>
      </c>
    </row>
    <row r="16469">
      <c r="G16469" s="9">
        <f t="shared" si="0"/>
      </c>
      <c r="L16469">
        <f t="shared" si="1"/>
      </c>
      <c r="M16469">
        <f t="shared" si="2"/>
      </c>
    </row>
    <row r="16470">
      <c r="G16470" s="9">
        <f t="shared" si="0"/>
      </c>
      <c r="L16470">
        <f t="shared" si="1"/>
      </c>
      <c r="M16470">
        <f t="shared" si="2"/>
      </c>
    </row>
    <row r="16471">
      <c r="G16471" s="9">
        <f t="shared" si="0"/>
      </c>
      <c r="L16471">
        <f t="shared" si="1"/>
      </c>
      <c r="M16471">
        <f t="shared" si="2"/>
      </c>
    </row>
    <row r="16472">
      <c r="G16472" s="9">
        <f t="shared" si="0"/>
      </c>
      <c r="L16472">
        <f t="shared" si="1"/>
      </c>
      <c r="M16472">
        <f t="shared" si="2"/>
      </c>
    </row>
    <row r="16473">
      <c r="G16473" s="9">
        <f t="shared" si="0"/>
      </c>
      <c r="L16473">
        <f t="shared" si="1"/>
      </c>
      <c r="M16473">
        <f t="shared" si="2"/>
      </c>
    </row>
    <row r="16474">
      <c r="G16474" s="9">
        <f t="shared" si="0"/>
      </c>
      <c r="L16474">
        <f t="shared" si="1"/>
      </c>
      <c r="M16474">
        <f t="shared" si="2"/>
      </c>
    </row>
    <row r="16475">
      <c r="G16475" s="9">
        <f t="shared" si="0"/>
      </c>
      <c r="L16475">
        <f t="shared" si="1"/>
      </c>
      <c r="M16475">
        <f t="shared" si="2"/>
      </c>
    </row>
    <row r="16476">
      <c r="G16476" s="9">
        <f t="shared" si="0"/>
      </c>
      <c r="L16476">
        <f t="shared" si="1"/>
      </c>
      <c r="M16476">
        <f t="shared" si="2"/>
      </c>
    </row>
    <row r="16477">
      <c r="G16477" s="9">
        <f t="shared" si="0"/>
      </c>
      <c r="L16477">
        <f t="shared" si="1"/>
      </c>
      <c r="M16477">
        <f t="shared" si="2"/>
      </c>
    </row>
    <row r="16478">
      <c r="G16478" s="9">
        <f t="shared" si="0"/>
      </c>
      <c r="L16478">
        <f t="shared" si="1"/>
      </c>
      <c r="M16478">
        <f t="shared" si="2"/>
      </c>
    </row>
    <row r="16479">
      <c r="G16479" s="9">
        <f t="shared" si="0"/>
      </c>
      <c r="L16479">
        <f t="shared" si="1"/>
      </c>
      <c r="M16479">
        <f t="shared" si="2"/>
      </c>
    </row>
    <row r="16480">
      <c r="G16480" s="9">
        <f t="shared" si="0"/>
      </c>
      <c r="L16480">
        <f t="shared" si="1"/>
      </c>
      <c r="M16480">
        <f t="shared" si="2"/>
      </c>
    </row>
    <row r="16481">
      <c r="G16481" s="9">
        <f t="shared" si="0"/>
      </c>
      <c r="L16481">
        <f t="shared" si="1"/>
      </c>
      <c r="M16481">
        <f t="shared" si="2"/>
      </c>
    </row>
    <row r="16482">
      <c r="G16482" s="9">
        <f t="shared" si="0"/>
      </c>
      <c r="L16482">
        <f t="shared" si="1"/>
      </c>
      <c r="M16482">
        <f t="shared" si="2"/>
      </c>
    </row>
    <row r="16483">
      <c r="G16483" s="9">
        <f t="shared" si="0"/>
      </c>
      <c r="L16483">
        <f t="shared" si="1"/>
      </c>
      <c r="M16483">
        <f t="shared" si="2"/>
      </c>
    </row>
    <row r="16484">
      <c r="G16484" s="9">
        <f t="shared" si="0"/>
      </c>
      <c r="L16484">
        <f t="shared" si="1"/>
      </c>
      <c r="M16484">
        <f t="shared" si="2"/>
      </c>
    </row>
    <row r="16485">
      <c r="G16485" s="9">
        <f t="shared" si="0"/>
      </c>
      <c r="L16485">
        <f t="shared" si="1"/>
      </c>
      <c r="M16485">
        <f t="shared" si="2"/>
      </c>
    </row>
    <row r="16486">
      <c r="G16486" s="9">
        <f t="shared" si="0"/>
      </c>
      <c r="L16486">
        <f t="shared" si="1"/>
      </c>
      <c r="M16486">
        <f t="shared" si="2"/>
      </c>
    </row>
    <row r="16487">
      <c r="G16487" s="9">
        <f t="shared" si="0"/>
      </c>
      <c r="L16487">
        <f t="shared" si="1"/>
      </c>
      <c r="M16487">
        <f t="shared" si="2"/>
      </c>
    </row>
    <row r="16488">
      <c r="G16488" s="9">
        <f t="shared" si="0"/>
      </c>
      <c r="L16488">
        <f t="shared" si="1"/>
      </c>
      <c r="M16488">
        <f t="shared" si="2"/>
      </c>
    </row>
    <row r="16489">
      <c r="G16489" s="9">
        <f t="shared" si="0"/>
      </c>
      <c r="L16489">
        <f t="shared" si="1"/>
      </c>
      <c r="M16489">
        <f t="shared" si="2"/>
      </c>
    </row>
    <row r="16490">
      <c r="G16490" s="9">
        <f t="shared" si="0"/>
      </c>
      <c r="L16490">
        <f t="shared" si="1"/>
      </c>
      <c r="M16490">
        <f t="shared" si="2"/>
      </c>
    </row>
    <row r="16491">
      <c r="G16491" s="9">
        <f t="shared" si="0"/>
      </c>
      <c r="L16491">
        <f t="shared" si="1"/>
      </c>
      <c r="M16491">
        <f t="shared" si="2"/>
      </c>
    </row>
    <row r="16492">
      <c r="G16492" s="9">
        <f t="shared" si="0"/>
      </c>
      <c r="L16492">
        <f t="shared" si="1"/>
      </c>
      <c r="M16492">
        <f t="shared" si="2"/>
      </c>
    </row>
    <row r="16493">
      <c r="G16493" s="9">
        <f t="shared" si="0"/>
      </c>
      <c r="L16493">
        <f t="shared" si="1"/>
      </c>
      <c r="M16493">
        <f t="shared" si="2"/>
      </c>
    </row>
    <row r="16494">
      <c r="G16494" s="9">
        <f t="shared" si="0"/>
      </c>
      <c r="L16494">
        <f t="shared" si="1"/>
      </c>
      <c r="M16494">
        <f t="shared" si="2"/>
      </c>
    </row>
    <row r="16495">
      <c r="G16495" s="9">
        <f t="shared" si="0"/>
      </c>
      <c r="L16495">
        <f t="shared" si="1"/>
      </c>
      <c r="M16495">
        <f t="shared" si="2"/>
      </c>
    </row>
    <row r="16496">
      <c r="G16496" s="9">
        <f t="shared" si="0"/>
      </c>
      <c r="L16496">
        <f t="shared" si="1"/>
      </c>
      <c r="M16496">
        <f t="shared" si="2"/>
      </c>
    </row>
    <row r="16497">
      <c r="G16497" s="9">
        <f t="shared" si="0"/>
      </c>
      <c r="L16497">
        <f t="shared" si="1"/>
      </c>
      <c r="M16497">
        <f t="shared" si="2"/>
      </c>
    </row>
    <row r="16498">
      <c r="G16498" s="9">
        <f t="shared" si="0"/>
      </c>
      <c r="L16498">
        <f t="shared" si="1"/>
      </c>
      <c r="M16498">
        <f t="shared" si="2"/>
      </c>
    </row>
    <row r="16499">
      <c r="G16499" s="9">
        <f t="shared" si="0"/>
      </c>
      <c r="L16499">
        <f t="shared" si="1"/>
      </c>
      <c r="M16499">
        <f t="shared" si="2"/>
      </c>
    </row>
    <row r="16500">
      <c r="G16500" s="9">
        <f t="shared" si="0"/>
      </c>
      <c r="L16500">
        <f t="shared" si="1"/>
      </c>
      <c r="M16500">
        <f t="shared" si="2"/>
      </c>
    </row>
    <row r="16501">
      <c r="G16501" s="9">
        <f t="shared" si="0"/>
      </c>
      <c r="L16501">
        <f t="shared" si="1"/>
      </c>
      <c r="M16501">
        <f t="shared" si="2"/>
      </c>
    </row>
    <row r="16502">
      <c r="G16502" s="9">
        <f t="shared" si="0"/>
      </c>
      <c r="L16502">
        <f t="shared" si="1"/>
      </c>
      <c r="M16502">
        <f t="shared" si="2"/>
      </c>
    </row>
    <row r="16503">
      <c r="G16503" s="9">
        <f t="shared" si="0"/>
      </c>
      <c r="L16503">
        <f t="shared" si="1"/>
      </c>
      <c r="M16503">
        <f t="shared" si="2"/>
      </c>
    </row>
    <row r="16504">
      <c r="G16504" s="9">
        <f t="shared" si="0"/>
      </c>
      <c r="L16504">
        <f t="shared" si="1"/>
      </c>
      <c r="M16504">
        <f t="shared" si="2"/>
      </c>
    </row>
    <row r="16505">
      <c r="G16505" s="9">
        <f t="shared" si="0"/>
      </c>
      <c r="L16505">
        <f t="shared" si="1"/>
      </c>
      <c r="M16505">
        <f t="shared" si="2"/>
      </c>
    </row>
    <row r="16506">
      <c r="G16506" s="9">
        <f t="shared" si="0"/>
      </c>
      <c r="L16506">
        <f t="shared" si="1"/>
      </c>
      <c r="M16506">
        <f t="shared" si="2"/>
      </c>
    </row>
    <row r="16507">
      <c r="G16507" s="9">
        <f t="shared" si="0"/>
      </c>
      <c r="L16507">
        <f t="shared" si="1"/>
      </c>
      <c r="M16507">
        <f t="shared" si="2"/>
      </c>
    </row>
    <row r="16508">
      <c r="G16508" s="9">
        <f t="shared" si="0"/>
      </c>
      <c r="L16508">
        <f t="shared" si="1"/>
      </c>
      <c r="M16508">
        <f t="shared" si="2"/>
      </c>
    </row>
    <row r="16509">
      <c r="G16509" s="9">
        <f t="shared" si="0"/>
      </c>
      <c r="L16509">
        <f t="shared" si="1"/>
      </c>
      <c r="M16509">
        <f t="shared" si="2"/>
      </c>
    </row>
    <row r="16510">
      <c r="G16510" s="9">
        <f t="shared" si="0"/>
      </c>
      <c r="L16510">
        <f t="shared" si="1"/>
      </c>
      <c r="M16510">
        <f t="shared" si="2"/>
      </c>
    </row>
    <row r="16511">
      <c r="G16511" s="9">
        <f t="shared" si="0"/>
      </c>
      <c r="L16511">
        <f t="shared" si="1"/>
      </c>
      <c r="M16511">
        <f t="shared" si="2"/>
      </c>
    </row>
    <row r="16512">
      <c r="G16512" s="9">
        <f t="shared" si="0"/>
      </c>
      <c r="L16512">
        <f t="shared" si="1"/>
      </c>
      <c r="M16512">
        <f t="shared" si="2"/>
      </c>
    </row>
    <row r="16513">
      <c r="G16513" s="9">
        <f t="shared" si="0"/>
      </c>
      <c r="L16513">
        <f t="shared" si="1"/>
      </c>
      <c r="M16513">
        <f t="shared" si="2"/>
      </c>
    </row>
    <row r="16514">
      <c r="G16514" s="9">
        <f t="shared" si="0"/>
      </c>
      <c r="L16514">
        <f t="shared" si="1"/>
      </c>
      <c r="M16514">
        <f t="shared" si="2"/>
      </c>
    </row>
    <row r="16515">
      <c r="G16515" s="9">
        <f t="shared" si="0"/>
      </c>
      <c r="L16515">
        <f t="shared" si="1"/>
      </c>
      <c r="M16515">
        <f t="shared" si="2"/>
      </c>
    </row>
    <row r="16516">
      <c r="G16516" s="9">
        <f t="shared" si="0"/>
      </c>
      <c r="L16516">
        <f t="shared" si="1"/>
      </c>
      <c r="M16516">
        <f t="shared" si="2"/>
      </c>
    </row>
    <row r="16517">
      <c r="G16517" s="9">
        <f t="shared" si="0"/>
      </c>
      <c r="L16517">
        <f t="shared" si="1"/>
      </c>
      <c r="M16517">
        <f t="shared" si="2"/>
      </c>
    </row>
    <row r="16518">
      <c r="G16518" s="9">
        <f t="shared" si="0"/>
      </c>
      <c r="L16518">
        <f t="shared" si="1"/>
      </c>
      <c r="M16518">
        <f t="shared" si="2"/>
      </c>
    </row>
    <row r="16519">
      <c r="G16519" s="9">
        <f t="shared" si="0"/>
      </c>
      <c r="L16519">
        <f t="shared" si="1"/>
      </c>
      <c r="M16519">
        <f t="shared" si="2"/>
      </c>
    </row>
    <row r="16520">
      <c r="G16520" s="9">
        <f t="shared" si="0"/>
      </c>
      <c r="L16520">
        <f t="shared" si="1"/>
      </c>
      <c r="M16520">
        <f t="shared" si="2"/>
      </c>
    </row>
    <row r="16521">
      <c r="G16521" s="9">
        <f t="shared" si="0"/>
      </c>
      <c r="L16521">
        <f t="shared" si="1"/>
      </c>
      <c r="M16521">
        <f t="shared" si="2"/>
      </c>
    </row>
    <row r="16522">
      <c r="G16522" s="9">
        <f t="shared" si="0"/>
      </c>
      <c r="L16522">
        <f t="shared" si="1"/>
      </c>
      <c r="M16522">
        <f t="shared" si="2"/>
      </c>
    </row>
    <row r="16523">
      <c r="G16523" s="9">
        <f t="shared" si="0"/>
      </c>
      <c r="L16523">
        <f t="shared" si="1"/>
      </c>
      <c r="M16523">
        <f t="shared" si="2"/>
      </c>
    </row>
    <row r="16524">
      <c r="G16524" s="9">
        <f t="shared" si="0"/>
      </c>
      <c r="L16524">
        <f t="shared" si="1"/>
      </c>
      <c r="M16524">
        <f t="shared" si="2"/>
      </c>
    </row>
    <row r="16525">
      <c r="G16525" s="9">
        <f t="shared" si="0"/>
      </c>
      <c r="L16525">
        <f t="shared" si="1"/>
      </c>
      <c r="M16525">
        <f t="shared" si="2"/>
      </c>
    </row>
    <row r="16526">
      <c r="G16526" s="9">
        <f t="shared" si="0"/>
      </c>
      <c r="L16526">
        <f t="shared" si="1"/>
      </c>
      <c r="M16526">
        <f t="shared" si="2"/>
      </c>
    </row>
    <row r="16527">
      <c r="G16527" s="9">
        <f t="shared" si="0"/>
      </c>
      <c r="L16527">
        <f t="shared" si="1"/>
      </c>
      <c r="M16527">
        <f t="shared" si="2"/>
      </c>
    </row>
    <row r="16528">
      <c r="G16528" s="9">
        <f t="shared" si="0"/>
      </c>
      <c r="L16528">
        <f t="shared" si="1"/>
      </c>
      <c r="M16528">
        <f t="shared" si="2"/>
      </c>
    </row>
    <row r="16529">
      <c r="G16529" s="9">
        <f t="shared" si="0"/>
      </c>
      <c r="L16529">
        <f t="shared" si="1"/>
      </c>
      <c r="M16529">
        <f t="shared" si="2"/>
      </c>
    </row>
    <row r="16530">
      <c r="G16530" s="9">
        <f t="shared" si="0"/>
      </c>
      <c r="L16530">
        <f t="shared" si="1"/>
      </c>
      <c r="M16530">
        <f t="shared" si="2"/>
      </c>
    </row>
    <row r="16531">
      <c r="G16531" s="9">
        <f t="shared" si="0"/>
      </c>
      <c r="L16531">
        <f t="shared" si="1"/>
      </c>
      <c r="M16531">
        <f t="shared" si="2"/>
      </c>
    </row>
    <row r="16532">
      <c r="G16532" s="9">
        <f t="shared" si="0"/>
      </c>
      <c r="L16532">
        <f t="shared" si="1"/>
      </c>
      <c r="M16532">
        <f t="shared" si="2"/>
      </c>
    </row>
    <row r="16533">
      <c r="G16533" s="9">
        <f t="shared" si="0"/>
      </c>
      <c r="L16533">
        <f t="shared" si="1"/>
      </c>
      <c r="M16533">
        <f t="shared" si="2"/>
      </c>
    </row>
    <row r="16534">
      <c r="G16534" s="9">
        <f t="shared" si="0"/>
      </c>
      <c r="L16534">
        <f t="shared" si="1"/>
      </c>
      <c r="M16534">
        <f t="shared" si="2"/>
      </c>
    </row>
    <row r="16535">
      <c r="G16535" s="9">
        <f t="shared" si="0"/>
      </c>
      <c r="L16535">
        <f t="shared" si="1"/>
      </c>
      <c r="M16535">
        <f t="shared" si="2"/>
      </c>
    </row>
    <row r="16536">
      <c r="G16536" s="9">
        <f t="shared" si="0"/>
      </c>
      <c r="L16536">
        <f t="shared" si="1"/>
      </c>
      <c r="M16536">
        <f t="shared" si="2"/>
      </c>
    </row>
    <row r="16537">
      <c r="G16537" s="9">
        <f t="shared" si="0"/>
      </c>
      <c r="L16537">
        <f t="shared" si="1"/>
      </c>
      <c r="M16537">
        <f t="shared" si="2"/>
      </c>
    </row>
    <row r="16538">
      <c r="G16538" s="9">
        <f t="shared" si="0"/>
      </c>
      <c r="L16538">
        <f t="shared" si="1"/>
      </c>
      <c r="M16538">
        <f t="shared" si="2"/>
      </c>
    </row>
    <row r="16539">
      <c r="G16539" s="9">
        <f t="shared" si="0"/>
      </c>
      <c r="L16539">
        <f t="shared" si="1"/>
      </c>
      <c r="M16539">
        <f t="shared" si="2"/>
      </c>
    </row>
    <row r="16540">
      <c r="G16540" s="9">
        <f t="shared" si="0"/>
      </c>
      <c r="L16540">
        <f t="shared" si="1"/>
      </c>
      <c r="M16540">
        <f t="shared" si="2"/>
      </c>
    </row>
    <row r="16541">
      <c r="G16541" s="9">
        <f t="shared" si="0"/>
      </c>
      <c r="L16541">
        <f t="shared" si="1"/>
      </c>
      <c r="M16541">
        <f t="shared" si="2"/>
      </c>
    </row>
    <row r="16542">
      <c r="G16542" s="9">
        <f t="shared" si="0"/>
      </c>
      <c r="L16542">
        <f t="shared" si="1"/>
      </c>
      <c r="M16542">
        <f t="shared" si="2"/>
      </c>
    </row>
    <row r="16543">
      <c r="G16543" s="9">
        <f t="shared" si="0"/>
      </c>
      <c r="L16543">
        <f t="shared" si="1"/>
      </c>
      <c r="M16543">
        <f t="shared" si="2"/>
      </c>
    </row>
    <row r="16544">
      <c r="G16544" s="9">
        <f t="shared" si="0"/>
      </c>
      <c r="L16544">
        <f t="shared" si="1"/>
      </c>
      <c r="M16544">
        <f t="shared" si="2"/>
      </c>
    </row>
    <row r="16545">
      <c r="G16545" s="9">
        <f t="shared" si="0"/>
      </c>
      <c r="L16545">
        <f t="shared" si="1"/>
      </c>
      <c r="M16545">
        <f t="shared" si="2"/>
      </c>
    </row>
    <row r="16546">
      <c r="G16546" s="9">
        <f t="shared" si="0"/>
      </c>
      <c r="L16546">
        <f t="shared" si="1"/>
      </c>
      <c r="M16546">
        <f t="shared" si="2"/>
      </c>
    </row>
    <row r="16547">
      <c r="G16547" s="9">
        <f t="shared" si="0"/>
      </c>
      <c r="L16547">
        <f t="shared" si="1"/>
      </c>
      <c r="M16547">
        <f t="shared" si="2"/>
      </c>
    </row>
    <row r="16548">
      <c r="G16548" s="9">
        <f t="shared" si="0"/>
      </c>
      <c r="L16548">
        <f t="shared" si="1"/>
      </c>
      <c r="M16548">
        <f t="shared" si="2"/>
      </c>
    </row>
    <row r="16549">
      <c r="G16549" s="9">
        <f t="shared" si="0"/>
      </c>
      <c r="L16549">
        <f t="shared" si="1"/>
      </c>
      <c r="M16549">
        <f t="shared" si="2"/>
      </c>
    </row>
    <row r="16550">
      <c r="G16550" s="9">
        <f t="shared" si="0"/>
      </c>
      <c r="L16550">
        <f t="shared" si="1"/>
      </c>
      <c r="M16550">
        <f t="shared" si="2"/>
      </c>
    </row>
    <row r="16551">
      <c r="G16551" s="9">
        <f t="shared" si="0"/>
      </c>
      <c r="L16551">
        <f t="shared" si="1"/>
      </c>
      <c r="M16551">
        <f t="shared" si="2"/>
      </c>
    </row>
    <row r="16552">
      <c r="G16552" s="9">
        <f t="shared" si="0"/>
      </c>
      <c r="L16552">
        <f t="shared" si="1"/>
      </c>
      <c r="M16552">
        <f t="shared" si="2"/>
      </c>
    </row>
    <row r="16553">
      <c r="G16553" s="9">
        <f t="shared" si="0"/>
      </c>
      <c r="L16553">
        <f t="shared" si="1"/>
      </c>
      <c r="M16553">
        <f t="shared" si="2"/>
      </c>
    </row>
    <row r="16554">
      <c r="G16554" s="9">
        <f t="shared" si="0"/>
      </c>
      <c r="L16554">
        <f t="shared" si="1"/>
      </c>
      <c r="M16554">
        <f t="shared" si="2"/>
      </c>
    </row>
    <row r="16555">
      <c r="G16555" s="9">
        <f t="shared" si="0"/>
      </c>
      <c r="L16555">
        <f t="shared" si="1"/>
      </c>
      <c r="M16555">
        <f t="shared" si="2"/>
      </c>
    </row>
    <row r="16556">
      <c r="G16556" s="9">
        <f t="shared" si="0"/>
      </c>
      <c r="L16556">
        <f t="shared" si="1"/>
      </c>
      <c r="M16556">
        <f t="shared" si="2"/>
      </c>
    </row>
    <row r="16557">
      <c r="G16557" s="9">
        <f t="shared" si="0"/>
      </c>
      <c r="L16557">
        <f t="shared" si="1"/>
      </c>
      <c r="M16557">
        <f t="shared" si="2"/>
      </c>
    </row>
    <row r="16558">
      <c r="G16558" s="9">
        <f t="shared" si="0"/>
      </c>
      <c r="L16558">
        <f t="shared" si="1"/>
      </c>
      <c r="M16558">
        <f t="shared" si="2"/>
      </c>
    </row>
    <row r="16559">
      <c r="G16559" s="9">
        <f t="shared" si="0"/>
      </c>
      <c r="L16559">
        <f t="shared" si="1"/>
      </c>
      <c r="M16559">
        <f t="shared" si="2"/>
      </c>
    </row>
    <row r="16560">
      <c r="G16560" s="9">
        <f t="shared" si="0"/>
      </c>
      <c r="L16560">
        <f t="shared" si="1"/>
      </c>
      <c r="M16560">
        <f t="shared" si="2"/>
      </c>
    </row>
    <row r="16561">
      <c r="G16561" s="9">
        <f t="shared" si="0"/>
      </c>
      <c r="L16561">
        <f t="shared" si="1"/>
      </c>
      <c r="M16561">
        <f t="shared" si="2"/>
      </c>
    </row>
    <row r="16562">
      <c r="G16562" s="9">
        <f t="shared" si="0"/>
      </c>
      <c r="L16562">
        <f t="shared" si="1"/>
      </c>
      <c r="M16562">
        <f t="shared" si="2"/>
      </c>
    </row>
    <row r="16563">
      <c r="G16563" s="9">
        <f t="shared" si="0"/>
      </c>
      <c r="L16563">
        <f t="shared" si="1"/>
      </c>
      <c r="M16563">
        <f t="shared" si="2"/>
      </c>
    </row>
    <row r="16564">
      <c r="G16564" s="9">
        <f t="shared" si="0"/>
      </c>
      <c r="L16564">
        <f t="shared" si="1"/>
      </c>
      <c r="M16564">
        <f t="shared" si="2"/>
      </c>
    </row>
    <row r="16565">
      <c r="G16565" s="9">
        <f t="shared" si="0"/>
      </c>
      <c r="L16565">
        <f t="shared" si="1"/>
      </c>
      <c r="M16565">
        <f t="shared" si="2"/>
      </c>
    </row>
    <row r="16566">
      <c r="G16566" s="9">
        <f t="shared" si="0"/>
      </c>
      <c r="L16566">
        <f t="shared" si="1"/>
      </c>
      <c r="M16566">
        <f t="shared" si="2"/>
      </c>
    </row>
    <row r="16567">
      <c r="G16567" s="9">
        <f t="shared" si="0"/>
      </c>
      <c r="L16567">
        <f t="shared" si="1"/>
      </c>
      <c r="M16567">
        <f t="shared" si="2"/>
      </c>
    </row>
    <row r="16568">
      <c r="G16568" s="9">
        <f t="shared" si="0"/>
      </c>
      <c r="L16568">
        <f t="shared" si="1"/>
      </c>
      <c r="M16568">
        <f t="shared" si="2"/>
      </c>
    </row>
    <row r="16569">
      <c r="G16569" s="9">
        <f t="shared" si="0"/>
      </c>
      <c r="L16569">
        <f t="shared" si="1"/>
      </c>
      <c r="M16569">
        <f t="shared" si="2"/>
      </c>
    </row>
    <row r="16570">
      <c r="G16570" s="9">
        <f t="shared" si="0"/>
      </c>
      <c r="L16570">
        <f t="shared" si="1"/>
      </c>
      <c r="M16570">
        <f t="shared" si="2"/>
      </c>
    </row>
    <row r="16571">
      <c r="G16571" s="9">
        <f t="shared" si="0"/>
      </c>
      <c r="L16571">
        <f t="shared" si="1"/>
      </c>
      <c r="M16571">
        <f t="shared" si="2"/>
      </c>
    </row>
    <row r="16572">
      <c r="G16572" s="9">
        <f t="shared" si="0"/>
      </c>
      <c r="L16572">
        <f t="shared" si="1"/>
      </c>
      <c r="M16572">
        <f t="shared" si="2"/>
      </c>
    </row>
    <row r="16573">
      <c r="G16573" s="9">
        <f t="shared" si="0"/>
      </c>
      <c r="L16573">
        <f t="shared" si="1"/>
      </c>
      <c r="M16573">
        <f t="shared" si="2"/>
      </c>
    </row>
    <row r="16574">
      <c r="G16574" s="9">
        <f t="shared" si="0"/>
      </c>
      <c r="L16574">
        <f t="shared" si="1"/>
      </c>
      <c r="M16574">
        <f t="shared" si="2"/>
      </c>
    </row>
    <row r="16575">
      <c r="G16575" s="9">
        <f t="shared" si="0"/>
      </c>
      <c r="L16575">
        <f t="shared" si="1"/>
      </c>
      <c r="M16575">
        <f t="shared" si="2"/>
      </c>
    </row>
    <row r="16576">
      <c r="G16576" s="9">
        <f t="shared" si="0"/>
      </c>
      <c r="L16576">
        <f t="shared" si="1"/>
      </c>
      <c r="M16576">
        <f t="shared" si="2"/>
      </c>
    </row>
    <row r="16577">
      <c r="G16577" s="9">
        <f t="shared" si="0"/>
      </c>
      <c r="L16577">
        <f t="shared" si="1"/>
      </c>
      <c r="M16577">
        <f t="shared" si="2"/>
      </c>
    </row>
    <row r="16578">
      <c r="G16578" s="9">
        <f t="shared" si="0"/>
      </c>
      <c r="L16578">
        <f t="shared" si="1"/>
      </c>
      <c r="M16578">
        <f t="shared" si="2"/>
      </c>
    </row>
    <row r="16579">
      <c r="G16579" s="9">
        <f t="shared" si="0"/>
      </c>
      <c r="L16579">
        <f t="shared" si="1"/>
      </c>
      <c r="M16579">
        <f t="shared" si="2"/>
      </c>
    </row>
    <row r="16580">
      <c r="G16580" s="9">
        <f t="shared" si="0"/>
      </c>
      <c r="L16580">
        <f t="shared" si="1"/>
      </c>
      <c r="M16580">
        <f t="shared" si="2"/>
      </c>
    </row>
    <row r="16581">
      <c r="G16581" s="9">
        <f t="shared" si="0"/>
      </c>
      <c r="L16581">
        <f t="shared" si="1"/>
      </c>
      <c r="M16581">
        <f t="shared" si="2"/>
      </c>
    </row>
    <row r="16582">
      <c r="G16582" s="9">
        <f t="shared" si="0"/>
      </c>
      <c r="L16582">
        <f t="shared" si="1"/>
      </c>
      <c r="M16582">
        <f t="shared" si="2"/>
      </c>
    </row>
    <row r="16583">
      <c r="G16583" s="9">
        <f t="shared" si="0"/>
      </c>
      <c r="L16583">
        <f t="shared" si="1"/>
      </c>
      <c r="M16583">
        <f t="shared" si="2"/>
      </c>
    </row>
    <row r="16584">
      <c r="G16584" s="9">
        <f t="shared" si="0"/>
      </c>
      <c r="L16584">
        <f t="shared" si="1"/>
      </c>
      <c r="M16584">
        <f t="shared" si="2"/>
      </c>
    </row>
    <row r="16585">
      <c r="G16585" s="9">
        <f t="shared" si="0"/>
      </c>
      <c r="L16585">
        <f t="shared" si="1"/>
      </c>
      <c r="M16585">
        <f t="shared" si="2"/>
      </c>
    </row>
    <row r="16586">
      <c r="G16586" s="9">
        <f t="shared" si="0"/>
      </c>
      <c r="L16586">
        <f t="shared" si="1"/>
      </c>
      <c r="M16586">
        <f t="shared" si="2"/>
      </c>
    </row>
    <row r="16587">
      <c r="G16587" s="9">
        <f t="shared" si="0"/>
      </c>
      <c r="L16587">
        <f t="shared" si="1"/>
      </c>
      <c r="M16587">
        <f t="shared" si="2"/>
      </c>
    </row>
    <row r="16588">
      <c r="G16588" s="9">
        <f t="shared" si="0"/>
      </c>
      <c r="L16588">
        <f t="shared" si="1"/>
      </c>
      <c r="M16588">
        <f t="shared" si="2"/>
      </c>
    </row>
    <row r="16589">
      <c r="G16589" s="9">
        <f t="shared" si="0"/>
      </c>
      <c r="L16589">
        <f t="shared" si="1"/>
      </c>
      <c r="M16589">
        <f t="shared" si="2"/>
      </c>
    </row>
    <row r="16590">
      <c r="G16590" s="9">
        <f t="shared" si="0"/>
      </c>
      <c r="L16590">
        <f t="shared" si="1"/>
      </c>
      <c r="M16590">
        <f t="shared" si="2"/>
      </c>
    </row>
    <row r="16591">
      <c r="G16591" s="9">
        <f t="shared" si="0"/>
      </c>
      <c r="L16591">
        <f t="shared" si="1"/>
      </c>
      <c r="M16591">
        <f t="shared" si="2"/>
      </c>
    </row>
    <row r="16592">
      <c r="G16592" s="9">
        <f t="shared" si="0"/>
      </c>
      <c r="L16592">
        <f t="shared" si="1"/>
      </c>
      <c r="M16592">
        <f t="shared" si="2"/>
      </c>
    </row>
    <row r="16593">
      <c r="G16593" s="9">
        <f t="shared" si="0"/>
      </c>
      <c r="L16593">
        <f t="shared" si="1"/>
      </c>
      <c r="M16593">
        <f t="shared" si="2"/>
      </c>
    </row>
    <row r="16594">
      <c r="G16594" s="9">
        <f t="shared" si="0"/>
      </c>
      <c r="L16594">
        <f t="shared" si="1"/>
      </c>
      <c r="M16594">
        <f t="shared" si="2"/>
      </c>
    </row>
    <row r="16595">
      <c r="G16595" s="9">
        <f t="shared" si="0"/>
      </c>
      <c r="L16595">
        <f t="shared" si="1"/>
      </c>
      <c r="M16595">
        <f t="shared" si="2"/>
      </c>
    </row>
    <row r="16596">
      <c r="G16596" s="9">
        <f t="shared" si="0"/>
      </c>
      <c r="L16596">
        <f t="shared" si="1"/>
      </c>
      <c r="M16596">
        <f t="shared" si="2"/>
      </c>
    </row>
    <row r="16597">
      <c r="G16597" s="9">
        <f t="shared" si="0"/>
      </c>
      <c r="L16597">
        <f t="shared" si="1"/>
      </c>
      <c r="M16597">
        <f t="shared" si="2"/>
      </c>
    </row>
    <row r="16598">
      <c r="G16598" s="9">
        <f t="shared" si="0"/>
      </c>
      <c r="L16598">
        <f t="shared" si="1"/>
      </c>
      <c r="M16598">
        <f t="shared" si="2"/>
      </c>
    </row>
    <row r="16599">
      <c r="G16599" s="9">
        <f t="shared" si="0"/>
      </c>
      <c r="L16599">
        <f t="shared" si="1"/>
      </c>
      <c r="M16599">
        <f t="shared" si="2"/>
      </c>
    </row>
    <row r="16600">
      <c r="G16600" s="9">
        <f t="shared" si="0"/>
      </c>
      <c r="L16600">
        <f t="shared" si="1"/>
      </c>
      <c r="M16600">
        <f t="shared" si="2"/>
      </c>
    </row>
    <row r="16601">
      <c r="G16601" s="9">
        <f t="shared" si="0"/>
      </c>
      <c r="L16601">
        <f t="shared" si="1"/>
      </c>
      <c r="M16601">
        <f t="shared" si="2"/>
      </c>
    </row>
    <row r="16602">
      <c r="G16602" s="9">
        <f t="shared" si="0"/>
      </c>
      <c r="L16602">
        <f t="shared" si="1"/>
      </c>
      <c r="M16602">
        <f t="shared" si="2"/>
      </c>
    </row>
    <row r="16603">
      <c r="G16603" s="9">
        <f t="shared" si="0"/>
      </c>
      <c r="L16603">
        <f t="shared" si="1"/>
      </c>
      <c r="M16603">
        <f t="shared" si="2"/>
      </c>
    </row>
    <row r="16604">
      <c r="G16604" s="9">
        <f t="shared" si="0"/>
      </c>
      <c r="L16604">
        <f t="shared" si="1"/>
      </c>
      <c r="M16604">
        <f t="shared" si="2"/>
      </c>
    </row>
    <row r="16605">
      <c r="G16605" s="9">
        <f t="shared" si="0"/>
      </c>
      <c r="L16605">
        <f t="shared" si="1"/>
      </c>
      <c r="M16605">
        <f t="shared" si="2"/>
      </c>
    </row>
    <row r="16606">
      <c r="G16606" s="9">
        <f t="shared" si="0"/>
      </c>
      <c r="L16606">
        <f t="shared" si="1"/>
      </c>
      <c r="M16606">
        <f t="shared" si="2"/>
      </c>
    </row>
    <row r="16607">
      <c r="G16607" s="9">
        <f t="shared" si="0"/>
      </c>
      <c r="L16607">
        <f t="shared" si="1"/>
      </c>
      <c r="M16607">
        <f t="shared" si="2"/>
      </c>
    </row>
    <row r="16608">
      <c r="G16608" s="9">
        <f t="shared" si="0"/>
      </c>
      <c r="L16608">
        <f t="shared" si="1"/>
      </c>
      <c r="M16608">
        <f t="shared" si="2"/>
      </c>
    </row>
    <row r="16609">
      <c r="G16609" s="9">
        <f t="shared" si="0"/>
      </c>
      <c r="L16609">
        <f t="shared" si="1"/>
      </c>
      <c r="M16609">
        <f t="shared" si="2"/>
      </c>
    </row>
    <row r="16610">
      <c r="G16610" s="9">
        <f t="shared" si="0"/>
      </c>
      <c r="L16610">
        <f t="shared" si="1"/>
      </c>
      <c r="M16610">
        <f t="shared" si="2"/>
      </c>
    </row>
    <row r="16611">
      <c r="G16611" s="9">
        <f t="shared" si="0"/>
      </c>
      <c r="L16611">
        <f t="shared" si="1"/>
      </c>
      <c r="M16611">
        <f t="shared" si="2"/>
      </c>
    </row>
    <row r="16612">
      <c r="G16612" s="9">
        <f t="shared" si="0"/>
      </c>
      <c r="L16612">
        <f t="shared" si="1"/>
      </c>
      <c r="M16612">
        <f t="shared" si="2"/>
      </c>
    </row>
    <row r="16613">
      <c r="G16613" s="9">
        <f t="shared" si="0"/>
      </c>
      <c r="L16613">
        <f t="shared" si="1"/>
      </c>
      <c r="M16613">
        <f t="shared" si="2"/>
      </c>
    </row>
    <row r="16614">
      <c r="G16614" s="9">
        <f t="shared" si="0"/>
      </c>
      <c r="L16614">
        <f t="shared" si="1"/>
      </c>
      <c r="M16614">
        <f t="shared" si="2"/>
      </c>
    </row>
    <row r="16615">
      <c r="G16615" s="9">
        <f t="shared" si="0"/>
      </c>
      <c r="L16615">
        <f t="shared" si="1"/>
      </c>
      <c r="M16615">
        <f t="shared" si="2"/>
      </c>
    </row>
    <row r="16616">
      <c r="G16616" s="9">
        <f t="shared" si="0"/>
      </c>
      <c r="L16616">
        <f t="shared" si="1"/>
      </c>
      <c r="M16616">
        <f t="shared" si="2"/>
      </c>
    </row>
    <row r="16617">
      <c r="G16617" s="9">
        <f t="shared" si="0"/>
      </c>
      <c r="L16617">
        <f t="shared" si="1"/>
      </c>
      <c r="M16617">
        <f t="shared" si="2"/>
      </c>
    </row>
    <row r="16618">
      <c r="G16618" s="9">
        <f t="shared" si="0"/>
      </c>
      <c r="L16618">
        <f t="shared" si="1"/>
      </c>
      <c r="M16618">
        <f t="shared" si="2"/>
      </c>
    </row>
    <row r="16619">
      <c r="G16619" s="9">
        <f t="shared" si="0"/>
      </c>
      <c r="L16619">
        <f t="shared" si="1"/>
      </c>
      <c r="M16619">
        <f t="shared" si="2"/>
      </c>
    </row>
    <row r="16620">
      <c r="G16620" s="9">
        <f t="shared" si="0"/>
      </c>
      <c r="L16620">
        <f t="shared" si="1"/>
      </c>
      <c r="M16620">
        <f t="shared" si="2"/>
      </c>
    </row>
    <row r="16621">
      <c r="G16621" s="9">
        <f t="shared" si="0"/>
      </c>
      <c r="L16621">
        <f t="shared" si="1"/>
      </c>
      <c r="M16621">
        <f t="shared" si="2"/>
      </c>
    </row>
    <row r="16622">
      <c r="G16622" s="9">
        <f t="shared" si="0"/>
      </c>
      <c r="L16622">
        <f t="shared" si="1"/>
      </c>
      <c r="M16622">
        <f t="shared" si="2"/>
      </c>
    </row>
    <row r="16623">
      <c r="G16623" s="9">
        <f t="shared" si="0"/>
      </c>
      <c r="L16623">
        <f t="shared" si="1"/>
      </c>
      <c r="M16623">
        <f t="shared" si="2"/>
      </c>
    </row>
    <row r="16624">
      <c r="G16624" s="9">
        <f t="shared" si="0"/>
      </c>
      <c r="L16624">
        <f t="shared" si="1"/>
      </c>
      <c r="M16624">
        <f t="shared" si="2"/>
      </c>
    </row>
    <row r="16625">
      <c r="G16625" s="9">
        <f t="shared" si="0"/>
      </c>
      <c r="L16625">
        <f t="shared" si="1"/>
      </c>
      <c r="M16625">
        <f t="shared" si="2"/>
      </c>
    </row>
    <row r="16626">
      <c r="G16626" s="9">
        <f t="shared" si="0"/>
      </c>
      <c r="L16626">
        <f t="shared" si="1"/>
      </c>
      <c r="M16626">
        <f t="shared" si="2"/>
      </c>
    </row>
    <row r="16627">
      <c r="G16627" s="9">
        <f t="shared" si="0"/>
      </c>
      <c r="L16627">
        <f t="shared" si="1"/>
      </c>
      <c r="M16627">
        <f t="shared" si="2"/>
      </c>
    </row>
    <row r="16628">
      <c r="G16628" s="9">
        <f t="shared" si="0"/>
      </c>
      <c r="L16628">
        <f t="shared" si="1"/>
      </c>
      <c r="M16628">
        <f t="shared" si="2"/>
      </c>
    </row>
    <row r="16629">
      <c r="G16629" s="9">
        <f t="shared" si="0"/>
      </c>
      <c r="L16629">
        <f t="shared" si="1"/>
      </c>
      <c r="M16629">
        <f t="shared" si="2"/>
      </c>
    </row>
    <row r="16630">
      <c r="G16630" s="9">
        <f t="shared" si="0"/>
      </c>
      <c r="L16630">
        <f t="shared" si="1"/>
      </c>
      <c r="M16630">
        <f t="shared" si="2"/>
      </c>
    </row>
    <row r="16631">
      <c r="G16631" s="9">
        <f t="shared" si="0"/>
      </c>
      <c r="L16631">
        <f t="shared" si="1"/>
      </c>
      <c r="M16631">
        <f t="shared" si="2"/>
      </c>
    </row>
    <row r="16632">
      <c r="G16632" s="9">
        <f t="shared" si="0"/>
      </c>
      <c r="L16632">
        <f t="shared" si="1"/>
      </c>
      <c r="M16632">
        <f t="shared" si="2"/>
      </c>
    </row>
    <row r="16633">
      <c r="G16633" s="9">
        <f t="shared" si="0"/>
      </c>
      <c r="L16633">
        <f t="shared" si="1"/>
      </c>
      <c r="M16633">
        <f t="shared" si="2"/>
      </c>
    </row>
    <row r="16634">
      <c r="G16634" s="9">
        <f t="shared" si="0"/>
      </c>
      <c r="L16634">
        <f t="shared" si="1"/>
      </c>
      <c r="M16634">
        <f t="shared" si="2"/>
      </c>
    </row>
    <row r="16635">
      <c r="G16635" s="9">
        <f t="shared" si="0"/>
      </c>
      <c r="L16635">
        <f t="shared" si="1"/>
      </c>
      <c r="M16635">
        <f t="shared" si="2"/>
      </c>
    </row>
    <row r="16636">
      <c r="G16636" s="9">
        <f t="shared" si="0"/>
      </c>
      <c r="L16636">
        <f t="shared" si="1"/>
      </c>
      <c r="M16636">
        <f t="shared" si="2"/>
      </c>
    </row>
    <row r="16637">
      <c r="G16637" s="9">
        <f t="shared" si="0"/>
      </c>
      <c r="L16637">
        <f t="shared" si="1"/>
      </c>
      <c r="M16637">
        <f t="shared" si="2"/>
      </c>
    </row>
    <row r="16638">
      <c r="G16638" s="9">
        <f t="shared" si="0"/>
      </c>
      <c r="L16638">
        <f t="shared" si="1"/>
      </c>
      <c r="M16638">
        <f t="shared" si="2"/>
      </c>
    </row>
    <row r="16639">
      <c r="G16639" s="9">
        <f t="shared" si="0"/>
      </c>
      <c r="L16639">
        <f t="shared" si="1"/>
      </c>
      <c r="M16639">
        <f t="shared" si="2"/>
      </c>
    </row>
    <row r="16640">
      <c r="G16640" s="9">
        <f t="shared" si="0"/>
      </c>
      <c r="L16640">
        <f t="shared" si="1"/>
      </c>
      <c r="M16640">
        <f t="shared" si="2"/>
      </c>
    </row>
    <row r="16641">
      <c r="G16641" s="9">
        <f t="shared" si="0"/>
      </c>
      <c r="L16641">
        <f t="shared" si="1"/>
      </c>
      <c r="M16641">
        <f t="shared" si="2"/>
      </c>
    </row>
    <row r="16642">
      <c r="G16642" s="9">
        <f t="shared" si="0"/>
      </c>
      <c r="L16642">
        <f t="shared" si="1"/>
      </c>
      <c r="M16642">
        <f t="shared" si="2"/>
      </c>
    </row>
    <row r="16643">
      <c r="G16643" s="9">
        <f t="shared" si="0"/>
      </c>
      <c r="L16643">
        <f t="shared" si="1"/>
      </c>
      <c r="M16643">
        <f t="shared" si="2"/>
      </c>
    </row>
    <row r="16644">
      <c r="G16644" s="9">
        <f t="shared" si="0"/>
      </c>
      <c r="L16644">
        <f t="shared" si="1"/>
      </c>
      <c r="M16644">
        <f t="shared" si="2"/>
      </c>
    </row>
    <row r="16645">
      <c r="G16645" s="9">
        <f t="shared" si="0"/>
      </c>
      <c r="L16645">
        <f t="shared" si="1"/>
      </c>
      <c r="M16645">
        <f t="shared" si="2"/>
      </c>
    </row>
    <row r="16646">
      <c r="G16646" s="9">
        <f t="shared" si="0"/>
      </c>
      <c r="L16646">
        <f t="shared" si="1"/>
      </c>
      <c r="M16646">
        <f t="shared" si="2"/>
      </c>
    </row>
    <row r="16647">
      <c r="G16647" s="9">
        <f t="shared" si="0"/>
      </c>
      <c r="L16647">
        <f t="shared" si="1"/>
      </c>
      <c r="M16647">
        <f t="shared" si="2"/>
      </c>
    </row>
    <row r="16648">
      <c r="G16648" s="9">
        <f t="shared" si="0"/>
      </c>
      <c r="L16648">
        <f t="shared" si="1"/>
      </c>
      <c r="M16648">
        <f t="shared" si="2"/>
      </c>
    </row>
    <row r="16649">
      <c r="G16649" s="9">
        <f t="shared" si="0"/>
      </c>
      <c r="L16649">
        <f t="shared" si="1"/>
      </c>
      <c r="M16649">
        <f t="shared" si="2"/>
      </c>
    </row>
    <row r="16650">
      <c r="G16650" s="9">
        <f t="shared" si="0"/>
      </c>
      <c r="L16650">
        <f t="shared" si="1"/>
      </c>
      <c r="M16650">
        <f t="shared" si="2"/>
      </c>
    </row>
    <row r="16651">
      <c r="G16651" s="9">
        <f t="shared" si="0"/>
      </c>
      <c r="L16651">
        <f t="shared" si="1"/>
      </c>
      <c r="M16651">
        <f t="shared" si="2"/>
      </c>
    </row>
    <row r="16652">
      <c r="G16652" s="9">
        <f t="shared" si="0"/>
      </c>
      <c r="L16652">
        <f t="shared" si="1"/>
      </c>
      <c r="M16652">
        <f t="shared" si="2"/>
      </c>
    </row>
    <row r="16653">
      <c r="G16653" s="9">
        <f t="shared" si="0"/>
      </c>
      <c r="L16653">
        <f t="shared" si="1"/>
      </c>
      <c r="M16653">
        <f t="shared" si="2"/>
      </c>
    </row>
    <row r="16654">
      <c r="G16654" s="9">
        <f t="shared" si="0"/>
      </c>
      <c r="L16654">
        <f t="shared" si="1"/>
      </c>
      <c r="M16654">
        <f t="shared" si="2"/>
      </c>
    </row>
    <row r="16655">
      <c r="G16655" s="9">
        <f t="shared" si="0"/>
      </c>
      <c r="L16655">
        <f t="shared" si="1"/>
      </c>
      <c r="M16655">
        <f t="shared" si="2"/>
      </c>
    </row>
    <row r="16656">
      <c r="G16656" s="9">
        <f t="shared" si="0"/>
      </c>
      <c r="L16656">
        <f t="shared" si="1"/>
      </c>
      <c r="M16656">
        <f t="shared" si="2"/>
      </c>
    </row>
    <row r="16657">
      <c r="G16657" s="9">
        <f t="shared" si="0"/>
      </c>
      <c r="L16657">
        <f t="shared" si="1"/>
      </c>
      <c r="M16657">
        <f t="shared" si="2"/>
      </c>
    </row>
    <row r="16658">
      <c r="G16658" s="9">
        <f t="shared" si="0"/>
      </c>
      <c r="L16658">
        <f t="shared" si="1"/>
      </c>
      <c r="M16658">
        <f t="shared" si="2"/>
      </c>
    </row>
    <row r="16659">
      <c r="G16659" s="9">
        <f t="shared" si="0"/>
      </c>
      <c r="L16659">
        <f t="shared" si="1"/>
      </c>
      <c r="M16659">
        <f t="shared" si="2"/>
      </c>
    </row>
    <row r="16660">
      <c r="G16660" s="9">
        <f t="shared" si="0"/>
      </c>
      <c r="L16660">
        <f t="shared" si="1"/>
      </c>
      <c r="M16660">
        <f t="shared" si="2"/>
      </c>
    </row>
    <row r="16661">
      <c r="G16661" s="9">
        <f t="shared" si="0"/>
      </c>
      <c r="L16661">
        <f t="shared" si="1"/>
      </c>
      <c r="M16661">
        <f t="shared" si="2"/>
      </c>
    </row>
    <row r="16662">
      <c r="G16662" s="9">
        <f t="shared" si="0"/>
      </c>
      <c r="L16662">
        <f t="shared" si="1"/>
      </c>
      <c r="M16662">
        <f t="shared" si="2"/>
      </c>
    </row>
    <row r="16663">
      <c r="G16663" s="9">
        <f t="shared" si="0"/>
      </c>
      <c r="L16663">
        <f t="shared" si="1"/>
      </c>
      <c r="M16663">
        <f t="shared" si="2"/>
      </c>
    </row>
    <row r="16664">
      <c r="G16664" s="9">
        <f t="shared" si="0"/>
      </c>
      <c r="L16664">
        <f t="shared" si="1"/>
      </c>
      <c r="M16664">
        <f t="shared" si="2"/>
      </c>
    </row>
    <row r="16665">
      <c r="G16665" s="9">
        <f t="shared" si="0"/>
      </c>
      <c r="L16665">
        <f t="shared" si="1"/>
      </c>
      <c r="M16665">
        <f t="shared" si="2"/>
      </c>
    </row>
    <row r="16666">
      <c r="G16666" s="9">
        <f t="shared" si="0"/>
      </c>
      <c r="L16666">
        <f t="shared" si="1"/>
      </c>
      <c r="M16666">
        <f t="shared" si="2"/>
      </c>
    </row>
    <row r="16667">
      <c r="G16667" s="9">
        <f t="shared" si="0"/>
      </c>
      <c r="L16667">
        <f t="shared" si="1"/>
      </c>
      <c r="M16667">
        <f t="shared" si="2"/>
      </c>
    </row>
    <row r="16668">
      <c r="G16668" s="9">
        <f t="shared" si="0"/>
      </c>
      <c r="L16668">
        <f t="shared" si="1"/>
      </c>
      <c r="M16668">
        <f t="shared" si="2"/>
      </c>
    </row>
    <row r="16669">
      <c r="G16669" s="9">
        <f t="shared" si="0"/>
      </c>
      <c r="L16669">
        <f t="shared" si="1"/>
      </c>
      <c r="M16669">
        <f t="shared" si="2"/>
      </c>
    </row>
    <row r="16670">
      <c r="G16670" s="9">
        <f t="shared" si="0"/>
      </c>
      <c r="L16670">
        <f t="shared" si="1"/>
      </c>
      <c r="M16670">
        <f t="shared" si="2"/>
      </c>
    </row>
    <row r="16671">
      <c r="G16671" s="9">
        <f t="shared" si="0"/>
      </c>
      <c r="L16671">
        <f t="shared" si="1"/>
      </c>
      <c r="M16671">
        <f t="shared" si="2"/>
      </c>
    </row>
    <row r="16672">
      <c r="G16672" s="9">
        <f t="shared" si="0"/>
      </c>
      <c r="L16672">
        <f t="shared" si="1"/>
      </c>
      <c r="M16672">
        <f t="shared" si="2"/>
      </c>
    </row>
    <row r="16673">
      <c r="G16673" s="9">
        <f t="shared" si="0"/>
      </c>
      <c r="L16673">
        <f t="shared" si="1"/>
      </c>
      <c r="M16673">
        <f t="shared" si="2"/>
      </c>
    </row>
    <row r="16674">
      <c r="G16674" s="9">
        <f t="shared" si="0"/>
      </c>
      <c r="L16674">
        <f t="shared" si="1"/>
      </c>
      <c r="M16674">
        <f t="shared" si="2"/>
      </c>
    </row>
    <row r="16675">
      <c r="G16675" s="9">
        <f t="shared" si="0"/>
      </c>
      <c r="L16675">
        <f t="shared" si="1"/>
      </c>
      <c r="M16675">
        <f t="shared" si="2"/>
      </c>
    </row>
    <row r="16676">
      <c r="G16676" s="9">
        <f t="shared" si="0"/>
      </c>
      <c r="L16676">
        <f t="shared" si="1"/>
      </c>
      <c r="M16676">
        <f t="shared" si="2"/>
      </c>
    </row>
    <row r="16677">
      <c r="G16677" s="9">
        <f t="shared" si="0"/>
      </c>
      <c r="L16677">
        <f t="shared" si="1"/>
      </c>
      <c r="M16677">
        <f t="shared" si="2"/>
      </c>
    </row>
    <row r="16678">
      <c r="G16678" s="9">
        <f t="shared" si="0"/>
      </c>
      <c r="L16678">
        <f t="shared" si="1"/>
      </c>
      <c r="M16678">
        <f t="shared" si="2"/>
      </c>
    </row>
    <row r="16679">
      <c r="G16679" s="9">
        <f t="shared" si="0"/>
      </c>
      <c r="L16679">
        <f t="shared" si="1"/>
      </c>
      <c r="M16679">
        <f t="shared" si="2"/>
      </c>
    </row>
    <row r="16680">
      <c r="G16680" s="9">
        <f t="shared" si="0"/>
      </c>
      <c r="L16680">
        <f t="shared" si="1"/>
      </c>
      <c r="M16680">
        <f t="shared" si="2"/>
      </c>
    </row>
    <row r="16681">
      <c r="G16681" s="9">
        <f t="shared" si="0"/>
      </c>
      <c r="L16681">
        <f t="shared" si="1"/>
      </c>
      <c r="M16681">
        <f t="shared" si="2"/>
      </c>
    </row>
    <row r="16682">
      <c r="G16682" s="9">
        <f t="shared" si="0"/>
      </c>
      <c r="L16682">
        <f t="shared" si="1"/>
      </c>
      <c r="M16682">
        <f t="shared" si="2"/>
      </c>
    </row>
    <row r="16683">
      <c r="G16683" s="9">
        <f t="shared" si="0"/>
      </c>
      <c r="L16683">
        <f t="shared" si="1"/>
      </c>
      <c r="M16683">
        <f t="shared" si="2"/>
      </c>
    </row>
    <row r="16684">
      <c r="G16684" s="9">
        <f t="shared" si="0"/>
      </c>
      <c r="L16684">
        <f t="shared" si="1"/>
      </c>
      <c r="M16684">
        <f t="shared" si="2"/>
      </c>
    </row>
    <row r="16685">
      <c r="G16685" s="9">
        <f t="shared" si="0"/>
      </c>
      <c r="L16685">
        <f t="shared" si="1"/>
      </c>
      <c r="M16685">
        <f t="shared" si="2"/>
      </c>
    </row>
    <row r="16686">
      <c r="G16686" s="9">
        <f t="shared" si="0"/>
      </c>
      <c r="L16686">
        <f t="shared" si="1"/>
      </c>
      <c r="M16686">
        <f t="shared" si="2"/>
      </c>
    </row>
    <row r="16687">
      <c r="G16687" s="9">
        <f t="shared" si="0"/>
      </c>
      <c r="L16687">
        <f t="shared" si="1"/>
      </c>
      <c r="M16687">
        <f t="shared" si="2"/>
      </c>
    </row>
    <row r="16688">
      <c r="G16688" s="9">
        <f t="shared" si="0"/>
      </c>
      <c r="L16688">
        <f t="shared" si="1"/>
      </c>
      <c r="M16688">
        <f t="shared" si="2"/>
      </c>
    </row>
    <row r="16689">
      <c r="G16689" s="9">
        <f t="shared" si="0"/>
      </c>
      <c r="L16689">
        <f t="shared" si="1"/>
      </c>
      <c r="M16689">
        <f t="shared" si="2"/>
      </c>
    </row>
    <row r="16690">
      <c r="G16690" s="9">
        <f t="shared" si="0"/>
      </c>
      <c r="L16690">
        <f t="shared" si="1"/>
      </c>
      <c r="M16690">
        <f t="shared" si="2"/>
      </c>
    </row>
    <row r="16691">
      <c r="G16691" s="9">
        <f t="shared" si="0"/>
      </c>
      <c r="L16691">
        <f t="shared" si="1"/>
      </c>
      <c r="M16691">
        <f t="shared" si="2"/>
      </c>
    </row>
    <row r="16692">
      <c r="G16692" s="9">
        <f t="shared" si="0"/>
      </c>
      <c r="L16692">
        <f t="shared" si="1"/>
      </c>
      <c r="M16692">
        <f t="shared" si="2"/>
      </c>
    </row>
    <row r="16693">
      <c r="G16693" s="9">
        <f t="shared" si="0"/>
      </c>
      <c r="L16693">
        <f t="shared" si="1"/>
      </c>
      <c r="M16693">
        <f t="shared" si="2"/>
      </c>
    </row>
    <row r="16694">
      <c r="G16694" s="9">
        <f t="shared" si="0"/>
      </c>
      <c r="L16694">
        <f t="shared" si="1"/>
      </c>
      <c r="M16694">
        <f t="shared" si="2"/>
      </c>
    </row>
    <row r="16695">
      <c r="G16695" s="9">
        <f t="shared" si="0"/>
      </c>
      <c r="L16695">
        <f t="shared" si="1"/>
      </c>
      <c r="M16695">
        <f t="shared" si="2"/>
      </c>
    </row>
    <row r="16696">
      <c r="G16696" s="9">
        <f t="shared" si="0"/>
      </c>
      <c r="L16696">
        <f t="shared" si="1"/>
      </c>
      <c r="M16696">
        <f t="shared" si="2"/>
      </c>
    </row>
    <row r="16697">
      <c r="G16697" s="9">
        <f t="shared" si="0"/>
      </c>
      <c r="L16697">
        <f t="shared" si="1"/>
      </c>
      <c r="M16697">
        <f t="shared" si="2"/>
      </c>
    </row>
    <row r="16698">
      <c r="G16698" s="9">
        <f t="shared" si="0"/>
      </c>
      <c r="L16698">
        <f t="shared" si="1"/>
      </c>
      <c r="M16698">
        <f t="shared" si="2"/>
      </c>
    </row>
    <row r="16699">
      <c r="G16699" s="9">
        <f t="shared" si="0"/>
      </c>
      <c r="L16699">
        <f t="shared" si="1"/>
      </c>
      <c r="M16699">
        <f t="shared" si="2"/>
      </c>
    </row>
    <row r="16700">
      <c r="G16700" s="9">
        <f t="shared" si="0"/>
      </c>
      <c r="L16700">
        <f t="shared" si="1"/>
      </c>
      <c r="M16700">
        <f t="shared" si="2"/>
      </c>
    </row>
    <row r="16701">
      <c r="G16701" s="9">
        <f t="shared" si="0"/>
      </c>
      <c r="L16701">
        <f t="shared" si="1"/>
      </c>
      <c r="M16701">
        <f t="shared" si="2"/>
      </c>
    </row>
    <row r="16702">
      <c r="G16702" s="9">
        <f t="shared" si="0"/>
      </c>
      <c r="L16702">
        <f t="shared" si="1"/>
      </c>
      <c r="M16702">
        <f t="shared" si="2"/>
      </c>
    </row>
    <row r="16703">
      <c r="G16703" s="9">
        <f t="shared" si="0"/>
      </c>
      <c r="L16703">
        <f t="shared" si="1"/>
      </c>
      <c r="M16703">
        <f t="shared" si="2"/>
      </c>
    </row>
    <row r="16704">
      <c r="G16704" s="9">
        <f t="shared" si="0"/>
      </c>
      <c r="L16704">
        <f t="shared" si="1"/>
      </c>
      <c r="M16704">
        <f t="shared" si="2"/>
      </c>
    </row>
    <row r="16705">
      <c r="G16705" s="9">
        <f t="shared" si="0"/>
      </c>
      <c r="L16705">
        <f t="shared" si="1"/>
      </c>
      <c r="M16705">
        <f t="shared" si="2"/>
      </c>
    </row>
    <row r="16706">
      <c r="G16706" s="9">
        <f t="shared" si="0"/>
      </c>
      <c r="L16706">
        <f t="shared" si="1"/>
      </c>
      <c r="M16706">
        <f t="shared" si="2"/>
      </c>
    </row>
    <row r="16707">
      <c r="G16707" s="9">
        <f t="shared" si="0"/>
      </c>
      <c r="L16707">
        <f t="shared" si="1"/>
      </c>
      <c r="M16707">
        <f t="shared" si="2"/>
      </c>
    </row>
    <row r="16708">
      <c r="G16708" s="9">
        <f t="shared" si="0"/>
      </c>
      <c r="L16708">
        <f t="shared" si="1"/>
      </c>
      <c r="M16708">
        <f t="shared" si="2"/>
      </c>
    </row>
    <row r="16709">
      <c r="G16709" s="9">
        <f t="shared" si="0"/>
      </c>
      <c r="L16709">
        <f t="shared" si="1"/>
      </c>
      <c r="M16709">
        <f t="shared" si="2"/>
      </c>
    </row>
    <row r="16710">
      <c r="G16710" s="9">
        <f t="shared" si="0"/>
      </c>
      <c r="L16710">
        <f t="shared" si="1"/>
      </c>
      <c r="M16710">
        <f t="shared" si="2"/>
      </c>
    </row>
    <row r="16711">
      <c r="G16711" s="9">
        <f t="shared" si="0"/>
      </c>
      <c r="L16711">
        <f t="shared" si="1"/>
      </c>
      <c r="M16711">
        <f t="shared" si="2"/>
      </c>
    </row>
    <row r="16712">
      <c r="G16712" s="9">
        <f t="shared" si="0"/>
      </c>
      <c r="L16712">
        <f t="shared" si="1"/>
      </c>
      <c r="M16712">
        <f t="shared" si="2"/>
      </c>
    </row>
    <row r="16713">
      <c r="G16713" s="9">
        <f t="shared" si="0"/>
      </c>
      <c r="L16713">
        <f t="shared" si="1"/>
      </c>
      <c r="M16713">
        <f t="shared" si="2"/>
      </c>
    </row>
    <row r="16714">
      <c r="G16714" s="9">
        <f t="shared" si="0"/>
      </c>
      <c r="L16714">
        <f t="shared" si="1"/>
      </c>
      <c r="M16714">
        <f t="shared" si="2"/>
      </c>
    </row>
    <row r="16715">
      <c r="G16715" s="9">
        <f t="shared" si="0"/>
      </c>
      <c r="L16715">
        <f t="shared" si="1"/>
      </c>
      <c r="M16715">
        <f t="shared" si="2"/>
      </c>
    </row>
    <row r="16716">
      <c r="G16716" s="9">
        <f t="shared" si="0"/>
      </c>
      <c r="L16716">
        <f t="shared" si="1"/>
      </c>
      <c r="M16716">
        <f t="shared" si="2"/>
      </c>
    </row>
    <row r="16717">
      <c r="G16717" s="9">
        <f t="shared" si="0"/>
      </c>
      <c r="L16717">
        <f t="shared" si="1"/>
      </c>
      <c r="M16717">
        <f t="shared" si="2"/>
      </c>
    </row>
    <row r="16718">
      <c r="G16718" s="9">
        <f t="shared" si="0"/>
      </c>
      <c r="L16718">
        <f t="shared" si="1"/>
      </c>
      <c r="M16718">
        <f t="shared" si="2"/>
      </c>
    </row>
    <row r="16719">
      <c r="G16719" s="9">
        <f t="shared" si="0"/>
      </c>
      <c r="L16719">
        <f t="shared" si="1"/>
      </c>
      <c r="M16719">
        <f t="shared" si="2"/>
      </c>
    </row>
    <row r="16720">
      <c r="G16720" s="9">
        <f t="shared" si="0"/>
      </c>
      <c r="L16720">
        <f t="shared" si="1"/>
      </c>
      <c r="M16720">
        <f t="shared" si="2"/>
      </c>
    </row>
    <row r="16721">
      <c r="G16721" s="9">
        <f t="shared" si="0"/>
      </c>
      <c r="L16721">
        <f t="shared" si="1"/>
      </c>
      <c r="M16721">
        <f t="shared" si="2"/>
      </c>
    </row>
    <row r="16722">
      <c r="G16722" s="9">
        <f t="shared" si="0"/>
      </c>
      <c r="L16722">
        <f t="shared" si="1"/>
      </c>
      <c r="M16722">
        <f t="shared" si="2"/>
      </c>
    </row>
    <row r="16723">
      <c r="G16723" s="9">
        <f t="shared" si="0"/>
      </c>
      <c r="L16723">
        <f t="shared" si="1"/>
      </c>
      <c r="M16723">
        <f t="shared" si="2"/>
      </c>
    </row>
    <row r="16724">
      <c r="G16724" s="9">
        <f t="shared" si="0"/>
      </c>
      <c r="L16724">
        <f t="shared" si="1"/>
      </c>
      <c r="M16724">
        <f t="shared" si="2"/>
      </c>
    </row>
    <row r="16725">
      <c r="G16725" s="9">
        <f t="shared" si="0"/>
      </c>
      <c r="L16725">
        <f t="shared" si="1"/>
      </c>
      <c r="M16725">
        <f t="shared" si="2"/>
      </c>
    </row>
    <row r="16726">
      <c r="G16726" s="9">
        <f t="shared" si="0"/>
      </c>
      <c r="L16726">
        <f t="shared" si="1"/>
      </c>
      <c r="M16726">
        <f t="shared" si="2"/>
      </c>
    </row>
    <row r="16727">
      <c r="G16727" s="9">
        <f t="shared" si="0"/>
      </c>
      <c r="L16727">
        <f t="shared" si="1"/>
      </c>
      <c r="M16727">
        <f t="shared" si="2"/>
      </c>
    </row>
    <row r="16728">
      <c r="G16728" s="9">
        <f t="shared" si="0"/>
      </c>
      <c r="L16728">
        <f t="shared" si="1"/>
      </c>
      <c r="M16728">
        <f t="shared" si="2"/>
      </c>
    </row>
    <row r="16729">
      <c r="G16729" s="9">
        <f t="shared" si="0"/>
      </c>
      <c r="L16729">
        <f t="shared" si="1"/>
      </c>
      <c r="M16729">
        <f t="shared" si="2"/>
      </c>
    </row>
    <row r="16730">
      <c r="G16730" s="9">
        <f t="shared" si="0"/>
      </c>
      <c r="L16730">
        <f t="shared" si="1"/>
      </c>
      <c r="M16730">
        <f t="shared" si="2"/>
      </c>
    </row>
    <row r="16731">
      <c r="G16731" s="9">
        <f t="shared" si="0"/>
      </c>
      <c r="L16731">
        <f t="shared" si="1"/>
      </c>
      <c r="M16731">
        <f t="shared" si="2"/>
      </c>
    </row>
    <row r="16732">
      <c r="G16732" s="9">
        <f t="shared" si="0"/>
      </c>
      <c r="L16732">
        <f t="shared" si="1"/>
      </c>
      <c r="M16732">
        <f t="shared" si="2"/>
      </c>
    </row>
    <row r="16733">
      <c r="G16733" s="9">
        <f t="shared" si="0"/>
      </c>
      <c r="L16733">
        <f t="shared" si="1"/>
      </c>
      <c r="M16733">
        <f t="shared" si="2"/>
      </c>
    </row>
    <row r="16734">
      <c r="G16734" s="9">
        <f t="shared" si="0"/>
      </c>
      <c r="L16734">
        <f t="shared" si="1"/>
      </c>
      <c r="M16734">
        <f t="shared" si="2"/>
      </c>
    </row>
    <row r="16735">
      <c r="G16735" s="9">
        <f t="shared" si="0"/>
      </c>
      <c r="L16735">
        <f t="shared" si="1"/>
      </c>
      <c r="M16735">
        <f t="shared" si="2"/>
      </c>
    </row>
    <row r="16736">
      <c r="G16736" s="9">
        <f t="shared" si="0"/>
      </c>
      <c r="L16736">
        <f t="shared" si="1"/>
      </c>
      <c r="M16736">
        <f t="shared" si="2"/>
      </c>
    </row>
    <row r="16737">
      <c r="G16737" s="9">
        <f t="shared" si="0"/>
      </c>
      <c r="L16737">
        <f t="shared" si="1"/>
      </c>
      <c r="M16737">
        <f t="shared" si="2"/>
      </c>
    </row>
    <row r="16738">
      <c r="G16738" s="9">
        <f t="shared" si="0"/>
      </c>
      <c r="L16738">
        <f t="shared" si="1"/>
      </c>
      <c r="M16738">
        <f t="shared" si="2"/>
      </c>
    </row>
    <row r="16739">
      <c r="G16739" s="9">
        <f t="shared" si="0"/>
      </c>
      <c r="L16739">
        <f t="shared" si="1"/>
      </c>
      <c r="M16739">
        <f t="shared" si="2"/>
      </c>
    </row>
    <row r="16740">
      <c r="G16740" s="9">
        <f t="shared" si="0"/>
      </c>
      <c r="L16740">
        <f t="shared" si="1"/>
      </c>
      <c r="M16740">
        <f t="shared" si="2"/>
      </c>
    </row>
    <row r="16741">
      <c r="G16741" s="9">
        <f t="shared" si="0"/>
      </c>
      <c r="L16741">
        <f t="shared" si="1"/>
      </c>
      <c r="M16741">
        <f t="shared" si="2"/>
      </c>
    </row>
    <row r="16742">
      <c r="G16742" s="9">
        <f t="shared" si="0"/>
      </c>
      <c r="L16742">
        <f t="shared" si="1"/>
      </c>
      <c r="M16742">
        <f t="shared" si="2"/>
      </c>
    </row>
    <row r="16743">
      <c r="G16743" s="9">
        <f t="shared" si="0"/>
      </c>
      <c r="L16743">
        <f t="shared" si="1"/>
      </c>
      <c r="M16743">
        <f t="shared" si="2"/>
      </c>
    </row>
    <row r="16744">
      <c r="G16744" s="9">
        <f t="shared" si="0"/>
      </c>
      <c r="L16744">
        <f t="shared" si="1"/>
      </c>
      <c r="M16744">
        <f t="shared" si="2"/>
      </c>
    </row>
    <row r="16745">
      <c r="G16745" s="9">
        <f t="shared" si="0"/>
      </c>
      <c r="L16745">
        <f t="shared" si="1"/>
      </c>
      <c r="M16745">
        <f t="shared" si="2"/>
      </c>
    </row>
    <row r="16746">
      <c r="G16746" s="9">
        <f t="shared" si="0"/>
      </c>
      <c r="L16746">
        <f t="shared" si="1"/>
      </c>
      <c r="M16746">
        <f t="shared" si="2"/>
      </c>
    </row>
    <row r="16747">
      <c r="G16747" s="9">
        <f t="shared" si="0"/>
      </c>
      <c r="L16747">
        <f t="shared" si="1"/>
      </c>
      <c r="M16747">
        <f t="shared" si="2"/>
      </c>
    </row>
    <row r="16748">
      <c r="G16748" s="9">
        <f t="shared" si="0"/>
      </c>
      <c r="L16748">
        <f t="shared" si="1"/>
      </c>
      <c r="M16748">
        <f t="shared" si="2"/>
      </c>
    </row>
    <row r="16749">
      <c r="G16749" s="9">
        <f t="shared" si="0"/>
      </c>
      <c r="L16749">
        <f t="shared" si="1"/>
      </c>
      <c r="M16749">
        <f t="shared" si="2"/>
      </c>
    </row>
    <row r="16750">
      <c r="G16750" s="9">
        <f t="shared" si="0"/>
      </c>
      <c r="L16750">
        <f t="shared" si="1"/>
      </c>
      <c r="M16750">
        <f t="shared" si="2"/>
      </c>
    </row>
    <row r="16751">
      <c r="G16751" s="9">
        <f t="shared" si="0"/>
      </c>
      <c r="L16751">
        <f t="shared" si="1"/>
      </c>
      <c r="M16751">
        <f t="shared" si="2"/>
      </c>
    </row>
    <row r="16752">
      <c r="G16752" s="9">
        <f t="shared" si="0"/>
      </c>
      <c r="L16752">
        <f t="shared" si="1"/>
      </c>
      <c r="M16752">
        <f t="shared" si="2"/>
      </c>
    </row>
    <row r="16753">
      <c r="G16753" s="9">
        <f t="shared" si="0"/>
      </c>
      <c r="L16753">
        <f t="shared" si="1"/>
      </c>
      <c r="M16753">
        <f t="shared" si="2"/>
      </c>
    </row>
    <row r="16754">
      <c r="G16754" s="9">
        <f t="shared" si="0"/>
      </c>
      <c r="L16754">
        <f t="shared" si="1"/>
      </c>
      <c r="M16754">
        <f t="shared" si="2"/>
      </c>
    </row>
    <row r="16755">
      <c r="G16755" s="9">
        <f t="shared" si="0"/>
      </c>
      <c r="L16755">
        <f t="shared" si="1"/>
      </c>
      <c r="M16755">
        <f t="shared" si="2"/>
      </c>
    </row>
    <row r="16756">
      <c r="G16756" s="9">
        <f t="shared" si="0"/>
      </c>
      <c r="L16756">
        <f t="shared" si="1"/>
      </c>
      <c r="M16756">
        <f t="shared" si="2"/>
      </c>
    </row>
    <row r="16757">
      <c r="G16757" s="9">
        <f t="shared" si="0"/>
      </c>
      <c r="L16757">
        <f t="shared" si="1"/>
      </c>
      <c r="M16757">
        <f t="shared" si="2"/>
      </c>
    </row>
    <row r="16758">
      <c r="G16758" s="9">
        <f t="shared" si="0"/>
      </c>
      <c r="L16758">
        <f t="shared" si="1"/>
      </c>
      <c r="M16758">
        <f t="shared" si="2"/>
      </c>
    </row>
    <row r="16759">
      <c r="G16759" s="9">
        <f t="shared" si="0"/>
      </c>
      <c r="L16759">
        <f t="shared" si="1"/>
      </c>
      <c r="M16759">
        <f t="shared" si="2"/>
      </c>
    </row>
    <row r="16760">
      <c r="G16760" s="9">
        <f t="shared" si="0"/>
      </c>
      <c r="L16760">
        <f t="shared" si="1"/>
      </c>
      <c r="M16760">
        <f t="shared" si="2"/>
      </c>
    </row>
    <row r="16761">
      <c r="G16761" s="9">
        <f t="shared" si="0"/>
      </c>
      <c r="L16761">
        <f t="shared" si="1"/>
      </c>
      <c r="M16761">
        <f t="shared" si="2"/>
      </c>
    </row>
    <row r="16762">
      <c r="G16762" s="9">
        <f t="shared" si="0"/>
      </c>
      <c r="L16762">
        <f t="shared" si="1"/>
      </c>
      <c r="M16762">
        <f t="shared" si="2"/>
      </c>
    </row>
    <row r="16763">
      <c r="G16763" s="9">
        <f t="shared" si="0"/>
      </c>
      <c r="L16763">
        <f t="shared" si="1"/>
      </c>
      <c r="M16763">
        <f t="shared" si="2"/>
      </c>
    </row>
    <row r="16764">
      <c r="G16764" s="9">
        <f t="shared" si="0"/>
      </c>
      <c r="L16764">
        <f t="shared" si="1"/>
      </c>
      <c r="M16764">
        <f t="shared" si="2"/>
      </c>
    </row>
    <row r="16765">
      <c r="G16765" s="9">
        <f t="shared" si="0"/>
      </c>
      <c r="L16765">
        <f t="shared" si="1"/>
      </c>
      <c r="M16765">
        <f t="shared" si="2"/>
      </c>
    </row>
    <row r="16766">
      <c r="G16766" s="9">
        <f t="shared" si="0"/>
      </c>
      <c r="L16766">
        <f t="shared" si="1"/>
      </c>
      <c r="M16766">
        <f t="shared" si="2"/>
      </c>
    </row>
    <row r="16767">
      <c r="G16767" s="9">
        <f t="shared" si="0"/>
      </c>
      <c r="L16767">
        <f t="shared" si="1"/>
      </c>
      <c r="M16767">
        <f t="shared" si="2"/>
      </c>
    </row>
    <row r="16768">
      <c r="G16768" s="9">
        <f t="shared" si="0"/>
      </c>
      <c r="L16768">
        <f t="shared" si="1"/>
      </c>
      <c r="M16768">
        <f t="shared" si="2"/>
      </c>
    </row>
    <row r="16769">
      <c r="G16769" s="9">
        <f t="shared" si="0"/>
      </c>
      <c r="L16769">
        <f t="shared" si="1"/>
      </c>
      <c r="M16769">
        <f t="shared" si="2"/>
      </c>
    </row>
    <row r="16770">
      <c r="G16770" s="9">
        <f t="shared" si="0"/>
      </c>
      <c r="L16770">
        <f t="shared" si="1"/>
      </c>
      <c r="M16770">
        <f t="shared" si="2"/>
      </c>
    </row>
    <row r="16771">
      <c r="G16771" s="9">
        <f t="shared" si="0"/>
      </c>
      <c r="L16771">
        <f t="shared" si="1"/>
      </c>
      <c r="M16771">
        <f t="shared" si="2"/>
      </c>
    </row>
    <row r="16772">
      <c r="G16772" s="9">
        <f t="shared" si="0"/>
      </c>
      <c r="L16772">
        <f t="shared" si="1"/>
      </c>
      <c r="M16772">
        <f t="shared" si="2"/>
      </c>
    </row>
    <row r="16773">
      <c r="G16773" s="9">
        <f t="shared" si="0"/>
      </c>
      <c r="L16773">
        <f t="shared" si="1"/>
      </c>
      <c r="M16773">
        <f t="shared" si="2"/>
      </c>
    </row>
    <row r="16774">
      <c r="G16774" s="9">
        <f t="shared" si="0"/>
      </c>
      <c r="L16774">
        <f t="shared" si="1"/>
      </c>
      <c r="M16774">
        <f t="shared" si="2"/>
      </c>
    </row>
    <row r="16775">
      <c r="G16775" s="9">
        <f t="shared" si="0"/>
      </c>
      <c r="L16775">
        <f t="shared" si="1"/>
      </c>
      <c r="M16775">
        <f t="shared" si="2"/>
      </c>
    </row>
    <row r="16776">
      <c r="G16776" s="9">
        <f t="shared" si="0"/>
      </c>
      <c r="L16776">
        <f t="shared" si="1"/>
      </c>
      <c r="M16776">
        <f t="shared" si="2"/>
      </c>
    </row>
    <row r="16777">
      <c r="G16777" s="9">
        <f t="shared" si="0"/>
      </c>
      <c r="L16777">
        <f t="shared" si="1"/>
      </c>
      <c r="M16777">
        <f t="shared" si="2"/>
      </c>
    </row>
    <row r="16778">
      <c r="G16778" s="9">
        <f t="shared" si="0"/>
      </c>
      <c r="L16778">
        <f t="shared" si="1"/>
      </c>
      <c r="M16778">
        <f t="shared" si="2"/>
      </c>
    </row>
    <row r="16779">
      <c r="G16779" s="9">
        <f t="shared" si="0"/>
      </c>
      <c r="L16779">
        <f t="shared" si="1"/>
      </c>
      <c r="M16779">
        <f t="shared" si="2"/>
      </c>
    </row>
    <row r="16780">
      <c r="G16780" s="9">
        <f t="shared" si="0"/>
      </c>
      <c r="L16780">
        <f t="shared" si="1"/>
      </c>
      <c r="M16780">
        <f t="shared" si="2"/>
      </c>
    </row>
    <row r="16781">
      <c r="G16781" s="9">
        <f t="shared" si="0"/>
      </c>
      <c r="L16781">
        <f t="shared" si="1"/>
      </c>
      <c r="M16781">
        <f t="shared" si="2"/>
      </c>
    </row>
    <row r="16782">
      <c r="G16782" s="9">
        <f t="shared" si="0"/>
      </c>
      <c r="L16782">
        <f t="shared" si="1"/>
      </c>
      <c r="M16782">
        <f t="shared" si="2"/>
      </c>
    </row>
    <row r="16783">
      <c r="G16783" s="9">
        <f t="shared" si="0"/>
      </c>
      <c r="L16783">
        <f t="shared" si="1"/>
      </c>
      <c r="M16783">
        <f t="shared" si="2"/>
      </c>
    </row>
    <row r="16784">
      <c r="G16784" s="9">
        <f t="shared" si="0"/>
      </c>
      <c r="L16784">
        <f t="shared" si="1"/>
      </c>
      <c r="M16784">
        <f t="shared" si="2"/>
      </c>
    </row>
    <row r="16785">
      <c r="G16785" s="9">
        <f t="shared" si="0"/>
      </c>
      <c r="L16785">
        <f t="shared" si="1"/>
      </c>
      <c r="M16785">
        <f t="shared" si="2"/>
      </c>
    </row>
    <row r="16786">
      <c r="G16786" s="9">
        <f t="shared" si="0"/>
      </c>
      <c r="L16786">
        <f t="shared" si="1"/>
      </c>
      <c r="M16786">
        <f t="shared" si="2"/>
      </c>
    </row>
    <row r="16787">
      <c r="G16787" s="9">
        <f t="shared" si="0"/>
      </c>
      <c r="L16787">
        <f t="shared" si="1"/>
      </c>
      <c r="M16787">
        <f t="shared" si="2"/>
      </c>
    </row>
    <row r="16788">
      <c r="G16788" s="9">
        <f t="shared" si="0"/>
      </c>
      <c r="L16788">
        <f t="shared" si="1"/>
      </c>
      <c r="M16788">
        <f t="shared" si="2"/>
      </c>
    </row>
    <row r="16789">
      <c r="G16789" s="9">
        <f t="shared" si="0"/>
      </c>
      <c r="L16789">
        <f t="shared" si="1"/>
      </c>
      <c r="M16789">
        <f t="shared" si="2"/>
      </c>
    </row>
    <row r="16790">
      <c r="G16790" s="9">
        <f t="shared" si="0"/>
      </c>
      <c r="L16790">
        <f t="shared" si="1"/>
      </c>
      <c r="M16790">
        <f t="shared" si="2"/>
      </c>
    </row>
    <row r="16791">
      <c r="G16791" s="9">
        <f t="shared" si="0"/>
      </c>
      <c r="L16791">
        <f t="shared" si="1"/>
      </c>
      <c r="M16791">
        <f t="shared" si="2"/>
      </c>
    </row>
    <row r="16792">
      <c r="G16792" s="9">
        <f t="shared" si="0"/>
      </c>
      <c r="L16792">
        <f t="shared" si="1"/>
      </c>
      <c r="M16792">
        <f t="shared" si="2"/>
      </c>
    </row>
    <row r="16793">
      <c r="G16793" s="9">
        <f t="shared" si="0"/>
      </c>
      <c r="L16793">
        <f t="shared" si="1"/>
      </c>
      <c r="M16793">
        <f t="shared" si="2"/>
      </c>
    </row>
    <row r="16794">
      <c r="G16794" s="9">
        <f t="shared" si="0"/>
      </c>
      <c r="L16794">
        <f t="shared" si="1"/>
      </c>
      <c r="M16794">
        <f t="shared" si="2"/>
      </c>
    </row>
    <row r="16795">
      <c r="G16795" s="9">
        <f t="shared" si="0"/>
      </c>
      <c r="L16795">
        <f t="shared" si="1"/>
      </c>
      <c r="M16795">
        <f t="shared" si="2"/>
      </c>
    </row>
    <row r="16796">
      <c r="G16796" s="9">
        <f t="shared" si="0"/>
      </c>
      <c r="L16796">
        <f t="shared" si="1"/>
      </c>
      <c r="M16796">
        <f t="shared" si="2"/>
      </c>
    </row>
    <row r="16797">
      <c r="G16797" s="9">
        <f t="shared" si="0"/>
      </c>
      <c r="L16797">
        <f t="shared" si="1"/>
      </c>
      <c r="M16797">
        <f t="shared" si="2"/>
      </c>
    </row>
    <row r="16798">
      <c r="G16798" s="9">
        <f t="shared" si="0"/>
      </c>
      <c r="L16798">
        <f t="shared" si="1"/>
      </c>
      <c r="M16798">
        <f t="shared" si="2"/>
      </c>
    </row>
    <row r="16799">
      <c r="G16799" s="9">
        <f t="shared" si="0"/>
      </c>
      <c r="L16799">
        <f t="shared" si="1"/>
      </c>
      <c r="M16799">
        <f t="shared" si="2"/>
      </c>
    </row>
    <row r="16800">
      <c r="G16800" s="9">
        <f t="shared" si="0"/>
      </c>
      <c r="L16800">
        <f t="shared" si="1"/>
      </c>
      <c r="M16800">
        <f t="shared" si="2"/>
      </c>
    </row>
    <row r="16801">
      <c r="G16801" s="9">
        <f t="shared" si="0"/>
      </c>
      <c r="L16801">
        <f t="shared" si="1"/>
      </c>
      <c r="M16801">
        <f t="shared" si="2"/>
      </c>
    </row>
    <row r="16802">
      <c r="G16802" s="9">
        <f t="shared" si="0"/>
      </c>
      <c r="L16802">
        <f t="shared" si="1"/>
      </c>
      <c r="M16802">
        <f t="shared" si="2"/>
      </c>
    </row>
    <row r="16803">
      <c r="G16803" s="9">
        <f t="shared" si="0"/>
      </c>
      <c r="L16803">
        <f t="shared" si="1"/>
      </c>
      <c r="M16803">
        <f t="shared" si="2"/>
      </c>
    </row>
    <row r="16804">
      <c r="G16804" s="9">
        <f t="shared" si="0"/>
      </c>
      <c r="L16804">
        <f t="shared" si="1"/>
      </c>
      <c r="M16804">
        <f t="shared" si="2"/>
      </c>
    </row>
    <row r="16805">
      <c r="G16805" s="9">
        <f t="shared" si="0"/>
      </c>
      <c r="L16805">
        <f t="shared" si="1"/>
      </c>
      <c r="M16805">
        <f t="shared" si="2"/>
      </c>
    </row>
    <row r="16806">
      <c r="G16806" s="9">
        <f t="shared" si="0"/>
      </c>
      <c r="L16806">
        <f t="shared" si="1"/>
      </c>
      <c r="M16806">
        <f t="shared" si="2"/>
      </c>
    </row>
    <row r="16807">
      <c r="G16807" s="9">
        <f t="shared" si="0"/>
      </c>
      <c r="L16807">
        <f t="shared" si="1"/>
      </c>
      <c r="M16807">
        <f t="shared" si="2"/>
      </c>
    </row>
    <row r="16808">
      <c r="G16808" s="9">
        <f t="shared" si="0"/>
      </c>
      <c r="L16808">
        <f t="shared" si="1"/>
      </c>
      <c r="M16808">
        <f t="shared" si="2"/>
      </c>
    </row>
    <row r="16809">
      <c r="G16809" s="9">
        <f t="shared" si="0"/>
      </c>
      <c r="L16809">
        <f t="shared" si="1"/>
      </c>
      <c r="M16809">
        <f t="shared" si="2"/>
      </c>
    </row>
    <row r="16810">
      <c r="G16810" s="9">
        <f t="shared" si="0"/>
      </c>
      <c r="L16810">
        <f t="shared" si="1"/>
      </c>
      <c r="M16810">
        <f t="shared" si="2"/>
      </c>
    </row>
    <row r="16811">
      <c r="G16811" s="9">
        <f t="shared" si="0"/>
      </c>
      <c r="L16811">
        <f t="shared" si="1"/>
      </c>
      <c r="M16811">
        <f t="shared" si="2"/>
      </c>
    </row>
    <row r="16812">
      <c r="G16812" s="9">
        <f t="shared" si="0"/>
      </c>
      <c r="L16812">
        <f t="shared" si="1"/>
      </c>
      <c r="M16812">
        <f t="shared" si="2"/>
      </c>
    </row>
    <row r="16813">
      <c r="G16813" s="9">
        <f t="shared" si="0"/>
      </c>
      <c r="L16813">
        <f t="shared" si="1"/>
      </c>
      <c r="M16813">
        <f t="shared" si="2"/>
      </c>
    </row>
    <row r="16814">
      <c r="G16814" s="9">
        <f t="shared" si="0"/>
      </c>
      <c r="L16814">
        <f t="shared" si="1"/>
      </c>
      <c r="M16814">
        <f t="shared" si="2"/>
      </c>
    </row>
    <row r="16815">
      <c r="G16815" s="9">
        <f t="shared" si="0"/>
      </c>
      <c r="L16815">
        <f t="shared" si="1"/>
      </c>
      <c r="M16815">
        <f t="shared" si="2"/>
      </c>
    </row>
    <row r="16816">
      <c r="G16816" s="9">
        <f t="shared" si="0"/>
      </c>
      <c r="L16816">
        <f t="shared" si="1"/>
      </c>
      <c r="M16816">
        <f t="shared" si="2"/>
      </c>
    </row>
    <row r="16817">
      <c r="G16817" s="9">
        <f t="shared" si="0"/>
      </c>
      <c r="L16817">
        <f t="shared" si="1"/>
      </c>
      <c r="M16817">
        <f t="shared" si="2"/>
      </c>
    </row>
    <row r="16818">
      <c r="G16818" s="9">
        <f t="shared" si="0"/>
      </c>
      <c r="L16818">
        <f t="shared" si="1"/>
      </c>
      <c r="M16818">
        <f t="shared" si="2"/>
      </c>
    </row>
    <row r="16819">
      <c r="G16819" s="9">
        <f t="shared" si="0"/>
      </c>
      <c r="L16819">
        <f t="shared" si="1"/>
      </c>
      <c r="M16819">
        <f t="shared" si="2"/>
      </c>
    </row>
    <row r="16820">
      <c r="G16820" s="9">
        <f t="shared" si="0"/>
      </c>
      <c r="L16820">
        <f t="shared" si="1"/>
      </c>
      <c r="M16820">
        <f t="shared" si="2"/>
      </c>
    </row>
    <row r="16821">
      <c r="G16821" s="9">
        <f t="shared" si="0"/>
      </c>
      <c r="L16821">
        <f t="shared" si="1"/>
      </c>
      <c r="M16821">
        <f t="shared" si="2"/>
      </c>
    </row>
    <row r="16822">
      <c r="G16822" s="9">
        <f t="shared" si="0"/>
      </c>
      <c r="L16822">
        <f t="shared" si="1"/>
      </c>
      <c r="M16822">
        <f t="shared" si="2"/>
      </c>
    </row>
    <row r="16823">
      <c r="G16823" s="9">
        <f t="shared" si="0"/>
      </c>
      <c r="L16823">
        <f t="shared" si="1"/>
      </c>
      <c r="M16823">
        <f t="shared" si="2"/>
      </c>
    </row>
    <row r="16824">
      <c r="G16824" s="9">
        <f t="shared" si="0"/>
      </c>
      <c r="L16824">
        <f t="shared" si="1"/>
      </c>
      <c r="M16824">
        <f t="shared" si="2"/>
      </c>
    </row>
    <row r="16825">
      <c r="G16825" s="9">
        <f t="shared" si="0"/>
      </c>
      <c r="L16825">
        <f t="shared" si="1"/>
      </c>
      <c r="M16825">
        <f t="shared" si="2"/>
      </c>
    </row>
    <row r="16826">
      <c r="G16826" s="9">
        <f t="shared" si="0"/>
      </c>
      <c r="L16826">
        <f t="shared" si="1"/>
      </c>
      <c r="M16826">
        <f t="shared" si="2"/>
      </c>
    </row>
    <row r="16827">
      <c r="G16827" s="9">
        <f t="shared" si="0"/>
      </c>
      <c r="L16827">
        <f t="shared" si="1"/>
      </c>
      <c r="M16827">
        <f t="shared" si="2"/>
      </c>
    </row>
    <row r="16828">
      <c r="G16828" s="9">
        <f t="shared" si="0"/>
      </c>
      <c r="L16828">
        <f t="shared" si="1"/>
      </c>
      <c r="M16828">
        <f t="shared" si="2"/>
      </c>
    </row>
    <row r="16829">
      <c r="G16829" s="9">
        <f t="shared" si="0"/>
      </c>
      <c r="L16829">
        <f t="shared" si="1"/>
      </c>
      <c r="M16829">
        <f t="shared" si="2"/>
      </c>
    </row>
    <row r="16830">
      <c r="G16830" s="9">
        <f t="shared" si="0"/>
      </c>
      <c r="L16830">
        <f t="shared" si="1"/>
      </c>
      <c r="M16830">
        <f t="shared" si="2"/>
      </c>
    </row>
    <row r="16831">
      <c r="G16831" s="9">
        <f t="shared" si="0"/>
      </c>
      <c r="L16831">
        <f t="shared" si="1"/>
      </c>
      <c r="M16831">
        <f t="shared" si="2"/>
      </c>
    </row>
    <row r="16832">
      <c r="G16832" s="9">
        <f t="shared" si="0"/>
      </c>
      <c r="L16832">
        <f t="shared" si="1"/>
      </c>
      <c r="M16832">
        <f t="shared" si="2"/>
      </c>
    </row>
    <row r="16833">
      <c r="G16833" s="9">
        <f t="shared" si="0"/>
      </c>
      <c r="L16833">
        <f t="shared" si="1"/>
      </c>
      <c r="M16833">
        <f t="shared" si="2"/>
      </c>
    </row>
    <row r="16834">
      <c r="G16834" s="9">
        <f t="shared" si="0"/>
      </c>
      <c r="L16834">
        <f t="shared" si="1"/>
      </c>
      <c r="M16834">
        <f t="shared" si="2"/>
      </c>
    </row>
    <row r="16835">
      <c r="G16835" s="9">
        <f t="shared" si="0"/>
      </c>
      <c r="L16835">
        <f t="shared" si="1"/>
      </c>
      <c r="M16835">
        <f t="shared" si="2"/>
      </c>
    </row>
    <row r="16836">
      <c r="G16836" s="9">
        <f t="shared" si="0"/>
      </c>
      <c r="L16836">
        <f t="shared" si="1"/>
      </c>
      <c r="M16836">
        <f t="shared" si="2"/>
      </c>
    </row>
    <row r="16837">
      <c r="G16837" s="9">
        <f t="shared" si="0"/>
      </c>
      <c r="L16837">
        <f t="shared" si="1"/>
      </c>
      <c r="M16837">
        <f t="shared" si="2"/>
      </c>
    </row>
    <row r="16838">
      <c r="G16838" s="9">
        <f t="shared" si="0"/>
      </c>
      <c r="L16838">
        <f t="shared" si="1"/>
      </c>
      <c r="M16838">
        <f t="shared" si="2"/>
      </c>
    </row>
    <row r="16839">
      <c r="G16839" s="9">
        <f t="shared" si="0"/>
      </c>
      <c r="L16839">
        <f t="shared" si="1"/>
      </c>
      <c r="M16839">
        <f t="shared" si="2"/>
      </c>
    </row>
    <row r="16840">
      <c r="G16840" s="9">
        <f t="shared" si="0"/>
      </c>
      <c r="L16840">
        <f t="shared" si="1"/>
      </c>
      <c r="M16840">
        <f t="shared" si="2"/>
      </c>
    </row>
    <row r="16841">
      <c r="G16841" s="9">
        <f t="shared" si="0"/>
      </c>
      <c r="L16841">
        <f t="shared" si="1"/>
      </c>
      <c r="M16841">
        <f t="shared" si="2"/>
      </c>
    </row>
    <row r="16842">
      <c r="G16842" s="9">
        <f t="shared" si="0"/>
      </c>
      <c r="L16842">
        <f t="shared" si="1"/>
      </c>
      <c r="M16842">
        <f t="shared" si="2"/>
      </c>
    </row>
    <row r="16843">
      <c r="G16843" s="9">
        <f t="shared" si="0"/>
      </c>
      <c r="L16843">
        <f t="shared" si="1"/>
      </c>
      <c r="M16843">
        <f t="shared" si="2"/>
      </c>
    </row>
    <row r="16844">
      <c r="G16844" s="9">
        <f t="shared" si="0"/>
      </c>
      <c r="L16844">
        <f t="shared" si="1"/>
      </c>
      <c r="M16844">
        <f t="shared" si="2"/>
      </c>
    </row>
    <row r="16845">
      <c r="G16845" s="9">
        <f t="shared" si="0"/>
      </c>
      <c r="L16845">
        <f t="shared" si="1"/>
      </c>
      <c r="M16845">
        <f t="shared" si="2"/>
      </c>
    </row>
    <row r="16846">
      <c r="G16846" s="9">
        <f t="shared" si="0"/>
      </c>
      <c r="L16846">
        <f t="shared" si="1"/>
      </c>
      <c r="M16846">
        <f t="shared" si="2"/>
      </c>
    </row>
    <row r="16847">
      <c r="G16847" s="9">
        <f t="shared" si="0"/>
      </c>
      <c r="L16847">
        <f t="shared" si="1"/>
      </c>
      <c r="M16847">
        <f t="shared" si="2"/>
      </c>
    </row>
    <row r="16848">
      <c r="G16848" s="9">
        <f t="shared" si="0"/>
      </c>
      <c r="L16848">
        <f t="shared" si="1"/>
      </c>
      <c r="M16848">
        <f t="shared" si="2"/>
      </c>
    </row>
    <row r="16849">
      <c r="G16849" s="9">
        <f t="shared" si="0"/>
      </c>
      <c r="L16849">
        <f t="shared" si="1"/>
      </c>
      <c r="M16849">
        <f t="shared" si="2"/>
      </c>
    </row>
    <row r="16850">
      <c r="G16850" s="9">
        <f t="shared" si="0"/>
      </c>
      <c r="L16850">
        <f t="shared" si="1"/>
      </c>
      <c r="M16850">
        <f t="shared" si="2"/>
      </c>
    </row>
    <row r="16851">
      <c r="G16851" s="9">
        <f t="shared" si="0"/>
      </c>
      <c r="L16851">
        <f t="shared" si="1"/>
      </c>
      <c r="M16851">
        <f t="shared" si="2"/>
      </c>
    </row>
    <row r="16852">
      <c r="G16852" s="9">
        <f t="shared" si="0"/>
      </c>
      <c r="L16852">
        <f t="shared" si="1"/>
      </c>
      <c r="M16852">
        <f t="shared" si="2"/>
      </c>
    </row>
    <row r="16853">
      <c r="G16853" s="9">
        <f t="shared" si="0"/>
      </c>
      <c r="L16853">
        <f t="shared" si="1"/>
      </c>
      <c r="M16853">
        <f t="shared" si="2"/>
      </c>
    </row>
    <row r="16854">
      <c r="G16854" s="9">
        <f t="shared" si="0"/>
      </c>
      <c r="L16854">
        <f t="shared" si="1"/>
      </c>
      <c r="M16854">
        <f t="shared" si="2"/>
      </c>
    </row>
    <row r="16855">
      <c r="G16855" s="9">
        <f t="shared" si="0"/>
      </c>
      <c r="L16855">
        <f t="shared" si="1"/>
      </c>
      <c r="M16855">
        <f t="shared" si="2"/>
      </c>
    </row>
    <row r="16856">
      <c r="G16856" s="9">
        <f t="shared" si="0"/>
      </c>
      <c r="L16856">
        <f t="shared" si="1"/>
      </c>
      <c r="M16856">
        <f t="shared" si="2"/>
      </c>
    </row>
    <row r="16857">
      <c r="G16857" s="9">
        <f t="shared" si="0"/>
      </c>
      <c r="L16857">
        <f t="shared" si="1"/>
      </c>
      <c r="M16857">
        <f t="shared" si="2"/>
      </c>
    </row>
    <row r="16858">
      <c r="G16858" s="9">
        <f t="shared" si="0"/>
      </c>
      <c r="L16858">
        <f t="shared" si="1"/>
      </c>
      <c r="M16858">
        <f t="shared" si="2"/>
      </c>
    </row>
    <row r="16859">
      <c r="G16859" s="9">
        <f t="shared" si="0"/>
      </c>
      <c r="L16859">
        <f t="shared" si="1"/>
      </c>
      <c r="M16859">
        <f t="shared" si="2"/>
      </c>
    </row>
    <row r="16860">
      <c r="G16860" s="9">
        <f t="shared" si="0"/>
      </c>
      <c r="L16860">
        <f t="shared" si="1"/>
      </c>
      <c r="M16860">
        <f t="shared" si="2"/>
      </c>
    </row>
    <row r="16861">
      <c r="G16861" s="9">
        <f t="shared" si="0"/>
      </c>
      <c r="L16861">
        <f t="shared" si="1"/>
      </c>
      <c r="M16861">
        <f t="shared" si="2"/>
      </c>
    </row>
    <row r="16862">
      <c r="G16862" s="9">
        <f t="shared" si="0"/>
      </c>
      <c r="L16862">
        <f t="shared" si="1"/>
      </c>
      <c r="M16862">
        <f t="shared" si="2"/>
      </c>
    </row>
    <row r="16863">
      <c r="G16863" s="9">
        <f t="shared" si="0"/>
      </c>
      <c r="L16863">
        <f t="shared" si="1"/>
      </c>
      <c r="M16863">
        <f t="shared" si="2"/>
      </c>
    </row>
    <row r="16864">
      <c r="G16864" s="9">
        <f t="shared" si="0"/>
      </c>
      <c r="L16864">
        <f t="shared" si="1"/>
      </c>
      <c r="M16864">
        <f t="shared" si="2"/>
      </c>
    </row>
    <row r="16865">
      <c r="G16865" s="9">
        <f t="shared" si="0"/>
      </c>
      <c r="L16865">
        <f t="shared" si="1"/>
      </c>
      <c r="M16865">
        <f t="shared" si="2"/>
      </c>
    </row>
    <row r="16866">
      <c r="G16866" s="9">
        <f t="shared" si="0"/>
      </c>
      <c r="L16866">
        <f t="shared" si="1"/>
      </c>
      <c r="M16866">
        <f t="shared" si="2"/>
      </c>
    </row>
    <row r="16867">
      <c r="G16867" s="9">
        <f t="shared" si="0"/>
      </c>
      <c r="L16867">
        <f t="shared" si="1"/>
      </c>
      <c r="M16867">
        <f t="shared" si="2"/>
      </c>
    </row>
    <row r="16868">
      <c r="G16868" s="9">
        <f t="shared" si="0"/>
      </c>
      <c r="L16868">
        <f t="shared" si="1"/>
      </c>
      <c r="M16868">
        <f t="shared" si="2"/>
      </c>
    </row>
    <row r="16869">
      <c r="G16869" s="9">
        <f t="shared" si="0"/>
      </c>
      <c r="L16869">
        <f t="shared" si="1"/>
      </c>
      <c r="M16869">
        <f t="shared" si="2"/>
      </c>
    </row>
    <row r="16870">
      <c r="G16870" s="9">
        <f t="shared" si="0"/>
      </c>
      <c r="L16870">
        <f t="shared" si="1"/>
      </c>
      <c r="M16870">
        <f t="shared" si="2"/>
      </c>
    </row>
    <row r="16871">
      <c r="G16871" s="9">
        <f t="shared" si="0"/>
      </c>
      <c r="L16871">
        <f t="shared" si="1"/>
      </c>
      <c r="M16871">
        <f t="shared" si="2"/>
      </c>
    </row>
    <row r="16872">
      <c r="G16872" s="9">
        <f t="shared" si="0"/>
      </c>
      <c r="L16872">
        <f t="shared" si="1"/>
      </c>
      <c r="M16872">
        <f t="shared" si="2"/>
      </c>
    </row>
    <row r="16873">
      <c r="G16873" s="9">
        <f t="shared" si="0"/>
      </c>
      <c r="L16873">
        <f t="shared" si="1"/>
      </c>
      <c r="M16873">
        <f t="shared" si="2"/>
      </c>
    </row>
    <row r="16874">
      <c r="G16874" s="9">
        <f t="shared" si="0"/>
      </c>
      <c r="L16874">
        <f t="shared" si="1"/>
      </c>
      <c r="M16874">
        <f t="shared" si="2"/>
      </c>
    </row>
    <row r="16875">
      <c r="G16875" s="9">
        <f t="shared" si="0"/>
      </c>
      <c r="L16875">
        <f t="shared" si="1"/>
      </c>
      <c r="M16875">
        <f t="shared" si="2"/>
      </c>
    </row>
    <row r="16876">
      <c r="G16876" s="9">
        <f t="shared" si="0"/>
      </c>
      <c r="L16876">
        <f t="shared" si="1"/>
      </c>
      <c r="M16876">
        <f t="shared" si="2"/>
      </c>
    </row>
    <row r="16877">
      <c r="G16877" s="9">
        <f t="shared" si="0"/>
      </c>
      <c r="L16877">
        <f t="shared" si="1"/>
      </c>
      <c r="M16877">
        <f t="shared" si="2"/>
      </c>
    </row>
    <row r="16878">
      <c r="G16878" s="9">
        <f t="shared" si="0"/>
      </c>
      <c r="L16878">
        <f t="shared" si="1"/>
      </c>
      <c r="M16878">
        <f t="shared" si="2"/>
      </c>
    </row>
    <row r="16879">
      <c r="G16879" s="9">
        <f t="shared" si="0"/>
      </c>
      <c r="L16879">
        <f t="shared" si="1"/>
      </c>
      <c r="M16879">
        <f t="shared" si="2"/>
      </c>
    </row>
    <row r="16880">
      <c r="G16880" s="9">
        <f t="shared" si="0"/>
      </c>
      <c r="L16880">
        <f t="shared" si="1"/>
      </c>
      <c r="M16880">
        <f t="shared" si="2"/>
      </c>
    </row>
    <row r="16881">
      <c r="G16881" s="9">
        <f t="shared" si="0"/>
      </c>
      <c r="L16881">
        <f t="shared" si="1"/>
      </c>
      <c r="M16881">
        <f t="shared" si="2"/>
      </c>
    </row>
    <row r="16882">
      <c r="G16882" s="9">
        <f t="shared" si="0"/>
      </c>
      <c r="L16882">
        <f t="shared" si="1"/>
      </c>
      <c r="M16882">
        <f t="shared" si="2"/>
      </c>
    </row>
    <row r="16883">
      <c r="G16883" s="9">
        <f t="shared" si="0"/>
      </c>
      <c r="L16883">
        <f t="shared" si="1"/>
      </c>
      <c r="M16883">
        <f t="shared" si="2"/>
      </c>
    </row>
    <row r="16884">
      <c r="G16884" s="9">
        <f t="shared" si="0"/>
      </c>
      <c r="L16884">
        <f t="shared" si="1"/>
      </c>
      <c r="M16884">
        <f t="shared" si="2"/>
      </c>
    </row>
    <row r="16885">
      <c r="G16885" s="9">
        <f t="shared" si="0"/>
      </c>
      <c r="L16885">
        <f t="shared" si="1"/>
      </c>
      <c r="M16885">
        <f t="shared" si="2"/>
      </c>
    </row>
    <row r="16886">
      <c r="G16886" s="9">
        <f t="shared" si="0"/>
      </c>
      <c r="L16886">
        <f t="shared" si="1"/>
      </c>
      <c r="M16886">
        <f t="shared" si="2"/>
      </c>
    </row>
    <row r="16887">
      <c r="G16887" s="9">
        <f t="shared" si="0"/>
      </c>
      <c r="L16887">
        <f t="shared" si="1"/>
      </c>
      <c r="M16887">
        <f t="shared" si="2"/>
      </c>
    </row>
    <row r="16888">
      <c r="G16888" s="9">
        <f t="shared" si="0"/>
      </c>
      <c r="L16888">
        <f t="shared" si="1"/>
      </c>
      <c r="M16888">
        <f t="shared" si="2"/>
      </c>
    </row>
    <row r="16889">
      <c r="G16889" s="9">
        <f t="shared" si="0"/>
      </c>
      <c r="L16889">
        <f t="shared" si="1"/>
      </c>
      <c r="M16889">
        <f t="shared" si="2"/>
      </c>
    </row>
    <row r="16890">
      <c r="G16890" s="9">
        <f t="shared" si="0"/>
      </c>
      <c r="L16890">
        <f t="shared" si="1"/>
      </c>
      <c r="M16890">
        <f t="shared" si="2"/>
      </c>
    </row>
    <row r="16891">
      <c r="G16891" s="9">
        <f t="shared" si="0"/>
      </c>
      <c r="L16891">
        <f t="shared" si="1"/>
      </c>
      <c r="M16891">
        <f t="shared" si="2"/>
      </c>
    </row>
    <row r="16892">
      <c r="G16892" s="9">
        <f t="shared" si="0"/>
      </c>
      <c r="L16892">
        <f t="shared" si="1"/>
      </c>
      <c r="M16892">
        <f t="shared" si="2"/>
      </c>
    </row>
    <row r="16893">
      <c r="G16893" s="9">
        <f t="shared" si="0"/>
      </c>
      <c r="L16893">
        <f t="shared" si="1"/>
      </c>
      <c r="M16893">
        <f t="shared" si="2"/>
      </c>
    </row>
    <row r="16894">
      <c r="G16894" s="9">
        <f t="shared" si="0"/>
      </c>
      <c r="L16894">
        <f t="shared" si="1"/>
      </c>
      <c r="M16894">
        <f t="shared" si="2"/>
      </c>
    </row>
    <row r="16895">
      <c r="G16895" s="9">
        <f t="shared" si="0"/>
      </c>
      <c r="L16895">
        <f t="shared" si="1"/>
      </c>
      <c r="M16895">
        <f t="shared" si="2"/>
      </c>
    </row>
    <row r="16896">
      <c r="G16896" s="9">
        <f t="shared" si="0"/>
      </c>
      <c r="L16896">
        <f t="shared" si="1"/>
      </c>
      <c r="M16896">
        <f t="shared" si="2"/>
      </c>
    </row>
    <row r="16897">
      <c r="G16897" s="9">
        <f t="shared" si="0"/>
      </c>
      <c r="L16897">
        <f t="shared" si="1"/>
      </c>
      <c r="M16897">
        <f t="shared" si="2"/>
      </c>
    </row>
    <row r="16898">
      <c r="G16898" s="9">
        <f t="shared" si="0"/>
      </c>
      <c r="L16898">
        <f t="shared" si="1"/>
      </c>
      <c r="M16898">
        <f t="shared" si="2"/>
      </c>
    </row>
    <row r="16899">
      <c r="G16899" s="9">
        <f t="shared" si="0"/>
      </c>
      <c r="L16899">
        <f t="shared" si="1"/>
      </c>
      <c r="M16899">
        <f t="shared" si="2"/>
      </c>
    </row>
    <row r="16900">
      <c r="G16900" s="9">
        <f t="shared" si="0"/>
      </c>
      <c r="L16900">
        <f t="shared" si="1"/>
      </c>
      <c r="M16900">
        <f t="shared" si="2"/>
      </c>
    </row>
    <row r="16901">
      <c r="G16901" s="9">
        <f t="shared" si="0"/>
      </c>
      <c r="L16901">
        <f t="shared" si="1"/>
      </c>
      <c r="M16901">
        <f t="shared" si="2"/>
      </c>
    </row>
    <row r="16902">
      <c r="G16902" s="9">
        <f t="shared" si="0"/>
      </c>
      <c r="L16902">
        <f t="shared" si="1"/>
      </c>
      <c r="M16902">
        <f t="shared" si="2"/>
      </c>
    </row>
    <row r="16903">
      <c r="G16903" s="9">
        <f t="shared" si="0"/>
      </c>
      <c r="L16903">
        <f t="shared" si="1"/>
      </c>
      <c r="M16903">
        <f t="shared" si="2"/>
      </c>
    </row>
    <row r="16904">
      <c r="G16904" s="9">
        <f t="shared" si="0"/>
      </c>
      <c r="L16904">
        <f t="shared" si="1"/>
      </c>
      <c r="M16904">
        <f t="shared" si="2"/>
      </c>
    </row>
    <row r="16905">
      <c r="G16905" s="9">
        <f t="shared" si="0"/>
      </c>
      <c r="L16905">
        <f t="shared" si="1"/>
      </c>
      <c r="M16905">
        <f t="shared" si="2"/>
      </c>
    </row>
    <row r="16906">
      <c r="G16906" s="9">
        <f t="shared" si="0"/>
      </c>
      <c r="L16906">
        <f t="shared" si="1"/>
      </c>
      <c r="M16906">
        <f t="shared" si="2"/>
      </c>
    </row>
    <row r="16907">
      <c r="G16907" s="9">
        <f t="shared" si="0"/>
      </c>
      <c r="L16907">
        <f t="shared" si="1"/>
      </c>
      <c r="M16907">
        <f t="shared" si="2"/>
      </c>
    </row>
    <row r="16908">
      <c r="G16908" s="9">
        <f t="shared" si="0"/>
      </c>
      <c r="L16908">
        <f t="shared" si="1"/>
      </c>
      <c r="M16908">
        <f t="shared" si="2"/>
      </c>
    </row>
    <row r="16909">
      <c r="G16909" s="9">
        <f t="shared" si="0"/>
      </c>
      <c r="L16909">
        <f t="shared" si="1"/>
      </c>
      <c r="M16909">
        <f t="shared" si="2"/>
      </c>
    </row>
    <row r="16910">
      <c r="G16910" s="9">
        <f t="shared" si="0"/>
      </c>
      <c r="L16910">
        <f t="shared" si="1"/>
      </c>
      <c r="M16910">
        <f t="shared" si="2"/>
      </c>
    </row>
    <row r="16911">
      <c r="G16911" s="9">
        <f t="shared" si="0"/>
      </c>
      <c r="L16911">
        <f t="shared" si="1"/>
      </c>
      <c r="M16911">
        <f t="shared" si="2"/>
      </c>
    </row>
    <row r="16912">
      <c r="G16912" s="9">
        <f t="shared" si="0"/>
      </c>
      <c r="L16912">
        <f t="shared" si="1"/>
      </c>
      <c r="M16912">
        <f t="shared" si="2"/>
      </c>
    </row>
    <row r="16913">
      <c r="G16913" s="9">
        <f t="shared" si="0"/>
      </c>
      <c r="L16913">
        <f t="shared" si="1"/>
      </c>
      <c r="M16913">
        <f t="shared" si="2"/>
      </c>
    </row>
    <row r="16914">
      <c r="G16914" s="9">
        <f t="shared" si="0"/>
      </c>
      <c r="L16914">
        <f t="shared" si="1"/>
      </c>
      <c r="M16914">
        <f t="shared" si="2"/>
      </c>
    </row>
    <row r="16915">
      <c r="G16915" s="9">
        <f t="shared" si="0"/>
      </c>
      <c r="L16915">
        <f t="shared" si="1"/>
      </c>
      <c r="M16915">
        <f t="shared" si="2"/>
      </c>
    </row>
    <row r="16916">
      <c r="G16916" s="9">
        <f t="shared" si="0"/>
      </c>
      <c r="L16916">
        <f t="shared" si="1"/>
      </c>
      <c r="M16916">
        <f t="shared" si="2"/>
      </c>
    </row>
    <row r="16917">
      <c r="G16917" s="9">
        <f t="shared" si="0"/>
      </c>
      <c r="L16917">
        <f t="shared" si="1"/>
      </c>
      <c r="M16917">
        <f t="shared" si="2"/>
      </c>
    </row>
    <row r="16918">
      <c r="G16918" s="9">
        <f t="shared" si="0"/>
      </c>
      <c r="L16918">
        <f t="shared" si="1"/>
      </c>
      <c r="M16918">
        <f t="shared" si="2"/>
      </c>
    </row>
    <row r="16919">
      <c r="G16919" s="9">
        <f t="shared" si="0"/>
      </c>
      <c r="L16919">
        <f t="shared" si="1"/>
      </c>
      <c r="M16919">
        <f t="shared" si="2"/>
      </c>
    </row>
    <row r="16920">
      <c r="G16920" s="9">
        <f t="shared" si="0"/>
      </c>
      <c r="L16920">
        <f t="shared" si="1"/>
      </c>
      <c r="M16920">
        <f t="shared" si="2"/>
      </c>
    </row>
    <row r="16921">
      <c r="G16921" s="9">
        <f t="shared" si="0"/>
      </c>
      <c r="L16921">
        <f t="shared" si="1"/>
      </c>
      <c r="M16921">
        <f t="shared" si="2"/>
      </c>
    </row>
    <row r="16922">
      <c r="G16922" s="9">
        <f t="shared" si="0"/>
      </c>
      <c r="L16922">
        <f t="shared" si="1"/>
      </c>
      <c r="M16922">
        <f t="shared" si="2"/>
      </c>
    </row>
    <row r="16923">
      <c r="G16923" s="9">
        <f t="shared" si="0"/>
      </c>
      <c r="L16923">
        <f t="shared" si="1"/>
      </c>
      <c r="M16923">
        <f t="shared" si="2"/>
      </c>
    </row>
    <row r="16924">
      <c r="G16924" s="9">
        <f t="shared" si="0"/>
      </c>
      <c r="L16924">
        <f t="shared" si="1"/>
      </c>
      <c r="M16924">
        <f t="shared" si="2"/>
      </c>
    </row>
    <row r="16925">
      <c r="G16925" s="9">
        <f t="shared" si="0"/>
      </c>
      <c r="L16925">
        <f t="shared" si="1"/>
      </c>
      <c r="M16925">
        <f t="shared" si="2"/>
      </c>
    </row>
    <row r="16926">
      <c r="G16926" s="9">
        <f t="shared" si="0"/>
      </c>
      <c r="L16926">
        <f t="shared" si="1"/>
      </c>
      <c r="M16926">
        <f t="shared" si="2"/>
      </c>
    </row>
    <row r="16927">
      <c r="G16927" s="9">
        <f t="shared" si="0"/>
      </c>
      <c r="L16927">
        <f t="shared" si="1"/>
      </c>
      <c r="M16927">
        <f t="shared" si="2"/>
      </c>
    </row>
    <row r="16928">
      <c r="G16928" s="9">
        <f t="shared" si="0"/>
      </c>
      <c r="L16928">
        <f t="shared" si="1"/>
      </c>
      <c r="M16928">
        <f t="shared" si="2"/>
      </c>
    </row>
    <row r="16929">
      <c r="G16929" s="9">
        <f t="shared" si="0"/>
      </c>
      <c r="L16929">
        <f t="shared" si="1"/>
      </c>
      <c r="M16929">
        <f t="shared" si="2"/>
      </c>
    </row>
    <row r="16930">
      <c r="G16930" s="9">
        <f t="shared" si="0"/>
      </c>
      <c r="L16930">
        <f t="shared" si="1"/>
      </c>
      <c r="M16930">
        <f t="shared" si="2"/>
      </c>
    </row>
    <row r="16931">
      <c r="G16931" s="9">
        <f t="shared" si="0"/>
      </c>
      <c r="L16931">
        <f t="shared" si="1"/>
      </c>
      <c r="M16931">
        <f t="shared" si="2"/>
      </c>
    </row>
    <row r="16932">
      <c r="G16932" s="9">
        <f t="shared" si="0"/>
      </c>
      <c r="L16932">
        <f t="shared" si="1"/>
      </c>
      <c r="M16932">
        <f t="shared" si="2"/>
      </c>
    </row>
    <row r="16933">
      <c r="G16933" s="9">
        <f t="shared" si="0"/>
      </c>
      <c r="L16933">
        <f t="shared" si="1"/>
      </c>
      <c r="M16933">
        <f t="shared" si="2"/>
      </c>
    </row>
    <row r="16934">
      <c r="G16934" s="9">
        <f t="shared" si="0"/>
      </c>
      <c r="L16934">
        <f t="shared" si="1"/>
      </c>
      <c r="M16934">
        <f t="shared" si="2"/>
      </c>
    </row>
    <row r="16935">
      <c r="G16935" s="9">
        <f t="shared" si="0"/>
      </c>
      <c r="L16935">
        <f t="shared" si="1"/>
      </c>
      <c r="M16935">
        <f t="shared" si="2"/>
      </c>
    </row>
    <row r="16936">
      <c r="G16936" s="9">
        <f t="shared" si="0"/>
      </c>
      <c r="L16936">
        <f t="shared" si="1"/>
      </c>
      <c r="M16936">
        <f t="shared" si="2"/>
      </c>
    </row>
    <row r="16937">
      <c r="G16937" s="9">
        <f t="shared" si="0"/>
      </c>
      <c r="L16937">
        <f t="shared" si="1"/>
      </c>
      <c r="M16937">
        <f t="shared" si="2"/>
      </c>
    </row>
    <row r="16938">
      <c r="G16938" s="9">
        <f t="shared" si="0"/>
      </c>
      <c r="L16938">
        <f t="shared" si="1"/>
      </c>
      <c r="M16938">
        <f t="shared" si="2"/>
      </c>
    </row>
    <row r="16939">
      <c r="G16939" s="9">
        <f t="shared" si="0"/>
      </c>
      <c r="L16939">
        <f t="shared" si="1"/>
      </c>
      <c r="M16939">
        <f t="shared" si="2"/>
      </c>
    </row>
    <row r="16940">
      <c r="G16940" s="9">
        <f t="shared" si="0"/>
      </c>
      <c r="L16940">
        <f t="shared" si="1"/>
      </c>
      <c r="M16940">
        <f t="shared" si="2"/>
      </c>
    </row>
    <row r="16941">
      <c r="G16941" s="9">
        <f t="shared" si="0"/>
      </c>
      <c r="L16941">
        <f t="shared" si="1"/>
      </c>
      <c r="M16941">
        <f t="shared" si="2"/>
      </c>
    </row>
    <row r="16942">
      <c r="G16942" s="9">
        <f t="shared" si="0"/>
      </c>
      <c r="L16942">
        <f t="shared" si="1"/>
      </c>
      <c r="M16942">
        <f t="shared" si="2"/>
      </c>
    </row>
    <row r="16943">
      <c r="G16943" s="9">
        <f t="shared" si="0"/>
      </c>
      <c r="L16943">
        <f t="shared" si="1"/>
      </c>
      <c r="M16943">
        <f t="shared" si="2"/>
      </c>
    </row>
    <row r="16944">
      <c r="G16944" s="9">
        <f t="shared" si="0"/>
      </c>
      <c r="L16944">
        <f t="shared" si="1"/>
      </c>
      <c r="M16944">
        <f t="shared" si="2"/>
      </c>
    </row>
    <row r="16945">
      <c r="G16945" s="9">
        <f t="shared" si="0"/>
      </c>
      <c r="L16945">
        <f t="shared" si="1"/>
      </c>
      <c r="M16945">
        <f t="shared" si="2"/>
      </c>
    </row>
    <row r="16946">
      <c r="G16946" s="9">
        <f t="shared" si="0"/>
      </c>
      <c r="L16946">
        <f t="shared" si="1"/>
      </c>
      <c r="M16946">
        <f t="shared" si="2"/>
      </c>
    </row>
    <row r="16947">
      <c r="G16947" s="9">
        <f t="shared" si="0"/>
      </c>
      <c r="L16947">
        <f t="shared" si="1"/>
      </c>
      <c r="M16947">
        <f t="shared" si="2"/>
      </c>
    </row>
    <row r="16948">
      <c r="G16948" s="9">
        <f t="shared" si="0"/>
      </c>
      <c r="L16948">
        <f t="shared" si="1"/>
      </c>
      <c r="M16948">
        <f t="shared" si="2"/>
      </c>
    </row>
    <row r="16949">
      <c r="G16949" s="9">
        <f t="shared" si="0"/>
      </c>
      <c r="L16949">
        <f t="shared" si="1"/>
      </c>
      <c r="M16949">
        <f t="shared" si="2"/>
      </c>
    </row>
    <row r="16950">
      <c r="G16950" s="9">
        <f t="shared" si="0"/>
      </c>
      <c r="L16950">
        <f t="shared" si="1"/>
      </c>
      <c r="M16950">
        <f t="shared" si="2"/>
      </c>
    </row>
    <row r="16951">
      <c r="G16951" s="9">
        <f t="shared" si="0"/>
      </c>
      <c r="L16951">
        <f t="shared" si="1"/>
      </c>
      <c r="M16951">
        <f t="shared" si="2"/>
      </c>
    </row>
    <row r="16952">
      <c r="G16952" s="9">
        <f t="shared" si="0"/>
      </c>
      <c r="L16952">
        <f t="shared" si="1"/>
      </c>
      <c r="M16952">
        <f t="shared" si="2"/>
      </c>
    </row>
    <row r="16953">
      <c r="G16953" s="9">
        <f t="shared" si="0"/>
      </c>
      <c r="L16953">
        <f t="shared" si="1"/>
      </c>
      <c r="M16953">
        <f t="shared" si="2"/>
      </c>
    </row>
    <row r="16954">
      <c r="G16954" s="9">
        <f t="shared" si="0"/>
      </c>
      <c r="L16954">
        <f t="shared" si="1"/>
      </c>
      <c r="M16954">
        <f t="shared" si="2"/>
      </c>
    </row>
    <row r="16955">
      <c r="G16955" s="9">
        <f t="shared" si="0"/>
      </c>
      <c r="L16955">
        <f t="shared" si="1"/>
      </c>
      <c r="M16955">
        <f t="shared" si="2"/>
      </c>
    </row>
    <row r="16956">
      <c r="G16956" s="9">
        <f t="shared" si="0"/>
      </c>
      <c r="L16956">
        <f t="shared" si="1"/>
      </c>
      <c r="M16956">
        <f t="shared" si="2"/>
      </c>
    </row>
    <row r="16957">
      <c r="G16957" s="9">
        <f t="shared" si="0"/>
      </c>
      <c r="L16957">
        <f t="shared" si="1"/>
      </c>
      <c r="M16957">
        <f t="shared" si="2"/>
      </c>
    </row>
    <row r="16958">
      <c r="G16958" s="9">
        <f t="shared" si="0"/>
      </c>
      <c r="L16958">
        <f t="shared" si="1"/>
      </c>
      <c r="M16958">
        <f t="shared" si="2"/>
      </c>
    </row>
    <row r="16959">
      <c r="G16959" s="9">
        <f t="shared" si="0"/>
      </c>
      <c r="L16959">
        <f t="shared" si="1"/>
      </c>
      <c r="M16959">
        <f t="shared" si="2"/>
      </c>
    </row>
    <row r="16960">
      <c r="G16960" s="9">
        <f t="shared" si="0"/>
      </c>
      <c r="L16960">
        <f t="shared" si="1"/>
      </c>
      <c r="M16960">
        <f t="shared" si="2"/>
      </c>
    </row>
    <row r="16961">
      <c r="G16961" s="9">
        <f t="shared" si="0"/>
      </c>
      <c r="L16961">
        <f t="shared" si="1"/>
      </c>
      <c r="M16961">
        <f t="shared" si="2"/>
      </c>
    </row>
    <row r="16962">
      <c r="G16962" s="9">
        <f t="shared" si="0"/>
      </c>
      <c r="L16962">
        <f t="shared" si="1"/>
      </c>
      <c r="M16962">
        <f t="shared" si="2"/>
      </c>
    </row>
    <row r="16963">
      <c r="G16963" s="9">
        <f t="shared" si="0"/>
      </c>
      <c r="L16963">
        <f t="shared" si="1"/>
      </c>
      <c r="M16963">
        <f t="shared" si="2"/>
      </c>
    </row>
    <row r="16964">
      <c r="G16964" s="9">
        <f t="shared" si="0"/>
      </c>
      <c r="L16964">
        <f t="shared" si="1"/>
      </c>
      <c r="M16964">
        <f t="shared" si="2"/>
      </c>
    </row>
    <row r="16965">
      <c r="G16965" s="9">
        <f t="shared" si="0"/>
      </c>
      <c r="L16965">
        <f t="shared" si="1"/>
      </c>
      <c r="M16965">
        <f t="shared" si="2"/>
      </c>
    </row>
    <row r="16966">
      <c r="G16966" s="9">
        <f t="shared" si="0"/>
      </c>
      <c r="L16966">
        <f t="shared" si="1"/>
      </c>
      <c r="M16966">
        <f t="shared" si="2"/>
      </c>
    </row>
    <row r="16967">
      <c r="G16967" s="9">
        <f t="shared" si="0"/>
      </c>
      <c r="L16967">
        <f t="shared" si="1"/>
      </c>
      <c r="M16967">
        <f t="shared" si="2"/>
      </c>
    </row>
    <row r="16968">
      <c r="G16968" s="9">
        <f t="shared" si="0"/>
      </c>
      <c r="L16968">
        <f t="shared" si="1"/>
      </c>
      <c r="M16968">
        <f t="shared" si="2"/>
      </c>
    </row>
    <row r="16969">
      <c r="G16969" s="9">
        <f t="shared" si="0"/>
      </c>
      <c r="L16969">
        <f t="shared" si="1"/>
      </c>
      <c r="M16969">
        <f t="shared" si="2"/>
      </c>
    </row>
    <row r="16970">
      <c r="G16970" s="9">
        <f t="shared" si="0"/>
      </c>
      <c r="L16970">
        <f t="shared" si="1"/>
      </c>
      <c r="M16970">
        <f t="shared" si="2"/>
      </c>
    </row>
    <row r="16971">
      <c r="G16971" s="9">
        <f t="shared" si="0"/>
      </c>
      <c r="L16971">
        <f t="shared" si="1"/>
      </c>
      <c r="M16971">
        <f t="shared" si="2"/>
      </c>
    </row>
    <row r="16972">
      <c r="G16972" s="9">
        <f t="shared" si="0"/>
      </c>
      <c r="L16972">
        <f t="shared" si="1"/>
      </c>
      <c r="M16972">
        <f t="shared" si="2"/>
      </c>
    </row>
    <row r="16973">
      <c r="G16973" s="9">
        <f t="shared" si="0"/>
      </c>
      <c r="L16973">
        <f t="shared" si="1"/>
      </c>
      <c r="M16973">
        <f t="shared" si="2"/>
      </c>
    </row>
    <row r="16974">
      <c r="G16974" s="9">
        <f t="shared" si="0"/>
      </c>
      <c r="L16974">
        <f t="shared" si="1"/>
      </c>
      <c r="M16974">
        <f t="shared" si="2"/>
      </c>
    </row>
    <row r="16975">
      <c r="G16975" s="9">
        <f t="shared" si="0"/>
      </c>
      <c r="L16975">
        <f t="shared" si="1"/>
      </c>
      <c r="M16975">
        <f t="shared" si="2"/>
      </c>
    </row>
    <row r="16976">
      <c r="G16976" s="9">
        <f t="shared" si="0"/>
      </c>
      <c r="L16976">
        <f t="shared" si="1"/>
      </c>
      <c r="M16976">
        <f t="shared" si="2"/>
      </c>
    </row>
    <row r="16977">
      <c r="G16977" s="9">
        <f t="shared" si="0"/>
      </c>
      <c r="L16977">
        <f t="shared" si="1"/>
      </c>
      <c r="M16977">
        <f t="shared" si="2"/>
      </c>
    </row>
    <row r="16978">
      <c r="G16978" s="9">
        <f t="shared" si="0"/>
      </c>
      <c r="L16978">
        <f t="shared" si="1"/>
      </c>
      <c r="M16978">
        <f t="shared" si="2"/>
      </c>
    </row>
    <row r="16979">
      <c r="G16979" s="9">
        <f t="shared" si="0"/>
      </c>
      <c r="L16979">
        <f t="shared" si="1"/>
      </c>
      <c r="M16979">
        <f t="shared" si="2"/>
      </c>
    </row>
    <row r="16980">
      <c r="G16980" s="9">
        <f t="shared" si="0"/>
      </c>
      <c r="L16980">
        <f t="shared" si="1"/>
      </c>
      <c r="M16980">
        <f t="shared" si="2"/>
      </c>
    </row>
    <row r="16981">
      <c r="G16981" s="9">
        <f t="shared" si="0"/>
      </c>
      <c r="L16981">
        <f t="shared" si="1"/>
      </c>
      <c r="M16981">
        <f t="shared" si="2"/>
      </c>
    </row>
    <row r="16982">
      <c r="G16982" s="9">
        <f t="shared" si="0"/>
      </c>
      <c r="L16982">
        <f t="shared" si="1"/>
      </c>
      <c r="M16982">
        <f t="shared" si="2"/>
      </c>
    </row>
    <row r="16983">
      <c r="G16983" s="9">
        <f t="shared" si="0"/>
      </c>
      <c r="L16983">
        <f t="shared" si="1"/>
      </c>
      <c r="M16983">
        <f t="shared" si="2"/>
      </c>
    </row>
    <row r="16984">
      <c r="G16984" s="9">
        <f t="shared" si="0"/>
      </c>
      <c r="L16984">
        <f t="shared" si="1"/>
      </c>
      <c r="M16984">
        <f t="shared" si="2"/>
      </c>
    </row>
    <row r="16985">
      <c r="G16985" s="9">
        <f t="shared" si="0"/>
      </c>
      <c r="L16985">
        <f t="shared" si="1"/>
      </c>
      <c r="M16985">
        <f t="shared" si="2"/>
      </c>
    </row>
    <row r="16986">
      <c r="G16986" s="9">
        <f t="shared" si="0"/>
      </c>
      <c r="L16986">
        <f t="shared" si="1"/>
      </c>
      <c r="M16986">
        <f t="shared" si="2"/>
      </c>
    </row>
    <row r="16987">
      <c r="G16987" s="9">
        <f t="shared" si="0"/>
      </c>
      <c r="L16987">
        <f t="shared" si="1"/>
      </c>
      <c r="M16987">
        <f t="shared" si="2"/>
      </c>
    </row>
    <row r="16988">
      <c r="G16988" s="9">
        <f t="shared" si="0"/>
      </c>
      <c r="L16988">
        <f t="shared" si="1"/>
      </c>
      <c r="M16988">
        <f t="shared" si="2"/>
      </c>
    </row>
    <row r="16989">
      <c r="G16989" s="9">
        <f t="shared" si="0"/>
      </c>
      <c r="L16989">
        <f t="shared" si="1"/>
      </c>
      <c r="M16989">
        <f t="shared" si="2"/>
      </c>
    </row>
    <row r="16990">
      <c r="G16990" s="9">
        <f t="shared" si="0"/>
      </c>
      <c r="L16990">
        <f t="shared" si="1"/>
      </c>
      <c r="M16990">
        <f t="shared" si="2"/>
      </c>
    </row>
    <row r="16991">
      <c r="G16991" s="9">
        <f t="shared" si="0"/>
      </c>
      <c r="L16991">
        <f t="shared" si="1"/>
      </c>
      <c r="M16991">
        <f t="shared" si="2"/>
      </c>
    </row>
    <row r="16992">
      <c r="G16992" s="9">
        <f t="shared" si="0"/>
      </c>
      <c r="L16992">
        <f t="shared" si="1"/>
      </c>
      <c r="M16992">
        <f t="shared" si="2"/>
      </c>
    </row>
    <row r="16993">
      <c r="G16993" s="9">
        <f t="shared" si="0"/>
      </c>
      <c r="L16993">
        <f t="shared" si="1"/>
      </c>
      <c r="M16993">
        <f t="shared" si="2"/>
      </c>
    </row>
    <row r="16994">
      <c r="G16994" s="9">
        <f t="shared" si="0"/>
      </c>
      <c r="L16994">
        <f t="shared" si="1"/>
      </c>
      <c r="M16994">
        <f t="shared" si="2"/>
      </c>
    </row>
    <row r="16995">
      <c r="G16995" s="9">
        <f t="shared" si="0"/>
      </c>
      <c r="L16995">
        <f t="shared" si="1"/>
      </c>
      <c r="M16995">
        <f t="shared" si="2"/>
      </c>
    </row>
    <row r="16996">
      <c r="G16996" s="9">
        <f t="shared" si="0"/>
      </c>
      <c r="L16996">
        <f t="shared" si="1"/>
      </c>
      <c r="M16996">
        <f t="shared" si="2"/>
      </c>
    </row>
    <row r="16997">
      <c r="G16997" s="9">
        <f t="shared" si="0"/>
      </c>
      <c r="L16997">
        <f t="shared" si="1"/>
      </c>
      <c r="M16997">
        <f t="shared" si="2"/>
      </c>
    </row>
    <row r="16998">
      <c r="G16998" s="9">
        <f t="shared" si="0"/>
      </c>
      <c r="L16998">
        <f t="shared" si="1"/>
      </c>
      <c r="M16998">
        <f t="shared" si="2"/>
      </c>
    </row>
    <row r="16999">
      <c r="G16999" s="9">
        <f t="shared" si="0"/>
      </c>
      <c r="L16999">
        <f t="shared" si="1"/>
      </c>
      <c r="M16999">
        <f t="shared" si="2"/>
      </c>
    </row>
    <row r="17000">
      <c r="G17000" s="9">
        <f t="shared" si="0"/>
      </c>
      <c r="L17000">
        <f t="shared" si="1"/>
      </c>
      <c r="M17000">
        <f t="shared" si="2"/>
      </c>
    </row>
    <row r="17001">
      <c r="G17001" s="9">
        <f t="shared" si="0"/>
      </c>
      <c r="L17001">
        <f t="shared" si="1"/>
      </c>
      <c r="M17001">
        <f t="shared" si="2"/>
      </c>
    </row>
    <row r="17002">
      <c r="G17002" s="9">
        <f t="shared" si="0"/>
      </c>
      <c r="L17002">
        <f t="shared" si="1"/>
      </c>
      <c r="M17002">
        <f t="shared" si="2"/>
      </c>
    </row>
    <row r="17003">
      <c r="G17003" s="9">
        <f t="shared" si="0"/>
      </c>
      <c r="L17003">
        <f t="shared" si="1"/>
      </c>
      <c r="M17003">
        <f t="shared" si="2"/>
      </c>
    </row>
    <row r="17004">
      <c r="G17004" s="9">
        <f t="shared" si="0"/>
      </c>
      <c r="L17004">
        <f t="shared" si="1"/>
      </c>
      <c r="M17004">
        <f t="shared" si="2"/>
      </c>
    </row>
    <row r="17005">
      <c r="G17005" s="9">
        <f t="shared" si="0"/>
      </c>
      <c r="L17005">
        <f t="shared" si="1"/>
      </c>
      <c r="M17005">
        <f t="shared" si="2"/>
      </c>
    </row>
    <row r="17006">
      <c r="G17006" s="9">
        <f t="shared" si="0"/>
      </c>
      <c r="L17006">
        <f t="shared" si="1"/>
      </c>
      <c r="M17006">
        <f t="shared" si="2"/>
      </c>
    </row>
    <row r="17007">
      <c r="G17007" s="9">
        <f t="shared" si="0"/>
      </c>
      <c r="L17007">
        <f t="shared" si="1"/>
      </c>
      <c r="M17007">
        <f t="shared" si="2"/>
      </c>
    </row>
    <row r="17008">
      <c r="G17008" s="9">
        <f t="shared" si="0"/>
      </c>
      <c r="L17008">
        <f t="shared" si="1"/>
      </c>
      <c r="M17008">
        <f t="shared" si="2"/>
      </c>
    </row>
    <row r="17009">
      <c r="G17009" s="9">
        <f t="shared" si="0"/>
      </c>
      <c r="L17009">
        <f t="shared" si="1"/>
      </c>
      <c r="M17009">
        <f t="shared" si="2"/>
      </c>
    </row>
    <row r="17010">
      <c r="G17010" s="9">
        <f t="shared" si="0"/>
      </c>
      <c r="L17010">
        <f t="shared" si="1"/>
      </c>
      <c r="M17010">
        <f t="shared" si="2"/>
      </c>
    </row>
    <row r="17011">
      <c r="G17011" s="9">
        <f t="shared" si="0"/>
      </c>
      <c r="L17011">
        <f t="shared" si="1"/>
      </c>
      <c r="M17011">
        <f t="shared" si="2"/>
      </c>
    </row>
    <row r="17012">
      <c r="G17012" s="9">
        <f t="shared" si="0"/>
      </c>
      <c r="L17012">
        <f t="shared" si="1"/>
      </c>
      <c r="M17012">
        <f t="shared" si="2"/>
      </c>
    </row>
    <row r="17013">
      <c r="G17013" s="9">
        <f t="shared" si="0"/>
      </c>
      <c r="L17013">
        <f t="shared" si="1"/>
      </c>
      <c r="M17013">
        <f t="shared" si="2"/>
      </c>
    </row>
    <row r="17014">
      <c r="G17014" s="9">
        <f t="shared" si="0"/>
      </c>
      <c r="L17014">
        <f t="shared" si="1"/>
      </c>
      <c r="M17014">
        <f t="shared" si="2"/>
      </c>
    </row>
    <row r="17015">
      <c r="G17015" s="9">
        <f t="shared" si="0"/>
      </c>
      <c r="L17015">
        <f t="shared" si="1"/>
      </c>
      <c r="M17015">
        <f t="shared" si="2"/>
      </c>
    </row>
    <row r="17016">
      <c r="G17016" s="9">
        <f t="shared" si="0"/>
      </c>
      <c r="L17016">
        <f t="shared" si="1"/>
      </c>
      <c r="M17016">
        <f t="shared" si="2"/>
      </c>
    </row>
    <row r="17017">
      <c r="G17017" s="9">
        <f t="shared" si="0"/>
      </c>
      <c r="L17017">
        <f t="shared" si="1"/>
      </c>
      <c r="M17017">
        <f t="shared" si="2"/>
      </c>
    </row>
    <row r="17018">
      <c r="G17018" s="9">
        <f t="shared" si="0"/>
      </c>
      <c r="L17018">
        <f t="shared" si="1"/>
      </c>
      <c r="M17018">
        <f t="shared" si="2"/>
      </c>
    </row>
    <row r="17019">
      <c r="G17019" s="9">
        <f t="shared" si="0"/>
      </c>
      <c r="L17019">
        <f t="shared" si="1"/>
      </c>
      <c r="M17019">
        <f t="shared" si="2"/>
      </c>
    </row>
    <row r="17020">
      <c r="G17020" s="9">
        <f t="shared" si="0"/>
      </c>
      <c r="L17020">
        <f t="shared" si="1"/>
      </c>
      <c r="M17020">
        <f t="shared" si="2"/>
      </c>
    </row>
    <row r="17021">
      <c r="G17021" s="9">
        <f t="shared" si="0"/>
      </c>
      <c r="L17021">
        <f t="shared" si="1"/>
      </c>
      <c r="M17021">
        <f t="shared" si="2"/>
      </c>
    </row>
    <row r="17022">
      <c r="G17022" s="9">
        <f t="shared" si="0"/>
      </c>
      <c r="L17022">
        <f t="shared" si="1"/>
      </c>
      <c r="M17022">
        <f t="shared" si="2"/>
      </c>
    </row>
    <row r="17023">
      <c r="G17023" s="9">
        <f t="shared" si="0"/>
      </c>
      <c r="L17023">
        <f t="shared" si="1"/>
      </c>
      <c r="M17023">
        <f t="shared" si="2"/>
      </c>
    </row>
    <row r="17024">
      <c r="G17024" s="9">
        <f t="shared" si="0"/>
      </c>
      <c r="L17024">
        <f t="shared" si="1"/>
      </c>
      <c r="M17024">
        <f t="shared" si="2"/>
      </c>
    </row>
    <row r="17025">
      <c r="G17025" s="9">
        <f t="shared" si="0"/>
      </c>
      <c r="L17025">
        <f t="shared" si="1"/>
      </c>
      <c r="M17025">
        <f t="shared" si="2"/>
      </c>
    </row>
    <row r="17026">
      <c r="G17026" s="9">
        <f t="shared" si="0"/>
      </c>
      <c r="L17026">
        <f t="shared" si="1"/>
      </c>
      <c r="M17026">
        <f t="shared" si="2"/>
      </c>
    </row>
    <row r="17027">
      <c r="G17027" s="9">
        <f t="shared" si="0"/>
      </c>
      <c r="L17027">
        <f t="shared" si="1"/>
      </c>
      <c r="M17027">
        <f t="shared" si="2"/>
      </c>
    </row>
    <row r="17028">
      <c r="G17028" s="9">
        <f t="shared" si="0"/>
      </c>
      <c r="L17028">
        <f t="shared" si="1"/>
      </c>
      <c r="M17028">
        <f t="shared" si="2"/>
      </c>
    </row>
    <row r="17029">
      <c r="G17029" s="9">
        <f t="shared" si="0"/>
      </c>
      <c r="L17029">
        <f t="shared" si="1"/>
      </c>
      <c r="M17029">
        <f t="shared" si="2"/>
      </c>
    </row>
    <row r="17030">
      <c r="G17030" s="9">
        <f t="shared" si="0"/>
      </c>
      <c r="L17030">
        <f t="shared" si="1"/>
      </c>
      <c r="M17030">
        <f t="shared" si="2"/>
      </c>
    </row>
    <row r="17031">
      <c r="G17031" s="9">
        <f t="shared" si="0"/>
      </c>
      <c r="L17031">
        <f t="shared" si="1"/>
      </c>
      <c r="M17031">
        <f t="shared" si="2"/>
      </c>
    </row>
    <row r="17032">
      <c r="G17032" s="9">
        <f t="shared" si="0"/>
      </c>
      <c r="L17032">
        <f t="shared" si="1"/>
      </c>
      <c r="M17032">
        <f t="shared" si="2"/>
      </c>
    </row>
    <row r="17033">
      <c r="G17033" s="9">
        <f t="shared" si="0"/>
      </c>
      <c r="L17033">
        <f t="shared" si="1"/>
      </c>
      <c r="M17033">
        <f t="shared" si="2"/>
      </c>
    </row>
    <row r="17034">
      <c r="G17034" s="9">
        <f t="shared" si="0"/>
      </c>
      <c r="L17034">
        <f t="shared" si="1"/>
      </c>
      <c r="M17034">
        <f t="shared" si="2"/>
      </c>
    </row>
    <row r="17035">
      <c r="G17035" s="9">
        <f t="shared" si="0"/>
      </c>
      <c r="L17035">
        <f t="shared" si="1"/>
      </c>
      <c r="M17035">
        <f t="shared" si="2"/>
      </c>
    </row>
    <row r="17036">
      <c r="G17036" s="9">
        <f t="shared" si="0"/>
      </c>
      <c r="L17036">
        <f t="shared" si="1"/>
      </c>
      <c r="M17036">
        <f t="shared" si="2"/>
      </c>
    </row>
    <row r="17037">
      <c r="G17037" s="9">
        <f t="shared" si="0"/>
      </c>
      <c r="L17037">
        <f t="shared" si="1"/>
      </c>
      <c r="M17037">
        <f t="shared" si="2"/>
      </c>
    </row>
    <row r="17038">
      <c r="G17038" s="9">
        <f t="shared" si="0"/>
      </c>
      <c r="L17038">
        <f t="shared" si="1"/>
      </c>
      <c r="M17038">
        <f t="shared" si="2"/>
      </c>
    </row>
    <row r="17039">
      <c r="G17039" s="9">
        <f t="shared" si="0"/>
      </c>
      <c r="L17039">
        <f t="shared" si="1"/>
      </c>
      <c r="M17039">
        <f t="shared" si="2"/>
      </c>
    </row>
    <row r="17040">
      <c r="G17040" s="9">
        <f t="shared" si="0"/>
      </c>
      <c r="L17040">
        <f t="shared" si="1"/>
      </c>
      <c r="M17040">
        <f t="shared" si="2"/>
      </c>
    </row>
    <row r="17041">
      <c r="G17041" s="9">
        <f t="shared" si="0"/>
      </c>
      <c r="L17041">
        <f t="shared" si="1"/>
      </c>
      <c r="M17041">
        <f t="shared" si="2"/>
      </c>
    </row>
    <row r="17042">
      <c r="G17042" s="9">
        <f t="shared" si="0"/>
      </c>
      <c r="L17042">
        <f t="shared" si="1"/>
      </c>
      <c r="M17042">
        <f t="shared" si="2"/>
      </c>
    </row>
    <row r="17043">
      <c r="G17043" s="9">
        <f t="shared" si="0"/>
      </c>
      <c r="L17043">
        <f t="shared" si="1"/>
      </c>
      <c r="M17043">
        <f t="shared" si="2"/>
      </c>
    </row>
    <row r="17044">
      <c r="G17044" s="9">
        <f t="shared" si="0"/>
      </c>
      <c r="L17044">
        <f t="shared" si="1"/>
      </c>
      <c r="M17044">
        <f t="shared" si="2"/>
      </c>
    </row>
    <row r="17045">
      <c r="G17045" s="9">
        <f t="shared" si="0"/>
      </c>
      <c r="L17045">
        <f t="shared" si="1"/>
      </c>
      <c r="M17045">
        <f t="shared" si="2"/>
      </c>
    </row>
    <row r="17046">
      <c r="G17046" s="9">
        <f t="shared" si="0"/>
      </c>
      <c r="L17046">
        <f t="shared" si="1"/>
      </c>
      <c r="M17046">
        <f t="shared" si="2"/>
      </c>
    </row>
    <row r="17047">
      <c r="G17047" s="9">
        <f t="shared" si="0"/>
      </c>
      <c r="L17047">
        <f t="shared" si="1"/>
      </c>
      <c r="M17047">
        <f t="shared" si="2"/>
      </c>
    </row>
    <row r="17048">
      <c r="G17048" s="9">
        <f t="shared" si="0"/>
      </c>
      <c r="L17048">
        <f t="shared" si="1"/>
      </c>
      <c r="M17048">
        <f t="shared" si="2"/>
      </c>
    </row>
    <row r="17049">
      <c r="G17049" s="9">
        <f t="shared" si="0"/>
      </c>
      <c r="L17049">
        <f t="shared" si="1"/>
      </c>
      <c r="M17049">
        <f t="shared" si="2"/>
      </c>
    </row>
    <row r="17050">
      <c r="G17050" s="9">
        <f t="shared" si="0"/>
      </c>
      <c r="L17050">
        <f t="shared" si="1"/>
      </c>
      <c r="M17050">
        <f t="shared" si="2"/>
      </c>
    </row>
    <row r="17051">
      <c r="G17051" s="9">
        <f t="shared" si="0"/>
      </c>
      <c r="L17051">
        <f t="shared" si="1"/>
      </c>
      <c r="M17051">
        <f t="shared" si="2"/>
      </c>
    </row>
    <row r="17052">
      <c r="G17052" s="9">
        <f t="shared" si="0"/>
      </c>
      <c r="L17052">
        <f t="shared" si="1"/>
      </c>
      <c r="M17052">
        <f t="shared" si="2"/>
      </c>
    </row>
    <row r="17053">
      <c r="G17053" s="9">
        <f t="shared" si="0"/>
      </c>
      <c r="L17053">
        <f t="shared" si="1"/>
      </c>
      <c r="M17053">
        <f t="shared" si="2"/>
      </c>
    </row>
    <row r="17054">
      <c r="G17054" s="9">
        <f t="shared" si="0"/>
      </c>
      <c r="L17054">
        <f t="shared" si="1"/>
      </c>
      <c r="M17054">
        <f t="shared" si="2"/>
      </c>
    </row>
    <row r="17055">
      <c r="G17055" s="9">
        <f t="shared" si="0"/>
      </c>
      <c r="L17055">
        <f t="shared" si="1"/>
      </c>
      <c r="M17055">
        <f t="shared" si="2"/>
      </c>
    </row>
    <row r="17056">
      <c r="G17056" s="9">
        <f t="shared" si="0"/>
      </c>
      <c r="L17056">
        <f t="shared" si="1"/>
      </c>
      <c r="M17056">
        <f t="shared" si="2"/>
      </c>
    </row>
    <row r="17057">
      <c r="G17057" s="9">
        <f t="shared" si="0"/>
      </c>
      <c r="L17057">
        <f t="shared" si="1"/>
      </c>
      <c r="M17057">
        <f t="shared" si="2"/>
      </c>
    </row>
    <row r="17058">
      <c r="G17058" s="9">
        <f t="shared" si="0"/>
      </c>
      <c r="L17058">
        <f t="shared" si="1"/>
      </c>
      <c r="M17058">
        <f t="shared" si="2"/>
      </c>
    </row>
    <row r="17059">
      <c r="G17059" s="9">
        <f t="shared" si="0"/>
      </c>
      <c r="L17059">
        <f t="shared" si="1"/>
      </c>
      <c r="M17059">
        <f t="shared" si="2"/>
      </c>
    </row>
    <row r="17060">
      <c r="G17060" s="9">
        <f t="shared" si="0"/>
      </c>
      <c r="L17060">
        <f t="shared" si="1"/>
      </c>
      <c r="M17060">
        <f t="shared" si="2"/>
      </c>
    </row>
    <row r="17061">
      <c r="G17061" s="9">
        <f t="shared" si="0"/>
      </c>
      <c r="L17061">
        <f t="shared" si="1"/>
      </c>
      <c r="M17061">
        <f t="shared" si="2"/>
      </c>
    </row>
    <row r="17062">
      <c r="G17062" s="9">
        <f t="shared" si="0"/>
      </c>
      <c r="L17062">
        <f t="shared" si="1"/>
      </c>
      <c r="M17062">
        <f t="shared" si="2"/>
      </c>
    </row>
    <row r="17063">
      <c r="G17063" s="9">
        <f t="shared" si="0"/>
      </c>
      <c r="L17063">
        <f t="shared" si="1"/>
      </c>
      <c r="M17063">
        <f t="shared" si="2"/>
      </c>
    </row>
    <row r="17064">
      <c r="G17064" s="9">
        <f t="shared" si="0"/>
      </c>
      <c r="L17064">
        <f t="shared" si="1"/>
      </c>
      <c r="M17064">
        <f t="shared" si="2"/>
      </c>
    </row>
    <row r="17065">
      <c r="G17065" s="9">
        <f t="shared" si="0"/>
      </c>
      <c r="L17065">
        <f t="shared" si="1"/>
      </c>
      <c r="M17065">
        <f t="shared" si="2"/>
      </c>
    </row>
    <row r="17066">
      <c r="G17066" s="9">
        <f t="shared" si="0"/>
      </c>
      <c r="L17066">
        <f t="shared" si="1"/>
      </c>
      <c r="M17066">
        <f t="shared" si="2"/>
      </c>
    </row>
    <row r="17067">
      <c r="G17067" s="9">
        <f t="shared" si="0"/>
      </c>
      <c r="L17067">
        <f t="shared" si="1"/>
      </c>
      <c r="M17067">
        <f t="shared" si="2"/>
      </c>
    </row>
    <row r="17068">
      <c r="G17068" s="9">
        <f t="shared" si="0"/>
      </c>
      <c r="L17068">
        <f t="shared" si="1"/>
      </c>
      <c r="M17068">
        <f t="shared" si="2"/>
      </c>
    </row>
    <row r="17069">
      <c r="G17069" s="9">
        <f t="shared" si="0"/>
      </c>
      <c r="L17069">
        <f t="shared" si="1"/>
      </c>
      <c r="M17069">
        <f t="shared" si="2"/>
      </c>
    </row>
    <row r="17070">
      <c r="G17070" s="9">
        <f t="shared" si="0"/>
      </c>
      <c r="L17070">
        <f t="shared" si="1"/>
      </c>
      <c r="M17070">
        <f t="shared" si="2"/>
      </c>
    </row>
    <row r="17071">
      <c r="G17071" s="9">
        <f t="shared" si="0"/>
      </c>
      <c r="L17071">
        <f t="shared" si="1"/>
      </c>
      <c r="M17071">
        <f t="shared" si="2"/>
      </c>
    </row>
    <row r="17072">
      <c r="G17072" s="9">
        <f t="shared" si="0"/>
      </c>
      <c r="L17072">
        <f t="shared" si="1"/>
      </c>
      <c r="M17072">
        <f t="shared" si="2"/>
      </c>
    </row>
    <row r="17073">
      <c r="G17073" s="9">
        <f t="shared" si="0"/>
      </c>
      <c r="L17073">
        <f t="shared" si="1"/>
      </c>
      <c r="M17073">
        <f t="shared" si="2"/>
      </c>
    </row>
    <row r="17074">
      <c r="G17074" s="9">
        <f t="shared" si="0"/>
      </c>
      <c r="L17074">
        <f t="shared" si="1"/>
      </c>
      <c r="M17074">
        <f t="shared" si="2"/>
      </c>
    </row>
    <row r="17075">
      <c r="G17075" s="9">
        <f t="shared" si="0"/>
      </c>
      <c r="L17075">
        <f t="shared" si="1"/>
      </c>
      <c r="M17075">
        <f t="shared" si="2"/>
      </c>
    </row>
    <row r="17076">
      <c r="G17076" s="9">
        <f t="shared" si="0"/>
      </c>
      <c r="L17076">
        <f t="shared" si="1"/>
      </c>
      <c r="M17076">
        <f t="shared" si="2"/>
      </c>
    </row>
    <row r="17077">
      <c r="G17077" s="9">
        <f t="shared" si="0"/>
      </c>
      <c r="L17077">
        <f t="shared" si="1"/>
      </c>
      <c r="M17077">
        <f t="shared" si="2"/>
      </c>
    </row>
    <row r="17078">
      <c r="G17078" s="9">
        <f t="shared" si="0"/>
      </c>
      <c r="L17078">
        <f t="shared" si="1"/>
      </c>
      <c r="M17078">
        <f t="shared" si="2"/>
      </c>
    </row>
    <row r="17079">
      <c r="G17079" s="9">
        <f t="shared" si="0"/>
      </c>
      <c r="L17079">
        <f t="shared" si="1"/>
      </c>
      <c r="M17079">
        <f t="shared" si="2"/>
      </c>
    </row>
    <row r="17080">
      <c r="G17080" s="9">
        <f t="shared" si="0"/>
      </c>
      <c r="L17080">
        <f t="shared" si="1"/>
      </c>
      <c r="M17080">
        <f t="shared" si="2"/>
      </c>
    </row>
    <row r="17081">
      <c r="G17081" s="9">
        <f t="shared" si="0"/>
      </c>
      <c r="L17081">
        <f t="shared" si="1"/>
      </c>
      <c r="M17081">
        <f t="shared" si="2"/>
      </c>
    </row>
    <row r="17082">
      <c r="G17082" s="9">
        <f t="shared" si="0"/>
      </c>
      <c r="L17082">
        <f t="shared" si="1"/>
      </c>
      <c r="M17082">
        <f t="shared" si="2"/>
      </c>
    </row>
    <row r="17083">
      <c r="G17083" s="9">
        <f t="shared" si="0"/>
      </c>
      <c r="L17083">
        <f t="shared" si="1"/>
      </c>
      <c r="M17083">
        <f t="shared" si="2"/>
      </c>
    </row>
    <row r="17084">
      <c r="G17084" s="9">
        <f t="shared" si="0"/>
      </c>
      <c r="L17084">
        <f t="shared" si="1"/>
      </c>
      <c r="M17084">
        <f t="shared" si="2"/>
      </c>
    </row>
    <row r="17085">
      <c r="G17085" s="9">
        <f t="shared" si="0"/>
      </c>
      <c r="L17085">
        <f t="shared" si="1"/>
      </c>
      <c r="M17085">
        <f t="shared" si="2"/>
      </c>
    </row>
    <row r="17086">
      <c r="G17086" s="9">
        <f t="shared" si="0"/>
      </c>
      <c r="L17086">
        <f t="shared" si="1"/>
      </c>
      <c r="M17086">
        <f t="shared" si="2"/>
      </c>
    </row>
    <row r="17087">
      <c r="G17087" s="9">
        <f t="shared" si="0"/>
      </c>
      <c r="L17087">
        <f t="shared" si="1"/>
      </c>
      <c r="M17087">
        <f t="shared" si="2"/>
      </c>
    </row>
    <row r="17088">
      <c r="G17088" s="9">
        <f t="shared" si="0"/>
      </c>
      <c r="L17088">
        <f t="shared" si="1"/>
      </c>
      <c r="M17088">
        <f t="shared" si="2"/>
      </c>
    </row>
    <row r="17089">
      <c r="G17089" s="9">
        <f t="shared" si="0"/>
      </c>
      <c r="L17089">
        <f t="shared" si="1"/>
      </c>
      <c r="M17089">
        <f t="shared" si="2"/>
      </c>
    </row>
    <row r="17090">
      <c r="G17090" s="9">
        <f t="shared" si="0"/>
      </c>
      <c r="L17090">
        <f t="shared" si="1"/>
      </c>
      <c r="M17090">
        <f t="shared" si="2"/>
      </c>
    </row>
    <row r="17091">
      <c r="G17091" s="9">
        <f t="shared" si="0"/>
      </c>
      <c r="L17091">
        <f t="shared" si="1"/>
      </c>
      <c r="M17091">
        <f t="shared" si="2"/>
      </c>
    </row>
    <row r="17092">
      <c r="G17092" s="9">
        <f t="shared" si="0"/>
      </c>
      <c r="L17092">
        <f t="shared" si="1"/>
      </c>
      <c r="M17092">
        <f t="shared" si="2"/>
      </c>
    </row>
    <row r="17093">
      <c r="G17093" s="9">
        <f t="shared" si="0"/>
      </c>
      <c r="L17093">
        <f t="shared" si="1"/>
      </c>
      <c r="M17093">
        <f t="shared" si="2"/>
      </c>
    </row>
    <row r="17094">
      <c r="G17094" s="9">
        <f t="shared" si="0"/>
      </c>
      <c r="L17094">
        <f t="shared" si="1"/>
      </c>
      <c r="M17094">
        <f t="shared" si="2"/>
      </c>
    </row>
    <row r="17095">
      <c r="G17095" s="9">
        <f t="shared" si="0"/>
      </c>
      <c r="L17095">
        <f t="shared" si="1"/>
      </c>
      <c r="M17095">
        <f t="shared" si="2"/>
      </c>
    </row>
    <row r="17096">
      <c r="G17096" s="9">
        <f t="shared" si="0"/>
      </c>
      <c r="L17096">
        <f t="shared" si="1"/>
      </c>
      <c r="M17096">
        <f t="shared" si="2"/>
      </c>
    </row>
    <row r="17097">
      <c r="G17097" s="9">
        <f t="shared" si="0"/>
      </c>
      <c r="L17097">
        <f t="shared" si="1"/>
      </c>
      <c r="M17097">
        <f t="shared" si="2"/>
      </c>
    </row>
    <row r="17098">
      <c r="G17098" s="9">
        <f t="shared" si="0"/>
      </c>
      <c r="L17098">
        <f t="shared" si="1"/>
      </c>
      <c r="M17098">
        <f t="shared" si="2"/>
      </c>
    </row>
    <row r="17099">
      <c r="G17099" s="9">
        <f t="shared" si="0"/>
      </c>
      <c r="L17099">
        <f t="shared" si="1"/>
      </c>
      <c r="M17099">
        <f t="shared" si="2"/>
      </c>
    </row>
    <row r="17100">
      <c r="G17100" s="9">
        <f t="shared" si="0"/>
      </c>
      <c r="L17100">
        <f t="shared" si="1"/>
      </c>
      <c r="M17100">
        <f t="shared" si="2"/>
      </c>
    </row>
    <row r="17101">
      <c r="G17101" s="9">
        <f t="shared" si="0"/>
      </c>
      <c r="L17101">
        <f t="shared" si="1"/>
      </c>
      <c r="M17101">
        <f t="shared" si="2"/>
      </c>
    </row>
    <row r="17102">
      <c r="G17102" s="9">
        <f t="shared" si="0"/>
      </c>
      <c r="L17102">
        <f t="shared" si="1"/>
      </c>
      <c r="M17102">
        <f t="shared" si="2"/>
      </c>
    </row>
    <row r="17103">
      <c r="G17103" s="9">
        <f t="shared" si="0"/>
      </c>
      <c r="L17103">
        <f t="shared" si="1"/>
      </c>
      <c r="M17103">
        <f t="shared" si="2"/>
      </c>
    </row>
    <row r="17104">
      <c r="G17104" s="9">
        <f t="shared" si="0"/>
      </c>
      <c r="L17104">
        <f t="shared" si="1"/>
      </c>
      <c r="M17104">
        <f t="shared" si="2"/>
      </c>
    </row>
    <row r="17105">
      <c r="G17105" s="9">
        <f t="shared" si="0"/>
      </c>
      <c r="L17105">
        <f t="shared" si="1"/>
      </c>
      <c r="M17105">
        <f t="shared" si="2"/>
      </c>
    </row>
    <row r="17106">
      <c r="G17106" s="9">
        <f t="shared" si="0"/>
      </c>
      <c r="L17106">
        <f t="shared" si="1"/>
      </c>
      <c r="M17106">
        <f t="shared" si="2"/>
      </c>
    </row>
    <row r="17107">
      <c r="G17107" s="9">
        <f t="shared" si="0"/>
      </c>
      <c r="L17107">
        <f t="shared" si="1"/>
      </c>
      <c r="M17107">
        <f t="shared" si="2"/>
      </c>
    </row>
    <row r="17108">
      <c r="G17108" s="9">
        <f t="shared" si="0"/>
      </c>
      <c r="L17108">
        <f t="shared" si="1"/>
      </c>
      <c r="M17108">
        <f t="shared" si="2"/>
      </c>
    </row>
    <row r="17109">
      <c r="G17109" s="9">
        <f t="shared" si="0"/>
      </c>
      <c r="L17109">
        <f t="shared" si="1"/>
      </c>
      <c r="M17109">
        <f t="shared" si="2"/>
      </c>
    </row>
    <row r="17110">
      <c r="G17110" s="9">
        <f t="shared" si="0"/>
      </c>
      <c r="L17110">
        <f t="shared" si="1"/>
      </c>
      <c r="M17110">
        <f t="shared" si="2"/>
      </c>
    </row>
    <row r="17111">
      <c r="G17111" s="9">
        <f t="shared" si="0"/>
      </c>
      <c r="L17111">
        <f t="shared" si="1"/>
      </c>
      <c r="M17111">
        <f t="shared" si="2"/>
      </c>
    </row>
    <row r="17112">
      <c r="G17112" s="9">
        <f t="shared" si="0"/>
      </c>
      <c r="L17112">
        <f t="shared" si="1"/>
      </c>
      <c r="M17112">
        <f t="shared" si="2"/>
      </c>
    </row>
    <row r="17113">
      <c r="G17113" s="9">
        <f t="shared" si="0"/>
      </c>
      <c r="L17113">
        <f t="shared" si="1"/>
      </c>
      <c r="M17113">
        <f t="shared" si="2"/>
      </c>
    </row>
    <row r="17114">
      <c r="G17114" s="9">
        <f t="shared" si="0"/>
      </c>
      <c r="L17114">
        <f t="shared" si="1"/>
      </c>
      <c r="M17114">
        <f t="shared" si="2"/>
      </c>
    </row>
    <row r="17115">
      <c r="G17115" s="9">
        <f t="shared" si="0"/>
      </c>
      <c r="L17115">
        <f t="shared" si="1"/>
      </c>
      <c r="M17115">
        <f t="shared" si="2"/>
      </c>
    </row>
    <row r="17116">
      <c r="G17116" s="9">
        <f t="shared" si="0"/>
      </c>
      <c r="L17116">
        <f t="shared" si="1"/>
      </c>
      <c r="M17116">
        <f t="shared" si="2"/>
      </c>
    </row>
    <row r="17117">
      <c r="G17117" s="9">
        <f t="shared" si="0"/>
      </c>
      <c r="L17117">
        <f t="shared" si="1"/>
      </c>
      <c r="M17117">
        <f t="shared" si="2"/>
      </c>
    </row>
    <row r="17118">
      <c r="G17118" s="9">
        <f t="shared" si="0"/>
      </c>
      <c r="L17118">
        <f t="shared" si="1"/>
      </c>
      <c r="M17118">
        <f t="shared" si="2"/>
      </c>
    </row>
    <row r="17119">
      <c r="G17119" s="9">
        <f t="shared" si="0"/>
      </c>
      <c r="L17119">
        <f t="shared" si="1"/>
      </c>
      <c r="M17119">
        <f t="shared" si="2"/>
      </c>
    </row>
    <row r="17120">
      <c r="G17120" s="9">
        <f t="shared" si="0"/>
      </c>
      <c r="L17120">
        <f t="shared" si="1"/>
      </c>
      <c r="M17120">
        <f t="shared" si="2"/>
      </c>
    </row>
    <row r="17121">
      <c r="G17121" s="9">
        <f t="shared" si="0"/>
      </c>
      <c r="L17121">
        <f t="shared" si="1"/>
      </c>
      <c r="M17121">
        <f t="shared" si="2"/>
      </c>
    </row>
    <row r="17122">
      <c r="G17122" s="9">
        <f t="shared" si="0"/>
      </c>
      <c r="L17122">
        <f t="shared" si="1"/>
      </c>
      <c r="M17122">
        <f t="shared" si="2"/>
      </c>
    </row>
    <row r="17123">
      <c r="G17123" s="9">
        <f t="shared" si="0"/>
      </c>
      <c r="L17123">
        <f t="shared" si="1"/>
      </c>
      <c r="M17123">
        <f t="shared" si="2"/>
      </c>
    </row>
    <row r="17124">
      <c r="G17124" s="9">
        <f t="shared" si="0"/>
      </c>
      <c r="L17124">
        <f t="shared" si="1"/>
      </c>
      <c r="M17124">
        <f t="shared" si="2"/>
      </c>
    </row>
    <row r="17125">
      <c r="G17125" s="9">
        <f t="shared" si="0"/>
      </c>
      <c r="L17125">
        <f t="shared" si="1"/>
      </c>
      <c r="M17125">
        <f t="shared" si="2"/>
      </c>
    </row>
    <row r="17126">
      <c r="G17126" s="9">
        <f t="shared" si="0"/>
      </c>
      <c r="L17126">
        <f t="shared" si="1"/>
      </c>
      <c r="M17126">
        <f t="shared" si="2"/>
      </c>
    </row>
    <row r="17127">
      <c r="G17127" s="9">
        <f t="shared" si="0"/>
      </c>
      <c r="L17127">
        <f t="shared" si="1"/>
      </c>
      <c r="M17127">
        <f t="shared" si="2"/>
      </c>
    </row>
    <row r="17128">
      <c r="G17128" s="9">
        <f t="shared" si="0"/>
      </c>
      <c r="L17128">
        <f t="shared" si="1"/>
      </c>
      <c r="M17128">
        <f t="shared" si="2"/>
      </c>
    </row>
    <row r="17129">
      <c r="G17129" s="9">
        <f t="shared" si="0"/>
      </c>
      <c r="L17129">
        <f t="shared" si="1"/>
      </c>
      <c r="M17129">
        <f t="shared" si="2"/>
      </c>
    </row>
    <row r="17130">
      <c r="G17130" s="9">
        <f t="shared" si="0"/>
      </c>
      <c r="L17130">
        <f t="shared" si="1"/>
      </c>
      <c r="M17130">
        <f t="shared" si="2"/>
      </c>
    </row>
    <row r="17131">
      <c r="G17131" s="9">
        <f t="shared" si="0"/>
      </c>
      <c r="L17131">
        <f t="shared" si="1"/>
      </c>
      <c r="M17131">
        <f t="shared" si="2"/>
      </c>
    </row>
    <row r="17132">
      <c r="G17132" s="9">
        <f t="shared" si="0"/>
      </c>
      <c r="L17132">
        <f t="shared" si="1"/>
      </c>
      <c r="M17132">
        <f t="shared" si="2"/>
      </c>
    </row>
    <row r="17133">
      <c r="G17133" s="9">
        <f t="shared" si="0"/>
      </c>
      <c r="L17133">
        <f t="shared" si="1"/>
      </c>
      <c r="M17133">
        <f t="shared" si="2"/>
      </c>
    </row>
    <row r="17134">
      <c r="G17134" s="9">
        <f t="shared" si="0"/>
      </c>
      <c r="L17134">
        <f t="shared" si="1"/>
      </c>
      <c r="M17134">
        <f t="shared" si="2"/>
      </c>
    </row>
    <row r="17135">
      <c r="G17135" s="9">
        <f t="shared" si="0"/>
      </c>
      <c r="L17135">
        <f t="shared" si="1"/>
      </c>
      <c r="M17135">
        <f t="shared" si="2"/>
      </c>
    </row>
    <row r="17136">
      <c r="G17136" s="9">
        <f t="shared" si="0"/>
      </c>
      <c r="L17136">
        <f t="shared" si="1"/>
      </c>
      <c r="M17136">
        <f t="shared" si="2"/>
      </c>
    </row>
    <row r="17137">
      <c r="G17137" s="9">
        <f t="shared" si="0"/>
      </c>
      <c r="L17137">
        <f t="shared" si="1"/>
      </c>
      <c r="M17137">
        <f t="shared" si="2"/>
      </c>
    </row>
    <row r="17138">
      <c r="G17138" s="9">
        <f t="shared" si="0"/>
      </c>
      <c r="L17138">
        <f t="shared" si="1"/>
      </c>
      <c r="M17138">
        <f t="shared" si="2"/>
      </c>
    </row>
    <row r="17139">
      <c r="G17139" s="9">
        <f t="shared" si="0"/>
      </c>
      <c r="L17139">
        <f t="shared" si="1"/>
      </c>
      <c r="M17139">
        <f t="shared" si="2"/>
      </c>
    </row>
    <row r="17140">
      <c r="G17140" s="9">
        <f t="shared" si="0"/>
      </c>
      <c r="L17140">
        <f t="shared" si="1"/>
      </c>
      <c r="M17140">
        <f t="shared" si="2"/>
      </c>
    </row>
    <row r="17141">
      <c r="G17141" s="9">
        <f t="shared" si="0"/>
      </c>
      <c r="L17141">
        <f t="shared" si="1"/>
      </c>
      <c r="M17141">
        <f t="shared" si="2"/>
      </c>
    </row>
    <row r="17142">
      <c r="G17142" s="9">
        <f t="shared" si="0"/>
      </c>
      <c r="L17142">
        <f t="shared" si="1"/>
      </c>
      <c r="M17142">
        <f t="shared" si="2"/>
      </c>
    </row>
    <row r="17143">
      <c r="G17143" s="9">
        <f t="shared" si="0"/>
      </c>
      <c r="L17143">
        <f t="shared" si="1"/>
      </c>
      <c r="M17143">
        <f t="shared" si="2"/>
      </c>
    </row>
    <row r="17144">
      <c r="G17144" s="9">
        <f t="shared" si="0"/>
      </c>
      <c r="L17144">
        <f t="shared" si="1"/>
      </c>
      <c r="M17144">
        <f t="shared" si="2"/>
      </c>
    </row>
    <row r="17145">
      <c r="G17145" s="9">
        <f t="shared" si="0"/>
      </c>
      <c r="L17145">
        <f t="shared" si="1"/>
      </c>
      <c r="M17145">
        <f t="shared" si="2"/>
      </c>
    </row>
    <row r="17146">
      <c r="G17146" s="9">
        <f t="shared" si="0"/>
      </c>
      <c r="L17146">
        <f t="shared" si="1"/>
      </c>
      <c r="M17146">
        <f t="shared" si="2"/>
      </c>
    </row>
    <row r="17147">
      <c r="G17147" s="9">
        <f t="shared" si="0"/>
      </c>
      <c r="L17147">
        <f t="shared" si="1"/>
      </c>
      <c r="M17147">
        <f t="shared" si="2"/>
      </c>
    </row>
    <row r="17148">
      <c r="G17148" s="9">
        <f t="shared" si="0"/>
      </c>
      <c r="L17148">
        <f t="shared" si="1"/>
      </c>
      <c r="M17148">
        <f t="shared" si="2"/>
      </c>
    </row>
    <row r="17149">
      <c r="G17149" s="9">
        <f t="shared" si="0"/>
      </c>
      <c r="L17149">
        <f t="shared" si="1"/>
      </c>
      <c r="M17149">
        <f t="shared" si="2"/>
      </c>
    </row>
    <row r="17150">
      <c r="G17150" s="9">
        <f t="shared" si="0"/>
      </c>
      <c r="L17150">
        <f t="shared" si="1"/>
      </c>
      <c r="M17150">
        <f t="shared" si="2"/>
      </c>
    </row>
    <row r="17151">
      <c r="G17151" s="9">
        <f t="shared" si="0"/>
      </c>
      <c r="L17151">
        <f t="shared" si="1"/>
      </c>
      <c r="M17151">
        <f t="shared" si="2"/>
      </c>
    </row>
    <row r="17152">
      <c r="G17152" s="9">
        <f t="shared" si="0"/>
      </c>
      <c r="L17152">
        <f t="shared" si="1"/>
      </c>
      <c r="M17152">
        <f t="shared" si="2"/>
      </c>
    </row>
    <row r="17153">
      <c r="G17153" s="9">
        <f t="shared" si="0"/>
      </c>
      <c r="L17153">
        <f t="shared" si="1"/>
      </c>
      <c r="M17153">
        <f t="shared" si="2"/>
      </c>
    </row>
    <row r="17154">
      <c r="G17154" s="9">
        <f t="shared" si="0"/>
      </c>
      <c r="L17154">
        <f t="shared" si="1"/>
      </c>
      <c r="M17154">
        <f t="shared" si="2"/>
      </c>
    </row>
    <row r="17155">
      <c r="G17155" s="9">
        <f t="shared" si="0"/>
      </c>
      <c r="L17155">
        <f t="shared" si="1"/>
      </c>
      <c r="M17155">
        <f t="shared" si="2"/>
      </c>
    </row>
    <row r="17156">
      <c r="G17156" s="9">
        <f t="shared" si="0"/>
      </c>
      <c r="L17156">
        <f t="shared" si="1"/>
      </c>
      <c r="M17156">
        <f t="shared" si="2"/>
      </c>
    </row>
    <row r="17157">
      <c r="G17157" s="9">
        <f t="shared" si="0"/>
      </c>
      <c r="L17157">
        <f t="shared" si="1"/>
      </c>
      <c r="M17157">
        <f t="shared" si="2"/>
      </c>
    </row>
    <row r="17158">
      <c r="G17158" s="9">
        <f t="shared" si="0"/>
      </c>
      <c r="L17158">
        <f t="shared" si="1"/>
      </c>
      <c r="M17158">
        <f t="shared" si="2"/>
      </c>
    </row>
    <row r="17159">
      <c r="G17159" s="9">
        <f t="shared" si="0"/>
      </c>
      <c r="L17159">
        <f t="shared" si="1"/>
      </c>
      <c r="M17159">
        <f t="shared" si="2"/>
      </c>
    </row>
    <row r="17160">
      <c r="G17160" s="9">
        <f t="shared" si="0"/>
      </c>
      <c r="L17160">
        <f t="shared" si="1"/>
      </c>
      <c r="M17160">
        <f t="shared" si="2"/>
      </c>
    </row>
    <row r="17161">
      <c r="G17161" s="9">
        <f t="shared" si="0"/>
      </c>
      <c r="L17161">
        <f t="shared" si="1"/>
      </c>
      <c r="M17161">
        <f t="shared" si="2"/>
      </c>
    </row>
    <row r="17162">
      <c r="G17162" s="9">
        <f t="shared" si="0"/>
      </c>
      <c r="L17162">
        <f t="shared" si="1"/>
      </c>
      <c r="M17162">
        <f t="shared" si="2"/>
      </c>
    </row>
    <row r="17163">
      <c r="G17163" s="9">
        <f t="shared" si="0"/>
      </c>
      <c r="L17163">
        <f t="shared" si="1"/>
      </c>
      <c r="M17163">
        <f t="shared" si="2"/>
      </c>
    </row>
    <row r="17164">
      <c r="G17164" s="9">
        <f t="shared" si="0"/>
      </c>
      <c r="L17164">
        <f t="shared" si="1"/>
      </c>
      <c r="M17164">
        <f t="shared" si="2"/>
      </c>
    </row>
    <row r="17165">
      <c r="G17165" s="9">
        <f t="shared" si="0"/>
      </c>
      <c r="L17165">
        <f t="shared" si="1"/>
      </c>
      <c r="M17165">
        <f t="shared" si="2"/>
      </c>
    </row>
    <row r="17166">
      <c r="G17166" s="9">
        <f t="shared" si="0"/>
      </c>
      <c r="L17166">
        <f t="shared" si="1"/>
      </c>
      <c r="M17166">
        <f t="shared" si="2"/>
      </c>
    </row>
    <row r="17167">
      <c r="G17167" s="9">
        <f t="shared" si="0"/>
      </c>
      <c r="L17167">
        <f t="shared" si="1"/>
      </c>
      <c r="M17167">
        <f t="shared" si="2"/>
      </c>
    </row>
    <row r="17168">
      <c r="G17168" s="9">
        <f t="shared" si="0"/>
      </c>
      <c r="L17168">
        <f t="shared" si="1"/>
      </c>
      <c r="M17168">
        <f t="shared" si="2"/>
      </c>
    </row>
    <row r="17169">
      <c r="G17169" s="9">
        <f t="shared" si="0"/>
      </c>
      <c r="L17169">
        <f t="shared" si="1"/>
      </c>
      <c r="M17169">
        <f t="shared" si="2"/>
      </c>
    </row>
    <row r="17170">
      <c r="G17170" s="9">
        <f t="shared" si="0"/>
      </c>
      <c r="L17170">
        <f t="shared" si="1"/>
      </c>
      <c r="M17170">
        <f t="shared" si="2"/>
      </c>
    </row>
    <row r="17171">
      <c r="G17171" s="9">
        <f t="shared" si="0"/>
      </c>
      <c r="L17171">
        <f t="shared" si="1"/>
      </c>
      <c r="M17171">
        <f t="shared" si="2"/>
      </c>
    </row>
    <row r="17172">
      <c r="G17172" s="9">
        <f t="shared" si="0"/>
      </c>
      <c r="L17172">
        <f t="shared" si="1"/>
      </c>
      <c r="M17172">
        <f t="shared" si="2"/>
      </c>
    </row>
    <row r="17173">
      <c r="G17173" s="9">
        <f t="shared" si="0"/>
      </c>
      <c r="L17173">
        <f t="shared" si="1"/>
      </c>
      <c r="M17173">
        <f t="shared" si="2"/>
      </c>
    </row>
    <row r="17174">
      <c r="G17174" s="9">
        <f t="shared" si="0"/>
      </c>
      <c r="L17174">
        <f t="shared" si="1"/>
      </c>
      <c r="M17174">
        <f t="shared" si="2"/>
      </c>
    </row>
    <row r="17175">
      <c r="G17175" s="9">
        <f t="shared" si="0"/>
      </c>
      <c r="L17175">
        <f t="shared" si="1"/>
      </c>
      <c r="M17175">
        <f t="shared" si="2"/>
      </c>
    </row>
    <row r="17176">
      <c r="G17176" s="9">
        <f t="shared" si="0"/>
      </c>
      <c r="L17176">
        <f t="shared" si="1"/>
      </c>
      <c r="M17176">
        <f t="shared" si="2"/>
      </c>
    </row>
    <row r="17177">
      <c r="G17177" s="9">
        <f t="shared" si="0"/>
      </c>
      <c r="L17177">
        <f t="shared" si="1"/>
      </c>
      <c r="M17177">
        <f t="shared" si="2"/>
      </c>
    </row>
    <row r="17178">
      <c r="G17178" s="9">
        <f t="shared" si="0"/>
      </c>
      <c r="L17178">
        <f t="shared" si="1"/>
      </c>
      <c r="M17178">
        <f t="shared" si="2"/>
      </c>
    </row>
    <row r="17179">
      <c r="G17179" s="9">
        <f t="shared" si="0"/>
      </c>
      <c r="L17179">
        <f t="shared" si="1"/>
      </c>
      <c r="M17179">
        <f t="shared" si="2"/>
      </c>
    </row>
    <row r="17180">
      <c r="G17180" s="9">
        <f t="shared" si="0"/>
      </c>
      <c r="L17180">
        <f t="shared" si="1"/>
      </c>
      <c r="M17180">
        <f t="shared" si="2"/>
      </c>
    </row>
    <row r="17181">
      <c r="G17181" s="9">
        <f t="shared" si="0"/>
      </c>
      <c r="L17181">
        <f t="shared" si="1"/>
      </c>
      <c r="M17181">
        <f t="shared" si="2"/>
      </c>
    </row>
    <row r="17182">
      <c r="G17182" s="9">
        <f t="shared" si="0"/>
      </c>
      <c r="L17182">
        <f t="shared" si="1"/>
      </c>
      <c r="M17182">
        <f t="shared" si="2"/>
      </c>
    </row>
    <row r="17183">
      <c r="G17183" s="9">
        <f t="shared" si="0"/>
      </c>
      <c r="L17183">
        <f t="shared" si="1"/>
      </c>
      <c r="M17183">
        <f t="shared" si="2"/>
      </c>
    </row>
    <row r="17184">
      <c r="G17184" s="9">
        <f t="shared" si="0"/>
      </c>
      <c r="L17184">
        <f t="shared" si="1"/>
      </c>
      <c r="M17184">
        <f t="shared" si="2"/>
      </c>
    </row>
    <row r="17185">
      <c r="G17185" s="9">
        <f t="shared" si="0"/>
      </c>
      <c r="L17185">
        <f t="shared" si="1"/>
      </c>
      <c r="M17185">
        <f t="shared" si="2"/>
      </c>
    </row>
    <row r="17186">
      <c r="G17186" s="9">
        <f t="shared" si="0"/>
      </c>
      <c r="L17186">
        <f t="shared" si="1"/>
      </c>
      <c r="M17186">
        <f t="shared" si="2"/>
      </c>
    </row>
    <row r="17187">
      <c r="G17187" s="9">
        <f t="shared" si="0"/>
      </c>
      <c r="L17187">
        <f t="shared" si="1"/>
      </c>
      <c r="M17187">
        <f t="shared" si="2"/>
      </c>
    </row>
    <row r="17188">
      <c r="G17188" s="9">
        <f t="shared" si="0"/>
      </c>
      <c r="L17188">
        <f t="shared" si="1"/>
      </c>
      <c r="M17188">
        <f t="shared" si="2"/>
      </c>
    </row>
    <row r="17189">
      <c r="G17189" s="9">
        <f t="shared" si="0"/>
      </c>
      <c r="L17189">
        <f t="shared" si="1"/>
      </c>
      <c r="M17189">
        <f t="shared" si="2"/>
      </c>
    </row>
    <row r="17190">
      <c r="G17190" s="9">
        <f t="shared" si="0"/>
      </c>
      <c r="L17190">
        <f t="shared" si="1"/>
      </c>
      <c r="M17190">
        <f t="shared" si="2"/>
      </c>
    </row>
    <row r="17191">
      <c r="G17191" s="9">
        <f t="shared" si="0"/>
      </c>
      <c r="L17191">
        <f t="shared" si="1"/>
      </c>
      <c r="M17191">
        <f t="shared" si="2"/>
      </c>
    </row>
    <row r="17192">
      <c r="G17192" s="9">
        <f t="shared" si="0"/>
      </c>
      <c r="L17192">
        <f t="shared" si="1"/>
      </c>
      <c r="M17192">
        <f t="shared" si="2"/>
      </c>
    </row>
    <row r="17193">
      <c r="G17193" s="9">
        <f t="shared" si="0"/>
      </c>
      <c r="L17193">
        <f t="shared" si="1"/>
      </c>
      <c r="M17193">
        <f t="shared" si="2"/>
      </c>
    </row>
    <row r="17194">
      <c r="G17194" s="9">
        <f t="shared" si="0"/>
      </c>
      <c r="L17194">
        <f t="shared" si="1"/>
      </c>
      <c r="M17194">
        <f t="shared" si="2"/>
      </c>
    </row>
    <row r="17195">
      <c r="G17195" s="9">
        <f t="shared" si="0"/>
      </c>
      <c r="L17195">
        <f t="shared" si="1"/>
      </c>
      <c r="M17195">
        <f t="shared" si="2"/>
      </c>
    </row>
    <row r="17196">
      <c r="G17196" s="9">
        <f t="shared" si="0"/>
      </c>
      <c r="L17196">
        <f t="shared" si="1"/>
      </c>
      <c r="M17196">
        <f t="shared" si="2"/>
      </c>
    </row>
    <row r="17197">
      <c r="G17197" s="9">
        <f t="shared" si="0"/>
      </c>
      <c r="L17197">
        <f t="shared" si="1"/>
      </c>
      <c r="M17197">
        <f t="shared" si="2"/>
      </c>
    </row>
    <row r="17198">
      <c r="G17198" s="9">
        <f t="shared" si="0"/>
      </c>
      <c r="L17198">
        <f t="shared" si="1"/>
      </c>
      <c r="M17198">
        <f t="shared" si="2"/>
      </c>
    </row>
    <row r="17199">
      <c r="G17199" s="9">
        <f t="shared" si="0"/>
      </c>
      <c r="L17199">
        <f t="shared" si="1"/>
      </c>
      <c r="M17199">
        <f t="shared" si="2"/>
      </c>
    </row>
    <row r="17200">
      <c r="G17200" s="9">
        <f t="shared" si="0"/>
      </c>
      <c r="L17200">
        <f t="shared" si="1"/>
      </c>
      <c r="M17200">
        <f t="shared" si="2"/>
      </c>
    </row>
    <row r="17201">
      <c r="G17201" s="9">
        <f t="shared" si="0"/>
      </c>
      <c r="L17201">
        <f t="shared" si="1"/>
      </c>
      <c r="M17201">
        <f t="shared" si="2"/>
      </c>
    </row>
    <row r="17202">
      <c r="G17202" s="9">
        <f t="shared" si="0"/>
      </c>
      <c r="L17202">
        <f t="shared" si="1"/>
      </c>
      <c r="M17202">
        <f t="shared" si="2"/>
      </c>
    </row>
    <row r="17203">
      <c r="G17203" s="9">
        <f t="shared" si="0"/>
      </c>
      <c r="L17203">
        <f t="shared" si="1"/>
      </c>
      <c r="M17203">
        <f t="shared" si="2"/>
      </c>
    </row>
    <row r="17204">
      <c r="G17204" s="9">
        <f t="shared" si="0"/>
      </c>
      <c r="L17204">
        <f t="shared" si="1"/>
      </c>
      <c r="M17204">
        <f t="shared" si="2"/>
      </c>
    </row>
    <row r="17205">
      <c r="G17205" s="9">
        <f t="shared" si="0"/>
      </c>
      <c r="L17205">
        <f t="shared" si="1"/>
      </c>
      <c r="M17205">
        <f t="shared" si="2"/>
      </c>
    </row>
    <row r="17206">
      <c r="G17206" s="9">
        <f t="shared" si="0"/>
      </c>
      <c r="L17206">
        <f t="shared" si="1"/>
      </c>
      <c r="M17206">
        <f t="shared" si="2"/>
      </c>
    </row>
    <row r="17207">
      <c r="G17207" s="9">
        <f t="shared" si="0"/>
      </c>
      <c r="L17207">
        <f t="shared" si="1"/>
      </c>
      <c r="M17207">
        <f t="shared" si="2"/>
      </c>
    </row>
    <row r="17208">
      <c r="G17208" s="9">
        <f t="shared" si="0"/>
      </c>
      <c r="L17208">
        <f t="shared" si="1"/>
      </c>
      <c r="M17208">
        <f t="shared" si="2"/>
      </c>
    </row>
    <row r="17209">
      <c r="G17209" s="9">
        <f t="shared" si="0"/>
      </c>
      <c r="L17209">
        <f t="shared" si="1"/>
      </c>
      <c r="M17209">
        <f t="shared" si="2"/>
      </c>
    </row>
    <row r="17210">
      <c r="G17210" s="9">
        <f t="shared" si="0"/>
      </c>
      <c r="L17210">
        <f t="shared" si="1"/>
      </c>
      <c r="M17210">
        <f t="shared" si="2"/>
      </c>
    </row>
    <row r="17211">
      <c r="G17211" s="9">
        <f t="shared" si="0"/>
      </c>
      <c r="L17211">
        <f t="shared" si="1"/>
      </c>
      <c r="M17211">
        <f t="shared" si="2"/>
      </c>
    </row>
    <row r="17212">
      <c r="G17212" s="9">
        <f t="shared" si="0"/>
      </c>
      <c r="L17212">
        <f t="shared" si="1"/>
      </c>
      <c r="M17212">
        <f t="shared" si="2"/>
      </c>
    </row>
    <row r="17213">
      <c r="G17213" s="9">
        <f t="shared" si="0"/>
      </c>
      <c r="L17213">
        <f t="shared" si="1"/>
      </c>
      <c r="M17213">
        <f t="shared" si="2"/>
      </c>
    </row>
    <row r="17214">
      <c r="G17214" s="9">
        <f t="shared" si="0"/>
      </c>
      <c r="L17214">
        <f t="shared" si="1"/>
      </c>
      <c r="M17214">
        <f t="shared" si="2"/>
      </c>
    </row>
    <row r="17215">
      <c r="G17215" s="9">
        <f t="shared" si="0"/>
      </c>
      <c r="L17215">
        <f t="shared" si="1"/>
      </c>
      <c r="M17215">
        <f t="shared" si="2"/>
      </c>
    </row>
    <row r="17216">
      <c r="G17216" s="9">
        <f t="shared" si="0"/>
      </c>
      <c r="L17216">
        <f t="shared" si="1"/>
      </c>
      <c r="M17216">
        <f t="shared" si="2"/>
      </c>
    </row>
    <row r="17217">
      <c r="G17217" s="9">
        <f t="shared" si="0"/>
      </c>
      <c r="L17217">
        <f t="shared" si="1"/>
      </c>
      <c r="M17217">
        <f t="shared" si="2"/>
      </c>
    </row>
    <row r="17218">
      <c r="G17218" s="9">
        <f t="shared" si="0"/>
      </c>
      <c r="L17218">
        <f t="shared" si="1"/>
      </c>
      <c r="M17218">
        <f t="shared" si="2"/>
      </c>
    </row>
    <row r="17219">
      <c r="G17219" s="9">
        <f t="shared" si="0"/>
      </c>
      <c r="L17219">
        <f t="shared" si="1"/>
      </c>
      <c r="M17219">
        <f t="shared" si="2"/>
      </c>
    </row>
    <row r="17220">
      <c r="G17220" s="9">
        <f t="shared" si="0"/>
      </c>
      <c r="L17220">
        <f t="shared" si="1"/>
      </c>
      <c r="M17220">
        <f t="shared" si="2"/>
      </c>
    </row>
    <row r="17221">
      <c r="G17221" s="9">
        <f t="shared" si="0"/>
      </c>
      <c r="L17221">
        <f t="shared" si="1"/>
      </c>
      <c r="M17221">
        <f t="shared" si="2"/>
      </c>
    </row>
    <row r="17222">
      <c r="G17222" s="9">
        <f t="shared" si="0"/>
      </c>
      <c r="L17222">
        <f t="shared" si="1"/>
      </c>
      <c r="M17222">
        <f t="shared" si="2"/>
      </c>
    </row>
    <row r="17223">
      <c r="G17223" s="9">
        <f t="shared" si="0"/>
      </c>
      <c r="L17223">
        <f t="shared" si="1"/>
      </c>
      <c r="M17223">
        <f t="shared" si="2"/>
      </c>
    </row>
    <row r="17224">
      <c r="G17224" s="9">
        <f t="shared" si="0"/>
      </c>
      <c r="L17224">
        <f t="shared" si="1"/>
      </c>
      <c r="M17224">
        <f t="shared" si="2"/>
      </c>
    </row>
    <row r="17225">
      <c r="G17225" s="9">
        <f t="shared" si="0"/>
      </c>
      <c r="L17225">
        <f t="shared" si="1"/>
      </c>
      <c r="M17225">
        <f t="shared" si="2"/>
      </c>
    </row>
    <row r="17226">
      <c r="G17226" s="9">
        <f t="shared" si="0"/>
      </c>
      <c r="L17226">
        <f t="shared" si="1"/>
      </c>
      <c r="M17226">
        <f t="shared" si="2"/>
      </c>
    </row>
    <row r="17227">
      <c r="G17227" s="9">
        <f t="shared" si="0"/>
      </c>
      <c r="L17227">
        <f t="shared" si="1"/>
      </c>
      <c r="M17227">
        <f t="shared" si="2"/>
      </c>
    </row>
    <row r="17228">
      <c r="G17228" s="9">
        <f t="shared" si="0"/>
      </c>
      <c r="L17228">
        <f t="shared" si="1"/>
      </c>
      <c r="M17228">
        <f t="shared" si="2"/>
      </c>
    </row>
    <row r="17229">
      <c r="G17229" s="9">
        <f t="shared" si="0"/>
      </c>
      <c r="L17229">
        <f t="shared" si="1"/>
      </c>
      <c r="M17229">
        <f t="shared" si="2"/>
      </c>
    </row>
    <row r="17230">
      <c r="G17230" s="9">
        <f t="shared" si="0"/>
      </c>
      <c r="L17230">
        <f t="shared" si="1"/>
      </c>
      <c r="M17230">
        <f t="shared" si="2"/>
      </c>
    </row>
    <row r="17231">
      <c r="G17231" s="9">
        <f t="shared" si="0"/>
      </c>
      <c r="L17231">
        <f t="shared" si="1"/>
      </c>
      <c r="M17231">
        <f t="shared" si="2"/>
      </c>
    </row>
    <row r="17232">
      <c r="G17232" s="9">
        <f t="shared" si="0"/>
      </c>
      <c r="L17232">
        <f t="shared" si="1"/>
      </c>
      <c r="M17232">
        <f t="shared" si="2"/>
      </c>
    </row>
    <row r="17233">
      <c r="G17233" s="9">
        <f t="shared" si="0"/>
      </c>
      <c r="L17233">
        <f t="shared" si="1"/>
      </c>
      <c r="M17233">
        <f t="shared" si="2"/>
      </c>
    </row>
    <row r="17234">
      <c r="G17234" s="9">
        <f t="shared" si="0"/>
      </c>
      <c r="L17234">
        <f t="shared" si="1"/>
      </c>
      <c r="M17234">
        <f t="shared" si="2"/>
      </c>
    </row>
    <row r="17235">
      <c r="G17235" s="9">
        <f t="shared" si="0"/>
      </c>
      <c r="L17235">
        <f t="shared" si="1"/>
      </c>
      <c r="M17235">
        <f t="shared" si="2"/>
      </c>
    </row>
    <row r="17236">
      <c r="G17236" s="9">
        <f t="shared" si="0"/>
      </c>
      <c r="L17236">
        <f t="shared" si="1"/>
      </c>
      <c r="M17236">
        <f t="shared" si="2"/>
      </c>
    </row>
    <row r="17237">
      <c r="G17237" s="9">
        <f t="shared" si="0"/>
      </c>
      <c r="L17237">
        <f t="shared" si="1"/>
      </c>
      <c r="M17237">
        <f t="shared" si="2"/>
      </c>
    </row>
    <row r="17238">
      <c r="G17238" s="9">
        <f t="shared" si="0"/>
      </c>
      <c r="L17238">
        <f t="shared" si="1"/>
      </c>
      <c r="M17238">
        <f t="shared" si="2"/>
      </c>
    </row>
    <row r="17239">
      <c r="G17239" s="9">
        <f t="shared" si="0"/>
      </c>
      <c r="L17239">
        <f t="shared" si="1"/>
      </c>
      <c r="M17239">
        <f t="shared" si="2"/>
      </c>
    </row>
    <row r="17240">
      <c r="G17240" s="9">
        <f t="shared" si="0"/>
      </c>
      <c r="L17240">
        <f t="shared" si="1"/>
      </c>
      <c r="M17240">
        <f t="shared" si="2"/>
      </c>
    </row>
    <row r="17241">
      <c r="G17241" s="9">
        <f t="shared" si="0"/>
      </c>
      <c r="L17241">
        <f t="shared" si="1"/>
      </c>
      <c r="M17241">
        <f t="shared" si="2"/>
      </c>
    </row>
    <row r="17242">
      <c r="G17242" s="9">
        <f t="shared" si="0"/>
      </c>
      <c r="L17242">
        <f t="shared" si="1"/>
      </c>
      <c r="M17242">
        <f t="shared" si="2"/>
      </c>
    </row>
    <row r="17243">
      <c r="G17243" s="9">
        <f t="shared" si="0"/>
      </c>
      <c r="L17243">
        <f t="shared" si="1"/>
      </c>
      <c r="M17243">
        <f t="shared" si="2"/>
      </c>
    </row>
    <row r="17244">
      <c r="G17244" s="9">
        <f t="shared" si="0"/>
      </c>
      <c r="L17244">
        <f t="shared" si="1"/>
      </c>
      <c r="M17244">
        <f t="shared" si="2"/>
      </c>
    </row>
    <row r="17245">
      <c r="G17245" s="9">
        <f t="shared" si="0"/>
      </c>
      <c r="L17245">
        <f t="shared" si="1"/>
      </c>
      <c r="M17245">
        <f t="shared" si="2"/>
      </c>
    </row>
    <row r="17246">
      <c r="G17246" s="9">
        <f t="shared" si="0"/>
      </c>
      <c r="L17246">
        <f t="shared" si="1"/>
      </c>
      <c r="M17246">
        <f t="shared" si="2"/>
      </c>
    </row>
    <row r="17247">
      <c r="G17247" s="9">
        <f t="shared" si="0"/>
      </c>
      <c r="L17247">
        <f t="shared" si="1"/>
      </c>
      <c r="M17247">
        <f t="shared" si="2"/>
      </c>
    </row>
    <row r="17248">
      <c r="G17248" s="9">
        <f t="shared" si="0"/>
      </c>
      <c r="L17248">
        <f t="shared" si="1"/>
      </c>
      <c r="M17248">
        <f t="shared" si="2"/>
      </c>
    </row>
    <row r="17249">
      <c r="G17249" s="9">
        <f t="shared" si="0"/>
      </c>
      <c r="L17249">
        <f t="shared" si="1"/>
      </c>
      <c r="M17249">
        <f t="shared" si="2"/>
      </c>
    </row>
    <row r="17250">
      <c r="G17250" s="9">
        <f t="shared" si="0"/>
      </c>
      <c r="L17250">
        <f t="shared" si="1"/>
      </c>
      <c r="M17250">
        <f t="shared" si="2"/>
      </c>
    </row>
    <row r="17251">
      <c r="G17251" s="9">
        <f t="shared" si="0"/>
      </c>
      <c r="L17251">
        <f t="shared" si="1"/>
      </c>
      <c r="M17251">
        <f t="shared" si="2"/>
      </c>
    </row>
    <row r="17252">
      <c r="G17252" s="9">
        <f t="shared" si="0"/>
      </c>
      <c r="L17252">
        <f t="shared" si="1"/>
      </c>
      <c r="M17252">
        <f t="shared" si="2"/>
      </c>
    </row>
    <row r="17253">
      <c r="G17253" s="9">
        <f t="shared" si="0"/>
      </c>
      <c r="L17253">
        <f t="shared" si="1"/>
      </c>
      <c r="M17253">
        <f t="shared" si="2"/>
      </c>
    </row>
    <row r="17254">
      <c r="G17254" s="9">
        <f t="shared" si="0"/>
      </c>
      <c r="L17254">
        <f t="shared" si="1"/>
      </c>
      <c r="M17254">
        <f t="shared" si="2"/>
      </c>
    </row>
    <row r="17255">
      <c r="G17255" s="9">
        <f t="shared" si="0"/>
      </c>
      <c r="L17255">
        <f t="shared" si="1"/>
      </c>
      <c r="M17255">
        <f t="shared" si="2"/>
      </c>
    </row>
    <row r="17256">
      <c r="G17256" s="9">
        <f t="shared" si="0"/>
      </c>
      <c r="L17256">
        <f t="shared" si="1"/>
      </c>
      <c r="M17256">
        <f t="shared" si="2"/>
      </c>
    </row>
    <row r="17257">
      <c r="G17257" s="9">
        <f t="shared" si="0"/>
      </c>
      <c r="L17257">
        <f t="shared" si="1"/>
      </c>
      <c r="M17257">
        <f t="shared" si="2"/>
      </c>
    </row>
    <row r="17258">
      <c r="G17258" s="9">
        <f t="shared" si="0"/>
      </c>
      <c r="L17258">
        <f t="shared" si="1"/>
      </c>
      <c r="M17258">
        <f t="shared" si="2"/>
      </c>
    </row>
    <row r="17259">
      <c r="G17259" s="9">
        <f t="shared" si="0"/>
      </c>
      <c r="L17259">
        <f t="shared" si="1"/>
      </c>
      <c r="M17259">
        <f t="shared" si="2"/>
      </c>
    </row>
    <row r="17260">
      <c r="G17260" s="9">
        <f t="shared" si="0"/>
      </c>
      <c r="L17260">
        <f t="shared" si="1"/>
      </c>
      <c r="M17260">
        <f t="shared" si="2"/>
      </c>
    </row>
    <row r="17261">
      <c r="G17261" s="9">
        <f t="shared" si="0"/>
      </c>
      <c r="L17261">
        <f t="shared" si="1"/>
      </c>
      <c r="M17261">
        <f t="shared" si="2"/>
      </c>
    </row>
    <row r="17262">
      <c r="G17262" s="9">
        <f t="shared" si="0"/>
      </c>
      <c r="L17262">
        <f t="shared" si="1"/>
      </c>
      <c r="M17262">
        <f t="shared" si="2"/>
      </c>
    </row>
    <row r="17263">
      <c r="G17263" s="9">
        <f t="shared" si="0"/>
      </c>
      <c r="L17263">
        <f t="shared" si="1"/>
      </c>
      <c r="M17263">
        <f t="shared" si="2"/>
      </c>
    </row>
    <row r="17264">
      <c r="G17264" s="9">
        <f t="shared" si="0"/>
      </c>
      <c r="L17264">
        <f t="shared" si="1"/>
      </c>
      <c r="M17264">
        <f t="shared" si="2"/>
      </c>
    </row>
    <row r="17265">
      <c r="G17265" s="9">
        <f t="shared" si="0"/>
      </c>
      <c r="L17265">
        <f t="shared" si="1"/>
      </c>
      <c r="M17265">
        <f t="shared" si="2"/>
      </c>
    </row>
    <row r="17266">
      <c r="G17266" s="9">
        <f t="shared" si="0"/>
      </c>
      <c r="L17266">
        <f t="shared" si="1"/>
      </c>
      <c r="M17266">
        <f t="shared" si="2"/>
      </c>
    </row>
    <row r="17267">
      <c r="G17267" s="9">
        <f t="shared" si="0"/>
      </c>
      <c r="L17267">
        <f t="shared" si="1"/>
      </c>
      <c r="M17267">
        <f t="shared" si="2"/>
      </c>
    </row>
    <row r="17268">
      <c r="G17268" s="9">
        <f t="shared" si="0"/>
      </c>
      <c r="L17268">
        <f t="shared" si="1"/>
      </c>
      <c r="M17268">
        <f t="shared" si="2"/>
      </c>
    </row>
    <row r="17269">
      <c r="G17269" s="9">
        <f t="shared" si="0"/>
      </c>
      <c r="L17269">
        <f t="shared" si="1"/>
      </c>
      <c r="M17269">
        <f t="shared" si="2"/>
      </c>
    </row>
    <row r="17270">
      <c r="G17270" s="9">
        <f t="shared" si="0"/>
      </c>
      <c r="L17270">
        <f t="shared" si="1"/>
      </c>
      <c r="M17270">
        <f t="shared" si="2"/>
      </c>
    </row>
    <row r="17271">
      <c r="G17271" s="9">
        <f t="shared" si="0"/>
      </c>
      <c r="L17271">
        <f t="shared" si="1"/>
      </c>
      <c r="M17271">
        <f t="shared" si="2"/>
      </c>
    </row>
    <row r="17272">
      <c r="G17272" s="9">
        <f t="shared" si="0"/>
      </c>
      <c r="L17272">
        <f t="shared" si="1"/>
      </c>
      <c r="M17272">
        <f t="shared" si="2"/>
      </c>
    </row>
    <row r="17273">
      <c r="G17273" s="9">
        <f t="shared" si="0"/>
      </c>
      <c r="L17273">
        <f t="shared" si="1"/>
      </c>
      <c r="M17273">
        <f t="shared" si="2"/>
      </c>
    </row>
    <row r="17274">
      <c r="G17274" s="9">
        <f t="shared" si="0"/>
      </c>
      <c r="L17274">
        <f t="shared" si="1"/>
      </c>
      <c r="M17274">
        <f t="shared" si="2"/>
      </c>
    </row>
    <row r="17275">
      <c r="G17275" s="9">
        <f t="shared" si="0"/>
      </c>
      <c r="L17275">
        <f t="shared" si="1"/>
      </c>
      <c r="M17275">
        <f t="shared" si="2"/>
      </c>
    </row>
    <row r="17276">
      <c r="G17276" s="9">
        <f t="shared" si="0"/>
      </c>
      <c r="L17276">
        <f t="shared" si="1"/>
      </c>
      <c r="M17276">
        <f t="shared" si="2"/>
      </c>
    </row>
    <row r="17277">
      <c r="G17277" s="9">
        <f t="shared" si="0"/>
      </c>
      <c r="L17277">
        <f t="shared" si="1"/>
      </c>
      <c r="M17277">
        <f t="shared" si="2"/>
      </c>
    </row>
    <row r="17278">
      <c r="G17278" s="9">
        <f t="shared" si="0"/>
      </c>
      <c r="L17278">
        <f t="shared" si="1"/>
      </c>
      <c r="M17278">
        <f t="shared" si="2"/>
      </c>
    </row>
    <row r="17279">
      <c r="G17279" s="9">
        <f t="shared" si="0"/>
      </c>
      <c r="L17279">
        <f t="shared" si="1"/>
      </c>
      <c r="M17279">
        <f t="shared" si="2"/>
      </c>
    </row>
    <row r="17280">
      <c r="G17280" s="9">
        <f t="shared" si="0"/>
      </c>
      <c r="L17280">
        <f t="shared" si="1"/>
      </c>
      <c r="M17280">
        <f t="shared" si="2"/>
      </c>
    </row>
    <row r="17281">
      <c r="G17281" s="9">
        <f t="shared" si="0"/>
      </c>
      <c r="L17281">
        <f t="shared" si="1"/>
      </c>
      <c r="M17281">
        <f t="shared" si="2"/>
      </c>
    </row>
    <row r="17282">
      <c r="G17282" s="9">
        <f t="shared" si="0"/>
      </c>
      <c r="L17282">
        <f t="shared" si="1"/>
      </c>
      <c r="M17282">
        <f t="shared" si="2"/>
      </c>
    </row>
    <row r="17283">
      <c r="G17283" s="9">
        <f t="shared" si="0"/>
      </c>
      <c r="L17283">
        <f t="shared" si="1"/>
      </c>
      <c r="M17283">
        <f t="shared" si="2"/>
      </c>
    </row>
    <row r="17284">
      <c r="G17284" s="9">
        <f t="shared" si="0"/>
      </c>
      <c r="L17284">
        <f t="shared" si="1"/>
      </c>
      <c r="M17284">
        <f t="shared" si="2"/>
      </c>
    </row>
    <row r="17285">
      <c r="G17285" s="9">
        <f t="shared" si="0"/>
      </c>
      <c r="L17285">
        <f t="shared" si="1"/>
      </c>
      <c r="M17285">
        <f t="shared" si="2"/>
      </c>
    </row>
    <row r="17286">
      <c r="G17286" s="9">
        <f t="shared" si="0"/>
      </c>
      <c r="L17286">
        <f t="shared" si="1"/>
      </c>
      <c r="M17286">
        <f t="shared" si="2"/>
      </c>
    </row>
    <row r="17287">
      <c r="G17287" s="9">
        <f t="shared" si="0"/>
      </c>
      <c r="L17287">
        <f t="shared" si="1"/>
      </c>
      <c r="M17287">
        <f t="shared" si="2"/>
      </c>
    </row>
    <row r="17288">
      <c r="G17288" s="9">
        <f t="shared" si="0"/>
      </c>
      <c r="L17288">
        <f t="shared" si="1"/>
      </c>
      <c r="M17288">
        <f t="shared" si="2"/>
      </c>
    </row>
    <row r="17289">
      <c r="G17289" s="9">
        <f t="shared" si="0"/>
      </c>
      <c r="L17289">
        <f t="shared" si="1"/>
      </c>
      <c r="M17289">
        <f t="shared" si="2"/>
      </c>
    </row>
    <row r="17290">
      <c r="G17290" s="9">
        <f t="shared" si="0"/>
      </c>
      <c r="L17290">
        <f t="shared" si="1"/>
      </c>
      <c r="M17290">
        <f t="shared" si="2"/>
      </c>
    </row>
    <row r="17291">
      <c r="G17291" s="9">
        <f t="shared" si="0"/>
      </c>
      <c r="L17291">
        <f t="shared" si="1"/>
      </c>
      <c r="M17291">
        <f t="shared" si="2"/>
      </c>
    </row>
    <row r="17292">
      <c r="G17292" s="9">
        <f t="shared" si="0"/>
      </c>
      <c r="L17292">
        <f t="shared" si="1"/>
      </c>
      <c r="M17292">
        <f t="shared" si="2"/>
      </c>
    </row>
    <row r="17293">
      <c r="G17293" s="9">
        <f t="shared" si="0"/>
      </c>
      <c r="L17293">
        <f t="shared" si="1"/>
      </c>
      <c r="M17293">
        <f t="shared" si="2"/>
      </c>
    </row>
    <row r="17294">
      <c r="G17294" s="9">
        <f t="shared" si="0"/>
      </c>
      <c r="L17294">
        <f t="shared" si="1"/>
      </c>
      <c r="M17294">
        <f t="shared" si="2"/>
      </c>
    </row>
    <row r="17295">
      <c r="G17295" s="9">
        <f t="shared" si="0"/>
      </c>
      <c r="L17295">
        <f t="shared" si="1"/>
      </c>
      <c r="M17295">
        <f t="shared" si="2"/>
      </c>
    </row>
    <row r="17296">
      <c r="G17296" s="9">
        <f t="shared" si="0"/>
      </c>
      <c r="L17296">
        <f t="shared" si="1"/>
      </c>
      <c r="M17296">
        <f t="shared" si="2"/>
      </c>
    </row>
    <row r="17297">
      <c r="G17297" s="9">
        <f t="shared" si="0"/>
      </c>
      <c r="L17297">
        <f t="shared" si="1"/>
      </c>
      <c r="M17297">
        <f t="shared" si="2"/>
      </c>
    </row>
    <row r="17298">
      <c r="G17298" s="9">
        <f t="shared" si="0"/>
      </c>
      <c r="L17298">
        <f t="shared" si="1"/>
      </c>
      <c r="M17298">
        <f t="shared" si="2"/>
      </c>
    </row>
    <row r="17299">
      <c r="G17299" s="9">
        <f t="shared" si="0"/>
      </c>
      <c r="L17299">
        <f t="shared" si="1"/>
      </c>
      <c r="M17299">
        <f t="shared" si="2"/>
      </c>
    </row>
    <row r="17300">
      <c r="G17300" s="9">
        <f t="shared" si="0"/>
      </c>
      <c r="L17300">
        <f t="shared" si="1"/>
      </c>
      <c r="M17300">
        <f t="shared" si="2"/>
      </c>
    </row>
    <row r="17301">
      <c r="G17301" s="9">
        <f t="shared" si="0"/>
      </c>
      <c r="L17301">
        <f t="shared" si="1"/>
      </c>
      <c r="M17301">
        <f t="shared" si="2"/>
      </c>
    </row>
    <row r="17302">
      <c r="G17302" s="9">
        <f t="shared" si="0"/>
      </c>
      <c r="L17302">
        <f t="shared" si="1"/>
      </c>
      <c r="M17302">
        <f t="shared" si="2"/>
      </c>
    </row>
    <row r="17303">
      <c r="G17303" s="9">
        <f t="shared" si="0"/>
      </c>
      <c r="L17303">
        <f t="shared" si="1"/>
      </c>
      <c r="M17303">
        <f t="shared" si="2"/>
      </c>
    </row>
    <row r="17304">
      <c r="G17304" s="9">
        <f t="shared" si="0"/>
      </c>
      <c r="L17304">
        <f t="shared" si="1"/>
      </c>
      <c r="M17304">
        <f t="shared" si="2"/>
      </c>
    </row>
    <row r="17305">
      <c r="G17305" s="9">
        <f t="shared" si="0"/>
      </c>
      <c r="L17305">
        <f t="shared" si="1"/>
      </c>
      <c r="M17305">
        <f t="shared" si="2"/>
      </c>
    </row>
    <row r="17306">
      <c r="G17306" s="9">
        <f t="shared" si="0"/>
      </c>
      <c r="L17306">
        <f t="shared" si="1"/>
      </c>
      <c r="M17306">
        <f t="shared" si="2"/>
      </c>
    </row>
    <row r="17307">
      <c r="G17307" s="9">
        <f t="shared" si="0"/>
      </c>
      <c r="L17307">
        <f t="shared" si="1"/>
      </c>
      <c r="M17307">
        <f t="shared" si="2"/>
      </c>
    </row>
    <row r="17308">
      <c r="G17308" s="9">
        <f t="shared" si="0"/>
      </c>
      <c r="L17308">
        <f t="shared" si="1"/>
      </c>
      <c r="M17308">
        <f t="shared" si="2"/>
      </c>
    </row>
    <row r="17309">
      <c r="G17309" s="9">
        <f t="shared" si="0"/>
      </c>
      <c r="L17309">
        <f t="shared" si="1"/>
      </c>
      <c r="M17309">
        <f t="shared" si="2"/>
      </c>
    </row>
    <row r="17310">
      <c r="G17310" s="9">
        <f t="shared" si="0"/>
      </c>
      <c r="L17310">
        <f t="shared" si="1"/>
      </c>
      <c r="M17310">
        <f t="shared" si="2"/>
      </c>
    </row>
    <row r="17311">
      <c r="G17311" s="9">
        <f t="shared" si="0"/>
      </c>
      <c r="L17311">
        <f t="shared" si="1"/>
      </c>
      <c r="M17311">
        <f t="shared" si="2"/>
      </c>
    </row>
    <row r="17312">
      <c r="G17312" s="9">
        <f t="shared" si="0"/>
      </c>
      <c r="L17312">
        <f t="shared" si="1"/>
      </c>
      <c r="M17312">
        <f t="shared" si="2"/>
      </c>
    </row>
    <row r="17313">
      <c r="G17313" s="9">
        <f t="shared" si="0"/>
      </c>
      <c r="L17313">
        <f t="shared" si="1"/>
      </c>
      <c r="M17313">
        <f t="shared" si="2"/>
      </c>
    </row>
    <row r="17314">
      <c r="G17314" s="9">
        <f t="shared" si="0"/>
      </c>
      <c r="L17314">
        <f t="shared" si="1"/>
      </c>
      <c r="M17314">
        <f t="shared" si="2"/>
      </c>
    </row>
    <row r="17315">
      <c r="G17315" s="9">
        <f t="shared" si="0"/>
      </c>
      <c r="L17315">
        <f t="shared" si="1"/>
      </c>
      <c r="M17315">
        <f t="shared" si="2"/>
      </c>
    </row>
    <row r="17316">
      <c r="G17316" s="9">
        <f t="shared" si="0"/>
      </c>
      <c r="L17316">
        <f t="shared" si="1"/>
      </c>
      <c r="M17316">
        <f t="shared" si="2"/>
      </c>
    </row>
    <row r="17317">
      <c r="G17317" s="9">
        <f t="shared" si="0"/>
      </c>
      <c r="L17317">
        <f t="shared" si="1"/>
      </c>
      <c r="M17317">
        <f t="shared" si="2"/>
      </c>
    </row>
    <row r="17318">
      <c r="G17318" s="9">
        <f t="shared" si="0"/>
      </c>
      <c r="L17318">
        <f t="shared" si="1"/>
      </c>
      <c r="M17318">
        <f t="shared" si="2"/>
      </c>
    </row>
    <row r="17319">
      <c r="G17319" s="9">
        <f t="shared" si="0"/>
      </c>
      <c r="L17319">
        <f t="shared" si="1"/>
      </c>
      <c r="M17319">
        <f t="shared" si="2"/>
      </c>
    </row>
    <row r="17320">
      <c r="G17320" s="9">
        <f t="shared" si="0"/>
      </c>
      <c r="L17320">
        <f t="shared" si="1"/>
      </c>
      <c r="M17320">
        <f t="shared" si="2"/>
      </c>
    </row>
    <row r="17321">
      <c r="G17321" s="9">
        <f t="shared" si="0"/>
      </c>
      <c r="L17321">
        <f t="shared" si="1"/>
      </c>
      <c r="M17321">
        <f t="shared" si="2"/>
      </c>
    </row>
    <row r="17322">
      <c r="G17322" s="9">
        <f t="shared" si="0"/>
      </c>
      <c r="L17322">
        <f t="shared" si="1"/>
      </c>
      <c r="M17322">
        <f t="shared" si="2"/>
      </c>
    </row>
    <row r="17323">
      <c r="G17323" s="9">
        <f t="shared" si="0"/>
      </c>
      <c r="L17323">
        <f t="shared" si="1"/>
      </c>
      <c r="M17323">
        <f t="shared" si="2"/>
      </c>
    </row>
    <row r="17324">
      <c r="G17324" s="9">
        <f t="shared" si="0"/>
      </c>
      <c r="L17324">
        <f t="shared" si="1"/>
      </c>
      <c r="M17324">
        <f t="shared" si="2"/>
      </c>
    </row>
    <row r="17325">
      <c r="G17325" s="9">
        <f t="shared" si="0"/>
      </c>
      <c r="L17325">
        <f t="shared" si="1"/>
      </c>
      <c r="M17325">
        <f t="shared" si="2"/>
      </c>
    </row>
    <row r="17326">
      <c r="G17326" s="9">
        <f t="shared" si="0"/>
      </c>
      <c r="L17326">
        <f t="shared" si="1"/>
      </c>
      <c r="M17326">
        <f t="shared" si="2"/>
      </c>
    </row>
    <row r="17327">
      <c r="G17327" s="9">
        <f t="shared" si="0"/>
      </c>
      <c r="L17327">
        <f t="shared" si="1"/>
      </c>
      <c r="M17327">
        <f t="shared" si="2"/>
      </c>
    </row>
    <row r="17328">
      <c r="G17328" s="9">
        <f t="shared" si="0"/>
      </c>
      <c r="L17328">
        <f t="shared" si="1"/>
      </c>
      <c r="M17328">
        <f t="shared" si="2"/>
      </c>
    </row>
    <row r="17329">
      <c r="G17329" s="9">
        <f t="shared" si="0"/>
      </c>
      <c r="L17329">
        <f t="shared" si="1"/>
      </c>
      <c r="M17329">
        <f t="shared" si="2"/>
      </c>
    </row>
    <row r="17330">
      <c r="G17330" s="9">
        <f t="shared" si="0"/>
      </c>
      <c r="L17330">
        <f t="shared" si="1"/>
      </c>
      <c r="M17330">
        <f t="shared" si="2"/>
      </c>
    </row>
    <row r="17331">
      <c r="G17331" s="9">
        <f t="shared" si="0"/>
      </c>
      <c r="L17331">
        <f t="shared" si="1"/>
      </c>
      <c r="M17331">
        <f t="shared" si="2"/>
      </c>
    </row>
    <row r="17332">
      <c r="G17332" s="9">
        <f t="shared" si="0"/>
      </c>
      <c r="L17332">
        <f t="shared" si="1"/>
      </c>
      <c r="M17332">
        <f t="shared" si="2"/>
      </c>
    </row>
    <row r="17333">
      <c r="G17333" s="9">
        <f t="shared" si="0"/>
      </c>
      <c r="L17333">
        <f t="shared" si="1"/>
      </c>
      <c r="M17333">
        <f t="shared" si="2"/>
      </c>
    </row>
    <row r="17334">
      <c r="G17334" s="9">
        <f t="shared" si="0"/>
      </c>
      <c r="L17334">
        <f t="shared" si="1"/>
      </c>
      <c r="M17334">
        <f t="shared" si="2"/>
      </c>
    </row>
    <row r="17335">
      <c r="G17335" s="9">
        <f t="shared" si="0"/>
      </c>
      <c r="L17335">
        <f t="shared" si="1"/>
      </c>
      <c r="M17335">
        <f t="shared" si="2"/>
      </c>
    </row>
    <row r="17336">
      <c r="G17336" s="9">
        <f t="shared" si="0"/>
      </c>
      <c r="L17336">
        <f t="shared" si="1"/>
      </c>
      <c r="M17336">
        <f t="shared" si="2"/>
      </c>
    </row>
    <row r="17337">
      <c r="G17337" s="9">
        <f t="shared" si="0"/>
      </c>
      <c r="L17337">
        <f t="shared" si="1"/>
      </c>
      <c r="M17337">
        <f t="shared" si="2"/>
      </c>
    </row>
    <row r="17338">
      <c r="G17338" s="9">
        <f t="shared" si="0"/>
      </c>
      <c r="L17338">
        <f t="shared" si="1"/>
      </c>
      <c r="M17338">
        <f t="shared" si="2"/>
      </c>
    </row>
    <row r="17339">
      <c r="G17339" s="9">
        <f t="shared" si="0"/>
      </c>
      <c r="L17339">
        <f t="shared" si="1"/>
      </c>
      <c r="M17339">
        <f t="shared" si="2"/>
      </c>
    </row>
    <row r="17340">
      <c r="G17340" s="9">
        <f t="shared" si="0"/>
      </c>
      <c r="L17340">
        <f t="shared" si="1"/>
      </c>
      <c r="M17340">
        <f t="shared" si="2"/>
      </c>
    </row>
    <row r="17341">
      <c r="G17341" s="9">
        <f t="shared" si="0"/>
      </c>
      <c r="L17341">
        <f t="shared" si="1"/>
      </c>
      <c r="M17341">
        <f t="shared" si="2"/>
      </c>
    </row>
    <row r="17342">
      <c r="G17342" s="9">
        <f t="shared" si="0"/>
      </c>
      <c r="L17342">
        <f t="shared" si="1"/>
      </c>
      <c r="M17342">
        <f t="shared" si="2"/>
      </c>
    </row>
    <row r="17343">
      <c r="G17343" s="9">
        <f t="shared" si="0"/>
      </c>
      <c r="L17343">
        <f t="shared" si="1"/>
      </c>
      <c r="M17343">
        <f t="shared" si="2"/>
      </c>
    </row>
    <row r="17344">
      <c r="G17344" s="9">
        <f t="shared" si="0"/>
      </c>
      <c r="L17344">
        <f t="shared" si="1"/>
      </c>
      <c r="M17344">
        <f t="shared" si="2"/>
      </c>
    </row>
    <row r="17345">
      <c r="G17345" s="9">
        <f t="shared" si="0"/>
      </c>
      <c r="L17345">
        <f t="shared" si="1"/>
      </c>
      <c r="M17345">
        <f t="shared" si="2"/>
      </c>
    </row>
    <row r="17346">
      <c r="G17346" s="9">
        <f t="shared" si="0"/>
      </c>
      <c r="L17346">
        <f t="shared" si="1"/>
      </c>
      <c r="M17346">
        <f t="shared" si="2"/>
      </c>
    </row>
    <row r="17347">
      <c r="G17347" s="9">
        <f t="shared" si="0"/>
      </c>
      <c r="L17347">
        <f t="shared" si="1"/>
      </c>
      <c r="M17347">
        <f t="shared" si="2"/>
      </c>
    </row>
    <row r="17348">
      <c r="G17348" s="9">
        <f t="shared" si="0"/>
      </c>
      <c r="L17348">
        <f t="shared" si="1"/>
      </c>
      <c r="M17348">
        <f t="shared" si="2"/>
      </c>
    </row>
    <row r="17349">
      <c r="G17349" s="9">
        <f t="shared" si="0"/>
      </c>
      <c r="L17349">
        <f t="shared" si="1"/>
      </c>
      <c r="M17349">
        <f t="shared" si="2"/>
      </c>
    </row>
    <row r="17350">
      <c r="G17350" s="9">
        <f t="shared" si="0"/>
      </c>
      <c r="L17350">
        <f t="shared" si="1"/>
      </c>
      <c r="M17350">
        <f t="shared" si="2"/>
      </c>
    </row>
    <row r="17351">
      <c r="G17351" s="9">
        <f t="shared" si="0"/>
      </c>
      <c r="L17351">
        <f t="shared" si="1"/>
      </c>
      <c r="M17351">
        <f t="shared" si="2"/>
      </c>
    </row>
    <row r="17352">
      <c r="G17352" s="9">
        <f t="shared" si="0"/>
      </c>
      <c r="L17352">
        <f t="shared" si="1"/>
      </c>
      <c r="M17352">
        <f t="shared" si="2"/>
      </c>
    </row>
    <row r="17353">
      <c r="G17353" s="9">
        <f t="shared" si="0"/>
      </c>
      <c r="L17353">
        <f t="shared" si="1"/>
      </c>
      <c r="M17353">
        <f t="shared" si="2"/>
      </c>
    </row>
    <row r="17354">
      <c r="G17354" s="9">
        <f t="shared" si="0"/>
      </c>
      <c r="L17354">
        <f t="shared" si="1"/>
      </c>
      <c r="M17354">
        <f t="shared" si="2"/>
      </c>
    </row>
    <row r="17355">
      <c r="G17355" s="9">
        <f t="shared" si="0"/>
      </c>
      <c r="L17355">
        <f t="shared" si="1"/>
      </c>
      <c r="M17355">
        <f t="shared" si="2"/>
      </c>
    </row>
    <row r="17356">
      <c r="G17356" s="9">
        <f t="shared" si="0"/>
      </c>
      <c r="L17356">
        <f t="shared" si="1"/>
      </c>
      <c r="M17356">
        <f t="shared" si="2"/>
      </c>
    </row>
    <row r="17357">
      <c r="G17357" s="9">
        <f t="shared" si="0"/>
      </c>
      <c r="L17357">
        <f t="shared" si="1"/>
      </c>
      <c r="M17357">
        <f t="shared" si="2"/>
      </c>
    </row>
    <row r="17358">
      <c r="G17358" s="9">
        <f t="shared" si="0"/>
      </c>
      <c r="L17358">
        <f t="shared" si="1"/>
      </c>
      <c r="M17358">
        <f t="shared" si="2"/>
      </c>
    </row>
    <row r="17359">
      <c r="G17359" s="9">
        <f t="shared" si="0"/>
      </c>
      <c r="L17359">
        <f t="shared" si="1"/>
      </c>
      <c r="M17359">
        <f t="shared" si="2"/>
      </c>
    </row>
    <row r="17360">
      <c r="G17360" s="9">
        <f t="shared" si="0"/>
      </c>
      <c r="L17360">
        <f t="shared" si="1"/>
      </c>
      <c r="M17360">
        <f t="shared" si="2"/>
      </c>
    </row>
    <row r="17361">
      <c r="G17361" s="9">
        <f t="shared" si="0"/>
      </c>
      <c r="L17361">
        <f t="shared" si="1"/>
      </c>
      <c r="M17361">
        <f t="shared" si="2"/>
      </c>
    </row>
    <row r="17362">
      <c r="G17362" s="9">
        <f t="shared" si="0"/>
      </c>
      <c r="L17362">
        <f t="shared" si="1"/>
      </c>
      <c r="M17362">
        <f t="shared" si="2"/>
      </c>
    </row>
    <row r="17363">
      <c r="G17363" s="9">
        <f t="shared" si="0"/>
      </c>
      <c r="L17363">
        <f t="shared" si="1"/>
      </c>
      <c r="M17363">
        <f t="shared" si="2"/>
      </c>
    </row>
    <row r="17364">
      <c r="G17364" s="9">
        <f t="shared" si="0"/>
      </c>
      <c r="L17364">
        <f t="shared" si="1"/>
      </c>
      <c r="M17364">
        <f t="shared" si="2"/>
      </c>
    </row>
    <row r="17365">
      <c r="G17365" s="9">
        <f t="shared" si="0"/>
      </c>
      <c r="L17365">
        <f t="shared" si="1"/>
      </c>
      <c r="M17365">
        <f t="shared" si="2"/>
      </c>
    </row>
    <row r="17366">
      <c r="G17366" s="9">
        <f t="shared" si="0"/>
      </c>
      <c r="L17366">
        <f t="shared" si="1"/>
      </c>
      <c r="M17366">
        <f t="shared" si="2"/>
      </c>
    </row>
    <row r="17367">
      <c r="G17367" s="9">
        <f t="shared" si="0"/>
      </c>
      <c r="L17367">
        <f t="shared" si="1"/>
      </c>
      <c r="M17367">
        <f t="shared" si="2"/>
      </c>
    </row>
    <row r="17368">
      <c r="G17368" s="9">
        <f t="shared" si="0"/>
      </c>
      <c r="L17368">
        <f t="shared" si="1"/>
      </c>
      <c r="M17368">
        <f t="shared" si="2"/>
      </c>
    </row>
    <row r="17369">
      <c r="G17369" s="9">
        <f t="shared" si="0"/>
      </c>
      <c r="L17369">
        <f t="shared" si="1"/>
      </c>
      <c r="M17369">
        <f t="shared" si="2"/>
      </c>
    </row>
    <row r="17370">
      <c r="G17370" s="9">
        <f t="shared" si="0"/>
      </c>
      <c r="L17370">
        <f t="shared" si="1"/>
      </c>
      <c r="M17370">
        <f t="shared" si="2"/>
      </c>
    </row>
    <row r="17371">
      <c r="G17371" s="9">
        <f t="shared" si="0"/>
      </c>
      <c r="L17371">
        <f t="shared" si="1"/>
      </c>
      <c r="M17371">
        <f t="shared" si="2"/>
      </c>
    </row>
    <row r="17372">
      <c r="G17372" s="9">
        <f t="shared" si="0"/>
      </c>
      <c r="L17372">
        <f t="shared" si="1"/>
      </c>
      <c r="M17372">
        <f t="shared" si="2"/>
      </c>
    </row>
    <row r="17373">
      <c r="G17373" s="9">
        <f t="shared" si="0"/>
      </c>
      <c r="L17373">
        <f t="shared" si="1"/>
      </c>
      <c r="M17373">
        <f t="shared" si="2"/>
      </c>
    </row>
    <row r="17374">
      <c r="G17374" s="9">
        <f t="shared" si="0"/>
      </c>
      <c r="L17374">
        <f t="shared" si="1"/>
      </c>
      <c r="M17374">
        <f t="shared" si="2"/>
      </c>
    </row>
    <row r="17375">
      <c r="G17375" s="9">
        <f t="shared" si="0"/>
      </c>
      <c r="L17375">
        <f t="shared" si="1"/>
      </c>
      <c r="M17375">
        <f t="shared" si="2"/>
      </c>
    </row>
    <row r="17376">
      <c r="G17376" s="9">
        <f t="shared" si="0"/>
      </c>
      <c r="L17376">
        <f t="shared" si="1"/>
      </c>
      <c r="M17376">
        <f t="shared" si="2"/>
      </c>
    </row>
    <row r="17377">
      <c r="G17377" s="9">
        <f t="shared" si="0"/>
      </c>
      <c r="L17377">
        <f t="shared" si="1"/>
      </c>
      <c r="M17377">
        <f t="shared" si="2"/>
      </c>
    </row>
    <row r="17378">
      <c r="G17378" s="9">
        <f t="shared" si="0"/>
      </c>
      <c r="L17378">
        <f t="shared" si="1"/>
      </c>
      <c r="M17378">
        <f t="shared" si="2"/>
      </c>
    </row>
    <row r="17379">
      <c r="G17379" s="9">
        <f t="shared" si="0"/>
      </c>
      <c r="L17379">
        <f t="shared" si="1"/>
      </c>
      <c r="M17379">
        <f t="shared" si="2"/>
      </c>
    </row>
    <row r="17380">
      <c r="G17380" s="9">
        <f t="shared" si="0"/>
      </c>
      <c r="L17380">
        <f t="shared" si="1"/>
      </c>
      <c r="M17380">
        <f t="shared" si="2"/>
      </c>
    </row>
    <row r="17381">
      <c r="G17381" s="9">
        <f t="shared" si="0"/>
      </c>
      <c r="L17381">
        <f t="shared" si="1"/>
      </c>
      <c r="M17381">
        <f t="shared" si="2"/>
      </c>
    </row>
    <row r="17382">
      <c r="G17382" s="9">
        <f t="shared" si="0"/>
      </c>
      <c r="L17382">
        <f t="shared" si="1"/>
      </c>
      <c r="M17382">
        <f t="shared" si="2"/>
      </c>
    </row>
    <row r="17383">
      <c r="G17383" s="9">
        <f t="shared" si="0"/>
      </c>
      <c r="L17383">
        <f t="shared" si="1"/>
      </c>
      <c r="M17383">
        <f t="shared" si="2"/>
      </c>
    </row>
    <row r="17384">
      <c r="G17384" s="9">
        <f t="shared" si="0"/>
      </c>
      <c r="L17384">
        <f t="shared" si="1"/>
      </c>
      <c r="M17384">
        <f t="shared" si="2"/>
      </c>
    </row>
    <row r="17385">
      <c r="G17385" s="9">
        <f t="shared" si="0"/>
      </c>
      <c r="L17385">
        <f t="shared" si="1"/>
      </c>
      <c r="M17385">
        <f t="shared" si="2"/>
      </c>
    </row>
    <row r="17386">
      <c r="G17386" s="9">
        <f t="shared" si="0"/>
      </c>
      <c r="L17386">
        <f t="shared" si="1"/>
      </c>
      <c r="M17386">
        <f t="shared" si="2"/>
      </c>
    </row>
    <row r="17387">
      <c r="G17387" s="9">
        <f t="shared" si="0"/>
      </c>
      <c r="L17387">
        <f t="shared" si="1"/>
      </c>
      <c r="M17387">
        <f t="shared" si="2"/>
      </c>
    </row>
    <row r="17388">
      <c r="G17388" s="9">
        <f t="shared" si="0"/>
      </c>
      <c r="L17388">
        <f t="shared" si="1"/>
      </c>
      <c r="M17388">
        <f t="shared" si="2"/>
      </c>
    </row>
    <row r="17389">
      <c r="G17389" s="9">
        <f t="shared" si="0"/>
      </c>
      <c r="L17389">
        <f t="shared" si="1"/>
      </c>
      <c r="M17389">
        <f t="shared" si="2"/>
      </c>
    </row>
    <row r="17390">
      <c r="G17390" s="9">
        <f t="shared" si="0"/>
      </c>
      <c r="L17390">
        <f t="shared" si="1"/>
      </c>
      <c r="M17390">
        <f t="shared" si="2"/>
      </c>
    </row>
    <row r="17391">
      <c r="G17391" s="9">
        <f t="shared" si="0"/>
      </c>
      <c r="L17391">
        <f t="shared" si="1"/>
      </c>
      <c r="M17391">
        <f t="shared" si="2"/>
      </c>
    </row>
    <row r="17392">
      <c r="G17392" s="9">
        <f t="shared" si="0"/>
      </c>
      <c r="L17392">
        <f t="shared" si="1"/>
      </c>
      <c r="M17392">
        <f t="shared" si="2"/>
      </c>
    </row>
    <row r="17393">
      <c r="G17393" s="9">
        <f t="shared" si="0"/>
      </c>
      <c r="L17393">
        <f t="shared" si="1"/>
      </c>
      <c r="M17393">
        <f t="shared" si="2"/>
      </c>
    </row>
    <row r="17394">
      <c r="G17394" s="9">
        <f t="shared" si="0"/>
      </c>
      <c r="L17394">
        <f t="shared" si="1"/>
      </c>
      <c r="M17394">
        <f t="shared" si="2"/>
      </c>
    </row>
    <row r="17395">
      <c r="G17395" s="9">
        <f t="shared" si="0"/>
      </c>
      <c r="L17395">
        <f t="shared" si="1"/>
      </c>
      <c r="M17395">
        <f t="shared" si="2"/>
      </c>
    </row>
    <row r="17396">
      <c r="G17396" s="9">
        <f t="shared" si="0"/>
      </c>
      <c r="L17396">
        <f t="shared" si="1"/>
      </c>
      <c r="M17396">
        <f t="shared" si="2"/>
      </c>
    </row>
    <row r="17397">
      <c r="G17397" s="9">
        <f t="shared" si="0"/>
      </c>
      <c r="L17397">
        <f t="shared" si="1"/>
      </c>
      <c r="M17397">
        <f t="shared" si="2"/>
      </c>
    </row>
    <row r="17398">
      <c r="G17398" s="9">
        <f t="shared" si="0"/>
      </c>
      <c r="L17398">
        <f t="shared" si="1"/>
      </c>
      <c r="M17398">
        <f t="shared" si="2"/>
      </c>
    </row>
    <row r="17399">
      <c r="G17399" s="9">
        <f t="shared" si="0"/>
      </c>
      <c r="L17399">
        <f t="shared" si="1"/>
      </c>
      <c r="M17399">
        <f t="shared" si="2"/>
      </c>
    </row>
    <row r="17400">
      <c r="G17400" s="9">
        <f t="shared" si="0"/>
      </c>
      <c r="L17400">
        <f t="shared" si="1"/>
      </c>
      <c r="M17400">
        <f t="shared" si="2"/>
      </c>
    </row>
    <row r="17401">
      <c r="G17401" s="9">
        <f t="shared" si="0"/>
      </c>
      <c r="L17401">
        <f t="shared" si="1"/>
      </c>
      <c r="M17401">
        <f t="shared" si="2"/>
      </c>
    </row>
    <row r="17402">
      <c r="G17402" s="9">
        <f t="shared" si="0"/>
      </c>
      <c r="L17402">
        <f t="shared" si="1"/>
      </c>
      <c r="M17402">
        <f t="shared" si="2"/>
      </c>
    </row>
    <row r="17403">
      <c r="G17403" s="9">
        <f t="shared" si="0"/>
      </c>
      <c r="L17403">
        <f t="shared" si="1"/>
      </c>
      <c r="M17403">
        <f t="shared" si="2"/>
      </c>
    </row>
    <row r="17404">
      <c r="G17404" s="9">
        <f t="shared" si="0"/>
      </c>
      <c r="L17404">
        <f t="shared" si="1"/>
      </c>
      <c r="M17404">
        <f t="shared" si="2"/>
      </c>
    </row>
    <row r="17405">
      <c r="G17405" s="9">
        <f t="shared" si="0"/>
      </c>
      <c r="L17405">
        <f t="shared" si="1"/>
      </c>
      <c r="M17405">
        <f t="shared" si="2"/>
      </c>
    </row>
    <row r="17406">
      <c r="G17406" s="9">
        <f t="shared" si="0"/>
      </c>
      <c r="L17406">
        <f t="shared" si="1"/>
      </c>
      <c r="M17406">
        <f t="shared" si="2"/>
      </c>
    </row>
    <row r="17407">
      <c r="G17407" s="9">
        <f t="shared" si="0"/>
      </c>
      <c r="L17407">
        <f t="shared" si="1"/>
      </c>
      <c r="M17407">
        <f t="shared" si="2"/>
      </c>
    </row>
    <row r="17408">
      <c r="G17408" s="9">
        <f t="shared" si="0"/>
      </c>
      <c r="L17408">
        <f t="shared" si="1"/>
      </c>
      <c r="M17408">
        <f t="shared" si="2"/>
      </c>
    </row>
    <row r="17409">
      <c r="G17409" s="9">
        <f t="shared" si="0"/>
      </c>
      <c r="L17409">
        <f t="shared" si="1"/>
      </c>
      <c r="M17409">
        <f t="shared" si="2"/>
      </c>
    </row>
    <row r="17410">
      <c r="G17410" s="9">
        <f t="shared" si="0"/>
      </c>
      <c r="L17410">
        <f t="shared" si="1"/>
      </c>
      <c r="M17410">
        <f t="shared" si="2"/>
      </c>
    </row>
    <row r="17411">
      <c r="G17411" s="9">
        <f t="shared" si="0"/>
      </c>
      <c r="L17411">
        <f t="shared" si="1"/>
      </c>
      <c r="M17411">
        <f t="shared" si="2"/>
      </c>
    </row>
    <row r="17412">
      <c r="G17412" s="9">
        <f t="shared" si="0"/>
      </c>
      <c r="L17412">
        <f t="shared" si="1"/>
      </c>
      <c r="M17412">
        <f t="shared" si="2"/>
      </c>
    </row>
    <row r="17413">
      <c r="G17413" s="9">
        <f t="shared" si="0"/>
      </c>
      <c r="L17413">
        <f t="shared" si="1"/>
      </c>
      <c r="M17413">
        <f t="shared" si="2"/>
      </c>
    </row>
    <row r="17414">
      <c r="G17414" s="9">
        <f t="shared" si="0"/>
      </c>
      <c r="L17414">
        <f t="shared" si="1"/>
      </c>
      <c r="M17414">
        <f t="shared" si="2"/>
      </c>
    </row>
    <row r="17415">
      <c r="G17415" s="9">
        <f t="shared" si="0"/>
      </c>
      <c r="L17415">
        <f t="shared" si="1"/>
      </c>
      <c r="M17415">
        <f t="shared" si="2"/>
      </c>
    </row>
    <row r="17416">
      <c r="G17416" s="9">
        <f t="shared" si="0"/>
      </c>
      <c r="L17416">
        <f t="shared" si="1"/>
      </c>
      <c r="M17416">
        <f t="shared" si="2"/>
      </c>
    </row>
    <row r="17417">
      <c r="G17417" s="9">
        <f t="shared" si="0"/>
      </c>
      <c r="L17417">
        <f t="shared" si="1"/>
      </c>
      <c r="M17417">
        <f t="shared" si="2"/>
      </c>
    </row>
    <row r="17418">
      <c r="G17418" s="9">
        <f t="shared" si="0"/>
      </c>
      <c r="L17418">
        <f t="shared" si="1"/>
      </c>
      <c r="M17418">
        <f t="shared" si="2"/>
      </c>
    </row>
    <row r="17419">
      <c r="G17419" s="9">
        <f t="shared" si="0"/>
      </c>
      <c r="L17419">
        <f t="shared" si="1"/>
      </c>
      <c r="M17419">
        <f t="shared" si="2"/>
      </c>
    </row>
    <row r="17420">
      <c r="G17420" s="9">
        <f t="shared" si="0"/>
      </c>
      <c r="L17420">
        <f t="shared" si="1"/>
      </c>
      <c r="M17420">
        <f t="shared" si="2"/>
      </c>
    </row>
    <row r="17421">
      <c r="G17421" s="9">
        <f t="shared" si="0"/>
      </c>
      <c r="L17421">
        <f t="shared" si="1"/>
      </c>
      <c r="M17421">
        <f t="shared" si="2"/>
      </c>
    </row>
    <row r="17422">
      <c r="G17422" s="9">
        <f t="shared" si="0"/>
      </c>
      <c r="L17422">
        <f t="shared" si="1"/>
      </c>
      <c r="M17422">
        <f t="shared" si="2"/>
      </c>
    </row>
    <row r="17423">
      <c r="G17423" s="9">
        <f t="shared" si="0"/>
      </c>
      <c r="L17423">
        <f t="shared" si="1"/>
      </c>
      <c r="M17423">
        <f t="shared" si="2"/>
      </c>
    </row>
    <row r="17424">
      <c r="G17424" s="9">
        <f t="shared" si="0"/>
      </c>
      <c r="L17424">
        <f t="shared" si="1"/>
      </c>
      <c r="M17424">
        <f t="shared" si="2"/>
      </c>
    </row>
    <row r="17425">
      <c r="G17425" s="9">
        <f t="shared" si="0"/>
      </c>
      <c r="L17425">
        <f t="shared" si="1"/>
      </c>
      <c r="M17425">
        <f t="shared" si="2"/>
      </c>
    </row>
    <row r="17426">
      <c r="G17426" s="9">
        <f t="shared" si="0"/>
      </c>
      <c r="L17426">
        <f t="shared" si="1"/>
      </c>
      <c r="M17426">
        <f t="shared" si="2"/>
      </c>
    </row>
    <row r="17427">
      <c r="G17427" s="9">
        <f t="shared" si="0"/>
      </c>
      <c r="L17427">
        <f t="shared" si="1"/>
      </c>
      <c r="M17427">
        <f t="shared" si="2"/>
      </c>
    </row>
    <row r="17428">
      <c r="G17428" s="9">
        <f t="shared" si="0"/>
      </c>
      <c r="L17428">
        <f t="shared" si="1"/>
      </c>
      <c r="M17428">
        <f t="shared" si="2"/>
      </c>
    </row>
    <row r="17429">
      <c r="G17429" s="9">
        <f t="shared" si="0"/>
      </c>
      <c r="L17429">
        <f t="shared" si="1"/>
      </c>
      <c r="M17429">
        <f t="shared" si="2"/>
      </c>
    </row>
    <row r="17430">
      <c r="G17430" s="9">
        <f t="shared" si="0"/>
      </c>
      <c r="L17430">
        <f t="shared" si="1"/>
      </c>
      <c r="M17430">
        <f t="shared" si="2"/>
      </c>
    </row>
    <row r="17431">
      <c r="G17431" s="9">
        <f t="shared" si="0"/>
      </c>
      <c r="L17431">
        <f t="shared" si="1"/>
      </c>
      <c r="M17431">
        <f t="shared" si="2"/>
      </c>
    </row>
    <row r="17432">
      <c r="G17432" s="9">
        <f t="shared" si="0"/>
      </c>
      <c r="L17432">
        <f t="shared" si="1"/>
      </c>
      <c r="M17432">
        <f t="shared" si="2"/>
      </c>
    </row>
    <row r="17433">
      <c r="G17433" s="9">
        <f t="shared" si="0"/>
      </c>
      <c r="L17433">
        <f t="shared" si="1"/>
      </c>
      <c r="M17433">
        <f t="shared" si="2"/>
      </c>
    </row>
    <row r="17434">
      <c r="G17434" s="9">
        <f t="shared" si="0"/>
      </c>
      <c r="L17434">
        <f t="shared" si="1"/>
      </c>
      <c r="M17434">
        <f t="shared" si="2"/>
      </c>
    </row>
    <row r="17435">
      <c r="G17435" s="9">
        <f t="shared" si="0"/>
      </c>
      <c r="L17435">
        <f t="shared" si="1"/>
      </c>
      <c r="M17435">
        <f t="shared" si="2"/>
      </c>
    </row>
    <row r="17436">
      <c r="G17436" s="9">
        <f t="shared" si="0"/>
      </c>
      <c r="L17436">
        <f t="shared" si="1"/>
      </c>
      <c r="M17436">
        <f t="shared" si="2"/>
      </c>
    </row>
    <row r="17437">
      <c r="G17437" s="9">
        <f t="shared" si="0"/>
      </c>
      <c r="L17437">
        <f t="shared" si="1"/>
      </c>
      <c r="M17437">
        <f t="shared" si="2"/>
      </c>
    </row>
    <row r="17438">
      <c r="G17438" s="9">
        <f t="shared" si="0"/>
      </c>
      <c r="L17438">
        <f t="shared" si="1"/>
      </c>
      <c r="M17438">
        <f t="shared" si="2"/>
      </c>
    </row>
    <row r="17439">
      <c r="G17439" s="9">
        <f t="shared" si="0"/>
      </c>
      <c r="L17439">
        <f t="shared" si="1"/>
      </c>
      <c r="M17439">
        <f t="shared" si="2"/>
      </c>
    </row>
    <row r="17440">
      <c r="G17440" s="9">
        <f t="shared" si="0"/>
      </c>
      <c r="L17440">
        <f t="shared" si="1"/>
      </c>
      <c r="M17440">
        <f t="shared" si="2"/>
      </c>
    </row>
    <row r="17441">
      <c r="G17441" s="9">
        <f t="shared" si="0"/>
      </c>
      <c r="L17441">
        <f t="shared" si="1"/>
      </c>
      <c r="M17441">
        <f t="shared" si="2"/>
      </c>
    </row>
    <row r="17442">
      <c r="G17442" s="9">
        <f t="shared" si="0"/>
      </c>
      <c r="L17442">
        <f t="shared" si="1"/>
      </c>
      <c r="M17442">
        <f t="shared" si="2"/>
      </c>
    </row>
    <row r="17443">
      <c r="G17443" s="9">
        <f t="shared" si="0"/>
      </c>
      <c r="L17443">
        <f t="shared" si="1"/>
      </c>
      <c r="M17443">
        <f t="shared" si="2"/>
      </c>
    </row>
    <row r="17444">
      <c r="G17444" s="9">
        <f t="shared" si="0"/>
      </c>
      <c r="L17444">
        <f t="shared" si="1"/>
      </c>
      <c r="M17444">
        <f t="shared" si="2"/>
      </c>
    </row>
    <row r="17445">
      <c r="G17445" s="9">
        <f t="shared" si="0"/>
      </c>
      <c r="L17445">
        <f t="shared" si="1"/>
      </c>
      <c r="M17445">
        <f t="shared" si="2"/>
      </c>
    </row>
    <row r="17446">
      <c r="G17446" s="9">
        <f t="shared" si="0"/>
      </c>
      <c r="L17446">
        <f t="shared" si="1"/>
      </c>
      <c r="M17446">
        <f t="shared" si="2"/>
      </c>
    </row>
    <row r="17447">
      <c r="G17447" s="9">
        <f t="shared" si="0"/>
      </c>
      <c r="L17447">
        <f t="shared" si="1"/>
      </c>
      <c r="M17447">
        <f t="shared" si="2"/>
      </c>
    </row>
    <row r="17448">
      <c r="G17448" s="9">
        <f t="shared" si="0"/>
      </c>
      <c r="L17448">
        <f t="shared" si="1"/>
      </c>
      <c r="M17448">
        <f t="shared" si="2"/>
      </c>
    </row>
    <row r="17449">
      <c r="G17449" s="9">
        <f t="shared" si="0"/>
      </c>
      <c r="L17449">
        <f t="shared" si="1"/>
      </c>
      <c r="M17449">
        <f t="shared" si="2"/>
      </c>
    </row>
    <row r="17450">
      <c r="G17450" s="9">
        <f t="shared" si="0"/>
      </c>
      <c r="L17450">
        <f t="shared" si="1"/>
      </c>
      <c r="M17450">
        <f t="shared" si="2"/>
      </c>
    </row>
    <row r="17451">
      <c r="G17451" s="9">
        <f t="shared" si="0"/>
      </c>
      <c r="L17451">
        <f t="shared" si="1"/>
      </c>
      <c r="M17451">
        <f t="shared" si="2"/>
      </c>
    </row>
    <row r="17452">
      <c r="G17452" s="9">
        <f t="shared" si="0"/>
      </c>
      <c r="L17452">
        <f t="shared" si="1"/>
      </c>
      <c r="M17452">
        <f t="shared" si="2"/>
      </c>
    </row>
    <row r="17453">
      <c r="G17453" s="9">
        <f t="shared" si="0"/>
      </c>
      <c r="L17453">
        <f t="shared" si="1"/>
      </c>
      <c r="M17453">
        <f t="shared" si="2"/>
      </c>
    </row>
    <row r="17454">
      <c r="G17454" s="9">
        <f t="shared" si="0"/>
      </c>
      <c r="L17454">
        <f t="shared" si="1"/>
      </c>
      <c r="M17454">
        <f t="shared" si="2"/>
      </c>
    </row>
    <row r="17455">
      <c r="G17455" s="9">
        <f t="shared" si="0"/>
      </c>
      <c r="L17455">
        <f t="shared" si="1"/>
      </c>
      <c r="M17455">
        <f t="shared" si="2"/>
      </c>
    </row>
    <row r="17456">
      <c r="G17456" s="9">
        <f t="shared" si="0"/>
      </c>
      <c r="L17456">
        <f t="shared" si="1"/>
      </c>
      <c r="M17456">
        <f t="shared" si="2"/>
      </c>
    </row>
    <row r="17457">
      <c r="G17457" s="9">
        <f t="shared" si="0"/>
      </c>
      <c r="L17457">
        <f t="shared" si="1"/>
      </c>
      <c r="M17457">
        <f t="shared" si="2"/>
      </c>
    </row>
    <row r="17458">
      <c r="G17458" s="9">
        <f t="shared" si="0"/>
      </c>
      <c r="L17458">
        <f t="shared" si="1"/>
      </c>
      <c r="M17458">
        <f t="shared" si="2"/>
      </c>
    </row>
    <row r="17459">
      <c r="G17459" s="9">
        <f t="shared" si="0"/>
      </c>
      <c r="L17459">
        <f t="shared" si="1"/>
      </c>
      <c r="M17459">
        <f t="shared" si="2"/>
      </c>
    </row>
    <row r="17460">
      <c r="G17460" s="9">
        <f t="shared" si="0"/>
      </c>
      <c r="L17460">
        <f t="shared" si="1"/>
      </c>
      <c r="M17460">
        <f t="shared" si="2"/>
      </c>
    </row>
    <row r="17461">
      <c r="G17461" s="9">
        <f t="shared" si="0"/>
      </c>
      <c r="L17461">
        <f t="shared" si="1"/>
      </c>
      <c r="M17461">
        <f t="shared" si="2"/>
      </c>
    </row>
    <row r="17462">
      <c r="G17462" s="9">
        <f t="shared" si="0"/>
      </c>
      <c r="L17462">
        <f t="shared" si="1"/>
      </c>
      <c r="M17462">
        <f t="shared" si="2"/>
      </c>
    </row>
    <row r="17463">
      <c r="G17463" s="9">
        <f t="shared" si="0"/>
      </c>
      <c r="L17463">
        <f t="shared" si="1"/>
      </c>
      <c r="M17463">
        <f t="shared" si="2"/>
      </c>
    </row>
    <row r="17464">
      <c r="G17464" s="9">
        <f t="shared" si="0"/>
      </c>
      <c r="L17464">
        <f t="shared" si="1"/>
      </c>
      <c r="M17464">
        <f t="shared" si="2"/>
      </c>
    </row>
    <row r="17465">
      <c r="G17465" s="9">
        <f t="shared" si="0"/>
      </c>
      <c r="L17465">
        <f t="shared" si="1"/>
      </c>
      <c r="M17465">
        <f t="shared" si="2"/>
      </c>
    </row>
    <row r="17466">
      <c r="G17466" s="9">
        <f t="shared" si="0"/>
      </c>
      <c r="L17466">
        <f t="shared" si="1"/>
      </c>
      <c r="M17466">
        <f t="shared" si="2"/>
      </c>
    </row>
    <row r="17467">
      <c r="G17467" s="9">
        <f t="shared" si="0"/>
      </c>
      <c r="L17467">
        <f t="shared" si="1"/>
      </c>
      <c r="M17467">
        <f t="shared" si="2"/>
      </c>
    </row>
    <row r="17468">
      <c r="G17468" s="9">
        <f t="shared" si="0"/>
      </c>
      <c r="L17468">
        <f t="shared" si="1"/>
      </c>
      <c r="M17468">
        <f t="shared" si="2"/>
      </c>
    </row>
    <row r="17469">
      <c r="G17469" s="9">
        <f t="shared" si="0"/>
      </c>
      <c r="L17469">
        <f t="shared" si="1"/>
      </c>
      <c r="M17469">
        <f t="shared" si="2"/>
      </c>
    </row>
    <row r="17470">
      <c r="G17470" s="9">
        <f t="shared" si="0"/>
      </c>
      <c r="L17470">
        <f t="shared" si="1"/>
      </c>
      <c r="M17470">
        <f t="shared" si="2"/>
      </c>
    </row>
    <row r="17471">
      <c r="G17471" s="9">
        <f t="shared" si="0"/>
      </c>
      <c r="L17471">
        <f t="shared" si="1"/>
      </c>
      <c r="M17471">
        <f t="shared" si="2"/>
      </c>
    </row>
    <row r="17472">
      <c r="G17472" s="9">
        <f t="shared" si="0"/>
      </c>
      <c r="L17472">
        <f t="shared" si="1"/>
      </c>
      <c r="M17472">
        <f t="shared" si="2"/>
      </c>
    </row>
    <row r="17473">
      <c r="G17473" s="9">
        <f t="shared" si="0"/>
      </c>
      <c r="L17473">
        <f t="shared" si="1"/>
      </c>
      <c r="M17473">
        <f t="shared" si="2"/>
      </c>
    </row>
    <row r="17474">
      <c r="G17474" s="9">
        <f t="shared" si="0"/>
      </c>
      <c r="L17474">
        <f t="shared" si="1"/>
      </c>
      <c r="M17474">
        <f t="shared" si="2"/>
      </c>
    </row>
    <row r="17475">
      <c r="G17475" s="9">
        <f t="shared" si="0"/>
      </c>
      <c r="L17475">
        <f t="shared" si="1"/>
      </c>
      <c r="M17475">
        <f t="shared" si="2"/>
      </c>
    </row>
    <row r="17476">
      <c r="G17476" s="9">
        <f t="shared" si="0"/>
      </c>
      <c r="L17476">
        <f t="shared" si="1"/>
      </c>
      <c r="M17476">
        <f t="shared" si="2"/>
      </c>
    </row>
    <row r="17477">
      <c r="G17477" s="9">
        <f t="shared" si="0"/>
      </c>
      <c r="L17477">
        <f t="shared" si="1"/>
      </c>
      <c r="M17477">
        <f t="shared" si="2"/>
      </c>
    </row>
    <row r="17478">
      <c r="G17478" s="9">
        <f t="shared" si="0"/>
      </c>
      <c r="L17478">
        <f t="shared" si="1"/>
      </c>
      <c r="M17478">
        <f t="shared" si="2"/>
      </c>
    </row>
    <row r="17479">
      <c r="G17479" s="9">
        <f t="shared" si="0"/>
      </c>
      <c r="L17479">
        <f t="shared" si="1"/>
      </c>
      <c r="M17479">
        <f t="shared" si="2"/>
      </c>
    </row>
    <row r="17480">
      <c r="G17480" s="9">
        <f t="shared" si="0"/>
      </c>
      <c r="L17480">
        <f t="shared" si="1"/>
      </c>
      <c r="M17480">
        <f t="shared" si="2"/>
      </c>
    </row>
    <row r="17481">
      <c r="G17481" s="9">
        <f t="shared" si="0"/>
      </c>
      <c r="L17481">
        <f t="shared" si="1"/>
      </c>
      <c r="M17481">
        <f t="shared" si="2"/>
      </c>
    </row>
    <row r="17482">
      <c r="G17482" s="9">
        <f t="shared" si="0"/>
      </c>
      <c r="L17482">
        <f t="shared" si="1"/>
      </c>
      <c r="M17482">
        <f t="shared" si="2"/>
      </c>
    </row>
    <row r="17483">
      <c r="G17483" s="9">
        <f t="shared" si="0"/>
      </c>
      <c r="L17483">
        <f t="shared" si="1"/>
      </c>
      <c r="M17483">
        <f t="shared" si="2"/>
      </c>
    </row>
    <row r="17484">
      <c r="G17484" s="9">
        <f t="shared" si="0"/>
      </c>
      <c r="L17484">
        <f t="shared" si="1"/>
      </c>
      <c r="M17484">
        <f t="shared" si="2"/>
      </c>
    </row>
    <row r="17485">
      <c r="G17485" s="9">
        <f t="shared" si="0"/>
      </c>
      <c r="L17485">
        <f t="shared" si="1"/>
      </c>
      <c r="M17485">
        <f t="shared" si="2"/>
      </c>
    </row>
    <row r="17486">
      <c r="G17486" s="9">
        <f t="shared" si="0"/>
      </c>
      <c r="L17486">
        <f t="shared" si="1"/>
      </c>
      <c r="M17486">
        <f t="shared" si="2"/>
      </c>
    </row>
    <row r="17487">
      <c r="G17487" s="9">
        <f t="shared" si="0"/>
      </c>
      <c r="L17487">
        <f t="shared" si="1"/>
      </c>
      <c r="M17487">
        <f t="shared" si="2"/>
      </c>
    </row>
    <row r="17488">
      <c r="G17488" s="9">
        <f t="shared" si="0"/>
      </c>
      <c r="L17488">
        <f t="shared" si="1"/>
      </c>
      <c r="M17488">
        <f t="shared" si="2"/>
      </c>
    </row>
    <row r="17489">
      <c r="G17489" s="9">
        <f t="shared" si="0"/>
      </c>
      <c r="L17489">
        <f t="shared" si="1"/>
      </c>
      <c r="M17489">
        <f t="shared" si="2"/>
      </c>
    </row>
    <row r="17490">
      <c r="G17490" s="9">
        <f t="shared" si="0"/>
      </c>
      <c r="L17490">
        <f t="shared" si="1"/>
      </c>
      <c r="M17490">
        <f t="shared" si="2"/>
      </c>
    </row>
    <row r="17491">
      <c r="G17491" s="9">
        <f t="shared" si="0"/>
      </c>
      <c r="L17491">
        <f t="shared" si="1"/>
      </c>
      <c r="M17491">
        <f t="shared" si="2"/>
      </c>
    </row>
    <row r="17492">
      <c r="G17492" s="9">
        <f t="shared" si="0"/>
      </c>
      <c r="L17492">
        <f t="shared" si="1"/>
      </c>
      <c r="M17492">
        <f t="shared" si="2"/>
      </c>
    </row>
    <row r="17493">
      <c r="G17493" s="9">
        <f t="shared" si="0"/>
      </c>
      <c r="L17493">
        <f t="shared" si="1"/>
      </c>
      <c r="M17493">
        <f t="shared" si="2"/>
      </c>
    </row>
    <row r="17494">
      <c r="G17494" s="9">
        <f t="shared" si="0"/>
      </c>
      <c r="L17494">
        <f t="shared" si="1"/>
      </c>
      <c r="M17494">
        <f t="shared" si="2"/>
      </c>
    </row>
    <row r="17495">
      <c r="G17495" s="9">
        <f t="shared" si="0"/>
      </c>
      <c r="L17495">
        <f t="shared" si="1"/>
      </c>
      <c r="M17495">
        <f t="shared" si="2"/>
      </c>
    </row>
    <row r="17496">
      <c r="G17496" s="9">
        <f t="shared" si="0"/>
      </c>
      <c r="L17496">
        <f t="shared" si="1"/>
      </c>
      <c r="M17496">
        <f t="shared" si="2"/>
      </c>
    </row>
    <row r="17497">
      <c r="G17497" s="9">
        <f t="shared" si="0"/>
      </c>
      <c r="L17497">
        <f t="shared" si="1"/>
      </c>
      <c r="M17497">
        <f t="shared" si="2"/>
      </c>
    </row>
    <row r="17498">
      <c r="G17498" s="9">
        <f t="shared" si="0"/>
      </c>
      <c r="L17498">
        <f t="shared" si="1"/>
      </c>
      <c r="M17498">
        <f t="shared" si="2"/>
      </c>
    </row>
    <row r="17499">
      <c r="G17499" s="9">
        <f t="shared" si="0"/>
      </c>
      <c r="L17499">
        <f t="shared" si="1"/>
      </c>
      <c r="M17499">
        <f t="shared" si="2"/>
      </c>
    </row>
    <row r="17500">
      <c r="G17500" s="9">
        <f t="shared" si="0"/>
      </c>
      <c r="L17500">
        <f t="shared" si="1"/>
      </c>
      <c r="M17500">
        <f t="shared" si="2"/>
      </c>
    </row>
    <row r="17501">
      <c r="G17501" s="9">
        <f t="shared" si="0"/>
      </c>
      <c r="L17501">
        <f t="shared" si="1"/>
      </c>
      <c r="M17501">
        <f t="shared" si="2"/>
      </c>
    </row>
    <row r="17502">
      <c r="G17502" s="9">
        <f t="shared" si="0"/>
      </c>
      <c r="L17502">
        <f t="shared" si="1"/>
      </c>
      <c r="M17502">
        <f t="shared" si="2"/>
      </c>
    </row>
    <row r="17503">
      <c r="G17503" s="9">
        <f t="shared" si="0"/>
      </c>
      <c r="L17503">
        <f t="shared" si="1"/>
      </c>
      <c r="M17503">
        <f t="shared" si="2"/>
      </c>
    </row>
    <row r="17504">
      <c r="G17504" s="9">
        <f t="shared" si="0"/>
      </c>
      <c r="L17504">
        <f t="shared" si="1"/>
      </c>
      <c r="M17504">
        <f t="shared" si="2"/>
      </c>
    </row>
    <row r="17505">
      <c r="G17505" s="9">
        <f t="shared" si="0"/>
      </c>
      <c r="L17505">
        <f t="shared" si="1"/>
      </c>
      <c r="M17505">
        <f t="shared" si="2"/>
      </c>
    </row>
    <row r="17506">
      <c r="G17506" s="9">
        <f t="shared" si="0"/>
      </c>
      <c r="L17506">
        <f t="shared" si="1"/>
      </c>
      <c r="M17506">
        <f t="shared" si="2"/>
      </c>
    </row>
    <row r="17507">
      <c r="G17507" s="9">
        <f t="shared" si="0"/>
      </c>
      <c r="L17507">
        <f t="shared" si="1"/>
      </c>
      <c r="M17507">
        <f t="shared" si="2"/>
      </c>
    </row>
    <row r="17508">
      <c r="G17508" s="9">
        <f t="shared" si="0"/>
      </c>
      <c r="L17508">
        <f t="shared" si="1"/>
      </c>
      <c r="M17508">
        <f t="shared" si="2"/>
      </c>
    </row>
    <row r="17509">
      <c r="G17509" s="9">
        <f t="shared" si="0"/>
      </c>
      <c r="L17509">
        <f t="shared" si="1"/>
      </c>
      <c r="M17509">
        <f t="shared" si="2"/>
      </c>
    </row>
    <row r="17510">
      <c r="G17510" s="9">
        <f t="shared" si="0"/>
      </c>
      <c r="L17510">
        <f t="shared" si="1"/>
      </c>
      <c r="M17510">
        <f t="shared" si="2"/>
      </c>
    </row>
    <row r="17511">
      <c r="G17511" s="9">
        <f t="shared" si="0"/>
      </c>
      <c r="L17511">
        <f t="shared" si="1"/>
      </c>
      <c r="M17511">
        <f t="shared" si="2"/>
      </c>
    </row>
    <row r="17512">
      <c r="G17512" s="9">
        <f t="shared" si="0"/>
      </c>
      <c r="L17512">
        <f t="shared" si="1"/>
      </c>
      <c r="M17512">
        <f t="shared" si="2"/>
      </c>
    </row>
    <row r="17513">
      <c r="G17513" s="9">
        <f t="shared" si="0"/>
      </c>
      <c r="L17513">
        <f t="shared" si="1"/>
      </c>
      <c r="M17513">
        <f t="shared" si="2"/>
      </c>
    </row>
    <row r="17514">
      <c r="G17514" s="9">
        <f t="shared" si="0"/>
      </c>
      <c r="L17514">
        <f t="shared" si="1"/>
      </c>
      <c r="M17514">
        <f t="shared" si="2"/>
      </c>
    </row>
    <row r="17515">
      <c r="G17515" s="9">
        <f t="shared" si="0"/>
      </c>
      <c r="L17515">
        <f t="shared" si="1"/>
      </c>
      <c r="M17515">
        <f t="shared" si="2"/>
      </c>
    </row>
    <row r="17516">
      <c r="G17516" s="9">
        <f t="shared" si="0"/>
      </c>
      <c r="L17516">
        <f t="shared" si="1"/>
      </c>
      <c r="M17516">
        <f t="shared" si="2"/>
      </c>
    </row>
    <row r="17517">
      <c r="G17517" s="9">
        <f t="shared" si="0"/>
      </c>
      <c r="L17517">
        <f t="shared" si="1"/>
      </c>
      <c r="M17517">
        <f t="shared" si="2"/>
      </c>
    </row>
    <row r="17518">
      <c r="G17518" s="9">
        <f t="shared" si="0"/>
      </c>
      <c r="L17518">
        <f t="shared" si="1"/>
      </c>
      <c r="M17518">
        <f t="shared" si="2"/>
      </c>
    </row>
    <row r="17519">
      <c r="G17519" s="9">
        <f t="shared" si="0"/>
      </c>
      <c r="L17519">
        <f t="shared" si="1"/>
      </c>
      <c r="M17519">
        <f t="shared" si="2"/>
      </c>
    </row>
    <row r="17520">
      <c r="G17520" s="9">
        <f t="shared" si="0"/>
      </c>
      <c r="L17520">
        <f t="shared" si="1"/>
      </c>
      <c r="M17520">
        <f t="shared" si="2"/>
      </c>
    </row>
    <row r="17521">
      <c r="G17521" s="9">
        <f t="shared" si="0"/>
      </c>
      <c r="L17521">
        <f t="shared" si="1"/>
      </c>
      <c r="M17521">
        <f t="shared" si="2"/>
      </c>
    </row>
    <row r="17522">
      <c r="G17522" s="9">
        <f t="shared" si="0"/>
      </c>
      <c r="L17522">
        <f t="shared" si="1"/>
      </c>
      <c r="M17522">
        <f t="shared" si="2"/>
      </c>
    </row>
    <row r="17523">
      <c r="G17523" s="9">
        <f t="shared" si="0"/>
      </c>
      <c r="L17523">
        <f t="shared" si="1"/>
      </c>
      <c r="M17523">
        <f t="shared" si="2"/>
      </c>
    </row>
    <row r="17524">
      <c r="G17524" s="9">
        <f t="shared" si="0"/>
      </c>
      <c r="L17524">
        <f t="shared" si="1"/>
      </c>
      <c r="M17524">
        <f t="shared" si="2"/>
      </c>
    </row>
    <row r="17525">
      <c r="G17525" s="9">
        <f t="shared" si="0"/>
      </c>
      <c r="L17525">
        <f t="shared" si="1"/>
      </c>
      <c r="M17525">
        <f t="shared" si="2"/>
      </c>
    </row>
    <row r="17526">
      <c r="G17526" s="9">
        <f t="shared" si="0"/>
      </c>
      <c r="L17526">
        <f t="shared" si="1"/>
      </c>
      <c r="M17526">
        <f t="shared" si="2"/>
      </c>
    </row>
    <row r="17527">
      <c r="G17527" s="9">
        <f t="shared" si="0"/>
      </c>
      <c r="L17527">
        <f t="shared" si="1"/>
      </c>
      <c r="M17527">
        <f t="shared" si="2"/>
      </c>
    </row>
    <row r="17528">
      <c r="G17528" s="9">
        <f t="shared" si="0"/>
      </c>
      <c r="L17528">
        <f t="shared" si="1"/>
      </c>
      <c r="M17528">
        <f t="shared" si="2"/>
      </c>
    </row>
    <row r="17529">
      <c r="G17529" s="9">
        <f t="shared" si="0"/>
      </c>
      <c r="L17529">
        <f t="shared" si="1"/>
      </c>
      <c r="M17529">
        <f t="shared" si="2"/>
      </c>
    </row>
    <row r="17530">
      <c r="G17530" s="9">
        <f t="shared" si="0"/>
      </c>
      <c r="L17530">
        <f t="shared" si="1"/>
      </c>
      <c r="M17530">
        <f t="shared" si="2"/>
      </c>
    </row>
    <row r="17531">
      <c r="G17531" s="9">
        <f t="shared" si="0"/>
      </c>
      <c r="L17531">
        <f t="shared" si="1"/>
      </c>
      <c r="M17531">
        <f t="shared" si="2"/>
      </c>
    </row>
    <row r="17532">
      <c r="G17532" s="9">
        <f t="shared" si="0"/>
      </c>
      <c r="L17532">
        <f t="shared" si="1"/>
      </c>
      <c r="M17532">
        <f t="shared" si="2"/>
      </c>
    </row>
    <row r="17533">
      <c r="G17533" s="9">
        <f t="shared" si="0"/>
      </c>
      <c r="L17533">
        <f t="shared" si="1"/>
      </c>
      <c r="M17533">
        <f t="shared" si="2"/>
      </c>
    </row>
    <row r="17534">
      <c r="G17534" s="9">
        <f t="shared" si="0"/>
      </c>
      <c r="L17534">
        <f t="shared" si="1"/>
      </c>
      <c r="M17534">
        <f t="shared" si="2"/>
      </c>
    </row>
    <row r="17535">
      <c r="G17535" s="9">
        <f t="shared" si="0"/>
      </c>
      <c r="L17535">
        <f t="shared" si="1"/>
      </c>
      <c r="M17535">
        <f t="shared" si="2"/>
      </c>
    </row>
    <row r="17536">
      <c r="G17536" s="9">
        <f t="shared" si="0"/>
      </c>
      <c r="L17536">
        <f t="shared" si="1"/>
      </c>
      <c r="M17536">
        <f t="shared" si="2"/>
      </c>
    </row>
    <row r="17537">
      <c r="G17537" s="9">
        <f t="shared" si="0"/>
      </c>
      <c r="L17537">
        <f t="shared" si="1"/>
      </c>
      <c r="M17537">
        <f t="shared" si="2"/>
      </c>
    </row>
    <row r="17538">
      <c r="G17538" s="9">
        <f t="shared" si="0"/>
      </c>
      <c r="L17538">
        <f t="shared" si="1"/>
      </c>
      <c r="M17538">
        <f t="shared" si="2"/>
      </c>
    </row>
    <row r="17539">
      <c r="G17539" s="9">
        <f t="shared" si="0"/>
      </c>
      <c r="L17539">
        <f t="shared" si="1"/>
      </c>
      <c r="M17539">
        <f t="shared" si="2"/>
      </c>
    </row>
    <row r="17540">
      <c r="G17540" s="9">
        <f t="shared" si="0"/>
      </c>
      <c r="L17540">
        <f t="shared" si="1"/>
      </c>
      <c r="M17540">
        <f t="shared" si="2"/>
      </c>
    </row>
    <row r="17541">
      <c r="G17541" s="9">
        <f t="shared" si="0"/>
      </c>
      <c r="L17541">
        <f t="shared" si="1"/>
      </c>
      <c r="M17541">
        <f t="shared" si="2"/>
      </c>
    </row>
    <row r="17542">
      <c r="G17542" s="9">
        <f t="shared" si="0"/>
      </c>
      <c r="L17542">
        <f t="shared" si="1"/>
      </c>
      <c r="M17542">
        <f t="shared" si="2"/>
      </c>
    </row>
    <row r="17543">
      <c r="G17543" s="9">
        <f t="shared" si="0"/>
      </c>
      <c r="L17543">
        <f t="shared" si="1"/>
      </c>
      <c r="M17543">
        <f t="shared" si="2"/>
      </c>
    </row>
    <row r="17544">
      <c r="G17544" s="9">
        <f t="shared" si="0"/>
      </c>
      <c r="L17544">
        <f t="shared" si="1"/>
      </c>
      <c r="M17544">
        <f t="shared" si="2"/>
      </c>
    </row>
    <row r="17545">
      <c r="G17545" s="9">
        <f t="shared" si="0"/>
      </c>
      <c r="L17545">
        <f t="shared" si="1"/>
      </c>
      <c r="M17545">
        <f t="shared" si="2"/>
      </c>
    </row>
    <row r="17546">
      <c r="G17546" s="9">
        <f t="shared" si="0"/>
      </c>
      <c r="L17546">
        <f t="shared" si="1"/>
      </c>
      <c r="M17546">
        <f t="shared" si="2"/>
      </c>
    </row>
    <row r="17547">
      <c r="G17547" s="9">
        <f t="shared" si="0"/>
      </c>
      <c r="L17547">
        <f t="shared" si="1"/>
      </c>
      <c r="M17547">
        <f t="shared" si="2"/>
      </c>
    </row>
    <row r="17548">
      <c r="G17548" s="9">
        <f t="shared" si="0"/>
      </c>
      <c r="L17548">
        <f t="shared" si="1"/>
      </c>
      <c r="M17548">
        <f t="shared" si="2"/>
      </c>
    </row>
    <row r="17549">
      <c r="G17549" s="9">
        <f t="shared" si="0"/>
      </c>
      <c r="L17549">
        <f t="shared" si="1"/>
      </c>
      <c r="M17549">
        <f t="shared" si="2"/>
      </c>
    </row>
    <row r="17550">
      <c r="G17550" s="9">
        <f t="shared" si="0"/>
      </c>
      <c r="L17550">
        <f t="shared" si="1"/>
      </c>
      <c r="M17550">
        <f t="shared" si="2"/>
      </c>
    </row>
    <row r="17551">
      <c r="G17551" s="9">
        <f t="shared" si="0"/>
      </c>
      <c r="L17551">
        <f t="shared" si="1"/>
      </c>
      <c r="M17551">
        <f t="shared" si="2"/>
      </c>
    </row>
    <row r="17552">
      <c r="G17552" s="9">
        <f t="shared" si="0"/>
      </c>
      <c r="L17552">
        <f t="shared" si="1"/>
      </c>
      <c r="M17552">
        <f t="shared" si="2"/>
      </c>
    </row>
    <row r="17553">
      <c r="G17553" s="9">
        <f t="shared" si="0"/>
      </c>
      <c r="L17553">
        <f t="shared" si="1"/>
      </c>
      <c r="M17553">
        <f t="shared" si="2"/>
      </c>
    </row>
    <row r="17554">
      <c r="G17554" s="9">
        <f t="shared" si="0"/>
      </c>
      <c r="L17554">
        <f t="shared" si="1"/>
      </c>
      <c r="M17554">
        <f t="shared" si="2"/>
      </c>
    </row>
    <row r="17555">
      <c r="G17555" s="9">
        <f t="shared" si="0"/>
      </c>
      <c r="L17555">
        <f t="shared" si="1"/>
      </c>
      <c r="M17555">
        <f t="shared" si="2"/>
      </c>
    </row>
    <row r="17556">
      <c r="G17556" s="9">
        <f t="shared" si="0"/>
      </c>
      <c r="L17556">
        <f t="shared" si="1"/>
      </c>
      <c r="M17556">
        <f t="shared" si="2"/>
      </c>
    </row>
    <row r="17557">
      <c r="G17557" s="9">
        <f t="shared" si="0"/>
      </c>
      <c r="L17557">
        <f t="shared" si="1"/>
      </c>
      <c r="M17557">
        <f t="shared" si="2"/>
      </c>
    </row>
    <row r="17558">
      <c r="G17558" s="9">
        <f t="shared" si="0"/>
      </c>
      <c r="L17558">
        <f t="shared" si="1"/>
      </c>
      <c r="M17558">
        <f t="shared" si="2"/>
      </c>
    </row>
    <row r="17559">
      <c r="G17559" s="9">
        <f t="shared" si="0"/>
      </c>
      <c r="L17559">
        <f t="shared" si="1"/>
      </c>
      <c r="M17559">
        <f t="shared" si="2"/>
      </c>
    </row>
    <row r="17560">
      <c r="G17560" s="9">
        <f t="shared" si="0"/>
      </c>
      <c r="L17560">
        <f t="shared" si="1"/>
      </c>
      <c r="M17560">
        <f t="shared" si="2"/>
      </c>
    </row>
    <row r="17561">
      <c r="G17561" s="9">
        <f t="shared" si="0"/>
      </c>
      <c r="L17561">
        <f t="shared" si="1"/>
      </c>
      <c r="M17561">
        <f t="shared" si="2"/>
      </c>
    </row>
    <row r="17562">
      <c r="G17562" s="9">
        <f t="shared" si="0"/>
      </c>
      <c r="L17562">
        <f t="shared" si="1"/>
      </c>
      <c r="M17562">
        <f t="shared" si="2"/>
      </c>
    </row>
    <row r="17563">
      <c r="G17563" s="9">
        <f t="shared" si="0"/>
      </c>
      <c r="L17563">
        <f t="shared" si="1"/>
      </c>
      <c r="M17563">
        <f t="shared" si="2"/>
      </c>
    </row>
    <row r="17564">
      <c r="G17564" s="9">
        <f t="shared" si="0"/>
      </c>
      <c r="L17564">
        <f t="shared" si="1"/>
      </c>
      <c r="M17564">
        <f t="shared" si="2"/>
      </c>
    </row>
    <row r="17565">
      <c r="G17565" s="9">
        <f t="shared" si="0"/>
      </c>
      <c r="L17565">
        <f t="shared" si="1"/>
      </c>
      <c r="M17565">
        <f t="shared" si="2"/>
      </c>
    </row>
    <row r="17566">
      <c r="G17566" s="9">
        <f t="shared" si="0"/>
      </c>
      <c r="L17566">
        <f t="shared" si="1"/>
      </c>
      <c r="M17566">
        <f t="shared" si="2"/>
      </c>
    </row>
    <row r="17567">
      <c r="G17567" s="9">
        <f t="shared" si="0"/>
      </c>
      <c r="L17567">
        <f t="shared" si="1"/>
      </c>
      <c r="M17567">
        <f t="shared" si="2"/>
      </c>
    </row>
    <row r="17568">
      <c r="G17568" s="9">
        <f t="shared" si="0"/>
      </c>
      <c r="L17568">
        <f t="shared" si="1"/>
      </c>
      <c r="M17568">
        <f t="shared" si="2"/>
      </c>
    </row>
    <row r="17569">
      <c r="G17569" s="9">
        <f t="shared" si="0"/>
      </c>
      <c r="L17569">
        <f t="shared" si="1"/>
      </c>
      <c r="M17569">
        <f t="shared" si="2"/>
      </c>
    </row>
    <row r="17570">
      <c r="G17570" s="9">
        <f t="shared" si="0"/>
      </c>
      <c r="L17570">
        <f t="shared" si="1"/>
      </c>
      <c r="M17570">
        <f t="shared" si="2"/>
      </c>
    </row>
    <row r="17571">
      <c r="G17571" s="9">
        <f t="shared" si="0"/>
      </c>
      <c r="L17571">
        <f t="shared" si="1"/>
      </c>
      <c r="M17571">
        <f t="shared" si="2"/>
      </c>
    </row>
    <row r="17572">
      <c r="G17572" s="9">
        <f t="shared" si="0"/>
      </c>
      <c r="L17572">
        <f t="shared" si="1"/>
      </c>
      <c r="M17572">
        <f t="shared" si="2"/>
      </c>
    </row>
    <row r="17573">
      <c r="G17573" s="9">
        <f t="shared" si="0"/>
      </c>
      <c r="L17573">
        <f t="shared" si="1"/>
      </c>
      <c r="M17573">
        <f t="shared" si="2"/>
      </c>
    </row>
    <row r="17574">
      <c r="G17574" s="9">
        <f t="shared" si="0"/>
      </c>
      <c r="L17574">
        <f t="shared" si="1"/>
      </c>
      <c r="M17574">
        <f t="shared" si="2"/>
      </c>
    </row>
    <row r="17575">
      <c r="G17575" s="9">
        <f t="shared" si="0"/>
      </c>
      <c r="L17575">
        <f t="shared" si="1"/>
      </c>
      <c r="M17575">
        <f t="shared" si="2"/>
      </c>
    </row>
    <row r="17576">
      <c r="G17576" s="9">
        <f t="shared" si="0"/>
      </c>
      <c r="L17576">
        <f t="shared" si="1"/>
      </c>
      <c r="M17576">
        <f t="shared" si="2"/>
      </c>
    </row>
    <row r="17577">
      <c r="G17577" s="9">
        <f t="shared" si="0"/>
      </c>
      <c r="L17577">
        <f t="shared" si="1"/>
      </c>
      <c r="M17577">
        <f t="shared" si="2"/>
      </c>
    </row>
    <row r="17578">
      <c r="G17578" s="9">
        <f t="shared" si="0"/>
      </c>
      <c r="L17578">
        <f t="shared" si="1"/>
      </c>
      <c r="M17578">
        <f t="shared" si="2"/>
      </c>
    </row>
    <row r="17579">
      <c r="G17579" s="9">
        <f t="shared" si="0"/>
      </c>
      <c r="L17579">
        <f t="shared" si="1"/>
      </c>
      <c r="M17579">
        <f t="shared" si="2"/>
      </c>
    </row>
    <row r="17580">
      <c r="G17580" s="9">
        <f t="shared" si="0"/>
      </c>
      <c r="L17580">
        <f t="shared" si="1"/>
      </c>
      <c r="M17580">
        <f t="shared" si="2"/>
      </c>
    </row>
    <row r="17581">
      <c r="G17581" s="9">
        <f t="shared" si="0"/>
      </c>
      <c r="L17581">
        <f t="shared" si="1"/>
      </c>
      <c r="M17581">
        <f t="shared" si="2"/>
      </c>
    </row>
    <row r="17582">
      <c r="G17582" s="9">
        <f t="shared" si="0"/>
      </c>
      <c r="L17582">
        <f t="shared" si="1"/>
      </c>
      <c r="M17582">
        <f t="shared" si="2"/>
      </c>
    </row>
    <row r="17583">
      <c r="G17583" s="9">
        <f t="shared" si="0"/>
      </c>
      <c r="L17583">
        <f t="shared" si="1"/>
      </c>
      <c r="M17583">
        <f t="shared" si="2"/>
      </c>
    </row>
    <row r="17584">
      <c r="G17584" s="9">
        <f t="shared" si="0"/>
      </c>
      <c r="L17584">
        <f t="shared" si="1"/>
      </c>
      <c r="M17584">
        <f t="shared" si="2"/>
      </c>
    </row>
    <row r="17585">
      <c r="G17585" s="9">
        <f t="shared" si="0"/>
      </c>
      <c r="L17585">
        <f t="shared" si="1"/>
      </c>
      <c r="M17585">
        <f t="shared" si="2"/>
      </c>
    </row>
    <row r="17586">
      <c r="G17586" s="9">
        <f t="shared" si="0"/>
      </c>
      <c r="L17586">
        <f t="shared" si="1"/>
      </c>
      <c r="M17586">
        <f t="shared" si="2"/>
      </c>
    </row>
    <row r="17587">
      <c r="G17587" s="9">
        <f t="shared" si="0"/>
      </c>
      <c r="L17587">
        <f t="shared" si="1"/>
      </c>
      <c r="M17587">
        <f t="shared" si="2"/>
      </c>
    </row>
    <row r="17588">
      <c r="G17588" s="9">
        <f t="shared" si="0"/>
      </c>
      <c r="L17588">
        <f t="shared" si="1"/>
      </c>
      <c r="M17588">
        <f t="shared" si="2"/>
      </c>
    </row>
    <row r="17589">
      <c r="G17589" s="9">
        <f t="shared" si="0"/>
      </c>
      <c r="L17589">
        <f t="shared" si="1"/>
      </c>
      <c r="M17589">
        <f t="shared" si="2"/>
      </c>
    </row>
    <row r="17590">
      <c r="G17590" s="9">
        <f t="shared" si="0"/>
      </c>
      <c r="L17590">
        <f t="shared" si="1"/>
      </c>
      <c r="M17590">
        <f t="shared" si="2"/>
      </c>
    </row>
    <row r="17591">
      <c r="G17591" s="9">
        <f t="shared" si="0"/>
      </c>
      <c r="L17591">
        <f t="shared" si="1"/>
      </c>
      <c r="M17591">
        <f t="shared" si="2"/>
      </c>
    </row>
    <row r="17592">
      <c r="G17592" s="9">
        <f t="shared" si="0"/>
      </c>
      <c r="L17592">
        <f t="shared" si="1"/>
      </c>
      <c r="M17592">
        <f t="shared" si="2"/>
      </c>
    </row>
    <row r="17593">
      <c r="G17593" s="9">
        <f t="shared" si="0"/>
      </c>
      <c r="L17593">
        <f t="shared" si="1"/>
      </c>
      <c r="M17593">
        <f t="shared" si="2"/>
      </c>
    </row>
    <row r="17594">
      <c r="G17594" s="9">
        <f t="shared" si="0"/>
      </c>
      <c r="L17594">
        <f t="shared" si="1"/>
      </c>
      <c r="M17594">
        <f t="shared" si="2"/>
      </c>
    </row>
    <row r="17595">
      <c r="G17595" s="9">
        <f t="shared" si="0"/>
      </c>
      <c r="L17595">
        <f t="shared" si="1"/>
      </c>
      <c r="M17595">
        <f t="shared" si="2"/>
      </c>
    </row>
    <row r="17596">
      <c r="G17596" s="9">
        <f t="shared" si="0"/>
      </c>
      <c r="L17596">
        <f t="shared" si="1"/>
      </c>
      <c r="M17596">
        <f t="shared" si="2"/>
      </c>
    </row>
    <row r="17597">
      <c r="G17597" s="9">
        <f t="shared" si="0"/>
      </c>
      <c r="L17597">
        <f t="shared" si="1"/>
      </c>
      <c r="M17597">
        <f t="shared" si="2"/>
      </c>
    </row>
    <row r="17598">
      <c r="G17598" s="9">
        <f t="shared" si="0"/>
      </c>
      <c r="L17598">
        <f t="shared" si="1"/>
      </c>
      <c r="M17598">
        <f t="shared" si="2"/>
      </c>
    </row>
    <row r="17599">
      <c r="G17599" s="9">
        <f t="shared" si="0"/>
      </c>
      <c r="L17599">
        <f t="shared" si="1"/>
      </c>
      <c r="M17599">
        <f t="shared" si="2"/>
      </c>
    </row>
    <row r="17600">
      <c r="G17600" s="9">
        <f t="shared" si="0"/>
      </c>
      <c r="L17600">
        <f t="shared" si="1"/>
      </c>
      <c r="M17600">
        <f t="shared" si="2"/>
      </c>
    </row>
    <row r="17601">
      <c r="G17601" s="9">
        <f t="shared" si="0"/>
      </c>
      <c r="L17601">
        <f t="shared" si="1"/>
      </c>
      <c r="M17601">
        <f t="shared" si="2"/>
      </c>
    </row>
    <row r="17602">
      <c r="G17602" s="9">
        <f t="shared" si="0"/>
      </c>
      <c r="L17602">
        <f t="shared" si="1"/>
      </c>
      <c r="M17602">
        <f t="shared" si="2"/>
      </c>
    </row>
    <row r="17603">
      <c r="G17603" s="9">
        <f t="shared" si="0"/>
      </c>
      <c r="L17603">
        <f t="shared" si="1"/>
      </c>
      <c r="M17603">
        <f t="shared" si="2"/>
      </c>
    </row>
    <row r="17604">
      <c r="G17604" s="9">
        <f t="shared" si="0"/>
      </c>
      <c r="L17604">
        <f t="shared" si="1"/>
      </c>
      <c r="M17604">
        <f t="shared" si="2"/>
      </c>
    </row>
    <row r="17605">
      <c r="G17605" s="9">
        <f t="shared" si="0"/>
      </c>
      <c r="L17605">
        <f t="shared" si="1"/>
      </c>
      <c r="M17605">
        <f t="shared" si="2"/>
      </c>
    </row>
    <row r="17606">
      <c r="G17606" s="9">
        <f t="shared" si="0"/>
      </c>
      <c r="L17606">
        <f t="shared" si="1"/>
      </c>
      <c r="M17606">
        <f t="shared" si="2"/>
      </c>
    </row>
    <row r="17607">
      <c r="G17607" s="9">
        <f t="shared" si="0"/>
      </c>
      <c r="L17607">
        <f t="shared" si="1"/>
      </c>
      <c r="M17607">
        <f t="shared" si="2"/>
      </c>
    </row>
    <row r="17608">
      <c r="G17608" s="9">
        <f t="shared" si="0"/>
      </c>
      <c r="L17608">
        <f t="shared" si="1"/>
      </c>
      <c r="M17608">
        <f t="shared" si="2"/>
      </c>
    </row>
    <row r="17609">
      <c r="G17609" s="9">
        <f t="shared" si="0"/>
      </c>
      <c r="L17609">
        <f t="shared" si="1"/>
      </c>
      <c r="M17609">
        <f t="shared" si="2"/>
      </c>
    </row>
    <row r="17610">
      <c r="G17610" s="9">
        <f t="shared" si="0"/>
      </c>
      <c r="L17610">
        <f t="shared" si="1"/>
      </c>
      <c r="M17610">
        <f t="shared" si="2"/>
      </c>
    </row>
    <row r="17611">
      <c r="G17611" s="9">
        <f t="shared" si="0"/>
      </c>
      <c r="L17611">
        <f t="shared" si="1"/>
      </c>
      <c r="M17611">
        <f t="shared" si="2"/>
      </c>
    </row>
    <row r="17612">
      <c r="G17612" s="9">
        <f t="shared" si="0"/>
      </c>
      <c r="L17612">
        <f t="shared" si="1"/>
      </c>
      <c r="M17612">
        <f t="shared" si="2"/>
      </c>
    </row>
    <row r="17613">
      <c r="G17613" s="9">
        <f t="shared" si="0"/>
      </c>
      <c r="L17613">
        <f t="shared" si="1"/>
      </c>
      <c r="M17613">
        <f t="shared" si="2"/>
      </c>
    </row>
    <row r="17614">
      <c r="G17614" s="9">
        <f t="shared" si="0"/>
      </c>
      <c r="L17614">
        <f t="shared" si="1"/>
      </c>
      <c r="M17614">
        <f t="shared" si="2"/>
      </c>
    </row>
    <row r="17615">
      <c r="G17615" s="9">
        <f t="shared" si="0"/>
      </c>
      <c r="L17615">
        <f t="shared" si="1"/>
      </c>
      <c r="M17615">
        <f t="shared" si="2"/>
      </c>
    </row>
    <row r="17616">
      <c r="G17616" s="9">
        <f t="shared" si="0"/>
      </c>
      <c r="L17616">
        <f t="shared" si="1"/>
      </c>
      <c r="M17616">
        <f t="shared" si="2"/>
      </c>
    </row>
    <row r="17617">
      <c r="G17617" s="9">
        <f t="shared" si="0"/>
      </c>
      <c r="L17617">
        <f t="shared" si="1"/>
      </c>
      <c r="M17617">
        <f t="shared" si="2"/>
      </c>
    </row>
    <row r="17618">
      <c r="G17618" s="9">
        <f t="shared" si="0"/>
      </c>
      <c r="L17618">
        <f t="shared" si="1"/>
      </c>
      <c r="M17618">
        <f t="shared" si="2"/>
      </c>
    </row>
    <row r="17619">
      <c r="G17619" s="9">
        <f t="shared" si="0"/>
      </c>
      <c r="L17619">
        <f t="shared" si="1"/>
      </c>
      <c r="M17619">
        <f t="shared" si="2"/>
      </c>
    </row>
    <row r="17620">
      <c r="G17620" s="9">
        <f t="shared" si="0"/>
      </c>
      <c r="L17620">
        <f t="shared" si="1"/>
      </c>
      <c r="M17620">
        <f t="shared" si="2"/>
      </c>
    </row>
    <row r="17621">
      <c r="G17621" s="9">
        <f t="shared" si="0"/>
      </c>
      <c r="L17621">
        <f t="shared" si="1"/>
      </c>
      <c r="M17621">
        <f t="shared" si="2"/>
      </c>
    </row>
    <row r="17622">
      <c r="G17622" s="9">
        <f t="shared" si="0"/>
      </c>
      <c r="L17622">
        <f t="shared" si="1"/>
      </c>
      <c r="M17622">
        <f t="shared" si="2"/>
      </c>
    </row>
    <row r="17623">
      <c r="G17623" s="9">
        <f t="shared" si="0"/>
      </c>
      <c r="L17623">
        <f t="shared" si="1"/>
      </c>
      <c r="M17623">
        <f t="shared" si="2"/>
      </c>
    </row>
    <row r="17624">
      <c r="G17624" s="9">
        <f t="shared" si="0"/>
      </c>
      <c r="L17624">
        <f t="shared" si="1"/>
      </c>
      <c r="M17624">
        <f t="shared" si="2"/>
      </c>
    </row>
    <row r="17625">
      <c r="G17625" s="9">
        <f t="shared" si="0"/>
      </c>
      <c r="L17625">
        <f t="shared" si="1"/>
      </c>
      <c r="M17625">
        <f t="shared" si="2"/>
      </c>
    </row>
    <row r="17626">
      <c r="G17626" s="9">
        <f t="shared" si="0"/>
      </c>
      <c r="L17626">
        <f t="shared" si="1"/>
      </c>
      <c r="M17626">
        <f t="shared" si="2"/>
      </c>
    </row>
    <row r="17627">
      <c r="G17627" s="9">
        <f t="shared" si="0"/>
      </c>
      <c r="L17627">
        <f t="shared" si="1"/>
      </c>
      <c r="M17627">
        <f t="shared" si="2"/>
      </c>
    </row>
    <row r="17628">
      <c r="G17628" s="9">
        <f t="shared" si="0"/>
      </c>
      <c r="L17628">
        <f t="shared" si="1"/>
      </c>
      <c r="M17628">
        <f t="shared" si="2"/>
      </c>
    </row>
    <row r="17629">
      <c r="G17629" s="9">
        <f t="shared" si="0"/>
      </c>
      <c r="L17629">
        <f t="shared" si="1"/>
      </c>
      <c r="M17629">
        <f t="shared" si="2"/>
      </c>
    </row>
    <row r="17630">
      <c r="G17630" s="9">
        <f t="shared" si="0"/>
      </c>
      <c r="L17630">
        <f t="shared" si="1"/>
      </c>
      <c r="M17630">
        <f t="shared" si="2"/>
      </c>
    </row>
    <row r="17631">
      <c r="G17631" s="9">
        <f t="shared" si="0"/>
      </c>
      <c r="L17631">
        <f t="shared" si="1"/>
      </c>
      <c r="M17631">
        <f t="shared" si="2"/>
      </c>
    </row>
    <row r="17632">
      <c r="G17632" s="9">
        <f t="shared" si="0"/>
      </c>
      <c r="L17632">
        <f t="shared" si="1"/>
      </c>
      <c r="M17632">
        <f t="shared" si="2"/>
      </c>
    </row>
    <row r="17633">
      <c r="G17633" s="9">
        <f t="shared" si="0"/>
      </c>
      <c r="L17633">
        <f t="shared" si="1"/>
      </c>
      <c r="M17633">
        <f t="shared" si="2"/>
      </c>
    </row>
    <row r="17634">
      <c r="G17634" s="9">
        <f t="shared" si="0"/>
      </c>
      <c r="L17634">
        <f t="shared" si="1"/>
      </c>
      <c r="M17634">
        <f t="shared" si="2"/>
      </c>
    </row>
    <row r="17635">
      <c r="G17635" s="9">
        <f t="shared" si="0"/>
      </c>
      <c r="L17635">
        <f t="shared" si="1"/>
      </c>
      <c r="M17635">
        <f t="shared" si="2"/>
      </c>
    </row>
    <row r="17636">
      <c r="G17636" s="9">
        <f t="shared" si="0"/>
      </c>
      <c r="L17636">
        <f t="shared" si="1"/>
      </c>
      <c r="M17636">
        <f t="shared" si="2"/>
      </c>
    </row>
    <row r="17637">
      <c r="G17637" s="9">
        <f t="shared" si="0"/>
      </c>
      <c r="L17637">
        <f t="shared" si="1"/>
      </c>
      <c r="M17637">
        <f t="shared" si="2"/>
      </c>
    </row>
    <row r="17638">
      <c r="G17638" s="9">
        <f t="shared" si="0"/>
      </c>
      <c r="L17638">
        <f t="shared" si="1"/>
      </c>
      <c r="M17638">
        <f t="shared" si="2"/>
      </c>
    </row>
    <row r="17639">
      <c r="G17639" s="9">
        <f t="shared" si="0"/>
      </c>
      <c r="L17639">
        <f t="shared" si="1"/>
      </c>
      <c r="M17639">
        <f t="shared" si="2"/>
      </c>
    </row>
    <row r="17640">
      <c r="G17640" s="9">
        <f t="shared" si="0"/>
      </c>
      <c r="L17640">
        <f t="shared" si="1"/>
      </c>
      <c r="M17640">
        <f t="shared" si="2"/>
      </c>
    </row>
    <row r="17641">
      <c r="G17641" s="9">
        <f t="shared" si="0"/>
      </c>
      <c r="L17641">
        <f t="shared" si="1"/>
      </c>
      <c r="M17641">
        <f t="shared" si="2"/>
      </c>
    </row>
    <row r="17642">
      <c r="G17642" s="9">
        <f t="shared" si="0"/>
      </c>
      <c r="L17642">
        <f t="shared" si="1"/>
      </c>
      <c r="M17642">
        <f t="shared" si="2"/>
      </c>
    </row>
    <row r="17643">
      <c r="G17643" s="9">
        <f t="shared" si="0"/>
      </c>
      <c r="L17643">
        <f t="shared" si="1"/>
      </c>
      <c r="M17643">
        <f t="shared" si="2"/>
      </c>
    </row>
    <row r="17644">
      <c r="G17644" s="9">
        <f t="shared" si="0"/>
      </c>
      <c r="L17644">
        <f t="shared" si="1"/>
      </c>
      <c r="M17644">
        <f t="shared" si="2"/>
      </c>
    </row>
    <row r="17645">
      <c r="G17645" s="9">
        <f t="shared" si="0"/>
      </c>
      <c r="L17645">
        <f t="shared" si="1"/>
      </c>
      <c r="M17645">
        <f t="shared" si="2"/>
      </c>
    </row>
    <row r="17646">
      <c r="G17646" s="9">
        <f t="shared" si="0"/>
      </c>
      <c r="L17646">
        <f t="shared" si="1"/>
      </c>
      <c r="M17646">
        <f t="shared" si="2"/>
      </c>
    </row>
    <row r="17647">
      <c r="G17647" s="9">
        <f t="shared" si="0"/>
      </c>
      <c r="L17647">
        <f t="shared" si="1"/>
      </c>
      <c r="M17647">
        <f t="shared" si="2"/>
      </c>
    </row>
    <row r="17648">
      <c r="G17648" s="9">
        <f t="shared" si="0"/>
      </c>
      <c r="L17648">
        <f t="shared" si="1"/>
      </c>
      <c r="M17648">
        <f t="shared" si="2"/>
      </c>
    </row>
    <row r="17649">
      <c r="G17649" s="9">
        <f t="shared" si="0"/>
      </c>
      <c r="L17649">
        <f t="shared" si="1"/>
      </c>
      <c r="M17649">
        <f t="shared" si="2"/>
      </c>
    </row>
    <row r="17650">
      <c r="G17650" s="9">
        <f t="shared" si="0"/>
      </c>
      <c r="L17650">
        <f t="shared" si="1"/>
      </c>
      <c r="M17650">
        <f t="shared" si="2"/>
      </c>
    </row>
    <row r="17651">
      <c r="G17651" s="9">
        <f t="shared" si="0"/>
      </c>
      <c r="L17651">
        <f t="shared" si="1"/>
      </c>
      <c r="M17651">
        <f t="shared" si="2"/>
      </c>
    </row>
    <row r="17652">
      <c r="G17652" s="9">
        <f t="shared" si="0"/>
      </c>
      <c r="L17652">
        <f t="shared" si="1"/>
      </c>
      <c r="M17652">
        <f t="shared" si="2"/>
      </c>
    </row>
    <row r="17653">
      <c r="G17653" s="9">
        <f t="shared" si="0"/>
      </c>
      <c r="L17653">
        <f t="shared" si="1"/>
      </c>
      <c r="M17653">
        <f t="shared" si="2"/>
      </c>
    </row>
    <row r="17654">
      <c r="G17654" s="9">
        <f t="shared" si="0"/>
      </c>
      <c r="L17654">
        <f t="shared" si="1"/>
      </c>
      <c r="M17654">
        <f t="shared" si="2"/>
      </c>
    </row>
    <row r="17655">
      <c r="G17655" s="9">
        <f t="shared" si="0"/>
      </c>
      <c r="L17655">
        <f t="shared" si="1"/>
      </c>
      <c r="M17655">
        <f t="shared" si="2"/>
      </c>
    </row>
    <row r="17656">
      <c r="G17656" s="9">
        <f t="shared" si="0"/>
      </c>
      <c r="L17656">
        <f t="shared" si="1"/>
      </c>
      <c r="M17656">
        <f t="shared" si="2"/>
      </c>
    </row>
    <row r="17657">
      <c r="G17657" s="9">
        <f t="shared" si="0"/>
      </c>
      <c r="L17657">
        <f t="shared" si="1"/>
      </c>
      <c r="M17657">
        <f t="shared" si="2"/>
      </c>
    </row>
    <row r="17658">
      <c r="G17658" s="9">
        <f t="shared" si="0"/>
      </c>
      <c r="L17658">
        <f t="shared" si="1"/>
      </c>
      <c r="M17658">
        <f t="shared" si="2"/>
      </c>
    </row>
    <row r="17659">
      <c r="G17659" s="9">
        <f t="shared" si="0"/>
      </c>
      <c r="L17659">
        <f t="shared" si="1"/>
      </c>
      <c r="M17659">
        <f t="shared" si="2"/>
      </c>
    </row>
    <row r="17660">
      <c r="G17660" s="9">
        <f t="shared" si="0"/>
      </c>
      <c r="L17660">
        <f t="shared" si="1"/>
      </c>
      <c r="M17660">
        <f t="shared" si="2"/>
      </c>
    </row>
    <row r="17661">
      <c r="G17661" s="9">
        <f t="shared" si="0"/>
      </c>
      <c r="L17661">
        <f t="shared" si="1"/>
      </c>
      <c r="M17661">
        <f t="shared" si="2"/>
      </c>
    </row>
    <row r="17662">
      <c r="G17662" s="9">
        <f t="shared" si="0"/>
      </c>
      <c r="L17662">
        <f t="shared" si="1"/>
      </c>
      <c r="M17662">
        <f t="shared" si="2"/>
      </c>
    </row>
    <row r="17663">
      <c r="G17663" s="9">
        <f t="shared" si="0"/>
      </c>
      <c r="L17663">
        <f t="shared" si="1"/>
      </c>
      <c r="M17663">
        <f t="shared" si="2"/>
      </c>
    </row>
    <row r="17664">
      <c r="G17664" s="9">
        <f t="shared" si="0"/>
      </c>
      <c r="L17664">
        <f t="shared" si="1"/>
      </c>
      <c r="M17664">
        <f t="shared" si="2"/>
      </c>
    </row>
    <row r="17665">
      <c r="G17665" s="9">
        <f t="shared" si="0"/>
      </c>
      <c r="L17665">
        <f t="shared" si="1"/>
      </c>
      <c r="M17665">
        <f t="shared" si="2"/>
      </c>
    </row>
    <row r="17666">
      <c r="G17666" s="9">
        <f t="shared" si="0"/>
      </c>
      <c r="L17666">
        <f t="shared" si="1"/>
      </c>
      <c r="M17666">
        <f t="shared" si="2"/>
      </c>
    </row>
    <row r="17667">
      <c r="G17667" s="9">
        <f t="shared" si="0"/>
      </c>
      <c r="L17667">
        <f t="shared" si="1"/>
      </c>
      <c r="M17667">
        <f t="shared" si="2"/>
      </c>
    </row>
    <row r="17668">
      <c r="G17668" s="9">
        <f t="shared" si="0"/>
      </c>
      <c r="L17668">
        <f t="shared" si="1"/>
      </c>
      <c r="M17668">
        <f t="shared" si="2"/>
      </c>
    </row>
    <row r="17669">
      <c r="G17669" s="9">
        <f t="shared" si="0"/>
      </c>
      <c r="L17669">
        <f t="shared" si="1"/>
      </c>
      <c r="M17669">
        <f t="shared" si="2"/>
      </c>
    </row>
    <row r="17670">
      <c r="G17670" s="9">
        <f t="shared" si="0"/>
      </c>
      <c r="L17670">
        <f t="shared" si="1"/>
      </c>
      <c r="M17670">
        <f t="shared" si="2"/>
      </c>
    </row>
    <row r="17671">
      <c r="G17671" s="9">
        <f t="shared" si="0"/>
      </c>
      <c r="L17671">
        <f t="shared" si="1"/>
      </c>
      <c r="M17671">
        <f t="shared" si="2"/>
      </c>
    </row>
    <row r="17672">
      <c r="G17672" s="9">
        <f t="shared" si="0"/>
      </c>
      <c r="L17672">
        <f t="shared" si="1"/>
      </c>
      <c r="M17672">
        <f t="shared" si="2"/>
      </c>
    </row>
    <row r="17673">
      <c r="G17673" s="9">
        <f t="shared" si="0"/>
      </c>
      <c r="L17673">
        <f t="shared" si="1"/>
      </c>
      <c r="M17673">
        <f t="shared" si="2"/>
      </c>
    </row>
    <row r="17674">
      <c r="G17674" s="9">
        <f t="shared" si="0"/>
      </c>
      <c r="L17674">
        <f t="shared" si="1"/>
      </c>
      <c r="M17674">
        <f t="shared" si="2"/>
      </c>
    </row>
    <row r="17675">
      <c r="G17675" s="9">
        <f t="shared" si="0"/>
      </c>
      <c r="L17675">
        <f t="shared" si="1"/>
      </c>
      <c r="M17675">
        <f t="shared" si="2"/>
      </c>
    </row>
    <row r="17676">
      <c r="G17676" s="9">
        <f t="shared" si="0"/>
      </c>
      <c r="L17676">
        <f t="shared" si="1"/>
      </c>
      <c r="M17676">
        <f t="shared" si="2"/>
      </c>
    </row>
    <row r="17677">
      <c r="G17677" s="9">
        <f t="shared" si="0"/>
      </c>
      <c r="L17677">
        <f t="shared" si="1"/>
      </c>
      <c r="M17677">
        <f t="shared" si="2"/>
      </c>
    </row>
    <row r="17678">
      <c r="G17678" s="9">
        <f t="shared" si="0"/>
      </c>
      <c r="L17678">
        <f t="shared" si="1"/>
      </c>
      <c r="M17678">
        <f t="shared" si="2"/>
      </c>
    </row>
    <row r="17679">
      <c r="G17679" s="9">
        <f t="shared" si="0"/>
      </c>
      <c r="L17679">
        <f t="shared" si="1"/>
      </c>
      <c r="M17679">
        <f t="shared" si="2"/>
      </c>
    </row>
    <row r="17680">
      <c r="G17680" s="9">
        <f t="shared" si="0"/>
      </c>
      <c r="L17680">
        <f t="shared" si="1"/>
      </c>
      <c r="M17680">
        <f t="shared" si="2"/>
      </c>
    </row>
    <row r="17681">
      <c r="G17681" s="9">
        <f t="shared" si="0"/>
      </c>
      <c r="L17681">
        <f t="shared" si="1"/>
      </c>
      <c r="M17681">
        <f t="shared" si="2"/>
      </c>
    </row>
    <row r="17682">
      <c r="G17682" s="9">
        <f t="shared" si="0"/>
      </c>
      <c r="L17682">
        <f t="shared" si="1"/>
      </c>
      <c r="M17682">
        <f t="shared" si="2"/>
      </c>
    </row>
    <row r="17683">
      <c r="G17683" s="9">
        <f t="shared" si="0"/>
      </c>
      <c r="L17683">
        <f t="shared" si="1"/>
      </c>
      <c r="M17683">
        <f t="shared" si="2"/>
      </c>
    </row>
    <row r="17684">
      <c r="G17684" s="9">
        <f t="shared" si="0"/>
      </c>
      <c r="L17684">
        <f t="shared" si="1"/>
      </c>
      <c r="M17684">
        <f t="shared" si="2"/>
      </c>
    </row>
    <row r="17685">
      <c r="G17685" s="9">
        <f t="shared" si="0"/>
      </c>
      <c r="L17685">
        <f t="shared" si="1"/>
      </c>
      <c r="M17685">
        <f t="shared" si="2"/>
      </c>
    </row>
    <row r="17686">
      <c r="G17686" s="9">
        <f t="shared" si="0"/>
      </c>
      <c r="L17686">
        <f t="shared" si="1"/>
      </c>
      <c r="M17686">
        <f t="shared" si="2"/>
      </c>
    </row>
    <row r="17687">
      <c r="G17687" s="9">
        <f t="shared" si="0"/>
      </c>
      <c r="L17687">
        <f t="shared" si="1"/>
      </c>
      <c r="M17687">
        <f t="shared" si="2"/>
      </c>
    </row>
    <row r="17688">
      <c r="G17688" s="9">
        <f t="shared" si="0"/>
      </c>
      <c r="L17688">
        <f t="shared" si="1"/>
      </c>
      <c r="M17688">
        <f t="shared" si="2"/>
      </c>
    </row>
    <row r="17689">
      <c r="G17689" s="9">
        <f t="shared" si="0"/>
      </c>
      <c r="L17689">
        <f t="shared" si="1"/>
      </c>
      <c r="M17689">
        <f t="shared" si="2"/>
      </c>
    </row>
    <row r="17690">
      <c r="G17690" s="9">
        <f t="shared" si="0"/>
      </c>
      <c r="L17690">
        <f t="shared" si="1"/>
      </c>
      <c r="M17690">
        <f t="shared" si="2"/>
      </c>
    </row>
    <row r="17691">
      <c r="G17691" s="9">
        <f t="shared" si="0"/>
      </c>
      <c r="L17691">
        <f t="shared" si="1"/>
      </c>
      <c r="M17691">
        <f t="shared" si="2"/>
      </c>
    </row>
    <row r="17692">
      <c r="G17692" s="9">
        <f t="shared" si="0"/>
      </c>
      <c r="L17692">
        <f t="shared" si="1"/>
      </c>
      <c r="M17692">
        <f t="shared" si="2"/>
      </c>
    </row>
    <row r="17693">
      <c r="G17693" s="9">
        <f t="shared" si="0"/>
      </c>
      <c r="L17693">
        <f t="shared" si="1"/>
      </c>
      <c r="M17693">
        <f t="shared" si="2"/>
      </c>
    </row>
    <row r="17694">
      <c r="G17694" s="9">
        <f t="shared" si="0"/>
      </c>
      <c r="L17694">
        <f t="shared" si="1"/>
      </c>
      <c r="M17694">
        <f t="shared" si="2"/>
      </c>
    </row>
    <row r="17695">
      <c r="G17695" s="9">
        <f t="shared" si="0"/>
      </c>
      <c r="L17695">
        <f t="shared" si="1"/>
      </c>
      <c r="M17695">
        <f t="shared" si="2"/>
      </c>
    </row>
    <row r="17696">
      <c r="G17696" s="9">
        <f t="shared" si="0"/>
      </c>
      <c r="L17696">
        <f t="shared" si="1"/>
      </c>
      <c r="M17696">
        <f t="shared" si="2"/>
      </c>
    </row>
    <row r="17697">
      <c r="G17697" s="9">
        <f t="shared" si="0"/>
      </c>
      <c r="L17697">
        <f t="shared" si="1"/>
      </c>
      <c r="M17697">
        <f t="shared" si="2"/>
      </c>
    </row>
    <row r="17698">
      <c r="G17698" s="9">
        <f t="shared" si="0"/>
      </c>
      <c r="L17698">
        <f t="shared" si="1"/>
      </c>
      <c r="M17698">
        <f t="shared" si="2"/>
      </c>
    </row>
    <row r="17699">
      <c r="G17699" s="9">
        <f t="shared" si="0"/>
      </c>
      <c r="L17699">
        <f t="shared" si="1"/>
      </c>
      <c r="M17699">
        <f t="shared" si="2"/>
      </c>
    </row>
    <row r="17700">
      <c r="G17700" s="9">
        <f t="shared" si="0"/>
      </c>
      <c r="L17700">
        <f t="shared" si="1"/>
      </c>
      <c r="M17700">
        <f t="shared" si="2"/>
      </c>
    </row>
    <row r="17701">
      <c r="G17701" s="9">
        <f t="shared" si="0"/>
      </c>
      <c r="L17701">
        <f t="shared" si="1"/>
      </c>
      <c r="M17701">
        <f t="shared" si="2"/>
      </c>
    </row>
    <row r="17702">
      <c r="G17702" s="9">
        <f t="shared" si="0"/>
      </c>
      <c r="L17702">
        <f t="shared" si="1"/>
      </c>
      <c r="M17702">
        <f t="shared" si="2"/>
      </c>
    </row>
    <row r="17703">
      <c r="G17703" s="9">
        <f t="shared" si="0"/>
      </c>
      <c r="L17703">
        <f t="shared" si="1"/>
      </c>
      <c r="M17703">
        <f t="shared" si="2"/>
      </c>
    </row>
    <row r="17704">
      <c r="G17704" s="9">
        <f t="shared" si="0"/>
      </c>
      <c r="L17704">
        <f t="shared" si="1"/>
      </c>
      <c r="M17704">
        <f t="shared" si="2"/>
      </c>
    </row>
    <row r="17705">
      <c r="G17705" s="9">
        <f t="shared" si="0"/>
      </c>
      <c r="L17705">
        <f t="shared" si="1"/>
      </c>
      <c r="M17705">
        <f t="shared" si="2"/>
      </c>
    </row>
    <row r="17706">
      <c r="G17706" s="9">
        <f t="shared" si="0"/>
      </c>
      <c r="L17706">
        <f t="shared" si="1"/>
      </c>
      <c r="M17706">
        <f t="shared" si="2"/>
      </c>
    </row>
    <row r="17707">
      <c r="G17707" s="9">
        <f t="shared" si="0"/>
      </c>
      <c r="L17707">
        <f t="shared" si="1"/>
      </c>
      <c r="M17707">
        <f t="shared" si="2"/>
      </c>
    </row>
    <row r="17708">
      <c r="G17708" s="9">
        <f t="shared" si="0"/>
      </c>
      <c r="L17708">
        <f t="shared" si="1"/>
      </c>
      <c r="M17708">
        <f t="shared" si="2"/>
      </c>
    </row>
    <row r="17709">
      <c r="G17709" s="9">
        <f t="shared" si="0"/>
      </c>
      <c r="L17709">
        <f t="shared" si="1"/>
      </c>
      <c r="M17709">
        <f t="shared" si="2"/>
      </c>
    </row>
    <row r="17710">
      <c r="G17710" s="9">
        <f t="shared" si="0"/>
      </c>
      <c r="L17710">
        <f t="shared" si="1"/>
      </c>
      <c r="M17710">
        <f t="shared" si="2"/>
      </c>
    </row>
    <row r="17711">
      <c r="G17711" s="9">
        <f t="shared" si="0"/>
      </c>
      <c r="L17711">
        <f t="shared" si="1"/>
      </c>
      <c r="M17711">
        <f t="shared" si="2"/>
      </c>
    </row>
    <row r="17712">
      <c r="G17712" s="9">
        <f t="shared" si="0"/>
      </c>
      <c r="L17712">
        <f t="shared" si="1"/>
      </c>
      <c r="M17712">
        <f t="shared" si="2"/>
      </c>
    </row>
    <row r="17713">
      <c r="G17713" s="9">
        <f t="shared" si="0"/>
      </c>
      <c r="L17713">
        <f t="shared" si="1"/>
      </c>
      <c r="M17713">
        <f t="shared" si="2"/>
      </c>
    </row>
    <row r="17714">
      <c r="G17714" s="9">
        <f t="shared" si="0"/>
      </c>
      <c r="L17714">
        <f t="shared" si="1"/>
      </c>
      <c r="M17714">
        <f t="shared" si="2"/>
      </c>
    </row>
    <row r="17715">
      <c r="G17715" s="9">
        <f t="shared" si="0"/>
      </c>
      <c r="L17715">
        <f t="shared" si="1"/>
      </c>
      <c r="M17715">
        <f t="shared" si="2"/>
      </c>
    </row>
    <row r="17716">
      <c r="G17716" s="9">
        <f t="shared" si="0"/>
      </c>
      <c r="L17716">
        <f t="shared" si="1"/>
      </c>
      <c r="M17716">
        <f t="shared" si="2"/>
      </c>
    </row>
    <row r="17717">
      <c r="G17717" s="9">
        <f t="shared" si="0"/>
      </c>
      <c r="L17717">
        <f t="shared" si="1"/>
      </c>
      <c r="M17717">
        <f t="shared" si="2"/>
      </c>
    </row>
    <row r="17718">
      <c r="G17718" s="9">
        <f t="shared" si="0"/>
      </c>
      <c r="L17718">
        <f t="shared" si="1"/>
      </c>
      <c r="M17718">
        <f t="shared" si="2"/>
      </c>
    </row>
    <row r="17719">
      <c r="G17719" s="9">
        <f t="shared" si="0"/>
      </c>
      <c r="L17719">
        <f t="shared" si="1"/>
      </c>
      <c r="M17719">
        <f t="shared" si="2"/>
      </c>
    </row>
    <row r="17720">
      <c r="G17720" s="9">
        <f t="shared" si="0"/>
      </c>
      <c r="L17720">
        <f t="shared" si="1"/>
      </c>
      <c r="M17720">
        <f t="shared" si="2"/>
      </c>
    </row>
    <row r="17721">
      <c r="G17721" s="9">
        <f t="shared" si="0"/>
      </c>
      <c r="L17721">
        <f t="shared" si="1"/>
      </c>
      <c r="M17721">
        <f t="shared" si="2"/>
      </c>
    </row>
    <row r="17722">
      <c r="G17722" s="9">
        <f t="shared" si="0"/>
      </c>
      <c r="L17722">
        <f t="shared" si="1"/>
      </c>
      <c r="M17722">
        <f t="shared" si="2"/>
      </c>
    </row>
    <row r="17723">
      <c r="G17723" s="9">
        <f t="shared" si="0"/>
      </c>
      <c r="L17723">
        <f t="shared" si="1"/>
      </c>
      <c r="M17723">
        <f t="shared" si="2"/>
      </c>
    </row>
    <row r="17724">
      <c r="G17724" s="9">
        <f t="shared" si="0"/>
      </c>
      <c r="L17724">
        <f t="shared" si="1"/>
      </c>
      <c r="M17724">
        <f t="shared" si="2"/>
      </c>
    </row>
    <row r="17725">
      <c r="G17725" s="9">
        <f t="shared" si="0"/>
      </c>
      <c r="L17725">
        <f t="shared" si="1"/>
      </c>
      <c r="M17725">
        <f t="shared" si="2"/>
      </c>
    </row>
    <row r="17726">
      <c r="G17726" s="9">
        <f t="shared" si="0"/>
      </c>
      <c r="L17726">
        <f t="shared" si="1"/>
      </c>
      <c r="M17726">
        <f t="shared" si="2"/>
      </c>
    </row>
    <row r="17727">
      <c r="G17727" s="9">
        <f t="shared" si="0"/>
      </c>
      <c r="L17727">
        <f t="shared" si="1"/>
      </c>
      <c r="M17727">
        <f t="shared" si="2"/>
      </c>
    </row>
    <row r="17728">
      <c r="G17728" s="9">
        <f t="shared" si="0"/>
      </c>
      <c r="L17728">
        <f t="shared" si="1"/>
      </c>
      <c r="M17728">
        <f t="shared" si="2"/>
      </c>
    </row>
    <row r="17729">
      <c r="G17729" s="9">
        <f t="shared" si="0"/>
      </c>
      <c r="L17729">
        <f t="shared" si="1"/>
      </c>
      <c r="M17729">
        <f t="shared" si="2"/>
      </c>
    </row>
    <row r="17730">
      <c r="G17730" s="9">
        <f t="shared" si="0"/>
      </c>
      <c r="L17730">
        <f t="shared" si="1"/>
      </c>
      <c r="M17730">
        <f t="shared" si="2"/>
      </c>
    </row>
    <row r="17731">
      <c r="G17731" s="9">
        <f t="shared" si="0"/>
      </c>
      <c r="L17731">
        <f t="shared" si="1"/>
      </c>
      <c r="M17731">
        <f t="shared" si="2"/>
      </c>
    </row>
    <row r="17732">
      <c r="G17732" s="9">
        <f t="shared" si="0"/>
      </c>
      <c r="L17732">
        <f t="shared" si="1"/>
      </c>
      <c r="M17732">
        <f t="shared" si="2"/>
      </c>
    </row>
    <row r="17733">
      <c r="G17733" s="9">
        <f t="shared" si="0"/>
      </c>
      <c r="L17733">
        <f t="shared" si="1"/>
      </c>
      <c r="M17733">
        <f t="shared" si="2"/>
      </c>
    </row>
    <row r="17734">
      <c r="G17734" s="9">
        <f t="shared" si="0"/>
      </c>
      <c r="L17734">
        <f t="shared" si="1"/>
      </c>
      <c r="M17734">
        <f t="shared" si="2"/>
      </c>
    </row>
    <row r="17735">
      <c r="G17735" s="9">
        <f t="shared" si="0"/>
      </c>
      <c r="L17735">
        <f t="shared" si="1"/>
      </c>
      <c r="M17735">
        <f t="shared" si="2"/>
      </c>
    </row>
    <row r="17736">
      <c r="G17736" s="9">
        <f t="shared" si="0"/>
      </c>
      <c r="L17736">
        <f t="shared" si="1"/>
      </c>
      <c r="M17736">
        <f t="shared" si="2"/>
      </c>
    </row>
    <row r="17737">
      <c r="G17737" s="9">
        <f t="shared" si="0"/>
      </c>
      <c r="L17737">
        <f t="shared" si="1"/>
      </c>
      <c r="M17737">
        <f t="shared" si="2"/>
      </c>
    </row>
    <row r="17738">
      <c r="G17738" s="9">
        <f t="shared" si="0"/>
      </c>
      <c r="L17738">
        <f t="shared" si="1"/>
      </c>
      <c r="M17738">
        <f t="shared" si="2"/>
      </c>
    </row>
    <row r="17739">
      <c r="G17739" s="9">
        <f t="shared" si="0"/>
      </c>
      <c r="L17739">
        <f t="shared" si="1"/>
      </c>
      <c r="M17739">
        <f t="shared" si="2"/>
      </c>
    </row>
    <row r="17740">
      <c r="G17740" s="9">
        <f t="shared" si="0"/>
      </c>
      <c r="L17740">
        <f t="shared" si="1"/>
      </c>
      <c r="M17740">
        <f t="shared" si="2"/>
      </c>
    </row>
    <row r="17741">
      <c r="G17741" s="9">
        <f t="shared" si="0"/>
      </c>
      <c r="L17741">
        <f t="shared" si="1"/>
      </c>
      <c r="M17741">
        <f t="shared" si="2"/>
      </c>
    </row>
    <row r="17742">
      <c r="G17742" s="9">
        <f t="shared" si="0"/>
      </c>
      <c r="L17742">
        <f t="shared" si="1"/>
      </c>
      <c r="M17742">
        <f t="shared" si="2"/>
      </c>
    </row>
    <row r="17743">
      <c r="G17743" s="9">
        <f t="shared" si="0"/>
      </c>
      <c r="L17743">
        <f t="shared" si="1"/>
      </c>
      <c r="M17743">
        <f t="shared" si="2"/>
      </c>
    </row>
    <row r="17744">
      <c r="G17744" s="9">
        <f t="shared" si="0"/>
      </c>
      <c r="L17744">
        <f t="shared" si="1"/>
      </c>
      <c r="M17744">
        <f t="shared" si="2"/>
      </c>
    </row>
    <row r="17745">
      <c r="G17745" s="9">
        <f t="shared" si="0"/>
      </c>
      <c r="L17745">
        <f t="shared" si="1"/>
      </c>
      <c r="M17745">
        <f t="shared" si="2"/>
      </c>
    </row>
    <row r="17746">
      <c r="G17746" s="9">
        <f t="shared" si="0"/>
      </c>
      <c r="L17746">
        <f t="shared" si="1"/>
      </c>
      <c r="M17746">
        <f t="shared" si="2"/>
      </c>
    </row>
    <row r="17747">
      <c r="G17747" s="9">
        <f t="shared" si="0"/>
      </c>
      <c r="L17747">
        <f t="shared" si="1"/>
      </c>
      <c r="M17747">
        <f t="shared" si="2"/>
      </c>
    </row>
    <row r="17748">
      <c r="G17748" s="9">
        <f t="shared" si="0"/>
      </c>
      <c r="L17748">
        <f t="shared" si="1"/>
      </c>
      <c r="M17748">
        <f t="shared" si="2"/>
      </c>
    </row>
    <row r="17749">
      <c r="G17749" s="9">
        <f t="shared" si="0"/>
      </c>
      <c r="L17749">
        <f t="shared" si="1"/>
      </c>
      <c r="M17749">
        <f t="shared" si="2"/>
      </c>
    </row>
    <row r="17750">
      <c r="G17750" s="9">
        <f t="shared" si="0"/>
      </c>
      <c r="L17750">
        <f t="shared" si="1"/>
      </c>
      <c r="M17750">
        <f t="shared" si="2"/>
      </c>
    </row>
    <row r="17751">
      <c r="G17751" s="9">
        <f t="shared" si="0"/>
      </c>
      <c r="L17751">
        <f t="shared" si="1"/>
      </c>
      <c r="M17751">
        <f t="shared" si="2"/>
      </c>
    </row>
    <row r="17752">
      <c r="G17752" s="9">
        <f t="shared" si="0"/>
      </c>
      <c r="L17752">
        <f t="shared" si="1"/>
      </c>
      <c r="M17752">
        <f t="shared" si="2"/>
      </c>
    </row>
    <row r="17753">
      <c r="G17753" s="9">
        <f t="shared" si="0"/>
      </c>
      <c r="L17753">
        <f t="shared" si="1"/>
      </c>
      <c r="M17753">
        <f t="shared" si="2"/>
      </c>
    </row>
    <row r="17754">
      <c r="G17754" s="9">
        <f t="shared" si="0"/>
      </c>
      <c r="L17754">
        <f t="shared" si="1"/>
      </c>
      <c r="M17754">
        <f t="shared" si="2"/>
      </c>
    </row>
    <row r="17755">
      <c r="G17755" s="9">
        <f t="shared" si="0"/>
      </c>
      <c r="L17755">
        <f t="shared" si="1"/>
      </c>
      <c r="M17755">
        <f t="shared" si="2"/>
      </c>
    </row>
    <row r="17756">
      <c r="G17756" s="9">
        <f t="shared" si="0"/>
      </c>
      <c r="L17756">
        <f t="shared" si="1"/>
      </c>
      <c r="M17756">
        <f t="shared" si="2"/>
      </c>
    </row>
    <row r="17757">
      <c r="G17757" s="9">
        <f t="shared" si="0"/>
      </c>
      <c r="L17757">
        <f t="shared" si="1"/>
      </c>
      <c r="M17757">
        <f t="shared" si="2"/>
      </c>
    </row>
    <row r="17758">
      <c r="G17758" s="9">
        <f t="shared" si="0"/>
      </c>
      <c r="L17758">
        <f t="shared" si="1"/>
      </c>
      <c r="M17758">
        <f t="shared" si="2"/>
      </c>
    </row>
    <row r="17759">
      <c r="G17759" s="9">
        <f t="shared" si="0"/>
      </c>
      <c r="L17759">
        <f t="shared" si="1"/>
      </c>
      <c r="M17759">
        <f t="shared" si="2"/>
      </c>
    </row>
    <row r="17760">
      <c r="G17760" s="9">
        <f t="shared" si="0"/>
      </c>
      <c r="L17760">
        <f t="shared" si="1"/>
      </c>
      <c r="M17760">
        <f t="shared" si="2"/>
      </c>
    </row>
    <row r="17761">
      <c r="G17761" s="9">
        <f t="shared" si="0"/>
      </c>
      <c r="L17761">
        <f t="shared" si="1"/>
      </c>
      <c r="M17761">
        <f t="shared" si="2"/>
      </c>
    </row>
    <row r="17762">
      <c r="G17762" s="9">
        <f t="shared" si="0"/>
      </c>
      <c r="L17762">
        <f t="shared" si="1"/>
      </c>
      <c r="M17762">
        <f t="shared" si="2"/>
      </c>
    </row>
    <row r="17763">
      <c r="G17763" s="9">
        <f t="shared" si="0"/>
      </c>
      <c r="L17763">
        <f t="shared" si="1"/>
      </c>
      <c r="M17763">
        <f t="shared" si="2"/>
      </c>
    </row>
    <row r="17764">
      <c r="G17764" s="9">
        <f t="shared" si="0"/>
      </c>
      <c r="L17764">
        <f t="shared" si="1"/>
      </c>
      <c r="M17764">
        <f t="shared" si="2"/>
      </c>
    </row>
    <row r="17765">
      <c r="G17765" s="9">
        <f t="shared" si="0"/>
      </c>
      <c r="L17765">
        <f t="shared" si="1"/>
      </c>
      <c r="M17765">
        <f t="shared" si="2"/>
      </c>
    </row>
    <row r="17766">
      <c r="G17766" s="9">
        <f t="shared" si="0"/>
      </c>
      <c r="L17766">
        <f t="shared" si="1"/>
      </c>
      <c r="M17766">
        <f t="shared" si="2"/>
      </c>
    </row>
    <row r="17767">
      <c r="G17767" s="9">
        <f t="shared" si="0"/>
      </c>
      <c r="L17767">
        <f t="shared" si="1"/>
      </c>
      <c r="M17767">
        <f t="shared" si="2"/>
      </c>
    </row>
    <row r="17768">
      <c r="G17768" s="9">
        <f t="shared" si="0"/>
      </c>
      <c r="L17768">
        <f t="shared" si="1"/>
      </c>
      <c r="M17768">
        <f t="shared" si="2"/>
      </c>
    </row>
    <row r="17769">
      <c r="G17769" s="9">
        <f t="shared" si="0"/>
      </c>
      <c r="L17769">
        <f t="shared" si="1"/>
      </c>
      <c r="M17769">
        <f t="shared" si="2"/>
      </c>
    </row>
    <row r="17770">
      <c r="G17770" s="9">
        <f t="shared" si="0"/>
      </c>
      <c r="L17770">
        <f t="shared" si="1"/>
      </c>
      <c r="M17770">
        <f t="shared" si="2"/>
      </c>
    </row>
    <row r="17771">
      <c r="G17771" s="9">
        <f t="shared" si="0"/>
      </c>
      <c r="L17771">
        <f t="shared" si="1"/>
      </c>
      <c r="M17771">
        <f t="shared" si="2"/>
      </c>
    </row>
    <row r="17772">
      <c r="G17772" s="9">
        <f t="shared" si="0"/>
      </c>
      <c r="L17772">
        <f t="shared" si="1"/>
      </c>
      <c r="M17772">
        <f t="shared" si="2"/>
      </c>
    </row>
    <row r="17773">
      <c r="G17773" s="9">
        <f t="shared" si="0"/>
      </c>
      <c r="L17773">
        <f t="shared" si="1"/>
      </c>
      <c r="M17773">
        <f t="shared" si="2"/>
      </c>
    </row>
    <row r="17774">
      <c r="G17774" s="9">
        <f t="shared" si="0"/>
      </c>
      <c r="L17774">
        <f t="shared" si="1"/>
      </c>
      <c r="M17774">
        <f t="shared" si="2"/>
      </c>
    </row>
    <row r="17775">
      <c r="G17775" s="9">
        <f t="shared" si="0"/>
      </c>
      <c r="L17775">
        <f t="shared" si="1"/>
      </c>
      <c r="M17775">
        <f t="shared" si="2"/>
      </c>
    </row>
    <row r="17776">
      <c r="G17776" s="9">
        <f t="shared" si="0"/>
      </c>
      <c r="L17776">
        <f t="shared" si="1"/>
      </c>
      <c r="M17776">
        <f t="shared" si="2"/>
      </c>
    </row>
    <row r="17777">
      <c r="G17777" s="9">
        <f t="shared" si="0"/>
      </c>
      <c r="L17777">
        <f t="shared" si="1"/>
      </c>
      <c r="M17777">
        <f t="shared" si="2"/>
      </c>
    </row>
    <row r="17778">
      <c r="G17778" s="9">
        <f t="shared" si="0"/>
      </c>
      <c r="L17778">
        <f t="shared" si="1"/>
      </c>
      <c r="M17778">
        <f t="shared" si="2"/>
      </c>
    </row>
    <row r="17779">
      <c r="G17779" s="9">
        <f t="shared" si="0"/>
      </c>
      <c r="L17779">
        <f t="shared" si="1"/>
      </c>
      <c r="M17779">
        <f t="shared" si="2"/>
      </c>
    </row>
    <row r="17780">
      <c r="G17780" s="9">
        <f t="shared" si="0"/>
      </c>
      <c r="L17780">
        <f t="shared" si="1"/>
      </c>
      <c r="M17780">
        <f t="shared" si="2"/>
      </c>
    </row>
    <row r="17781">
      <c r="G17781" s="9">
        <f t="shared" si="0"/>
      </c>
      <c r="L17781">
        <f t="shared" si="1"/>
      </c>
      <c r="M17781">
        <f t="shared" si="2"/>
      </c>
    </row>
    <row r="17782">
      <c r="G17782" s="9">
        <f t="shared" si="0"/>
      </c>
      <c r="L17782">
        <f t="shared" si="1"/>
      </c>
      <c r="M17782">
        <f t="shared" si="2"/>
      </c>
    </row>
    <row r="17783">
      <c r="G17783" s="9">
        <f t="shared" si="0"/>
      </c>
      <c r="L17783">
        <f t="shared" si="1"/>
      </c>
      <c r="M17783">
        <f t="shared" si="2"/>
      </c>
    </row>
    <row r="17784">
      <c r="G17784" s="9">
        <f t="shared" si="0"/>
      </c>
      <c r="L17784">
        <f t="shared" si="1"/>
      </c>
      <c r="M17784">
        <f t="shared" si="2"/>
      </c>
    </row>
    <row r="17785">
      <c r="G17785" s="9">
        <f t="shared" si="0"/>
      </c>
      <c r="L17785">
        <f t="shared" si="1"/>
      </c>
      <c r="M17785">
        <f t="shared" si="2"/>
      </c>
    </row>
    <row r="17786">
      <c r="G17786" s="9">
        <f t="shared" si="0"/>
      </c>
      <c r="L17786">
        <f t="shared" si="1"/>
      </c>
      <c r="M17786">
        <f t="shared" si="2"/>
      </c>
    </row>
    <row r="17787">
      <c r="G17787" s="9">
        <f t="shared" si="0"/>
      </c>
      <c r="L17787">
        <f t="shared" si="1"/>
      </c>
      <c r="M17787">
        <f t="shared" si="2"/>
      </c>
    </row>
    <row r="17788">
      <c r="G17788" s="9">
        <f t="shared" si="0"/>
      </c>
      <c r="L17788">
        <f t="shared" si="1"/>
      </c>
      <c r="M17788">
        <f t="shared" si="2"/>
      </c>
    </row>
    <row r="17789">
      <c r="G17789" s="9">
        <f t="shared" si="0"/>
      </c>
      <c r="L17789">
        <f t="shared" si="1"/>
      </c>
      <c r="M17789">
        <f t="shared" si="2"/>
      </c>
    </row>
    <row r="17790">
      <c r="G17790" s="9">
        <f t="shared" si="0"/>
      </c>
      <c r="L17790">
        <f t="shared" si="1"/>
      </c>
      <c r="M17790">
        <f t="shared" si="2"/>
      </c>
    </row>
    <row r="17791">
      <c r="G17791" s="9">
        <f t="shared" si="0"/>
      </c>
      <c r="L17791">
        <f t="shared" si="1"/>
      </c>
      <c r="M17791">
        <f t="shared" si="2"/>
      </c>
    </row>
    <row r="17792">
      <c r="G17792" s="9">
        <f t="shared" si="0"/>
      </c>
      <c r="L17792">
        <f t="shared" si="1"/>
      </c>
      <c r="M17792">
        <f t="shared" si="2"/>
      </c>
    </row>
    <row r="17793">
      <c r="G17793" s="9">
        <f t="shared" si="0"/>
      </c>
      <c r="L17793">
        <f t="shared" si="1"/>
      </c>
      <c r="M17793">
        <f t="shared" si="2"/>
      </c>
    </row>
    <row r="17794">
      <c r="G17794" s="9">
        <f t="shared" si="0"/>
      </c>
      <c r="L17794">
        <f t="shared" si="1"/>
      </c>
      <c r="M17794">
        <f t="shared" si="2"/>
      </c>
    </row>
    <row r="17795">
      <c r="G17795" s="9">
        <f t="shared" si="0"/>
      </c>
      <c r="L17795">
        <f t="shared" si="1"/>
      </c>
      <c r="M17795">
        <f t="shared" si="2"/>
      </c>
    </row>
    <row r="17796">
      <c r="G17796" s="9">
        <f t="shared" si="0"/>
      </c>
      <c r="L17796">
        <f t="shared" si="1"/>
      </c>
      <c r="M17796">
        <f t="shared" si="2"/>
      </c>
    </row>
    <row r="17797">
      <c r="G17797" s="9">
        <f t="shared" si="0"/>
      </c>
      <c r="L17797">
        <f t="shared" si="1"/>
      </c>
      <c r="M17797">
        <f t="shared" si="2"/>
      </c>
    </row>
    <row r="17798">
      <c r="G17798" s="9">
        <f t="shared" si="0"/>
      </c>
      <c r="L17798">
        <f t="shared" si="1"/>
      </c>
      <c r="M17798">
        <f t="shared" si="2"/>
      </c>
    </row>
    <row r="17799">
      <c r="G17799" s="9">
        <f t="shared" si="0"/>
      </c>
      <c r="L17799">
        <f t="shared" si="1"/>
      </c>
      <c r="M17799">
        <f t="shared" si="2"/>
      </c>
    </row>
    <row r="17800">
      <c r="G17800" s="9">
        <f t="shared" si="0"/>
      </c>
      <c r="L17800">
        <f t="shared" si="1"/>
      </c>
      <c r="M17800">
        <f t="shared" si="2"/>
      </c>
    </row>
    <row r="17801">
      <c r="G17801" s="9">
        <f t="shared" si="0"/>
      </c>
      <c r="L17801">
        <f t="shared" si="1"/>
      </c>
      <c r="M17801">
        <f t="shared" si="2"/>
      </c>
    </row>
    <row r="17802">
      <c r="G17802" s="9">
        <f t="shared" si="0"/>
      </c>
      <c r="L17802">
        <f t="shared" si="1"/>
      </c>
      <c r="M17802">
        <f t="shared" si="2"/>
      </c>
    </row>
    <row r="17803">
      <c r="G17803" s="9">
        <f t="shared" si="0"/>
      </c>
      <c r="L17803">
        <f t="shared" si="1"/>
      </c>
      <c r="M17803">
        <f t="shared" si="2"/>
      </c>
    </row>
    <row r="17804">
      <c r="G17804" s="9">
        <f t="shared" si="0"/>
      </c>
      <c r="L17804">
        <f t="shared" si="1"/>
      </c>
      <c r="M17804">
        <f t="shared" si="2"/>
      </c>
    </row>
    <row r="17805">
      <c r="G17805" s="9">
        <f t="shared" si="0"/>
      </c>
      <c r="L17805">
        <f t="shared" si="1"/>
      </c>
      <c r="M17805">
        <f t="shared" si="2"/>
      </c>
    </row>
    <row r="17806">
      <c r="G17806" s="9">
        <f t="shared" si="0"/>
      </c>
      <c r="L17806">
        <f t="shared" si="1"/>
      </c>
      <c r="M17806">
        <f t="shared" si="2"/>
      </c>
    </row>
    <row r="17807">
      <c r="G17807" s="9">
        <f t="shared" si="0"/>
      </c>
      <c r="L17807">
        <f t="shared" si="1"/>
      </c>
      <c r="M17807">
        <f t="shared" si="2"/>
      </c>
    </row>
    <row r="17808">
      <c r="G17808" s="9">
        <f t="shared" si="0"/>
      </c>
      <c r="L17808">
        <f t="shared" si="1"/>
      </c>
      <c r="M17808">
        <f t="shared" si="2"/>
      </c>
    </row>
    <row r="17809">
      <c r="G17809" s="9">
        <f t="shared" si="0"/>
      </c>
      <c r="L17809">
        <f t="shared" si="1"/>
      </c>
      <c r="M17809">
        <f t="shared" si="2"/>
      </c>
    </row>
    <row r="17810">
      <c r="G17810" s="9">
        <f t="shared" si="0"/>
      </c>
      <c r="L17810">
        <f t="shared" si="1"/>
      </c>
      <c r="M17810">
        <f t="shared" si="2"/>
      </c>
    </row>
    <row r="17811">
      <c r="G17811" s="9">
        <f t="shared" si="0"/>
      </c>
      <c r="L17811">
        <f t="shared" si="1"/>
      </c>
      <c r="M17811">
        <f t="shared" si="2"/>
      </c>
    </row>
    <row r="17812">
      <c r="G17812" s="9">
        <f t="shared" si="0"/>
      </c>
      <c r="L17812">
        <f t="shared" si="1"/>
      </c>
      <c r="M17812">
        <f t="shared" si="2"/>
      </c>
    </row>
    <row r="17813">
      <c r="G17813" s="9">
        <f t="shared" si="0"/>
      </c>
      <c r="L17813">
        <f t="shared" si="1"/>
      </c>
      <c r="M17813">
        <f t="shared" si="2"/>
      </c>
    </row>
    <row r="17814">
      <c r="G17814" s="9">
        <f t="shared" si="0"/>
      </c>
      <c r="L17814">
        <f t="shared" si="1"/>
      </c>
      <c r="M17814">
        <f t="shared" si="2"/>
      </c>
    </row>
    <row r="17815">
      <c r="G17815" s="9">
        <f t="shared" si="0"/>
      </c>
      <c r="L17815">
        <f t="shared" si="1"/>
      </c>
      <c r="M17815">
        <f t="shared" si="2"/>
      </c>
    </row>
    <row r="17816">
      <c r="G17816" s="9">
        <f t="shared" si="0"/>
      </c>
      <c r="L17816">
        <f t="shared" si="1"/>
      </c>
      <c r="M17816">
        <f t="shared" si="2"/>
      </c>
    </row>
    <row r="17817">
      <c r="G17817" s="9">
        <f t="shared" si="0"/>
      </c>
      <c r="L17817">
        <f t="shared" si="1"/>
      </c>
      <c r="M17817">
        <f t="shared" si="2"/>
      </c>
    </row>
    <row r="17818">
      <c r="G17818" s="9">
        <f t="shared" si="0"/>
      </c>
      <c r="L17818">
        <f t="shared" si="1"/>
      </c>
      <c r="M17818">
        <f t="shared" si="2"/>
      </c>
    </row>
    <row r="17819">
      <c r="G17819" s="9">
        <f t="shared" si="0"/>
      </c>
      <c r="L17819">
        <f t="shared" si="1"/>
      </c>
      <c r="M17819">
        <f t="shared" si="2"/>
      </c>
    </row>
    <row r="17820">
      <c r="G17820" s="9">
        <f t="shared" si="0"/>
      </c>
      <c r="L17820">
        <f t="shared" si="1"/>
      </c>
      <c r="M17820">
        <f t="shared" si="2"/>
      </c>
    </row>
    <row r="17821">
      <c r="G17821" s="9">
        <f t="shared" si="0"/>
      </c>
      <c r="L17821">
        <f t="shared" si="1"/>
      </c>
      <c r="M17821">
        <f t="shared" si="2"/>
      </c>
    </row>
    <row r="17822">
      <c r="G17822" s="9">
        <f t="shared" si="0"/>
      </c>
      <c r="L17822">
        <f t="shared" si="1"/>
      </c>
      <c r="M17822">
        <f t="shared" si="2"/>
      </c>
    </row>
    <row r="17823">
      <c r="G17823" s="9">
        <f t="shared" si="0"/>
      </c>
      <c r="L17823">
        <f t="shared" si="1"/>
      </c>
      <c r="M17823">
        <f t="shared" si="2"/>
      </c>
    </row>
    <row r="17824">
      <c r="G17824" s="9">
        <f t="shared" si="0"/>
      </c>
      <c r="L17824">
        <f t="shared" si="1"/>
      </c>
      <c r="M17824">
        <f t="shared" si="2"/>
      </c>
    </row>
    <row r="17825">
      <c r="G17825" s="9">
        <f t="shared" si="0"/>
      </c>
      <c r="L17825">
        <f t="shared" si="1"/>
      </c>
      <c r="M17825">
        <f t="shared" si="2"/>
      </c>
    </row>
    <row r="17826">
      <c r="G17826" s="9">
        <f t="shared" si="0"/>
      </c>
      <c r="L17826">
        <f t="shared" si="1"/>
      </c>
      <c r="M17826">
        <f t="shared" si="2"/>
      </c>
    </row>
    <row r="17827">
      <c r="G17827" s="9">
        <f t="shared" si="0"/>
      </c>
      <c r="L17827">
        <f t="shared" si="1"/>
      </c>
      <c r="M17827">
        <f t="shared" si="2"/>
      </c>
    </row>
    <row r="17828">
      <c r="G17828" s="9">
        <f t="shared" si="0"/>
      </c>
      <c r="L17828">
        <f t="shared" si="1"/>
      </c>
      <c r="M17828">
        <f t="shared" si="2"/>
      </c>
    </row>
    <row r="17829">
      <c r="G17829" s="9">
        <f t="shared" si="0"/>
      </c>
      <c r="L17829">
        <f t="shared" si="1"/>
      </c>
      <c r="M17829">
        <f t="shared" si="2"/>
      </c>
    </row>
    <row r="17830">
      <c r="G17830" s="9">
        <f t="shared" si="0"/>
      </c>
      <c r="L17830">
        <f t="shared" si="1"/>
      </c>
      <c r="M17830">
        <f t="shared" si="2"/>
      </c>
    </row>
    <row r="17831">
      <c r="G17831" s="9">
        <f t="shared" si="0"/>
      </c>
      <c r="L17831">
        <f t="shared" si="1"/>
      </c>
      <c r="M17831">
        <f t="shared" si="2"/>
      </c>
    </row>
    <row r="17832">
      <c r="G17832" s="9">
        <f t="shared" si="0"/>
      </c>
      <c r="L17832">
        <f t="shared" si="1"/>
      </c>
      <c r="M17832">
        <f t="shared" si="2"/>
      </c>
    </row>
    <row r="17833">
      <c r="G17833" s="9">
        <f t="shared" si="0"/>
      </c>
      <c r="L17833">
        <f t="shared" si="1"/>
      </c>
      <c r="M17833">
        <f t="shared" si="2"/>
      </c>
    </row>
    <row r="17834">
      <c r="G17834" s="9">
        <f t="shared" si="0"/>
      </c>
      <c r="L17834">
        <f t="shared" si="1"/>
      </c>
      <c r="M17834">
        <f t="shared" si="2"/>
      </c>
    </row>
    <row r="17835">
      <c r="G17835" s="9">
        <f t="shared" si="0"/>
      </c>
      <c r="L17835">
        <f t="shared" si="1"/>
      </c>
      <c r="M17835">
        <f t="shared" si="2"/>
      </c>
    </row>
    <row r="17836">
      <c r="G17836" s="9">
        <f t="shared" si="0"/>
      </c>
      <c r="L17836">
        <f t="shared" si="1"/>
      </c>
      <c r="M17836">
        <f t="shared" si="2"/>
      </c>
    </row>
    <row r="17837">
      <c r="G17837" s="9">
        <f t="shared" si="0"/>
      </c>
      <c r="L17837">
        <f t="shared" si="1"/>
      </c>
      <c r="M17837">
        <f t="shared" si="2"/>
      </c>
    </row>
    <row r="17838">
      <c r="G17838" s="9">
        <f t="shared" si="0"/>
      </c>
      <c r="L17838">
        <f t="shared" si="1"/>
      </c>
      <c r="M17838">
        <f t="shared" si="2"/>
      </c>
    </row>
    <row r="17839">
      <c r="G17839" s="9">
        <f t="shared" si="0"/>
      </c>
      <c r="L17839">
        <f t="shared" si="1"/>
      </c>
      <c r="M17839">
        <f t="shared" si="2"/>
      </c>
    </row>
    <row r="17840">
      <c r="G17840" s="9">
        <f t="shared" si="0"/>
      </c>
      <c r="L17840">
        <f t="shared" si="1"/>
      </c>
      <c r="M17840">
        <f t="shared" si="2"/>
      </c>
    </row>
    <row r="17841">
      <c r="G17841" s="9">
        <f t="shared" si="0"/>
      </c>
      <c r="L17841">
        <f t="shared" si="1"/>
      </c>
      <c r="M17841">
        <f t="shared" si="2"/>
      </c>
    </row>
    <row r="17842">
      <c r="G17842" s="9">
        <f t="shared" si="0"/>
      </c>
      <c r="L17842">
        <f t="shared" si="1"/>
      </c>
      <c r="M17842">
        <f t="shared" si="2"/>
      </c>
    </row>
    <row r="17843">
      <c r="G17843" s="9">
        <f t="shared" si="0"/>
      </c>
      <c r="L17843">
        <f t="shared" si="1"/>
      </c>
      <c r="M17843">
        <f t="shared" si="2"/>
      </c>
    </row>
    <row r="17844">
      <c r="G17844" s="9">
        <f t="shared" si="0"/>
      </c>
      <c r="L17844">
        <f t="shared" si="1"/>
      </c>
      <c r="M17844">
        <f t="shared" si="2"/>
      </c>
    </row>
    <row r="17845">
      <c r="G17845" s="9">
        <f t="shared" si="0"/>
      </c>
      <c r="L17845">
        <f t="shared" si="1"/>
      </c>
      <c r="M17845">
        <f t="shared" si="2"/>
      </c>
    </row>
    <row r="17846">
      <c r="G17846" s="9">
        <f t="shared" si="0"/>
      </c>
      <c r="L17846">
        <f t="shared" si="1"/>
      </c>
      <c r="M17846">
        <f t="shared" si="2"/>
      </c>
    </row>
    <row r="17847">
      <c r="G17847" s="9">
        <f t="shared" si="0"/>
      </c>
      <c r="L17847">
        <f t="shared" si="1"/>
      </c>
      <c r="M17847">
        <f t="shared" si="2"/>
      </c>
    </row>
    <row r="17848">
      <c r="G17848" s="9">
        <f t="shared" si="0"/>
      </c>
      <c r="L17848">
        <f t="shared" si="1"/>
      </c>
      <c r="M17848">
        <f t="shared" si="2"/>
      </c>
    </row>
    <row r="17849">
      <c r="G17849" s="9">
        <f t="shared" si="0"/>
      </c>
      <c r="L17849">
        <f t="shared" si="1"/>
      </c>
      <c r="M17849">
        <f t="shared" si="2"/>
      </c>
    </row>
    <row r="17850">
      <c r="G17850" s="9">
        <f t="shared" si="0"/>
      </c>
      <c r="L17850">
        <f t="shared" si="1"/>
      </c>
      <c r="M17850">
        <f t="shared" si="2"/>
      </c>
    </row>
    <row r="17851">
      <c r="G17851" s="9">
        <f t="shared" si="0"/>
      </c>
      <c r="L17851">
        <f t="shared" si="1"/>
      </c>
      <c r="M17851">
        <f t="shared" si="2"/>
      </c>
    </row>
    <row r="17852">
      <c r="G17852" s="9">
        <f t="shared" si="0"/>
      </c>
      <c r="L17852">
        <f t="shared" si="1"/>
      </c>
      <c r="M17852">
        <f t="shared" si="2"/>
      </c>
    </row>
    <row r="17853">
      <c r="G17853" s="9">
        <f t="shared" si="0"/>
      </c>
      <c r="L17853">
        <f t="shared" si="1"/>
      </c>
      <c r="M17853">
        <f t="shared" si="2"/>
      </c>
    </row>
    <row r="17854">
      <c r="G17854" s="9">
        <f t="shared" si="0"/>
      </c>
      <c r="L17854">
        <f t="shared" si="1"/>
      </c>
      <c r="M17854">
        <f t="shared" si="2"/>
      </c>
    </row>
    <row r="17855">
      <c r="G17855" s="9">
        <f t="shared" si="0"/>
      </c>
      <c r="L17855">
        <f t="shared" si="1"/>
      </c>
      <c r="M17855">
        <f t="shared" si="2"/>
      </c>
    </row>
    <row r="17856">
      <c r="G17856" s="9">
        <f t="shared" si="0"/>
      </c>
      <c r="L17856">
        <f t="shared" si="1"/>
      </c>
      <c r="M17856">
        <f t="shared" si="2"/>
      </c>
    </row>
    <row r="17857">
      <c r="G17857" s="9">
        <f t="shared" si="0"/>
      </c>
      <c r="L17857">
        <f t="shared" si="1"/>
      </c>
      <c r="M17857">
        <f t="shared" si="2"/>
      </c>
    </row>
    <row r="17858">
      <c r="G17858" s="9">
        <f t="shared" si="0"/>
      </c>
      <c r="L17858">
        <f t="shared" si="1"/>
      </c>
      <c r="M17858">
        <f t="shared" si="2"/>
      </c>
    </row>
    <row r="17859">
      <c r="G17859" s="9">
        <f t="shared" si="0"/>
      </c>
      <c r="L17859">
        <f t="shared" si="1"/>
      </c>
      <c r="M17859">
        <f t="shared" si="2"/>
      </c>
    </row>
    <row r="17860">
      <c r="G17860" s="9">
        <f t="shared" si="0"/>
      </c>
      <c r="L17860">
        <f t="shared" si="1"/>
      </c>
      <c r="M17860">
        <f t="shared" si="2"/>
      </c>
    </row>
    <row r="17861">
      <c r="G17861" s="9">
        <f t="shared" si="0"/>
      </c>
      <c r="L17861">
        <f t="shared" si="1"/>
      </c>
      <c r="M17861">
        <f t="shared" si="2"/>
      </c>
    </row>
    <row r="17862">
      <c r="G17862" s="9">
        <f t="shared" si="0"/>
      </c>
      <c r="L17862">
        <f t="shared" si="1"/>
      </c>
      <c r="M17862">
        <f t="shared" si="2"/>
      </c>
    </row>
    <row r="17863">
      <c r="G17863" s="9">
        <f t="shared" si="0"/>
      </c>
      <c r="L17863">
        <f t="shared" si="1"/>
      </c>
      <c r="M17863">
        <f t="shared" si="2"/>
      </c>
    </row>
    <row r="17864">
      <c r="G17864" s="9">
        <f t="shared" si="0"/>
      </c>
      <c r="L17864">
        <f t="shared" si="1"/>
      </c>
      <c r="M17864">
        <f t="shared" si="2"/>
      </c>
    </row>
    <row r="17865">
      <c r="G17865" s="9">
        <f t="shared" si="0"/>
      </c>
      <c r="L17865">
        <f t="shared" si="1"/>
      </c>
      <c r="M17865">
        <f t="shared" si="2"/>
      </c>
    </row>
    <row r="17866">
      <c r="G17866" s="9">
        <f t="shared" si="0"/>
      </c>
      <c r="L17866">
        <f t="shared" si="1"/>
      </c>
      <c r="M17866">
        <f t="shared" si="2"/>
      </c>
    </row>
    <row r="17867">
      <c r="G17867" s="9">
        <f t="shared" si="0"/>
      </c>
      <c r="L17867">
        <f t="shared" si="1"/>
      </c>
      <c r="M17867">
        <f t="shared" si="2"/>
      </c>
    </row>
    <row r="17868">
      <c r="G17868" s="9">
        <f t="shared" si="0"/>
      </c>
      <c r="L17868">
        <f t="shared" si="1"/>
      </c>
      <c r="M17868">
        <f t="shared" si="2"/>
      </c>
    </row>
    <row r="17869">
      <c r="G17869" s="9">
        <f t="shared" si="0"/>
      </c>
      <c r="L17869">
        <f t="shared" si="1"/>
      </c>
      <c r="M17869">
        <f t="shared" si="2"/>
      </c>
    </row>
    <row r="17870">
      <c r="G17870" s="9">
        <f t="shared" si="0"/>
      </c>
      <c r="L17870">
        <f t="shared" si="1"/>
      </c>
      <c r="M17870">
        <f t="shared" si="2"/>
      </c>
    </row>
    <row r="17871">
      <c r="G17871" s="9">
        <f t="shared" si="0"/>
      </c>
      <c r="L17871">
        <f t="shared" si="1"/>
      </c>
      <c r="M17871">
        <f t="shared" si="2"/>
      </c>
    </row>
    <row r="17872">
      <c r="G17872" s="9">
        <f t="shared" si="0"/>
      </c>
      <c r="L17872">
        <f t="shared" si="1"/>
      </c>
      <c r="M17872">
        <f t="shared" si="2"/>
      </c>
    </row>
    <row r="17873">
      <c r="G17873" s="9">
        <f t="shared" si="0"/>
      </c>
      <c r="L17873">
        <f t="shared" si="1"/>
      </c>
      <c r="M17873">
        <f t="shared" si="2"/>
      </c>
    </row>
    <row r="17874">
      <c r="G17874" s="9">
        <f t="shared" si="0"/>
      </c>
      <c r="L17874">
        <f t="shared" si="1"/>
      </c>
      <c r="M17874">
        <f t="shared" si="2"/>
      </c>
    </row>
    <row r="17875">
      <c r="G17875" s="9">
        <f t="shared" si="0"/>
      </c>
      <c r="L17875">
        <f t="shared" si="1"/>
      </c>
      <c r="M17875">
        <f t="shared" si="2"/>
      </c>
    </row>
    <row r="17876">
      <c r="G17876" s="9">
        <f t="shared" si="0"/>
      </c>
      <c r="L17876">
        <f t="shared" si="1"/>
      </c>
      <c r="M17876">
        <f t="shared" si="2"/>
      </c>
    </row>
    <row r="17877">
      <c r="G17877" s="9">
        <f t="shared" si="0"/>
      </c>
      <c r="L17877">
        <f t="shared" si="1"/>
      </c>
      <c r="M17877">
        <f t="shared" si="2"/>
      </c>
    </row>
    <row r="17878">
      <c r="G17878" s="9">
        <f t="shared" si="0"/>
      </c>
      <c r="L17878">
        <f t="shared" si="1"/>
      </c>
      <c r="M17878">
        <f t="shared" si="2"/>
      </c>
    </row>
    <row r="17879">
      <c r="G17879" s="9">
        <f t="shared" si="0"/>
      </c>
      <c r="L17879">
        <f t="shared" si="1"/>
      </c>
      <c r="M17879">
        <f t="shared" si="2"/>
      </c>
    </row>
    <row r="17880">
      <c r="G17880" s="9">
        <f t="shared" si="0"/>
      </c>
      <c r="L17880">
        <f t="shared" si="1"/>
      </c>
      <c r="M17880">
        <f t="shared" si="2"/>
      </c>
    </row>
    <row r="17881">
      <c r="G17881" s="9">
        <f t="shared" si="0"/>
      </c>
      <c r="L17881">
        <f t="shared" si="1"/>
      </c>
      <c r="M17881">
        <f t="shared" si="2"/>
      </c>
    </row>
    <row r="17882">
      <c r="G17882" s="9">
        <f t="shared" si="0"/>
      </c>
      <c r="L17882">
        <f t="shared" si="1"/>
      </c>
      <c r="M17882">
        <f t="shared" si="2"/>
      </c>
    </row>
    <row r="17883">
      <c r="G17883" s="9">
        <f t="shared" si="0"/>
      </c>
      <c r="L17883">
        <f t="shared" si="1"/>
      </c>
      <c r="M17883">
        <f t="shared" si="2"/>
      </c>
    </row>
    <row r="17884">
      <c r="G17884" s="9">
        <f t="shared" si="0"/>
      </c>
      <c r="L17884">
        <f t="shared" si="1"/>
      </c>
      <c r="M17884">
        <f t="shared" si="2"/>
      </c>
    </row>
    <row r="17885">
      <c r="G17885" s="9">
        <f t="shared" si="0"/>
      </c>
      <c r="L17885">
        <f t="shared" si="1"/>
      </c>
      <c r="M17885">
        <f t="shared" si="2"/>
      </c>
    </row>
    <row r="17886">
      <c r="G17886" s="9">
        <f t="shared" si="0"/>
      </c>
      <c r="L17886">
        <f t="shared" si="1"/>
      </c>
      <c r="M17886">
        <f t="shared" si="2"/>
      </c>
    </row>
    <row r="17887">
      <c r="G17887" s="9">
        <f t="shared" si="0"/>
      </c>
      <c r="L17887">
        <f t="shared" si="1"/>
      </c>
      <c r="M17887">
        <f t="shared" si="2"/>
      </c>
    </row>
    <row r="17888">
      <c r="G17888" s="9">
        <f t="shared" si="0"/>
      </c>
      <c r="L17888">
        <f t="shared" si="1"/>
      </c>
      <c r="M17888">
        <f t="shared" si="2"/>
      </c>
    </row>
    <row r="17889">
      <c r="G17889" s="9">
        <f t="shared" si="0"/>
      </c>
      <c r="L17889">
        <f t="shared" si="1"/>
      </c>
      <c r="M17889">
        <f t="shared" si="2"/>
      </c>
    </row>
    <row r="17890">
      <c r="G17890" s="9">
        <f t="shared" si="0"/>
      </c>
      <c r="L17890">
        <f t="shared" si="1"/>
      </c>
      <c r="M17890">
        <f t="shared" si="2"/>
      </c>
    </row>
    <row r="17891">
      <c r="G17891" s="9">
        <f t="shared" si="0"/>
      </c>
      <c r="L17891">
        <f t="shared" si="1"/>
      </c>
      <c r="M17891">
        <f t="shared" si="2"/>
      </c>
    </row>
    <row r="17892">
      <c r="G17892" s="9">
        <f t="shared" si="0"/>
      </c>
      <c r="L17892">
        <f t="shared" si="1"/>
      </c>
      <c r="M17892">
        <f t="shared" si="2"/>
      </c>
    </row>
    <row r="17893">
      <c r="G17893" s="9">
        <f t="shared" si="0"/>
      </c>
      <c r="L17893">
        <f t="shared" si="1"/>
      </c>
      <c r="M17893">
        <f t="shared" si="2"/>
      </c>
    </row>
    <row r="17894">
      <c r="G17894" s="9">
        <f t="shared" si="0"/>
      </c>
      <c r="L17894">
        <f t="shared" si="1"/>
      </c>
      <c r="M17894">
        <f t="shared" si="2"/>
      </c>
    </row>
    <row r="17895">
      <c r="G17895" s="9">
        <f t="shared" si="0"/>
      </c>
      <c r="L17895">
        <f t="shared" si="1"/>
      </c>
      <c r="M17895">
        <f t="shared" si="2"/>
      </c>
    </row>
    <row r="17896">
      <c r="G17896" s="9">
        <f t="shared" si="0"/>
      </c>
      <c r="L17896">
        <f t="shared" si="1"/>
      </c>
      <c r="M17896">
        <f t="shared" si="2"/>
      </c>
    </row>
    <row r="17897">
      <c r="G17897" s="9">
        <f t="shared" si="0"/>
      </c>
      <c r="L17897">
        <f t="shared" si="1"/>
      </c>
      <c r="M17897">
        <f t="shared" si="2"/>
      </c>
    </row>
    <row r="17898">
      <c r="G17898" s="9">
        <f t="shared" si="0"/>
      </c>
      <c r="L17898">
        <f t="shared" si="1"/>
      </c>
      <c r="M17898">
        <f t="shared" si="2"/>
      </c>
    </row>
    <row r="17899">
      <c r="G17899" s="9">
        <f t="shared" si="0"/>
      </c>
      <c r="L17899">
        <f t="shared" si="1"/>
      </c>
      <c r="M17899">
        <f t="shared" si="2"/>
      </c>
    </row>
    <row r="17900">
      <c r="G17900" s="9">
        <f t="shared" si="0"/>
      </c>
      <c r="L17900">
        <f t="shared" si="1"/>
      </c>
      <c r="M17900">
        <f t="shared" si="2"/>
      </c>
    </row>
    <row r="17901">
      <c r="G17901" s="9">
        <f t="shared" si="0"/>
      </c>
      <c r="L17901">
        <f t="shared" si="1"/>
      </c>
      <c r="M17901">
        <f t="shared" si="2"/>
      </c>
    </row>
    <row r="17902">
      <c r="G17902" s="9">
        <f t="shared" si="0"/>
      </c>
      <c r="L17902">
        <f t="shared" si="1"/>
      </c>
      <c r="M17902">
        <f t="shared" si="2"/>
      </c>
    </row>
    <row r="17903">
      <c r="G17903" s="9">
        <f t="shared" si="0"/>
      </c>
      <c r="L17903">
        <f t="shared" si="1"/>
      </c>
      <c r="M17903">
        <f t="shared" si="2"/>
      </c>
    </row>
    <row r="17904">
      <c r="G17904" s="9">
        <f t="shared" si="0"/>
      </c>
      <c r="L17904">
        <f t="shared" si="1"/>
      </c>
      <c r="M17904">
        <f t="shared" si="2"/>
      </c>
    </row>
    <row r="17905">
      <c r="G17905" s="9">
        <f t="shared" si="0"/>
      </c>
      <c r="L17905">
        <f t="shared" si="1"/>
      </c>
      <c r="M17905">
        <f t="shared" si="2"/>
      </c>
    </row>
    <row r="17906">
      <c r="G17906" s="9">
        <f t="shared" si="0"/>
      </c>
      <c r="L17906">
        <f t="shared" si="1"/>
      </c>
      <c r="M17906">
        <f t="shared" si="2"/>
      </c>
    </row>
    <row r="17907">
      <c r="G17907" s="9">
        <f t="shared" si="0"/>
      </c>
      <c r="L17907">
        <f t="shared" si="1"/>
      </c>
      <c r="M17907">
        <f t="shared" si="2"/>
      </c>
    </row>
    <row r="17908">
      <c r="G17908" s="9">
        <f t="shared" si="0"/>
      </c>
      <c r="L17908">
        <f t="shared" si="1"/>
      </c>
      <c r="M17908">
        <f t="shared" si="2"/>
      </c>
    </row>
    <row r="17909">
      <c r="G17909" s="9">
        <f t="shared" si="0"/>
      </c>
      <c r="L17909">
        <f t="shared" si="1"/>
      </c>
      <c r="M17909">
        <f t="shared" si="2"/>
      </c>
    </row>
    <row r="17910">
      <c r="G17910" s="9">
        <f t="shared" si="0"/>
      </c>
      <c r="L17910">
        <f t="shared" si="1"/>
      </c>
      <c r="M17910">
        <f t="shared" si="2"/>
      </c>
    </row>
    <row r="17911">
      <c r="G17911" s="9">
        <f t="shared" si="0"/>
      </c>
      <c r="L17911">
        <f t="shared" si="1"/>
      </c>
      <c r="M17911">
        <f t="shared" si="2"/>
      </c>
    </row>
    <row r="17912">
      <c r="G17912" s="9">
        <f t="shared" si="0"/>
      </c>
      <c r="L17912">
        <f t="shared" si="1"/>
      </c>
      <c r="M17912">
        <f t="shared" si="2"/>
      </c>
    </row>
    <row r="17913">
      <c r="G17913" s="9">
        <f t="shared" si="0"/>
      </c>
      <c r="L17913">
        <f t="shared" si="1"/>
      </c>
      <c r="M17913">
        <f t="shared" si="2"/>
      </c>
    </row>
    <row r="17914">
      <c r="G17914" s="9">
        <f t="shared" si="0"/>
      </c>
      <c r="L17914">
        <f t="shared" si="1"/>
      </c>
      <c r="M17914">
        <f t="shared" si="2"/>
      </c>
    </row>
    <row r="17915">
      <c r="G17915" s="9">
        <f t="shared" si="0"/>
      </c>
      <c r="L17915">
        <f t="shared" si="1"/>
      </c>
      <c r="M17915">
        <f t="shared" si="2"/>
      </c>
    </row>
    <row r="17916">
      <c r="G17916" s="9">
        <f t="shared" si="0"/>
      </c>
      <c r="L17916">
        <f t="shared" si="1"/>
      </c>
      <c r="M17916">
        <f t="shared" si="2"/>
      </c>
    </row>
    <row r="17917">
      <c r="G17917" s="9">
        <f t="shared" si="0"/>
      </c>
      <c r="L17917">
        <f t="shared" si="1"/>
      </c>
      <c r="M17917">
        <f t="shared" si="2"/>
      </c>
    </row>
    <row r="17918">
      <c r="G17918" s="9">
        <f t="shared" si="0"/>
      </c>
      <c r="L17918">
        <f t="shared" si="1"/>
      </c>
      <c r="M17918">
        <f t="shared" si="2"/>
      </c>
    </row>
    <row r="17919">
      <c r="G17919" s="9">
        <f t="shared" si="0"/>
      </c>
      <c r="L17919">
        <f t="shared" si="1"/>
      </c>
      <c r="M17919">
        <f t="shared" si="2"/>
      </c>
    </row>
    <row r="17920">
      <c r="G17920" s="9">
        <f t="shared" si="0"/>
      </c>
      <c r="L17920">
        <f t="shared" si="1"/>
      </c>
      <c r="M17920">
        <f t="shared" si="2"/>
      </c>
    </row>
    <row r="17921">
      <c r="G17921" s="9">
        <f t="shared" si="0"/>
      </c>
      <c r="L17921">
        <f t="shared" si="1"/>
      </c>
      <c r="M17921">
        <f t="shared" si="2"/>
      </c>
    </row>
    <row r="17922">
      <c r="G17922" s="9">
        <f t="shared" si="0"/>
      </c>
      <c r="L17922">
        <f t="shared" si="1"/>
      </c>
      <c r="M17922">
        <f t="shared" si="2"/>
      </c>
    </row>
    <row r="17923">
      <c r="G17923" s="9">
        <f t="shared" si="0"/>
      </c>
      <c r="L17923">
        <f t="shared" si="1"/>
      </c>
      <c r="M17923">
        <f t="shared" si="2"/>
      </c>
    </row>
    <row r="17924">
      <c r="G17924" s="9">
        <f t="shared" si="0"/>
      </c>
      <c r="L17924">
        <f t="shared" si="1"/>
      </c>
      <c r="M17924">
        <f t="shared" si="2"/>
      </c>
    </row>
    <row r="17925">
      <c r="G17925" s="9">
        <f t="shared" si="0"/>
      </c>
      <c r="L17925">
        <f t="shared" si="1"/>
      </c>
      <c r="M17925">
        <f t="shared" si="2"/>
      </c>
    </row>
    <row r="17926">
      <c r="G17926" s="9">
        <f t="shared" si="0"/>
      </c>
      <c r="L17926">
        <f t="shared" si="1"/>
      </c>
      <c r="M17926">
        <f t="shared" si="2"/>
      </c>
    </row>
    <row r="17927">
      <c r="G17927" s="9">
        <f t="shared" si="0"/>
      </c>
      <c r="L17927">
        <f t="shared" si="1"/>
      </c>
      <c r="M17927">
        <f t="shared" si="2"/>
      </c>
    </row>
    <row r="17928">
      <c r="G17928" s="9">
        <f t="shared" si="0"/>
      </c>
      <c r="L17928">
        <f t="shared" si="1"/>
      </c>
      <c r="M17928">
        <f t="shared" si="2"/>
      </c>
    </row>
    <row r="17929">
      <c r="G17929" s="9">
        <f t="shared" si="0"/>
      </c>
      <c r="L17929">
        <f t="shared" si="1"/>
      </c>
      <c r="M17929">
        <f t="shared" si="2"/>
      </c>
    </row>
    <row r="17930">
      <c r="G17930" s="9">
        <f t="shared" si="0"/>
      </c>
      <c r="L17930">
        <f t="shared" si="1"/>
      </c>
      <c r="M17930">
        <f t="shared" si="2"/>
      </c>
    </row>
    <row r="17931">
      <c r="G17931" s="9">
        <f t="shared" si="0"/>
      </c>
      <c r="L17931">
        <f t="shared" si="1"/>
      </c>
      <c r="M17931">
        <f t="shared" si="2"/>
      </c>
    </row>
    <row r="17932">
      <c r="G17932" s="9">
        <f t="shared" si="0"/>
      </c>
      <c r="L17932">
        <f t="shared" si="1"/>
      </c>
      <c r="M17932">
        <f t="shared" si="2"/>
      </c>
    </row>
    <row r="17933">
      <c r="G17933" s="9">
        <f t="shared" si="0"/>
      </c>
      <c r="L17933">
        <f t="shared" si="1"/>
      </c>
      <c r="M17933">
        <f t="shared" si="2"/>
      </c>
    </row>
    <row r="17934">
      <c r="G17934" s="9">
        <f t="shared" si="0"/>
      </c>
      <c r="L17934">
        <f t="shared" si="1"/>
      </c>
      <c r="M17934">
        <f t="shared" si="2"/>
      </c>
    </row>
    <row r="17935">
      <c r="G17935" s="9">
        <f t="shared" si="0"/>
      </c>
      <c r="L17935">
        <f t="shared" si="1"/>
      </c>
      <c r="M17935">
        <f t="shared" si="2"/>
      </c>
    </row>
    <row r="17936">
      <c r="G17936" s="9">
        <f t="shared" si="0"/>
      </c>
      <c r="L17936">
        <f t="shared" si="1"/>
      </c>
      <c r="M17936">
        <f t="shared" si="2"/>
      </c>
    </row>
    <row r="17937">
      <c r="G17937" s="9">
        <f t="shared" si="0"/>
      </c>
      <c r="L17937">
        <f t="shared" si="1"/>
      </c>
      <c r="M17937">
        <f t="shared" si="2"/>
      </c>
    </row>
    <row r="17938">
      <c r="G17938" s="9">
        <f t="shared" si="0"/>
      </c>
      <c r="L17938">
        <f t="shared" si="1"/>
      </c>
      <c r="M17938">
        <f t="shared" si="2"/>
      </c>
    </row>
    <row r="17939">
      <c r="G17939" s="9">
        <f t="shared" si="0"/>
      </c>
      <c r="L17939">
        <f t="shared" si="1"/>
      </c>
      <c r="M17939">
        <f t="shared" si="2"/>
      </c>
    </row>
    <row r="17940">
      <c r="G17940" s="9">
        <f t="shared" si="0"/>
      </c>
      <c r="L17940">
        <f t="shared" si="1"/>
      </c>
      <c r="M17940">
        <f t="shared" si="2"/>
      </c>
    </row>
    <row r="17941">
      <c r="G17941" s="9">
        <f t="shared" si="0"/>
      </c>
      <c r="L17941">
        <f t="shared" si="1"/>
      </c>
      <c r="M17941">
        <f t="shared" si="2"/>
      </c>
    </row>
    <row r="17942">
      <c r="G17942" s="9">
        <f t="shared" si="0"/>
      </c>
      <c r="L17942">
        <f t="shared" si="1"/>
      </c>
      <c r="M17942">
        <f t="shared" si="2"/>
      </c>
    </row>
    <row r="17943">
      <c r="G17943" s="9">
        <f t="shared" si="0"/>
      </c>
      <c r="L17943">
        <f t="shared" si="1"/>
      </c>
      <c r="M17943">
        <f t="shared" si="2"/>
      </c>
    </row>
    <row r="17944">
      <c r="G17944" s="9">
        <f t="shared" si="0"/>
      </c>
      <c r="L17944">
        <f t="shared" si="1"/>
      </c>
      <c r="M17944">
        <f t="shared" si="2"/>
      </c>
    </row>
    <row r="17945">
      <c r="G17945" s="9">
        <f t="shared" si="0"/>
      </c>
      <c r="L17945">
        <f t="shared" si="1"/>
      </c>
      <c r="M17945">
        <f t="shared" si="2"/>
      </c>
    </row>
    <row r="17946">
      <c r="G17946" s="9">
        <f t="shared" si="0"/>
      </c>
      <c r="L17946">
        <f t="shared" si="1"/>
      </c>
      <c r="M17946">
        <f t="shared" si="2"/>
      </c>
    </row>
    <row r="17947">
      <c r="G17947" s="9">
        <f t="shared" si="0"/>
      </c>
      <c r="L17947">
        <f t="shared" si="1"/>
      </c>
      <c r="M17947">
        <f t="shared" si="2"/>
      </c>
    </row>
    <row r="17948">
      <c r="G17948" s="9">
        <f t="shared" si="0"/>
      </c>
      <c r="L17948">
        <f t="shared" si="1"/>
      </c>
      <c r="M17948">
        <f t="shared" si="2"/>
      </c>
    </row>
    <row r="17949">
      <c r="G17949" s="9">
        <f t="shared" si="0"/>
      </c>
      <c r="L17949">
        <f t="shared" si="1"/>
      </c>
      <c r="M17949">
        <f t="shared" si="2"/>
      </c>
    </row>
    <row r="17950">
      <c r="G17950" s="9">
        <f t="shared" si="0"/>
      </c>
      <c r="L17950">
        <f t="shared" si="1"/>
      </c>
      <c r="M17950">
        <f t="shared" si="2"/>
      </c>
    </row>
    <row r="17951">
      <c r="G17951" s="9">
        <f t="shared" si="0"/>
      </c>
      <c r="L17951">
        <f t="shared" si="1"/>
      </c>
      <c r="M17951">
        <f t="shared" si="2"/>
      </c>
    </row>
    <row r="17952">
      <c r="G17952" s="9">
        <f t="shared" si="0"/>
      </c>
      <c r="L17952">
        <f t="shared" si="1"/>
      </c>
      <c r="M17952">
        <f t="shared" si="2"/>
      </c>
    </row>
    <row r="17953">
      <c r="G17953" s="9">
        <f t="shared" si="0"/>
      </c>
      <c r="L17953">
        <f t="shared" si="1"/>
      </c>
      <c r="M17953">
        <f t="shared" si="2"/>
      </c>
    </row>
    <row r="17954">
      <c r="G17954" s="9">
        <f t="shared" si="0"/>
      </c>
      <c r="L17954">
        <f t="shared" si="1"/>
      </c>
      <c r="M17954">
        <f t="shared" si="2"/>
      </c>
    </row>
    <row r="17955">
      <c r="G17955" s="9">
        <f t="shared" si="0"/>
      </c>
      <c r="L17955">
        <f t="shared" si="1"/>
      </c>
      <c r="M17955">
        <f t="shared" si="2"/>
      </c>
    </row>
    <row r="17956">
      <c r="G17956" s="9">
        <f t="shared" si="0"/>
      </c>
      <c r="L17956">
        <f t="shared" si="1"/>
      </c>
      <c r="M17956">
        <f t="shared" si="2"/>
      </c>
    </row>
    <row r="17957">
      <c r="G17957" s="9">
        <f t="shared" si="0"/>
      </c>
      <c r="L17957">
        <f t="shared" si="1"/>
      </c>
      <c r="M17957">
        <f t="shared" si="2"/>
      </c>
    </row>
    <row r="17958">
      <c r="G17958" s="9">
        <f t="shared" si="0"/>
      </c>
      <c r="L17958">
        <f t="shared" si="1"/>
      </c>
      <c r="M17958">
        <f t="shared" si="2"/>
      </c>
    </row>
    <row r="17959">
      <c r="G17959" s="9">
        <f t="shared" si="0"/>
      </c>
      <c r="L17959">
        <f t="shared" si="1"/>
      </c>
      <c r="M17959">
        <f t="shared" si="2"/>
      </c>
    </row>
    <row r="17960">
      <c r="G17960" s="9">
        <f t="shared" si="0"/>
      </c>
      <c r="L17960">
        <f t="shared" si="1"/>
      </c>
      <c r="M17960">
        <f t="shared" si="2"/>
      </c>
    </row>
    <row r="17961">
      <c r="G17961" s="9">
        <f t="shared" si="0"/>
      </c>
      <c r="L17961">
        <f t="shared" si="1"/>
      </c>
      <c r="M17961">
        <f t="shared" si="2"/>
      </c>
    </row>
    <row r="17962">
      <c r="G17962" s="9">
        <f t="shared" si="0"/>
      </c>
      <c r="L17962">
        <f t="shared" si="1"/>
      </c>
      <c r="M17962">
        <f t="shared" si="2"/>
      </c>
    </row>
    <row r="17963">
      <c r="G17963" s="9">
        <f t="shared" si="0"/>
      </c>
      <c r="L17963">
        <f t="shared" si="1"/>
      </c>
      <c r="M17963">
        <f t="shared" si="2"/>
      </c>
    </row>
    <row r="17964">
      <c r="G17964" s="9">
        <f t="shared" si="0"/>
      </c>
      <c r="L17964">
        <f t="shared" si="1"/>
      </c>
      <c r="M17964">
        <f t="shared" si="2"/>
      </c>
    </row>
    <row r="17965">
      <c r="G17965" s="9">
        <f t="shared" si="0"/>
      </c>
      <c r="L17965">
        <f t="shared" si="1"/>
      </c>
      <c r="M17965">
        <f t="shared" si="2"/>
      </c>
    </row>
    <row r="17966">
      <c r="G17966" s="9">
        <f t="shared" si="0"/>
      </c>
      <c r="L17966">
        <f t="shared" si="1"/>
      </c>
      <c r="M17966">
        <f t="shared" si="2"/>
      </c>
    </row>
    <row r="17967">
      <c r="G17967" s="9">
        <f t="shared" si="0"/>
      </c>
      <c r="L17967">
        <f t="shared" si="1"/>
      </c>
      <c r="M17967">
        <f t="shared" si="2"/>
      </c>
    </row>
    <row r="17968">
      <c r="G17968" s="9">
        <f t="shared" si="0"/>
      </c>
      <c r="L17968">
        <f t="shared" si="1"/>
      </c>
      <c r="M17968">
        <f t="shared" si="2"/>
      </c>
    </row>
    <row r="17969">
      <c r="G17969" s="9">
        <f t="shared" si="0"/>
      </c>
      <c r="L17969">
        <f t="shared" si="1"/>
      </c>
      <c r="M17969">
        <f t="shared" si="2"/>
      </c>
    </row>
    <row r="17970">
      <c r="G17970" s="9">
        <f t="shared" si="0"/>
      </c>
      <c r="L17970">
        <f t="shared" si="1"/>
      </c>
      <c r="M17970">
        <f t="shared" si="2"/>
      </c>
    </row>
    <row r="17971">
      <c r="G17971" s="9">
        <f t="shared" si="0"/>
      </c>
      <c r="L17971">
        <f t="shared" si="1"/>
      </c>
      <c r="M17971">
        <f t="shared" si="2"/>
      </c>
    </row>
    <row r="17972">
      <c r="G17972" s="9">
        <f t="shared" si="0"/>
      </c>
      <c r="L17972">
        <f t="shared" si="1"/>
      </c>
      <c r="M17972">
        <f t="shared" si="2"/>
      </c>
    </row>
    <row r="17973">
      <c r="G17973" s="9">
        <f t="shared" si="0"/>
      </c>
      <c r="L17973">
        <f t="shared" si="1"/>
      </c>
      <c r="M17973">
        <f t="shared" si="2"/>
      </c>
    </row>
    <row r="17974">
      <c r="G17974" s="9">
        <f t="shared" si="0"/>
      </c>
      <c r="L17974">
        <f t="shared" si="1"/>
      </c>
      <c r="M17974">
        <f t="shared" si="2"/>
      </c>
    </row>
    <row r="17975">
      <c r="G17975" s="9">
        <f t="shared" si="0"/>
      </c>
      <c r="L17975">
        <f t="shared" si="1"/>
      </c>
      <c r="M17975">
        <f t="shared" si="2"/>
      </c>
    </row>
    <row r="17976">
      <c r="G17976" s="9">
        <f t="shared" si="0"/>
      </c>
      <c r="L17976">
        <f t="shared" si="1"/>
      </c>
      <c r="M17976">
        <f t="shared" si="2"/>
      </c>
    </row>
    <row r="17977">
      <c r="G17977" s="9">
        <f t="shared" si="0"/>
      </c>
      <c r="L17977">
        <f t="shared" si="1"/>
      </c>
      <c r="M17977">
        <f t="shared" si="2"/>
      </c>
    </row>
    <row r="17978">
      <c r="G17978" s="9">
        <f t="shared" si="0"/>
      </c>
      <c r="L17978">
        <f t="shared" si="1"/>
      </c>
      <c r="M17978">
        <f t="shared" si="2"/>
      </c>
    </row>
    <row r="17979">
      <c r="G17979" s="9">
        <f t="shared" si="0"/>
      </c>
      <c r="L17979">
        <f t="shared" si="1"/>
      </c>
      <c r="M17979">
        <f t="shared" si="2"/>
      </c>
    </row>
    <row r="17980">
      <c r="G17980" s="9">
        <f t="shared" si="0"/>
      </c>
      <c r="L17980">
        <f t="shared" si="1"/>
      </c>
      <c r="M17980">
        <f t="shared" si="2"/>
      </c>
    </row>
    <row r="17981">
      <c r="G17981" s="9">
        <f t="shared" si="0"/>
      </c>
      <c r="L17981">
        <f t="shared" si="1"/>
      </c>
      <c r="M17981">
        <f t="shared" si="2"/>
      </c>
    </row>
    <row r="17982">
      <c r="G17982" s="9">
        <f t="shared" si="0"/>
      </c>
      <c r="L17982">
        <f t="shared" si="1"/>
      </c>
      <c r="M17982">
        <f t="shared" si="2"/>
      </c>
    </row>
    <row r="17983">
      <c r="G17983" s="9">
        <f t="shared" si="0"/>
      </c>
      <c r="L17983">
        <f t="shared" si="1"/>
      </c>
      <c r="M17983">
        <f t="shared" si="2"/>
      </c>
    </row>
    <row r="17984">
      <c r="G17984" s="9">
        <f t="shared" si="0"/>
      </c>
      <c r="L17984">
        <f t="shared" si="1"/>
      </c>
      <c r="M17984">
        <f t="shared" si="2"/>
      </c>
    </row>
    <row r="17985">
      <c r="G17985" s="9">
        <f t="shared" si="0"/>
      </c>
      <c r="L17985">
        <f t="shared" si="1"/>
      </c>
      <c r="M17985">
        <f t="shared" si="2"/>
      </c>
    </row>
    <row r="17986">
      <c r="G17986" s="9">
        <f t="shared" si="0"/>
      </c>
      <c r="L17986">
        <f t="shared" si="1"/>
      </c>
      <c r="M17986">
        <f t="shared" si="2"/>
      </c>
    </row>
    <row r="17987">
      <c r="G17987" s="9">
        <f t="shared" si="0"/>
      </c>
      <c r="L17987">
        <f t="shared" si="1"/>
      </c>
      <c r="M17987">
        <f t="shared" si="2"/>
      </c>
    </row>
    <row r="17988">
      <c r="G17988" s="9">
        <f t="shared" si="0"/>
      </c>
      <c r="L17988">
        <f t="shared" si="1"/>
      </c>
      <c r="M17988">
        <f t="shared" si="2"/>
      </c>
    </row>
    <row r="17989">
      <c r="G17989" s="9">
        <f t="shared" si="0"/>
      </c>
      <c r="L17989">
        <f t="shared" si="1"/>
      </c>
      <c r="M17989">
        <f t="shared" si="2"/>
      </c>
    </row>
    <row r="17990">
      <c r="G17990" s="9">
        <f t="shared" si="0"/>
      </c>
      <c r="L17990">
        <f t="shared" si="1"/>
      </c>
      <c r="M17990">
        <f t="shared" si="2"/>
      </c>
    </row>
    <row r="17991">
      <c r="G17991" s="9">
        <f t="shared" si="0"/>
      </c>
      <c r="L17991">
        <f t="shared" si="1"/>
      </c>
      <c r="M17991">
        <f t="shared" si="2"/>
      </c>
    </row>
    <row r="17992">
      <c r="G17992" s="9">
        <f t="shared" si="0"/>
      </c>
      <c r="L17992">
        <f t="shared" si="1"/>
      </c>
      <c r="M17992">
        <f t="shared" si="2"/>
      </c>
    </row>
    <row r="17993">
      <c r="G17993" s="9">
        <f t="shared" si="0"/>
      </c>
      <c r="L17993">
        <f t="shared" si="1"/>
      </c>
      <c r="M17993">
        <f t="shared" si="2"/>
      </c>
    </row>
    <row r="17994">
      <c r="G17994" s="9">
        <f t="shared" si="0"/>
      </c>
      <c r="L17994">
        <f t="shared" si="1"/>
      </c>
      <c r="M17994">
        <f t="shared" si="2"/>
      </c>
    </row>
    <row r="17995">
      <c r="G17995" s="9">
        <f t="shared" si="0"/>
      </c>
      <c r="L17995">
        <f t="shared" si="1"/>
      </c>
      <c r="M17995">
        <f t="shared" si="2"/>
      </c>
    </row>
    <row r="17996">
      <c r="G17996" s="9">
        <f t="shared" si="0"/>
      </c>
      <c r="L17996">
        <f t="shared" si="1"/>
      </c>
      <c r="M17996">
        <f t="shared" si="2"/>
      </c>
    </row>
    <row r="17997">
      <c r="G17997" s="9">
        <f t="shared" si="0"/>
      </c>
      <c r="L17997">
        <f t="shared" si="1"/>
      </c>
      <c r="M17997">
        <f t="shared" si="2"/>
      </c>
    </row>
    <row r="17998">
      <c r="G17998" s="9">
        <f t="shared" si="0"/>
      </c>
      <c r="L17998">
        <f t="shared" si="1"/>
      </c>
      <c r="M17998">
        <f t="shared" si="2"/>
      </c>
    </row>
    <row r="17999">
      <c r="G17999" s="9">
        <f t="shared" si="0"/>
      </c>
      <c r="L17999">
        <f t="shared" si="1"/>
      </c>
      <c r="M17999">
        <f t="shared" si="2"/>
      </c>
    </row>
    <row r="18000">
      <c r="G18000" s="9">
        <f t="shared" si="0"/>
      </c>
      <c r="L18000">
        <f t="shared" si="1"/>
      </c>
      <c r="M18000">
        <f t="shared" si="2"/>
      </c>
    </row>
    <row r="18001">
      <c r="G18001" s="9">
        <f t="shared" si="0"/>
      </c>
      <c r="L18001">
        <f t="shared" si="1"/>
      </c>
      <c r="M18001">
        <f t="shared" si="2"/>
      </c>
    </row>
    <row r="18002">
      <c r="G18002" s="9">
        <f t="shared" si="0"/>
      </c>
      <c r="L18002">
        <f t="shared" si="1"/>
      </c>
      <c r="M18002">
        <f t="shared" si="2"/>
      </c>
    </row>
    <row r="18003">
      <c r="G18003" s="9">
        <f t="shared" si="0"/>
      </c>
      <c r="L18003">
        <f t="shared" si="1"/>
      </c>
      <c r="M18003">
        <f t="shared" si="2"/>
      </c>
    </row>
    <row r="18004">
      <c r="G18004" s="9">
        <f t="shared" si="0"/>
      </c>
      <c r="L18004">
        <f t="shared" si="1"/>
      </c>
      <c r="M18004">
        <f t="shared" si="2"/>
      </c>
    </row>
    <row r="18005">
      <c r="G18005" s="9">
        <f t="shared" si="0"/>
      </c>
      <c r="L18005">
        <f t="shared" si="1"/>
      </c>
      <c r="M18005">
        <f t="shared" si="2"/>
      </c>
    </row>
    <row r="18006">
      <c r="G18006" s="9">
        <f t="shared" si="0"/>
      </c>
      <c r="L18006">
        <f t="shared" si="1"/>
      </c>
      <c r="M18006">
        <f t="shared" si="2"/>
      </c>
    </row>
    <row r="18007">
      <c r="G18007" s="9">
        <f t="shared" si="0"/>
      </c>
      <c r="L18007">
        <f t="shared" si="1"/>
      </c>
      <c r="M18007">
        <f t="shared" si="2"/>
      </c>
    </row>
    <row r="18008">
      <c r="G18008" s="9">
        <f t="shared" si="0"/>
      </c>
      <c r="L18008">
        <f t="shared" si="1"/>
      </c>
      <c r="M18008">
        <f t="shared" si="2"/>
      </c>
    </row>
    <row r="18009">
      <c r="G18009" s="9">
        <f t="shared" si="0"/>
      </c>
      <c r="L18009">
        <f t="shared" si="1"/>
      </c>
      <c r="M18009">
        <f t="shared" si="2"/>
      </c>
    </row>
    <row r="18010">
      <c r="G18010" s="9">
        <f t="shared" si="0"/>
      </c>
      <c r="L18010">
        <f t="shared" si="1"/>
      </c>
      <c r="M18010">
        <f t="shared" si="2"/>
      </c>
    </row>
    <row r="18011">
      <c r="G18011" s="9">
        <f t="shared" si="0"/>
      </c>
      <c r="L18011">
        <f t="shared" si="1"/>
      </c>
      <c r="M18011">
        <f t="shared" si="2"/>
      </c>
    </row>
    <row r="18012">
      <c r="G18012" s="9">
        <f t="shared" si="0"/>
      </c>
      <c r="L18012">
        <f t="shared" si="1"/>
      </c>
      <c r="M18012">
        <f t="shared" si="2"/>
      </c>
    </row>
    <row r="18013">
      <c r="G18013" s="9">
        <f t="shared" si="0"/>
      </c>
      <c r="L18013">
        <f t="shared" si="1"/>
      </c>
      <c r="M18013">
        <f t="shared" si="2"/>
      </c>
    </row>
    <row r="18014">
      <c r="G18014" s="9">
        <f t="shared" si="0"/>
      </c>
      <c r="L18014">
        <f t="shared" si="1"/>
      </c>
      <c r="M18014">
        <f t="shared" si="2"/>
      </c>
    </row>
    <row r="18015">
      <c r="G18015" s="9">
        <f t="shared" si="0"/>
      </c>
      <c r="L18015">
        <f t="shared" si="1"/>
      </c>
      <c r="M18015">
        <f t="shared" si="2"/>
      </c>
    </row>
    <row r="18016">
      <c r="G18016" s="9">
        <f t="shared" si="0"/>
      </c>
      <c r="L18016">
        <f t="shared" si="1"/>
      </c>
      <c r="M18016">
        <f t="shared" si="2"/>
      </c>
    </row>
    <row r="18017">
      <c r="G18017" s="9">
        <f t="shared" si="0"/>
      </c>
      <c r="L18017">
        <f t="shared" si="1"/>
      </c>
      <c r="M18017">
        <f t="shared" si="2"/>
      </c>
    </row>
    <row r="18018">
      <c r="G18018" s="9">
        <f t="shared" si="0"/>
      </c>
      <c r="L18018">
        <f t="shared" si="1"/>
      </c>
      <c r="M18018">
        <f t="shared" si="2"/>
      </c>
    </row>
    <row r="18019">
      <c r="G18019" s="9">
        <f t="shared" si="0"/>
      </c>
      <c r="L18019">
        <f t="shared" si="1"/>
      </c>
      <c r="M18019">
        <f t="shared" si="2"/>
      </c>
    </row>
    <row r="18020">
      <c r="G18020" s="9">
        <f t="shared" si="0"/>
      </c>
      <c r="L18020">
        <f t="shared" si="1"/>
      </c>
      <c r="M18020">
        <f t="shared" si="2"/>
      </c>
    </row>
    <row r="18021">
      <c r="G18021" s="9">
        <f t="shared" si="0"/>
      </c>
      <c r="L18021">
        <f t="shared" si="1"/>
      </c>
      <c r="M18021">
        <f t="shared" si="2"/>
      </c>
    </row>
    <row r="18022">
      <c r="G18022" s="9">
        <f t="shared" si="0"/>
      </c>
      <c r="L18022">
        <f t="shared" si="1"/>
      </c>
      <c r="M18022">
        <f t="shared" si="2"/>
      </c>
    </row>
    <row r="18023">
      <c r="G18023" s="9">
        <f t="shared" si="0"/>
      </c>
      <c r="L18023">
        <f t="shared" si="1"/>
      </c>
      <c r="M18023">
        <f t="shared" si="2"/>
      </c>
    </row>
    <row r="18024">
      <c r="G18024" s="9">
        <f t="shared" si="0"/>
      </c>
      <c r="L18024">
        <f t="shared" si="1"/>
      </c>
      <c r="M18024">
        <f t="shared" si="2"/>
      </c>
    </row>
    <row r="18025">
      <c r="G18025" s="9">
        <f t="shared" si="0"/>
      </c>
      <c r="L18025">
        <f t="shared" si="1"/>
      </c>
      <c r="M18025">
        <f t="shared" si="2"/>
      </c>
    </row>
    <row r="18026">
      <c r="G18026" s="9">
        <f t="shared" si="0"/>
      </c>
      <c r="L18026">
        <f t="shared" si="1"/>
      </c>
      <c r="M18026">
        <f t="shared" si="2"/>
      </c>
    </row>
    <row r="18027">
      <c r="G18027" s="9">
        <f t="shared" si="0"/>
      </c>
      <c r="L18027">
        <f t="shared" si="1"/>
      </c>
      <c r="M18027">
        <f t="shared" si="2"/>
      </c>
    </row>
    <row r="18028">
      <c r="G18028" s="9">
        <f t="shared" si="0"/>
      </c>
      <c r="L18028">
        <f t="shared" si="1"/>
      </c>
      <c r="M18028">
        <f t="shared" si="2"/>
      </c>
    </row>
    <row r="18029">
      <c r="G18029" s="9">
        <f t="shared" si="0"/>
      </c>
      <c r="L18029">
        <f t="shared" si="1"/>
      </c>
      <c r="M18029">
        <f t="shared" si="2"/>
      </c>
    </row>
    <row r="18030">
      <c r="G18030" s="9">
        <f t="shared" si="0"/>
      </c>
      <c r="L18030">
        <f t="shared" si="1"/>
      </c>
      <c r="M18030">
        <f t="shared" si="2"/>
      </c>
    </row>
    <row r="18031">
      <c r="G18031" s="9">
        <f t="shared" si="0"/>
      </c>
      <c r="L18031">
        <f t="shared" si="1"/>
      </c>
      <c r="M18031">
        <f t="shared" si="2"/>
      </c>
    </row>
    <row r="18032">
      <c r="G18032" s="9">
        <f t="shared" si="0"/>
      </c>
      <c r="L18032">
        <f t="shared" si="1"/>
      </c>
      <c r="M18032">
        <f t="shared" si="2"/>
      </c>
    </row>
    <row r="18033">
      <c r="G18033" s="9">
        <f t="shared" si="0"/>
      </c>
      <c r="L18033">
        <f t="shared" si="1"/>
      </c>
      <c r="M18033">
        <f t="shared" si="2"/>
      </c>
    </row>
    <row r="18034">
      <c r="G18034" s="9">
        <f t="shared" si="0"/>
      </c>
      <c r="L18034">
        <f t="shared" si="1"/>
      </c>
      <c r="M18034">
        <f t="shared" si="2"/>
      </c>
    </row>
    <row r="18035">
      <c r="G18035" s="9">
        <f t="shared" si="0"/>
      </c>
      <c r="L18035">
        <f t="shared" si="1"/>
      </c>
      <c r="M18035">
        <f t="shared" si="2"/>
      </c>
    </row>
    <row r="18036">
      <c r="G18036" s="9">
        <f t="shared" si="0"/>
      </c>
      <c r="L18036">
        <f t="shared" si="1"/>
      </c>
      <c r="M18036">
        <f t="shared" si="2"/>
      </c>
    </row>
    <row r="18037">
      <c r="G18037" s="9">
        <f t="shared" si="0"/>
      </c>
      <c r="L18037">
        <f t="shared" si="1"/>
      </c>
      <c r="M18037">
        <f t="shared" si="2"/>
      </c>
    </row>
    <row r="18038">
      <c r="G18038" s="9">
        <f t="shared" si="0"/>
      </c>
      <c r="L18038">
        <f t="shared" si="1"/>
      </c>
      <c r="M18038">
        <f t="shared" si="2"/>
      </c>
    </row>
    <row r="18039">
      <c r="G18039" s="9">
        <f t="shared" si="0"/>
      </c>
      <c r="L18039">
        <f t="shared" si="1"/>
      </c>
      <c r="M18039">
        <f t="shared" si="2"/>
      </c>
    </row>
    <row r="18040">
      <c r="G18040" s="9">
        <f t="shared" si="0"/>
      </c>
      <c r="L18040">
        <f t="shared" si="1"/>
      </c>
      <c r="M18040">
        <f t="shared" si="2"/>
      </c>
    </row>
    <row r="18041">
      <c r="G18041" s="9">
        <f t="shared" si="0"/>
      </c>
      <c r="L18041">
        <f t="shared" si="1"/>
      </c>
      <c r="M18041">
        <f t="shared" si="2"/>
      </c>
    </row>
    <row r="18042">
      <c r="G18042" s="9">
        <f t="shared" si="0"/>
      </c>
      <c r="L18042">
        <f t="shared" si="1"/>
      </c>
      <c r="M18042">
        <f t="shared" si="2"/>
      </c>
    </row>
    <row r="18043">
      <c r="G18043" s="9">
        <f t="shared" si="0"/>
      </c>
      <c r="L18043">
        <f t="shared" si="1"/>
      </c>
      <c r="M18043">
        <f t="shared" si="2"/>
      </c>
    </row>
    <row r="18044">
      <c r="G18044" s="9">
        <f t="shared" si="0"/>
      </c>
      <c r="L18044">
        <f t="shared" si="1"/>
      </c>
      <c r="M18044">
        <f t="shared" si="2"/>
      </c>
    </row>
    <row r="18045">
      <c r="G18045" s="9">
        <f t="shared" si="0"/>
      </c>
      <c r="L18045">
        <f t="shared" si="1"/>
      </c>
      <c r="M18045">
        <f t="shared" si="2"/>
      </c>
    </row>
    <row r="18046">
      <c r="G18046" s="9">
        <f t="shared" si="0"/>
      </c>
      <c r="L18046">
        <f t="shared" si="1"/>
      </c>
      <c r="M18046">
        <f t="shared" si="2"/>
      </c>
    </row>
    <row r="18047">
      <c r="G18047" s="9">
        <f t="shared" si="0"/>
      </c>
      <c r="L18047">
        <f t="shared" si="1"/>
      </c>
      <c r="M18047">
        <f t="shared" si="2"/>
      </c>
    </row>
    <row r="18048">
      <c r="G18048" s="9">
        <f t="shared" si="0"/>
      </c>
      <c r="L18048">
        <f t="shared" si="1"/>
      </c>
      <c r="M18048">
        <f t="shared" si="2"/>
      </c>
    </row>
    <row r="18049">
      <c r="G18049" s="9">
        <f t="shared" si="0"/>
      </c>
      <c r="L18049">
        <f t="shared" si="1"/>
      </c>
      <c r="M18049">
        <f t="shared" si="2"/>
      </c>
    </row>
    <row r="18050">
      <c r="G18050" s="9">
        <f t="shared" si="0"/>
      </c>
      <c r="L18050">
        <f t="shared" si="1"/>
      </c>
      <c r="M18050">
        <f t="shared" si="2"/>
      </c>
    </row>
    <row r="18051">
      <c r="G18051" s="9">
        <f t="shared" si="0"/>
      </c>
      <c r="L18051">
        <f t="shared" si="1"/>
      </c>
      <c r="M18051">
        <f t="shared" si="2"/>
      </c>
    </row>
    <row r="18052">
      <c r="G18052" s="9">
        <f t="shared" si="0"/>
      </c>
      <c r="L18052">
        <f t="shared" si="1"/>
      </c>
      <c r="M18052">
        <f t="shared" si="2"/>
      </c>
    </row>
    <row r="18053">
      <c r="G18053" s="9">
        <f t="shared" si="0"/>
      </c>
      <c r="L18053">
        <f t="shared" si="1"/>
      </c>
      <c r="M18053">
        <f t="shared" si="2"/>
      </c>
    </row>
    <row r="18054">
      <c r="G18054" s="9">
        <f t="shared" si="0"/>
      </c>
      <c r="L18054">
        <f t="shared" si="1"/>
      </c>
      <c r="M18054">
        <f t="shared" si="2"/>
      </c>
    </row>
    <row r="18055">
      <c r="G18055" s="9">
        <f t="shared" si="0"/>
      </c>
      <c r="L18055">
        <f t="shared" si="1"/>
      </c>
      <c r="M18055">
        <f t="shared" si="2"/>
      </c>
    </row>
    <row r="18056">
      <c r="G18056" s="9">
        <f t="shared" si="0"/>
      </c>
      <c r="L18056">
        <f t="shared" si="1"/>
      </c>
      <c r="M18056">
        <f t="shared" si="2"/>
      </c>
    </row>
    <row r="18057">
      <c r="G18057" s="9">
        <f t="shared" si="0"/>
      </c>
      <c r="L18057">
        <f t="shared" si="1"/>
      </c>
      <c r="M18057">
        <f t="shared" si="2"/>
      </c>
    </row>
    <row r="18058">
      <c r="G18058" s="9">
        <f t="shared" si="0"/>
      </c>
      <c r="L18058">
        <f t="shared" si="1"/>
      </c>
      <c r="M18058">
        <f t="shared" si="2"/>
      </c>
    </row>
    <row r="18059">
      <c r="G18059" s="9">
        <f t="shared" si="0"/>
      </c>
      <c r="L18059">
        <f t="shared" si="1"/>
      </c>
      <c r="M18059">
        <f t="shared" si="2"/>
      </c>
    </row>
    <row r="18060">
      <c r="G18060" s="9">
        <f t="shared" si="0"/>
      </c>
      <c r="L18060">
        <f t="shared" si="1"/>
      </c>
      <c r="M18060">
        <f t="shared" si="2"/>
      </c>
    </row>
    <row r="18061">
      <c r="G18061" s="9">
        <f t="shared" si="0"/>
      </c>
      <c r="L18061">
        <f t="shared" si="1"/>
      </c>
      <c r="M18061">
        <f t="shared" si="2"/>
      </c>
    </row>
    <row r="18062">
      <c r="G18062" s="9">
        <f t="shared" si="0"/>
      </c>
      <c r="L18062">
        <f t="shared" si="1"/>
      </c>
      <c r="M18062">
        <f t="shared" si="2"/>
      </c>
    </row>
    <row r="18063">
      <c r="G18063" s="9">
        <f t="shared" si="0"/>
      </c>
      <c r="L18063">
        <f t="shared" si="1"/>
      </c>
      <c r="M18063">
        <f t="shared" si="2"/>
      </c>
    </row>
    <row r="18064">
      <c r="G18064" s="9">
        <f t="shared" si="0"/>
      </c>
      <c r="L18064">
        <f t="shared" si="1"/>
      </c>
      <c r="M18064">
        <f t="shared" si="2"/>
      </c>
    </row>
    <row r="18065">
      <c r="G18065" s="9">
        <f t="shared" si="0"/>
      </c>
      <c r="L18065">
        <f t="shared" si="1"/>
      </c>
      <c r="M18065">
        <f t="shared" si="2"/>
      </c>
    </row>
    <row r="18066">
      <c r="G18066" s="9">
        <f t="shared" si="0"/>
      </c>
      <c r="L18066">
        <f t="shared" si="1"/>
      </c>
      <c r="M18066">
        <f t="shared" si="2"/>
      </c>
    </row>
    <row r="18067">
      <c r="G18067" s="9">
        <f t="shared" si="0"/>
      </c>
      <c r="L18067">
        <f t="shared" si="1"/>
      </c>
      <c r="M18067">
        <f t="shared" si="2"/>
      </c>
    </row>
    <row r="18068">
      <c r="G18068" s="9">
        <f t="shared" si="0"/>
      </c>
      <c r="L18068">
        <f t="shared" si="1"/>
      </c>
      <c r="M18068">
        <f t="shared" si="2"/>
      </c>
    </row>
    <row r="18069">
      <c r="G18069" s="9">
        <f t="shared" si="0"/>
      </c>
      <c r="L18069">
        <f t="shared" si="1"/>
      </c>
      <c r="M18069">
        <f t="shared" si="2"/>
      </c>
    </row>
    <row r="18070">
      <c r="G18070" s="9">
        <f t="shared" si="0"/>
      </c>
      <c r="L18070">
        <f t="shared" si="1"/>
      </c>
      <c r="M18070">
        <f t="shared" si="2"/>
      </c>
    </row>
    <row r="18071">
      <c r="G18071" s="9">
        <f t="shared" si="0"/>
      </c>
      <c r="L18071">
        <f t="shared" si="1"/>
      </c>
      <c r="M18071">
        <f t="shared" si="2"/>
      </c>
    </row>
    <row r="18072">
      <c r="G18072" s="9">
        <f t="shared" si="0"/>
      </c>
      <c r="L18072">
        <f t="shared" si="1"/>
      </c>
      <c r="M18072">
        <f t="shared" si="2"/>
      </c>
    </row>
    <row r="18073">
      <c r="G18073" s="9">
        <f t="shared" si="0"/>
      </c>
      <c r="L18073">
        <f t="shared" si="1"/>
      </c>
      <c r="M18073">
        <f t="shared" si="2"/>
      </c>
    </row>
    <row r="18074">
      <c r="G18074" s="9">
        <f t="shared" si="0"/>
      </c>
      <c r="L18074">
        <f t="shared" si="1"/>
      </c>
      <c r="M18074">
        <f t="shared" si="2"/>
      </c>
    </row>
    <row r="18075">
      <c r="G18075" s="9">
        <f t="shared" si="0"/>
      </c>
      <c r="L18075">
        <f t="shared" si="1"/>
      </c>
      <c r="M18075">
        <f t="shared" si="2"/>
      </c>
    </row>
    <row r="18076">
      <c r="G18076" s="9">
        <f t="shared" si="0"/>
      </c>
      <c r="L18076">
        <f t="shared" si="1"/>
      </c>
      <c r="M18076">
        <f t="shared" si="2"/>
      </c>
    </row>
    <row r="18077">
      <c r="G18077" s="9">
        <f t="shared" si="0"/>
      </c>
      <c r="L18077">
        <f t="shared" si="1"/>
      </c>
      <c r="M18077">
        <f t="shared" si="2"/>
      </c>
    </row>
    <row r="18078">
      <c r="G18078" s="9">
        <f t="shared" si="0"/>
      </c>
      <c r="L18078">
        <f t="shared" si="1"/>
      </c>
      <c r="M18078">
        <f t="shared" si="2"/>
      </c>
    </row>
    <row r="18079">
      <c r="G18079" s="9">
        <f t="shared" si="0"/>
      </c>
      <c r="L18079">
        <f t="shared" si="1"/>
      </c>
      <c r="M18079">
        <f t="shared" si="2"/>
      </c>
    </row>
    <row r="18080">
      <c r="G18080" s="9">
        <f t="shared" si="0"/>
      </c>
      <c r="L18080">
        <f t="shared" si="1"/>
      </c>
      <c r="M18080">
        <f t="shared" si="2"/>
      </c>
    </row>
    <row r="18081">
      <c r="G18081" s="9">
        <f t="shared" si="0"/>
      </c>
      <c r="L18081">
        <f t="shared" si="1"/>
      </c>
      <c r="M18081">
        <f t="shared" si="2"/>
      </c>
    </row>
    <row r="18082">
      <c r="G18082" s="9">
        <f t="shared" si="0"/>
      </c>
      <c r="L18082">
        <f t="shared" si="1"/>
      </c>
      <c r="M18082">
        <f t="shared" si="2"/>
      </c>
    </row>
    <row r="18083">
      <c r="G18083" s="9">
        <f t="shared" si="0"/>
      </c>
      <c r="L18083">
        <f t="shared" si="1"/>
      </c>
      <c r="M18083">
        <f t="shared" si="2"/>
      </c>
    </row>
    <row r="18084">
      <c r="G18084" s="9">
        <f t="shared" si="0"/>
      </c>
      <c r="L18084">
        <f t="shared" si="1"/>
      </c>
      <c r="M18084">
        <f t="shared" si="2"/>
      </c>
    </row>
    <row r="18085">
      <c r="G18085" s="9">
        <f t="shared" si="0"/>
      </c>
      <c r="L18085">
        <f t="shared" si="1"/>
      </c>
      <c r="M18085">
        <f t="shared" si="2"/>
      </c>
    </row>
    <row r="18086">
      <c r="G18086" s="9">
        <f t="shared" si="0"/>
      </c>
      <c r="L18086">
        <f t="shared" si="1"/>
      </c>
      <c r="M18086">
        <f t="shared" si="2"/>
      </c>
    </row>
    <row r="18087">
      <c r="G18087" s="9">
        <f t="shared" si="0"/>
      </c>
      <c r="L18087">
        <f t="shared" si="1"/>
      </c>
      <c r="M18087">
        <f t="shared" si="2"/>
      </c>
    </row>
    <row r="18088">
      <c r="G18088" s="9">
        <f t="shared" si="0"/>
      </c>
      <c r="L18088">
        <f t="shared" si="1"/>
      </c>
      <c r="M18088">
        <f t="shared" si="2"/>
      </c>
    </row>
    <row r="18089">
      <c r="G18089" s="9">
        <f t="shared" si="0"/>
      </c>
      <c r="L18089">
        <f t="shared" si="1"/>
      </c>
      <c r="M18089">
        <f t="shared" si="2"/>
      </c>
    </row>
    <row r="18090">
      <c r="G18090" s="9">
        <f t="shared" si="0"/>
      </c>
      <c r="L18090">
        <f t="shared" si="1"/>
      </c>
      <c r="M18090">
        <f t="shared" si="2"/>
      </c>
    </row>
    <row r="18091">
      <c r="G18091" s="9">
        <f t="shared" si="0"/>
      </c>
      <c r="L18091">
        <f t="shared" si="1"/>
      </c>
      <c r="M18091">
        <f t="shared" si="2"/>
      </c>
    </row>
    <row r="18092">
      <c r="G18092" s="9">
        <f t="shared" si="0"/>
      </c>
      <c r="L18092">
        <f t="shared" si="1"/>
      </c>
      <c r="M18092">
        <f t="shared" si="2"/>
      </c>
    </row>
    <row r="18093">
      <c r="G18093" s="9">
        <f t="shared" si="0"/>
      </c>
      <c r="L18093">
        <f t="shared" si="1"/>
      </c>
      <c r="M18093">
        <f t="shared" si="2"/>
      </c>
    </row>
    <row r="18094">
      <c r="G18094" s="9">
        <f t="shared" si="0"/>
      </c>
      <c r="L18094">
        <f t="shared" si="1"/>
      </c>
      <c r="M18094">
        <f t="shared" si="2"/>
      </c>
    </row>
    <row r="18095">
      <c r="G18095" s="9">
        <f t="shared" si="0"/>
      </c>
      <c r="L18095">
        <f t="shared" si="1"/>
      </c>
      <c r="M18095">
        <f t="shared" si="2"/>
      </c>
    </row>
    <row r="18096">
      <c r="G18096" s="9">
        <f t="shared" si="0"/>
      </c>
      <c r="L18096">
        <f t="shared" si="1"/>
      </c>
      <c r="M18096">
        <f t="shared" si="2"/>
      </c>
    </row>
    <row r="18097">
      <c r="G18097" s="9">
        <f t="shared" si="0"/>
      </c>
      <c r="L18097">
        <f t="shared" si="1"/>
      </c>
      <c r="M18097">
        <f t="shared" si="2"/>
      </c>
    </row>
    <row r="18098">
      <c r="G18098" s="9">
        <f t="shared" si="0"/>
      </c>
      <c r="L18098">
        <f t="shared" si="1"/>
      </c>
      <c r="M18098">
        <f t="shared" si="2"/>
      </c>
    </row>
    <row r="18099">
      <c r="G18099" s="9">
        <f t="shared" si="0"/>
      </c>
      <c r="L18099">
        <f t="shared" si="1"/>
      </c>
      <c r="M18099">
        <f t="shared" si="2"/>
      </c>
    </row>
    <row r="18100">
      <c r="G18100" s="9">
        <f t="shared" si="0"/>
      </c>
      <c r="L18100">
        <f t="shared" si="1"/>
      </c>
      <c r="M18100">
        <f t="shared" si="2"/>
      </c>
    </row>
    <row r="18101">
      <c r="G18101" s="9">
        <f t="shared" si="0"/>
      </c>
      <c r="L18101">
        <f t="shared" si="1"/>
      </c>
      <c r="M18101">
        <f t="shared" si="2"/>
      </c>
    </row>
    <row r="18102">
      <c r="G18102" s="9">
        <f t="shared" si="0"/>
      </c>
      <c r="L18102">
        <f t="shared" si="1"/>
      </c>
      <c r="M18102">
        <f t="shared" si="2"/>
      </c>
    </row>
    <row r="18103">
      <c r="G18103" s="9">
        <f t="shared" si="0"/>
      </c>
      <c r="L18103">
        <f t="shared" si="1"/>
      </c>
      <c r="M18103">
        <f t="shared" si="2"/>
      </c>
    </row>
    <row r="18104">
      <c r="G18104" s="9">
        <f t="shared" si="0"/>
      </c>
      <c r="L18104">
        <f t="shared" si="1"/>
      </c>
      <c r="M18104">
        <f t="shared" si="2"/>
      </c>
    </row>
    <row r="18105">
      <c r="G18105" s="9">
        <f t="shared" si="0"/>
      </c>
      <c r="L18105">
        <f t="shared" si="1"/>
      </c>
      <c r="M18105">
        <f t="shared" si="2"/>
      </c>
    </row>
    <row r="18106">
      <c r="G18106" s="9">
        <f t="shared" si="0"/>
      </c>
      <c r="L18106">
        <f t="shared" si="1"/>
      </c>
      <c r="M18106">
        <f t="shared" si="2"/>
      </c>
    </row>
    <row r="18107">
      <c r="G18107" s="9">
        <f t="shared" si="0"/>
      </c>
      <c r="L18107">
        <f t="shared" si="1"/>
      </c>
      <c r="M18107">
        <f t="shared" si="2"/>
      </c>
    </row>
    <row r="18108">
      <c r="G18108" s="9">
        <f t="shared" si="0"/>
      </c>
      <c r="L18108">
        <f t="shared" si="1"/>
      </c>
      <c r="M18108">
        <f t="shared" si="2"/>
      </c>
    </row>
    <row r="18109">
      <c r="G18109" s="9">
        <f t="shared" si="0"/>
      </c>
      <c r="L18109">
        <f t="shared" si="1"/>
      </c>
      <c r="M18109">
        <f t="shared" si="2"/>
      </c>
    </row>
    <row r="18110">
      <c r="G18110" s="9">
        <f t="shared" si="0"/>
      </c>
      <c r="L18110">
        <f t="shared" si="1"/>
      </c>
      <c r="M18110">
        <f t="shared" si="2"/>
      </c>
    </row>
    <row r="18111">
      <c r="G18111" s="9">
        <f t="shared" si="0"/>
      </c>
      <c r="L18111">
        <f t="shared" si="1"/>
      </c>
      <c r="M18111">
        <f t="shared" si="2"/>
      </c>
    </row>
    <row r="18112">
      <c r="G18112" s="9">
        <f t="shared" si="0"/>
      </c>
      <c r="L18112">
        <f t="shared" si="1"/>
      </c>
      <c r="M18112">
        <f t="shared" si="2"/>
      </c>
    </row>
    <row r="18113">
      <c r="G18113" s="9">
        <f t="shared" si="0"/>
      </c>
      <c r="L18113">
        <f t="shared" si="1"/>
      </c>
      <c r="M18113">
        <f t="shared" si="2"/>
      </c>
    </row>
    <row r="18114">
      <c r="G18114" s="9">
        <f t="shared" si="0"/>
      </c>
      <c r="L18114">
        <f t="shared" si="1"/>
      </c>
      <c r="M18114">
        <f t="shared" si="2"/>
      </c>
    </row>
    <row r="18115">
      <c r="G18115" s="9">
        <f t="shared" si="0"/>
      </c>
      <c r="L18115">
        <f t="shared" si="1"/>
      </c>
      <c r="M18115">
        <f t="shared" si="2"/>
      </c>
    </row>
    <row r="18116">
      <c r="G18116" s="9">
        <f t="shared" si="0"/>
      </c>
      <c r="L18116">
        <f t="shared" si="1"/>
      </c>
      <c r="M18116">
        <f t="shared" si="2"/>
      </c>
    </row>
    <row r="18117">
      <c r="G18117" s="9">
        <f t="shared" si="0"/>
      </c>
      <c r="L18117">
        <f t="shared" si="1"/>
      </c>
      <c r="M18117">
        <f t="shared" si="2"/>
      </c>
    </row>
    <row r="18118">
      <c r="G18118" s="9">
        <f t="shared" si="0"/>
      </c>
      <c r="L18118">
        <f t="shared" si="1"/>
      </c>
      <c r="M18118">
        <f t="shared" si="2"/>
      </c>
    </row>
    <row r="18119">
      <c r="G18119" s="9">
        <f t="shared" si="0"/>
      </c>
      <c r="L18119">
        <f t="shared" si="1"/>
      </c>
      <c r="M18119">
        <f t="shared" si="2"/>
      </c>
    </row>
    <row r="18120">
      <c r="G18120" s="9">
        <f t="shared" si="0"/>
      </c>
      <c r="L18120">
        <f t="shared" si="1"/>
      </c>
      <c r="M18120">
        <f t="shared" si="2"/>
      </c>
    </row>
    <row r="18121">
      <c r="G18121" s="9">
        <f t="shared" si="0"/>
      </c>
      <c r="L18121">
        <f t="shared" si="1"/>
      </c>
      <c r="M18121">
        <f t="shared" si="2"/>
      </c>
    </row>
    <row r="18122">
      <c r="G18122" s="9">
        <f t="shared" si="0"/>
      </c>
      <c r="L18122">
        <f t="shared" si="1"/>
      </c>
      <c r="M18122">
        <f t="shared" si="2"/>
      </c>
    </row>
    <row r="18123">
      <c r="G18123" s="9">
        <f t="shared" si="0"/>
      </c>
      <c r="L18123">
        <f t="shared" si="1"/>
      </c>
      <c r="M18123">
        <f t="shared" si="2"/>
      </c>
    </row>
    <row r="18124">
      <c r="G18124" s="9">
        <f t="shared" si="0"/>
      </c>
      <c r="L18124">
        <f t="shared" si="1"/>
      </c>
      <c r="M18124">
        <f t="shared" si="2"/>
      </c>
    </row>
    <row r="18125">
      <c r="G18125" s="9">
        <f t="shared" si="0"/>
      </c>
      <c r="L18125">
        <f t="shared" si="1"/>
      </c>
      <c r="M18125">
        <f t="shared" si="2"/>
      </c>
    </row>
    <row r="18126">
      <c r="G18126" s="9">
        <f t="shared" si="0"/>
      </c>
      <c r="L18126">
        <f t="shared" si="1"/>
      </c>
      <c r="M18126">
        <f t="shared" si="2"/>
      </c>
    </row>
    <row r="18127">
      <c r="G18127" s="9">
        <f t="shared" si="0"/>
      </c>
      <c r="L18127">
        <f t="shared" si="1"/>
      </c>
      <c r="M18127">
        <f t="shared" si="2"/>
      </c>
    </row>
    <row r="18128">
      <c r="G18128" s="9">
        <f t="shared" si="0"/>
      </c>
      <c r="L18128">
        <f t="shared" si="1"/>
      </c>
      <c r="M18128">
        <f t="shared" si="2"/>
      </c>
    </row>
    <row r="18129">
      <c r="G18129" s="9">
        <f t="shared" si="0"/>
      </c>
      <c r="L18129">
        <f t="shared" si="1"/>
      </c>
      <c r="M18129">
        <f t="shared" si="2"/>
      </c>
    </row>
    <row r="18130">
      <c r="G18130" s="9">
        <f t="shared" si="0"/>
      </c>
      <c r="L18130">
        <f t="shared" si="1"/>
      </c>
      <c r="M18130">
        <f t="shared" si="2"/>
      </c>
    </row>
    <row r="18131">
      <c r="G18131" s="9">
        <f t="shared" si="0"/>
      </c>
      <c r="L18131">
        <f t="shared" si="1"/>
      </c>
      <c r="M18131">
        <f t="shared" si="2"/>
      </c>
    </row>
    <row r="18132">
      <c r="G18132" s="9">
        <f t="shared" si="0"/>
      </c>
      <c r="L18132">
        <f t="shared" si="1"/>
      </c>
      <c r="M18132">
        <f t="shared" si="2"/>
      </c>
    </row>
    <row r="18133">
      <c r="G18133" s="9">
        <f t="shared" si="0"/>
      </c>
      <c r="L18133">
        <f t="shared" si="1"/>
      </c>
      <c r="M18133">
        <f t="shared" si="2"/>
      </c>
    </row>
    <row r="18134">
      <c r="G18134" s="9">
        <f t="shared" si="0"/>
      </c>
      <c r="L18134">
        <f t="shared" si="1"/>
      </c>
      <c r="M18134">
        <f t="shared" si="2"/>
      </c>
    </row>
    <row r="18135">
      <c r="G18135" s="9">
        <f t="shared" si="0"/>
      </c>
      <c r="L18135">
        <f t="shared" si="1"/>
      </c>
      <c r="M18135">
        <f t="shared" si="2"/>
      </c>
    </row>
    <row r="18136">
      <c r="G18136" s="9">
        <f t="shared" si="0"/>
      </c>
      <c r="L18136">
        <f t="shared" si="1"/>
      </c>
      <c r="M18136">
        <f t="shared" si="2"/>
      </c>
    </row>
    <row r="18137">
      <c r="G18137" s="9">
        <f t="shared" si="0"/>
      </c>
      <c r="L18137">
        <f t="shared" si="1"/>
      </c>
      <c r="M18137">
        <f t="shared" si="2"/>
      </c>
    </row>
    <row r="18138">
      <c r="G18138" s="9">
        <f t="shared" si="0"/>
      </c>
      <c r="L18138">
        <f t="shared" si="1"/>
      </c>
      <c r="M18138">
        <f t="shared" si="2"/>
      </c>
    </row>
    <row r="18139">
      <c r="G18139" s="9">
        <f t="shared" si="0"/>
      </c>
      <c r="L18139">
        <f t="shared" si="1"/>
      </c>
      <c r="M18139">
        <f t="shared" si="2"/>
      </c>
    </row>
    <row r="18140">
      <c r="G18140" s="9">
        <f t="shared" si="0"/>
      </c>
      <c r="L18140">
        <f t="shared" si="1"/>
      </c>
      <c r="M18140">
        <f t="shared" si="2"/>
      </c>
    </row>
    <row r="18141">
      <c r="G18141" s="9">
        <f t="shared" si="0"/>
      </c>
      <c r="L18141">
        <f t="shared" si="1"/>
      </c>
      <c r="M18141">
        <f t="shared" si="2"/>
      </c>
    </row>
    <row r="18142">
      <c r="G18142" s="9">
        <f t="shared" si="0"/>
      </c>
      <c r="L18142">
        <f t="shared" si="1"/>
      </c>
      <c r="M18142">
        <f t="shared" si="2"/>
      </c>
    </row>
    <row r="18143">
      <c r="G18143" s="9">
        <f t="shared" si="0"/>
      </c>
      <c r="L18143">
        <f t="shared" si="1"/>
      </c>
      <c r="M18143">
        <f t="shared" si="2"/>
      </c>
    </row>
    <row r="18144">
      <c r="G18144" s="9">
        <f t="shared" si="0"/>
      </c>
      <c r="L18144">
        <f t="shared" si="1"/>
      </c>
      <c r="M18144">
        <f t="shared" si="2"/>
      </c>
    </row>
    <row r="18145">
      <c r="G18145" s="9">
        <f t="shared" si="0"/>
      </c>
      <c r="L18145">
        <f t="shared" si="1"/>
      </c>
      <c r="M18145">
        <f t="shared" si="2"/>
      </c>
    </row>
    <row r="18146">
      <c r="G18146" s="9">
        <f t="shared" si="0"/>
      </c>
      <c r="L18146">
        <f t="shared" si="1"/>
      </c>
      <c r="M18146">
        <f t="shared" si="2"/>
      </c>
    </row>
    <row r="18147">
      <c r="G18147" s="9">
        <f t="shared" si="0"/>
      </c>
      <c r="L18147">
        <f t="shared" si="1"/>
      </c>
      <c r="M18147">
        <f t="shared" si="2"/>
      </c>
    </row>
    <row r="18148">
      <c r="G18148" s="9">
        <f t="shared" si="0"/>
      </c>
      <c r="L18148">
        <f t="shared" si="1"/>
      </c>
      <c r="M18148">
        <f t="shared" si="2"/>
      </c>
    </row>
    <row r="18149">
      <c r="G18149" s="9">
        <f t="shared" si="0"/>
      </c>
      <c r="L18149">
        <f t="shared" si="1"/>
      </c>
      <c r="M18149">
        <f t="shared" si="2"/>
      </c>
    </row>
    <row r="18150">
      <c r="G18150" s="9">
        <f t="shared" si="0"/>
      </c>
      <c r="L18150">
        <f t="shared" si="1"/>
      </c>
      <c r="M18150">
        <f t="shared" si="2"/>
      </c>
    </row>
    <row r="18151">
      <c r="G18151" s="9">
        <f t="shared" si="0"/>
      </c>
      <c r="L18151">
        <f t="shared" si="1"/>
      </c>
      <c r="M18151">
        <f t="shared" si="2"/>
      </c>
    </row>
    <row r="18152">
      <c r="G18152" s="9">
        <f t="shared" si="0"/>
      </c>
      <c r="L18152">
        <f t="shared" si="1"/>
      </c>
      <c r="M18152">
        <f t="shared" si="2"/>
      </c>
    </row>
    <row r="18153">
      <c r="G18153" s="9">
        <f t="shared" si="0"/>
      </c>
      <c r="L18153">
        <f t="shared" si="1"/>
      </c>
      <c r="M18153">
        <f t="shared" si="2"/>
      </c>
    </row>
    <row r="18154">
      <c r="G18154" s="9">
        <f t="shared" si="0"/>
      </c>
      <c r="L18154">
        <f t="shared" si="1"/>
      </c>
      <c r="M18154">
        <f t="shared" si="2"/>
      </c>
    </row>
    <row r="18155">
      <c r="G18155" s="9">
        <f t="shared" si="0"/>
      </c>
      <c r="L18155">
        <f t="shared" si="1"/>
      </c>
      <c r="M18155">
        <f t="shared" si="2"/>
      </c>
    </row>
    <row r="18156">
      <c r="G18156" s="9">
        <f t="shared" si="0"/>
      </c>
      <c r="L18156">
        <f t="shared" si="1"/>
      </c>
      <c r="M18156">
        <f t="shared" si="2"/>
      </c>
    </row>
    <row r="18157">
      <c r="G18157" s="9">
        <f t="shared" si="0"/>
      </c>
      <c r="L18157">
        <f t="shared" si="1"/>
      </c>
      <c r="M18157">
        <f t="shared" si="2"/>
      </c>
    </row>
    <row r="18158">
      <c r="G18158" s="9">
        <f t="shared" si="0"/>
      </c>
      <c r="L18158">
        <f t="shared" si="1"/>
      </c>
      <c r="M18158">
        <f t="shared" si="2"/>
      </c>
    </row>
    <row r="18159">
      <c r="G18159" s="9">
        <f t="shared" si="0"/>
      </c>
      <c r="L18159">
        <f t="shared" si="1"/>
      </c>
      <c r="M18159">
        <f t="shared" si="2"/>
      </c>
    </row>
    <row r="18160">
      <c r="G18160" s="9">
        <f t="shared" si="0"/>
      </c>
      <c r="L18160">
        <f t="shared" si="1"/>
      </c>
      <c r="M18160">
        <f t="shared" si="2"/>
      </c>
    </row>
    <row r="18161">
      <c r="G18161" s="9">
        <f t="shared" si="0"/>
      </c>
      <c r="L18161">
        <f t="shared" si="1"/>
      </c>
      <c r="M18161">
        <f t="shared" si="2"/>
      </c>
    </row>
    <row r="18162">
      <c r="G18162" s="9">
        <f t="shared" si="0"/>
      </c>
      <c r="L18162">
        <f t="shared" si="1"/>
      </c>
      <c r="M18162">
        <f t="shared" si="2"/>
      </c>
    </row>
    <row r="18163">
      <c r="G18163" s="9">
        <f t="shared" si="0"/>
      </c>
      <c r="L18163">
        <f t="shared" si="1"/>
      </c>
      <c r="M18163">
        <f t="shared" si="2"/>
      </c>
    </row>
    <row r="18164">
      <c r="G18164" s="9">
        <f t="shared" si="0"/>
      </c>
      <c r="L18164">
        <f t="shared" si="1"/>
      </c>
      <c r="M18164">
        <f t="shared" si="2"/>
      </c>
    </row>
    <row r="18165">
      <c r="G18165" s="9">
        <f t="shared" si="0"/>
      </c>
      <c r="L18165">
        <f t="shared" si="1"/>
      </c>
      <c r="M18165">
        <f t="shared" si="2"/>
      </c>
    </row>
    <row r="18166">
      <c r="G18166" s="9">
        <f t="shared" si="0"/>
      </c>
      <c r="L18166">
        <f t="shared" si="1"/>
      </c>
      <c r="M18166">
        <f t="shared" si="2"/>
      </c>
    </row>
    <row r="18167">
      <c r="G18167" s="9">
        <f t="shared" si="0"/>
      </c>
      <c r="L18167">
        <f t="shared" si="1"/>
      </c>
      <c r="M18167">
        <f t="shared" si="2"/>
      </c>
    </row>
    <row r="18168">
      <c r="G18168" s="9">
        <f t="shared" si="0"/>
      </c>
      <c r="L18168">
        <f t="shared" si="1"/>
      </c>
      <c r="M18168">
        <f t="shared" si="2"/>
      </c>
    </row>
    <row r="18169">
      <c r="G18169" s="9">
        <f t="shared" si="0"/>
      </c>
      <c r="L18169">
        <f t="shared" si="1"/>
      </c>
      <c r="M18169">
        <f t="shared" si="2"/>
      </c>
    </row>
    <row r="18170">
      <c r="G18170" s="9">
        <f t="shared" si="0"/>
      </c>
      <c r="L18170">
        <f t="shared" si="1"/>
      </c>
      <c r="M18170">
        <f t="shared" si="2"/>
      </c>
    </row>
    <row r="18171">
      <c r="G18171" s="9">
        <f t="shared" si="0"/>
      </c>
      <c r="L18171">
        <f t="shared" si="1"/>
      </c>
      <c r="M18171">
        <f t="shared" si="2"/>
      </c>
    </row>
    <row r="18172">
      <c r="G18172" s="9">
        <f t="shared" si="0"/>
      </c>
      <c r="L18172">
        <f t="shared" si="1"/>
      </c>
      <c r="M18172">
        <f t="shared" si="2"/>
      </c>
    </row>
    <row r="18173">
      <c r="G18173" s="9">
        <f t="shared" si="0"/>
      </c>
      <c r="L18173">
        <f t="shared" si="1"/>
      </c>
      <c r="M18173">
        <f t="shared" si="2"/>
      </c>
    </row>
    <row r="18174">
      <c r="G18174" s="9">
        <f t="shared" si="0"/>
      </c>
      <c r="L18174">
        <f t="shared" si="1"/>
      </c>
      <c r="M18174">
        <f t="shared" si="2"/>
      </c>
    </row>
    <row r="18175">
      <c r="G18175" s="9">
        <f t="shared" si="0"/>
      </c>
      <c r="L18175">
        <f t="shared" si="1"/>
      </c>
      <c r="M18175">
        <f t="shared" si="2"/>
      </c>
    </row>
    <row r="18176">
      <c r="G18176" s="9">
        <f t="shared" si="0"/>
      </c>
      <c r="L18176">
        <f t="shared" si="1"/>
      </c>
      <c r="M18176">
        <f t="shared" si="2"/>
      </c>
    </row>
    <row r="18177">
      <c r="G18177" s="9">
        <f t="shared" si="0"/>
      </c>
      <c r="L18177">
        <f t="shared" si="1"/>
      </c>
      <c r="M18177">
        <f t="shared" si="2"/>
      </c>
    </row>
    <row r="18178">
      <c r="G18178" s="9">
        <f t="shared" si="0"/>
      </c>
      <c r="L18178">
        <f t="shared" si="1"/>
      </c>
      <c r="M18178">
        <f t="shared" si="2"/>
      </c>
    </row>
    <row r="18179">
      <c r="G18179" s="9">
        <f t="shared" si="0"/>
      </c>
      <c r="L18179">
        <f t="shared" si="1"/>
      </c>
      <c r="M18179">
        <f t="shared" si="2"/>
      </c>
    </row>
    <row r="18180">
      <c r="G18180" s="9">
        <f t="shared" si="0"/>
      </c>
      <c r="L18180">
        <f t="shared" si="1"/>
      </c>
      <c r="M18180">
        <f t="shared" si="2"/>
      </c>
    </row>
    <row r="18181">
      <c r="G18181" s="9">
        <f t="shared" si="0"/>
      </c>
      <c r="L18181">
        <f t="shared" si="1"/>
      </c>
      <c r="M18181">
        <f t="shared" si="2"/>
      </c>
    </row>
    <row r="18182">
      <c r="G18182" s="9">
        <f t="shared" si="0"/>
      </c>
      <c r="L18182">
        <f t="shared" si="1"/>
      </c>
      <c r="M18182">
        <f t="shared" si="2"/>
      </c>
    </row>
    <row r="18183">
      <c r="G18183" s="9">
        <f t="shared" si="0"/>
      </c>
      <c r="L18183">
        <f t="shared" si="1"/>
      </c>
      <c r="M18183">
        <f t="shared" si="2"/>
      </c>
    </row>
    <row r="18184">
      <c r="G18184" s="9">
        <f t="shared" si="0"/>
      </c>
      <c r="L18184">
        <f t="shared" si="1"/>
      </c>
      <c r="M18184">
        <f t="shared" si="2"/>
      </c>
    </row>
    <row r="18185">
      <c r="G18185" s="9">
        <f t="shared" si="0"/>
      </c>
      <c r="L18185">
        <f t="shared" si="1"/>
      </c>
      <c r="M18185">
        <f t="shared" si="2"/>
      </c>
    </row>
    <row r="18186">
      <c r="G18186" s="9">
        <f t="shared" si="0"/>
      </c>
      <c r="L18186">
        <f t="shared" si="1"/>
      </c>
      <c r="M18186">
        <f t="shared" si="2"/>
      </c>
    </row>
    <row r="18187">
      <c r="G18187" s="9">
        <f t="shared" si="0"/>
      </c>
      <c r="L18187">
        <f t="shared" si="1"/>
      </c>
      <c r="M18187">
        <f t="shared" si="2"/>
      </c>
    </row>
    <row r="18188">
      <c r="G18188" s="9">
        <f t="shared" si="0"/>
      </c>
      <c r="L18188">
        <f t="shared" si="1"/>
      </c>
      <c r="M18188">
        <f t="shared" si="2"/>
      </c>
    </row>
    <row r="18189">
      <c r="G18189" s="9">
        <f t="shared" si="0"/>
      </c>
      <c r="L18189">
        <f t="shared" si="1"/>
      </c>
      <c r="M18189">
        <f t="shared" si="2"/>
      </c>
    </row>
    <row r="18190">
      <c r="G18190" s="9">
        <f t="shared" si="0"/>
      </c>
      <c r="L18190">
        <f t="shared" si="1"/>
      </c>
      <c r="M18190">
        <f t="shared" si="2"/>
      </c>
    </row>
    <row r="18191">
      <c r="G18191" s="9">
        <f t="shared" si="0"/>
      </c>
      <c r="L18191">
        <f t="shared" si="1"/>
      </c>
      <c r="M18191">
        <f t="shared" si="2"/>
      </c>
    </row>
    <row r="18192">
      <c r="G18192" s="9">
        <f t="shared" si="0"/>
      </c>
      <c r="L18192">
        <f t="shared" si="1"/>
      </c>
      <c r="M18192">
        <f t="shared" si="2"/>
      </c>
    </row>
    <row r="18193">
      <c r="G18193" s="9">
        <f t="shared" si="0"/>
      </c>
      <c r="L18193">
        <f t="shared" si="1"/>
      </c>
      <c r="M18193">
        <f t="shared" si="2"/>
      </c>
    </row>
    <row r="18194">
      <c r="G18194" s="9">
        <f t="shared" si="0"/>
      </c>
      <c r="L18194">
        <f t="shared" si="1"/>
      </c>
      <c r="M18194">
        <f t="shared" si="2"/>
      </c>
    </row>
    <row r="18195">
      <c r="G18195" s="9">
        <f t="shared" si="0"/>
      </c>
      <c r="L18195">
        <f t="shared" si="1"/>
      </c>
      <c r="M18195">
        <f t="shared" si="2"/>
      </c>
    </row>
    <row r="18196">
      <c r="G18196" s="9">
        <f t="shared" si="0"/>
      </c>
      <c r="L18196">
        <f t="shared" si="1"/>
      </c>
      <c r="M18196">
        <f t="shared" si="2"/>
      </c>
    </row>
    <row r="18197">
      <c r="G18197" s="9">
        <f t="shared" si="0"/>
      </c>
      <c r="L18197">
        <f t="shared" si="1"/>
      </c>
      <c r="M18197">
        <f t="shared" si="2"/>
      </c>
    </row>
    <row r="18198">
      <c r="G18198" s="9">
        <f t="shared" si="0"/>
      </c>
      <c r="L18198">
        <f t="shared" si="1"/>
      </c>
      <c r="M18198">
        <f t="shared" si="2"/>
      </c>
    </row>
    <row r="18199">
      <c r="G18199" s="9">
        <f t="shared" si="0"/>
      </c>
      <c r="L18199">
        <f t="shared" si="1"/>
      </c>
      <c r="M18199">
        <f t="shared" si="2"/>
      </c>
    </row>
    <row r="18200">
      <c r="G18200" s="9">
        <f t="shared" si="0"/>
      </c>
      <c r="L18200">
        <f t="shared" si="1"/>
      </c>
      <c r="M18200">
        <f t="shared" si="2"/>
      </c>
    </row>
    <row r="18201">
      <c r="G18201" s="9">
        <f t="shared" si="0"/>
      </c>
      <c r="L18201">
        <f t="shared" si="1"/>
      </c>
      <c r="M18201">
        <f t="shared" si="2"/>
      </c>
    </row>
    <row r="18202">
      <c r="G18202" s="9">
        <f t="shared" si="0"/>
      </c>
      <c r="L18202">
        <f t="shared" si="1"/>
      </c>
      <c r="M18202">
        <f t="shared" si="2"/>
      </c>
    </row>
    <row r="18203">
      <c r="G18203" s="9">
        <f t="shared" si="0"/>
      </c>
      <c r="L18203">
        <f t="shared" si="1"/>
      </c>
      <c r="M18203">
        <f t="shared" si="2"/>
      </c>
    </row>
    <row r="18204">
      <c r="G18204" s="9">
        <f t="shared" si="0"/>
      </c>
      <c r="L18204">
        <f t="shared" si="1"/>
      </c>
      <c r="M18204">
        <f t="shared" si="2"/>
      </c>
    </row>
    <row r="18205">
      <c r="G18205" s="9">
        <f t="shared" si="0"/>
      </c>
      <c r="L18205">
        <f t="shared" si="1"/>
      </c>
      <c r="M18205">
        <f t="shared" si="2"/>
      </c>
    </row>
    <row r="18206">
      <c r="G18206" s="9">
        <f t="shared" si="0"/>
      </c>
      <c r="L18206">
        <f t="shared" si="1"/>
      </c>
      <c r="M18206">
        <f t="shared" si="2"/>
      </c>
    </row>
    <row r="18207">
      <c r="G18207" s="9">
        <f t="shared" si="0"/>
      </c>
      <c r="L18207">
        <f t="shared" si="1"/>
      </c>
      <c r="M18207">
        <f t="shared" si="2"/>
      </c>
    </row>
    <row r="18208">
      <c r="G18208" s="9">
        <f t="shared" si="0"/>
      </c>
      <c r="L18208">
        <f t="shared" si="1"/>
      </c>
      <c r="M18208">
        <f t="shared" si="2"/>
      </c>
    </row>
    <row r="18209">
      <c r="G18209" s="9">
        <f t="shared" si="0"/>
      </c>
      <c r="L18209">
        <f t="shared" si="1"/>
      </c>
      <c r="M18209">
        <f t="shared" si="2"/>
      </c>
    </row>
    <row r="18210">
      <c r="G18210" s="9">
        <f t="shared" si="0"/>
      </c>
      <c r="L18210">
        <f t="shared" si="1"/>
      </c>
      <c r="M18210">
        <f t="shared" si="2"/>
      </c>
    </row>
    <row r="18211">
      <c r="G18211" s="9">
        <f t="shared" si="0"/>
      </c>
      <c r="L18211">
        <f t="shared" si="1"/>
      </c>
      <c r="M18211">
        <f t="shared" si="2"/>
      </c>
    </row>
    <row r="18212">
      <c r="G18212" s="9">
        <f t="shared" si="0"/>
      </c>
      <c r="L18212">
        <f t="shared" si="1"/>
      </c>
      <c r="M18212">
        <f t="shared" si="2"/>
      </c>
    </row>
    <row r="18213">
      <c r="G18213" s="9">
        <f t="shared" si="0"/>
      </c>
      <c r="L18213">
        <f t="shared" si="1"/>
      </c>
      <c r="M18213">
        <f t="shared" si="2"/>
      </c>
    </row>
    <row r="18214">
      <c r="G18214" s="9">
        <f t="shared" si="0"/>
      </c>
      <c r="L18214">
        <f t="shared" si="1"/>
      </c>
      <c r="M18214">
        <f t="shared" si="2"/>
      </c>
    </row>
    <row r="18215">
      <c r="G18215" s="9">
        <f t="shared" si="0"/>
      </c>
      <c r="L18215">
        <f t="shared" si="1"/>
      </c>
      <c r="M18215">
        <f t="shared" si="2"/>
      </c>
    </row>
    <row r="18216">
      <c r="G18216" s="9">
        <f t="shared" si="0"/>
      </c>
      <c r="L18216">
        <f t="shared" si="1"/>
      </c>
      <c r="M18216">
        <f t="shared" si="2"/>
      </c>
    </row>
    <row r="18217">
      <c r="G18217" s="9">
        <f t="shared" si="0"/>
      </c>
      <c r="L18217">
        <f t="shared" si="1"/>
      </c>
      <c r="M18217">
        <f t="shared" si="2"/>
      </c>
    </row>
    <row r="18218">
      <c r="G18218" s="9">
        <f t="shared" si="0"/>
      </c>
      <c r="L18218">
        <f t="shared" si="1"/>
      </c>
      <c r="M18218">
        <f t="shared" si="2"/>
      </c>
    </row>
    <row r="18219">
      <c r="G18219" s="9">
        <f t="shared" si="0"/>
      </c>
      <c r="L18219">
        <f t="shared" si="1"/>
      </c>
      <c r="M18219">
        <f t="shared" si="2"/>
      </c>
    </row>
    <row r="18220">
      <c r="G18220" s="9">
        <f t="shared" si="0"/>
      </c>
      <c r="L18220">
        <f t="shared" si="1"/>
      </c>
      <c r="M18220">
        <f t="shared" si="2"/>
      </c>
    </row>
    <row r="18221">
      <c r="G18221" s="9">
        <f t="shared" si="0"/>
      </c>
      <c r="L18221">
        <f t="shared" si="1"/>
      </c>
      <c r="M18221">
        <f t="shared" si="2"/>
      </c>
    </row>
    <row r="18222">
      <c r="G18222" s="9">
        <f t="shared" si="0"/>
      </c>
      <c r="L18222">
        <f t="shared" si="1"/>
      </c>
      <c r="M18222">
        <f t="shared" si="2"/>
      </c>
    </row>
    <row r="18223">
      <c r="G18223" s="9">
        <f t="shared" si="0"/>
      </c>
      <c r="L18223">
        <f t="shared" si="1"/>
      </c>
      <c r="M18223">
        <f t="shared" si="2"/>
      </c>
    </row>
    <row r="18224">
      <c r="G18224" s="9">
        <f t="shared" si="0"/>
      </c>
      <c r="L18224">
        <f t="shared" si="1"/>
      </c>
      <c r="M18224">
        <f t="shared" si="2"/>
      </c>
    </row>
    <row r="18225">
      <c r="G18225" s="9">
        <f t="shared" si="0"/>
      </c>
      <c r="L18225">
        <f t="shared" si="1"/>
      </c>
      <c r="M18225">
        <f t="shared" si="2"/>
      </c>
    </row>
    <row r="18226">
      <c r="G18226" s="9">
        <f t="shared" si="0"/>
      </c>
      <c r="L18226">
        <f t="shared" si="1"/>
      </c>
      <c r="M18226">
        <f t="shared" si="2"/>
      </c>
    </row>
    <row r="18227">
      <c r="G18227" s="9">
        <f t="shared" si="0"/>
      </c>
      <c r="L18227">
        <f t="shared" si="1"/>
      </c>
      <c r="M18227">
        <f t="shared" si="2"/>
      </c>
    </row>
    <row r="18228">
      <c r="G18228" s="9">
        <f t="shared" si="0"/>
      </c>
      <c r="L18228">
        <f t="shared" si="1"/>
      </c>
      <c r="M18228">
        <f t="shared" si="2"/>
      </c>
    </row>
    <row r="18229">
      <c r="G18229" s="9">
        <f t="shared" si="0"/>
      </c>
      <c r="L18229">
        <f t="shared" si="1"/>
      </c>
      <c r="M18229">
        <f t="shared" si="2"/>
      </c>
    </row>
    <row r="18230">
      <c r="G18230" s="9">
        <f t="shared" si="0"/>
      </c>
      <c r="L18230">
        <f t="shared" si="1"/>
      </c>
      <c r="M18230">
        <f t="shared" si="2"/>
      </c>
    </row>
    <row r="18231">
      <c r="G18231" s="9">
        <f t="shared" si="0"/>
      </c>
      <c r="L18231">
        <f t="shared" si="1"/>
      </c>
      <c r="M18231">
        <f t="shared" si="2"/>
      </c>
    </row>
    <row r="18232">
      <c r="G18232" s="9">
        <f t="shared" si="0"/>
      </c>
      <c r="L18232">
        <f t="shared" si="1"/>
      </c>
      <c r="M18232">
        <f t="shared" si="2"/>
      </c>
    </row>
    <row r="18233">
      <c r="G18233" s="9">
        <f t="shared" si="0"/>
      </c>
      <c r="L18233">
        <f t="shared" si="1"/>
      </c>
      <c r="M18233">
        <f t="shared" si="2"/>
      </c>
    </row>
    <row r="18234">
      <c r="G18234" s="9">
        <f t="shared" si="0"/>
      </c>
      <c r="L18234">
        <f t="shared" si="1"/>
      </c>
      <c r="M18234">
        <f t="shared" si="2"/>
      </c>
    </row>
    <row r="18235">
      <c r="G18235" s="9">
        <f t="shared" si="0"/>
      </c>
      <c r="L18235">
        <f t="shared" si="1"/>
      </c>
      <c r="M18235">
        <f t="shared" si="2"/>
      </c>
    </row>
    <row r="18236">
      <c r="G18236" s="9">
        <f t="shared" si="0"/>
      </c>
      <c r="L18236">
        <f t="shared" si="1"/>
      </c>
      <c r="M18236">
        <f t="shared" si="2"/>
      </c>
    </row>
    <row r="18237">
      <c r="G18237" s="9">
        <f t="shared" si="0"/>
      </c>
      <c r="L18237">
        <f t="shared" si="1"/>
      </c>
      <c r="M18237">
        <f t="shared" si="2"/>
      </c>
    </row>
    <row r="18238">
      <c r="G18238" s="9">
        <f t="shared" si="0"/>
      </c>
      <c r="L18238">
        <f t="shared" si="1"/>
      </c>
      <c r="M18238">
        <f t="shared" si="2"/>
      </c>
    </row>
    <row r="18239">
      <c r="G18239" s="9">
        <f t="shared" si="0"/>
      </c>
      <c r="L18239">
        <f t="shared" si="1"/>
      </c>
      <c r="M18239">
        <f t="shared" si="2"/>
      </c>
    </row>
    <row r="18240">
      <c r="G18240" s="9">
        <f t="shared" si="0"/>
      </c>
      <c r="L18240">
        <f t="shared" si="1"/>
      </c>
      <c r="M18240">
        <f t="shared" si="2"/>
      </c>
    </row>
    <row r="18241">
      <c r="G18241" s="9">
        <f t="shared" si="0"/>
      </c>
      <c r="L18241">
        <f t="shared" si="1"/>
      </c>
      <c r="M18241">
        <f t="shared" si="2"/>
      </c>
    </row>
    <row r="18242">
      <c r="G18242" s="9">
        <f t="shared" si="0"/>
      </c>
      <c r="L18242">
        <f t="shared" si="1"/>
      </c>
      <c r="M18242">
        <f t="shared" si="2"/>
      </c>
    </row>
    <row r="18243">
      <c r="G18243" s="9">
        <f t="shared" si="0"/>
      </c>
      <c r="L18243">
        <f t="shared" si="1"/>
      </c>
      <c r="M18243">
        <f t="shared" si="2"/>
      </c>
    </row>
    <row r="18244">
      <c r="G18244" s="9">
        <f t="shared" si="0"/>
      </c>
      <c r="L18244">
        <f t="shared" si="1"/>
      </c>
      <c r="M18244">
        <f t="shared" si="2"/>
      </c>
    </row>
    <row r="18245">
      <c r="G18245" s="9">
        <f t="shared" si="0"/>
      </c>
      <c r="L18245">
        <f t="shared" si="1"/>
      </c>
      <c r="M18245">
        <f t="shared" si="2"/>
      </c>
    </row>
    <row r="18246">
      <c r="G18246" s="9">
        <f t="shared" si="0"/>
      </c>
      <c r="L18246">
        <f t="shared" si="1"/>
      </c>
      <c r="M18246">
        <f t="shared" si="2"/>
      </c>
    </row>
    <row r="18247">
      <c r="G18247" s="9">
        <f t="shared" si="0"/>
      </c>
      <c r="L18247">
        <f t="shared" si="1"/>
      </c>
      <c r="M18247">
        <f t="shared" si="2"/>
      </c>
    </row>
    <row r="18248">
      <c r="G18248" s="9">
        <f t="shared" si="0"/>
      </c>
      <c r="L18248">
        <f t="shared" si="1"/>
      </c>
      <c r="M18248">
        <f t="shared" si="2"/>
      </c>
    </row>
    <row r="18249">
      <c r="G18249" s="9">
        <f t="shared" si="0"/>
      </c>
      <c r="L18249">
        <f t="shared" si="1"/>
      </c>
      <c r="M18249">
        <f t="shared" si="2"/>
      </c>
    </row>
    <row r="18250">
      <c r="G18250" s="9">
        <f t="shared" si="0"/>
      </c>
      <c r="L18250">
        <f t="shared" si="1"/>
      </c>
      <c r="M18250">
        <f t="shared" si="2"/>
      </c>
    </row>
    <row r="18251">
      <c r="G18251" s="9">
        <f t="shared" si="0"/>
      </c>
      <c r="L18251">
        <f t="shared" si="1"/>
      </c>
      <c r="M18251">
        <f t="shared" si="2"/>
      </c>
    </row>
    <row r="18252">
      <c r="G18252" s="9">
        <f t="shared" si="0"/>
      </c>
      <c r="L18252">
        <f t="shared" si="1"/>
      </c>
      <c r="M18252">
        <f t="shared" si="2"/>
      </c>
    </row>
    <row r="18253">
      <c r="G18253" s="9">
        <f t="shared" si="0"/>
      </c>
      <c r="L18253">
        <f t="shared" si="1"/>
      </c>
      <c r="M18253">
        <f t="shared" si="2"/>
      </c>
    </row>
    <row r="18254">
      <c r="G18254" s="9">
        <f t="shared" si="0"/>
      </c>
      <c r="L18254">
        <f t="shared" si="1"/>
      </c>
      <c r="M18254">
        <f t="shared" si="2"/>
      </c>
    </row>
    <row r="18255">
      <c r="G18255" s="9">
        <f t="shared" si="0"/>
      </c>
      <c r="L18255">
        <f t="shared" si="1"/>
      </c>
      <c r="M18255">
        <f t="shared" si="2"/>
      </c>
    </row>
    <row r="18256">
      <c r="G18256" s="9">
        <f t="shared" si="0"/>
      </c>
      <c r="L18256">
        <f t="shared" si="1"/>
      </c>
      <c r="M18256">
        <f t="shared" si="2"/>
      </c>
    </row>
    <row r="18257">
      <c r="G18257" s="9">
        <f t="shared" si="0"/>
      </c>
      <c r="L18257">
        <f t="shared" si="1"/>
      </c>
      <c r="M18257">
        <f t="shared" si="2"/>
      </c>
    </row>
    <row r="18258">
      <c r="G18258" s="9">
        <f t="shared" si="0"/>
      </c>
      <c r="L18258">
        <f t="shared" si="1"/>
      </c>
      <c r="M18258">
        <f t="shared" si="2"/>
      </c>
    </row>
    <row r="18259">
      <c r="G18259" s="9">
        <f t="shared" si="0"/>
      </c>
      <c r="L18259">
        <f t="shared" si="1"/>
      </c>
      <c r="M18259">
        <f t="shared" si="2"/>
      </c>
    </row>
    <row r="18260">
      <c r="G18260" s="9">
        <f t="shared" si="0"/>
      </c>
      <c r="L18260">
        <f t="shared" si="1"/>
      </c>
      <c r="M18260">
        <f t="shared" si="2"/>
      </c>
    </row>
    <row r="18261">
      <c r="G18261" s="9">
        <f t="shared" si="0"/>
      </c>
      <c r="L18261">
        <f t="shared" si="1"/>
      </c>
      <c r="M18261">
        <f t="shared" si="2"/>
      </c>
    </row>
    <row r="18262">
      <c r="G18262" s="9">
        <f t="shared" si="0"/>
      </c>
      <c r="L18262">
        <f t="shared" si="1"/>
      </c>
      <c r="M18262">
        <f t="shared" si="2"/>
      </c>
    </row>
    <row r="18263">
      <c r="G18263" s="9">
        <f t="shared" si="0"/>
      </c>
      <c r="L18263">
        <f t="shared" si="1"/>
      </c>
      <c r="M18263">
        <f t="shared" si="2"/>
      </c>
    </row>
    <row r="18264">
      <c r="G18264" s="9">
        <f t="shared" si="0"/>
      </c>
      <c r="L18264">
        <f t="shared" si="1"/>
      </c>
      <c r="M18264">
        <f t="shared" si="2"/>
      </c>
    </row>
    <row r="18265">
      <c r="G18265" s="9">
        <f t="shared" si="0"/>
      </c>
      <c r="L18265">
        <f t="shared" si="1"/>
      </c>
      <c r="M18265">
        <f t="shared" si="2"/>
      </c>
    </row>
    <row r="18266">
      <c r="G18266" s="9">
        <f t="shared" si="0"/>
      </c>
      <c r="L18266">
        <f t="shared" si="1"/>
      </c>
      <c r="M18266">
        <f t="shared" si="2"/>
      </c>
    </row>
    <row r="18267">
      <c r="G18267" s="9">
        <f t="shared" si="0"/>
      </c>
      <c r="L18267">
        <f t="shared" si="1"/>
      </c>
      <c r="M18267">
        <f t="shared" si="2"/>
      </c>
    </row>
    <row r="18268">
      <c r="G18268" s="9">
        <f t="shared" si="0"/>
      </c>
      <c r="L18268">
        <f t="shared" si="1"/>
      </c>
      <c r="M18268">
        <f t="shared" si="2"/>
      </c>
    </row>
    <row r="18269">
      <c r="G18269" s="9">
        <f t="shared" si="0"/>
      </c>
      <c r="L18269">
        <f t="shared" si="1"/>
      </c>
      <c r="M18269">
        <f t="shared" si="2"/>
      </c>
    </row>
    <row r="18270">
      <c r="G18270" s="9">
        <f t="shared" si="0"/>
      </c>
      <c r="L18270">
        <f t="shared" si="1"/>
      </c>
      <c r="M18270">
        <f t="shared" si="2"/>
      </c>
    </row>
    <row r="18271">
      <c r="G18271" s="9">
        <f t="shared" si="0"/>
      </c>
      <c r="L18271">
        <f t="shared" si="1"/>
      </c>
      <c r="M18271">
        <f t="shared" si="2"/>
      </c>
    </row>
    <row r="18272">
      <c r="G18272" s="9">
        <f t="shared" si="0"/>
      </c>
      <c r="L18272">
        <f t="shared" si="1"/>
      </c>
      <c r="M18272">
        <f t="shared" si="2"/>
      </c>
    </row>
    <row r="18273">
      <c r="G18273" s="9">
        <f t="shared" si="0"/>
      </c>
      <c r="L18273">
        <f t="shared" si="1"/>
      </c>
      <c r="M18273">
        <f t="shared" si="2"/>
      </c>
    </row>
    <row r="18274">
      <c r="G18274" s="9">
        <f t="shared" si="0"/>
      </c>
      <c r="L18274">
        <f t="shared" si="1"/>
      </c>
      <c r="M18274">
        <f t="shared" si="2"/>
      </c>
    </row>
    <row r="18275">
      <c r="G18275" s="9">
        <f t="shared" si="0"/>
      </c>
      <c r="L18275">
        <f t="shared" si="1"/>
      </c>
      <c r="M18275">
        <f t="shared" si="2"/>
      </c>
    </row>
    <row r="18276">
      <c r="G18276" s="9">
        <f t="shared" si="0"/>
      </c>
      <c r="L18276">
        <f t="shared" si="1"/>
      </c>
      <c r="M18276">
        <f t="shared" si="2"/>
      </c>
    </row>
    <row r="18277">
      <c r="G18277" s="9">
        <f t="shared" si="0"/>
      </c>
      <c r="L18277">
        <f t="shared" si="1"/>
      </c>
      <c r="M18277">
        <f t="shared" si="2"/>
      </c>
    </row>
    <row r="18278">
      <c r="G18278" s="9">
        <f t="shared" si="0"/>
      </c>
      <c r="L18278">
        <f t="shared" si="1"/>
      </c>
      <c r="M18278">
        <f t="shared" si="2"/>
      </c>
    </row>
    <row r="18279">
      <c r="G18279" s="9">
        <f t="shared" si="0"/>
      </c>
      <c r="L18279">
        <f t="shared" si="1"/>
      </c>
      <c r="M18279">
        <f t="shared" si="2"/>
      </c>
    </row>
    <row r="18280">
      <c r="G18280" s="9">
        <f t="shared" si="0"/>
      </c>
      <c r="L18280">
        <f t="shared" si="1"/>
      </c>
      <c r="M18280">
        <f t="shared" si="2"/>
      </c>
    </row>
    <row r="18281">
      <c r="G18281" s="9">
        <f t="shared" si="0"/>
      </c>
      <c r="L18281">
        <f t="shared" si="1"/>
      </c>
      <c r="M18281">
        <f t="shared" si="2"/>
      </c>
    </row>
    <row r="18282">
      <c r="G18282" s="9">
        <f t="shared" si="0"/>
      </c>
      <c r="L18282">
        <f t="shared" si="1"/>
      </c>
      <c r="M18282">
        <f t="shared" si="2"/>
      </c>
    </row>
    <row r="18283">
      <c r="G18283" s="9">
        <f t="shared" si="0"/>
      </c>
      <c r="L18283">
        <f t="shared" si="1"/>
      </c>
      <c r="M18283">
        <f t="shared" si="2"/>
      </c>
    </row>
    <row r="18284">
      <c r="G18284" s="9">
        <f t="shared" si="0"/>
      </c>
      <c r="L18284">
        <f t="shared" si="1"/>
      </c>
      <c r="M18284">
        <f t="shared" si="2"/>
      </c>
    </row>
    <row r="18285">
      <c r="G18285" s="9">
        <f t="shared" si="0"/>
      </c>
      <c r="L18285">
        <f t="shared" si="1"/>
      </c>
      <c r="M18285">
        <f t="shared" si="2"/>
      </c>
    </row>
    <row r="18286">
      <c r="G18286" s="9">
        <f t="shared" si="0"/>
      </c>
      <c r="L18286">
        <f t="shared" si="1"/>
      </c>
      <c r="M18286">
        <f t="shared" si="2"/>
      </c>
    </row>
    <row r="18287">
      <c r="G18287" s="9">
        <f t="shared" si="0"/>
      </c>
      <c r="L18287">
        <f t="shared" si="1"/>
      </c>
      <c r="M18287">
        <f t="shared" si="2"/>
      </c>
    </row>
    <row r="18288">
      <c r="G18288" s="9">
        <f t="shared" si="0"/>
      </c>
      <c r="L18288">
        <f t="shared" si="1"/>
      </c>
      <c r="M18288">
        <f t="shared" si="2"/>
      </c>
    </row>
    <row r="18289">
      <c r="G18289" s="9">
        <f t="shared" si="0"/>
      </c>
      <c r="L18289">
        <f t="shared" si="1"/>
      </c>
      <c r="M18289">
        <f t="shared" si="2"/>
      </c>
    </row>
    <row r="18290">
      <c r="G18290" s="9">
        <f t="shared" si="0"/>
      </c>
      <c r="L18290">
        <f t="shared" si="1"/>
      </c>
      <c r="M18290">
        <f t="shared" si="2"/>
      </c>
    </row>
    <row r="18291">
      <c r="G18291" s="9">
        <f t="shared" si="0"/>
      </c>
      <c r="L18291">
        <f t="shared" si="1"/>
      </c>
      <c r="M18291">
        <f t="shared" si="2"/>
      </c>
    </row>
    <row r="18292">
      <c r="G18292" s="9">
        <f t="shared" si="0"/>
      </c>
      <c r="L18292">
        <f t="shared" si="1"/>
      </c>
      <c r="M18292">
        <f t="shared" si="2"/>
      </c>
    </row>
    <row r="18293">
      <c r="G18293" s="9">
        <f t="shared" si="0"/>
      </c>
      <c r="L18293">
        <f t="shared" si="1"/>
      </c>
      <c r="M18293">
        <f t="shared" si="2"/>
      </c>
    </row>
    <row r="18294">
      <c r="G18294" s="9">
        <f t="shared" si="0"/>
      </c>
      <c r="L18294">
        <f t="shared" si="1"/>
      </c>
      <c r="M18294">
        <f t="shared" si="2"/>
      </c>
    </row>
    <row r="18295">
      <c r="G18295" s="9">
        <f t="shared" si="0"/>
      </c>
      <c r="L18295">
        <f t="shared" si="1"/>
      </c>
      <c r="M18295">
        <f t="shared" si="2"/>
      </c>
    </row>
    <row r="18296">
      <c r="G18296" s="9">
        <f t="shared" si="0"/>
      </c>
      <c r="L18296">
        <f t="shared" si="1"/>
      </c>
      <c r="M18296">
        <f t="shared" si="2"/>
      </c>
    </row>
    <row r="18297">
      <c r="G18297" s="9">
        <f t="shared" si="0"/>
      </c>
      <c r="L18297">
        <f t="shared" si="1"/>
      </c>
      <c r="M18297">
        <f t="shared" si="2"/>
      </c>
    </row>
    <row r="18298">
      <c r="G18298" s="9">
        <f t="shared" si="0"/>
      </c>
      <c r="L18298">
        <f t="shared" si="1"/>
      </c>
      <c r="M18298">
        <f t="shared" si="2"/>
      </c>
    </row>
    <row r="18299">
      <c r="G18299" s="9">
        <f t="shared" si="0"/>
      </c>
      <c r="L18299">
        <f t="shared" si="1"/>
      </c>
      <c r="M18299">
        <f t="shared" si="2"/>
      </c>
    </row>
    <row r="18300">
      <c r="G18300" s="9">
        <f t="shared" si="0"/>
      </c>
      <c r="L18300">
        <f t="shared" si="1"/>
      </c>
      <c r="M18300">
        <f t="shared" si="2"/>
      </c>
    </row>
    <row r="18301">
      <c r="G18301" s="9">
        <f t="shared" si="0"/>
      </c>
      <c r="L18301">
        <f t="shared" si="1"/>
      </c>
      <c r="M18301">
        <f t="shared" si="2"/>
      </c>
    </row>
    <row r="18302">
      <c r="G18302" s="9">
        <f t="shared" si="0"/>
      </c>
      <c r="L18302">
        <f t="shared" si="1"/>
      </c>
      <c r="M18302">
        <f t="shared" si="2"/>
      </c>
    </row>
    <row r="18303">
      <c r="G18303" s="9">
        <f t="shared" si="0"/>
      </c>
      <c r="L18303">
        <f t="shared" si="1"/>
      </c>
      <c r="M18303">
        <f t="shared" si="2"/>
      </c>
    </row>
    <row r="18304">
      <c r="G18304" s="9">
        <f t="shared" si="0"/>
      </c>
      <c r="L18304">
        <f t="shared" si="1"/>
      </c>
      <c r="M18304">
        <f t="shared" si="2"/>
      </c>
    </row>
    <row r="18305">
      <c r="G18305" s="9">
        <f t="shared" si="0"/>
      </c>
      <c r="L18305">
        <f t="shared" si="1"/>
      </c>
      <c r="M18305">
        <f t="shared" si="2"/>
      </c>
    </row>
    <row r="18306">
      <c r="G18306" s="9">
        <f t="shared" si="0"/>
      </c>
      <c r="L18306">
        <f t="shared" si="1"/>
      </c>
      <c r="M18306">
        <f t="shared" si="2"/>
      </c>
    </row>
    <row r="18307">
      <c r="G18307" s="9">
        <f t="shared" si="0"/>
      </c>
      <c r="L18307">
        <f t="shared" si="1"/>
      </c>
      <c r="M18307">
        <f t="shared" si="2"/>
      </c>
    </row>
    <row r="18308">
      <c r="G18308" s="9">
        <f t="shared" si="0"/>
      </c>
      <c r="L18308">
        <f t="shared" si="1"/>
      </c>
      <c r="M18308">
        <f t="shared" si="2"/>
      </c>
    </row>
    <row r="18309">
      <c r="G18309" s="9">
        <f t="shared" si="0"/>
      </c>
      <c r="L18309">
        <f t="shared" si="1"/>
      </c>
      <c r="M18309">
        <f t="shared" si="2"/>
      </c>
    </row>
    <row r="18310">
      <c r="G18310" s="9">
        <f t="shared" si="0"/>
      </c>
      <c r="L18310">
        <f t="shared" si="1"/>
      </c>
      <c r="M18310">
        <f t="shared" si="2"/>
      </c>
    </row>
    <row r="18311">
      <c r="G18311" s="9">
        <f t="shared" si="0"/>
      </c>
      <c r="L18311">
        <f t="shared" si="1"/>
      </c>
      <c r="M18311">
        <f t="shared" si="2"/>
      </c>
    </row>
    <row r="18312">
      <c r="G18312" s="9">
        <f t="shared" si="0"/>
      </c>
      <c r="L18312">
        <f t="shared" si="1"/>
      </c>
      <c r="M18312">
        <f t="shared" si="2"/>
      </c>
    </row>
    <row r="18313">
      <c r="G18313" s="9">
        <f t="shared" si="0"/>
      </c>
      <c r="L18313">
        <f t="shared" si="1"/>
      </c>
      <c r="M18313">
        <f t="shared" si="2"/>
      </c>
    </row>
    <row r="18314">
      <c r="G18314" s="9">
        <f t="shared" si="0"/>
      </c>
      <c r="L18314">
        <f t="shared" si="1"/>
      </c>
      <c r="M18314">
        <f t="shared" si="2"/>
      </c>
    </row>
    <row r="18315">
      <c r="G18315" s="9">
        <f t="shared" si="0"/>
      </c>
      <c r="L18315">
        <f t="shared" si="1"/>
      </c>
      <c r="M18315">
        <f t="shared" si="2"/>
      </c>
    </row>
    <row r="18316">
      <c r="G18316" s="9">
        <f t="shared" si="0"/>
      </c>
      <c r="L18316">
        <f t="shared" si="1"/>
      </c>
      <c r="M18316">
        <f t="shared" si="2"/>
      </c>
    </row>
    <row r="18317">
      <c r="G18317" s="9">
        <f t="shared" si="0"/>
      </c>
      <c r="L18317">
        <f t="shared" si="1"/>
      </c>
      <c r="M18317">
        <f t="shared" si="2"/>
      </c>
    </row>
    <row r="18318">
      <c r="G18318" s="9">
        <f t="shared" si="0"/>
      </c>
      <c r="L18318">
        <f t="shared" si="1"/>
      </c>
      <c r="M18318">
        <f t="shared" si="2"/>
      </c>
    </row>
    <row r="18319">
      <c r="G18319" s="9">
        <f t="shared" si="0"/>
      </c>
      <c r="L18319">
        <f t="shared" si="1"/>
      </c>
      <c r="M18319">
        <f t="shared" si="2"/>
      </c>
    </row>
    <row r="18320">
      <c r="G18320" s="9">
        <f t="shared" si="0"/>
      </c>
      <c r="L18320">
        <f t="shared" si="1"/>
      </c>
      <c r="M18320">
        <f t="shared" si="2"/>
      </c>
    </row>
    <row r="18321">
      <c r="G18321" s="9">
        <f t="shared" si="0"/>
      </c>
      <c r="L18321">
        <f t="shared" si="1"/>
      </c>
      <c r="M18321">
        <f t="shared" si="2"/>
      </c>
    </row>
    <row r="18322">
      <c r="G18322" s="9">
        <f t="shared" si="0"/>
      </c>
      <c r="L18322">
        <f t="shared" si="1"/>
      </c>
      <c r="M18322">
        <f t="shared" si="2"/>
      </c>
    </row>
    <row r="18323">
      <c r="G18323" s="9">
        <f t="shared" si="0"/>
      </c>
      <c r="L18323">
        <f t="shared" si="1"/>
      </c>
      <c r="M18323">
        <f t="shared" si="2"/>
      </c>
    </row>
    <row r="18324">
      <c r="G18324" s="9">
        <f t="shared" si="0"/>
      </c>
      <c r="L18324">
        <f t="shared" si="1"/>
      </c>
      <c r="M18324">
        <f t="shared" si="2"/>
      </c>
    </row>
    <row r="18325">
      <c r="G18325" s="9">
        <f t="shared" si="0"/>
      </c>
      <c r="L18325">
        <f t="shared" si="1"/>
      </c>
      <c r="M18325">
        <f t="shared" si="2"/>
      </c>
    </row>
    <row r="18326">
      <c r="G18326" s="9">
        <f t="shared" si="0"/>
      </c>
      <c r="L18326">
        <f t="shared" si="1"/>
      </c>
      <c r="M18326">
        <f t="shared" si="2"/>
      </c>
    </row>
    <row r="18327">
      <c r="G18327" s="9">
        <f t="shared" si="0"/>
      </c>
      <c r="L18327">
        <f t="shared" si="1"/>
      </c>
      <c r="M18327">
        <f t="shared" si="2"/>
      </c>
    </row>
    <row r="18328">
      <c r="G18328" s="9">
        <f t="shared" si="0"/>
      </c>
      <c r="L18328">
        <f t="shared" si="1"/>
      </c>
      <c r="M18328">
        <f t="shared" si="2"/>
      </c>
    </row>
    <row r="18329">
      <c r="G18329" s="9">
        <f t="shared" si="0"/>
      </c>
      <c r="L18329">
        <f t="shared" si="1"/>
      </c>
      <c r="M18329">
        <f t="shared" si="2"/>
      </c>
    </row>
    <row r="18330">
      <c r="G18330" s="9">
        <f t="shared" si="0"/>
      </c>
      <c r="L18330">
        <f t="shared" si="1"/>
      </c>
      <c r="M18330">
        <f t="shared" si="2"/>
      </c>
    </row>
    <row r="18331">
      <c r="G18331" s="9">
        <f t="shared" si="0"/>
      </c>
      <c r="L18331">
        <f t="shared" si="1"/>
      </c>
      <c r="M18331">
        <f t="shared" si="2"/>
      </c>
    </row>
    <row r="18332">
      <c r="G18332" s="9">
        <f t="shared" si="0"/>
      </c>
      <c r="L18332">
        <f t="shared" si="1"/>
      </c>
      <c r="M18332">
        <f t="shared" si="2"/>
      </c>
    </row>
    <row r="18333">
      <c r="G18333" s="9">
        <f t="shared" si="0"/>
      </c>
      <c r="L18333">
        <f t="shared" si="1"/>
      </c>
      <c r="M18333">
        <f t="shared" si="2"/>
      </c>
    </row>
    <row r="18334">
      <c r="G18334" s="9">
        <f t="shared" si="0"/>
      </c>
      <c r="L18334">
        <f t="shared" si="1"/>
      </c>
      <c r="M18334">
        <f t="shared" si="2"/>
      </c>
    </row>
    <row r="18335">
      <c r="G18335" s="9">
        <f t="shared" si="0"/>
      </c>
      <c r="L18335">
        <f t="shared" si="1"/>
      </c>
      <c r="M18335">
        <f t="shared" si="2"/>
      </c>
    </row>
    <row r="18336">
      <c r="G18336" s="9">
        <f t="shared" si="0"/>
      </c>
      <c r="L18336">
        <f t="shared" si="1"/>
      </c>
      <c r="M18336">
        <f t="shared" si="2"/>
      </c>
    </row>
    <row r="18337">
      <c r="G18337" s="9">
        <f t="shared" si="0"/>
      </c>
      <c r="L18337">
        <f t="shared" si="1"/>
      </c>
      <c r="M18337">
        <f t="shared" si="2"/>
      </c>
    </row>
    <row r="18338">
      <c r="G18338" s="9">
        <f t="shared" si="0"/>
      </c>
      <c r="L18338">
        <f t="shared" si="1"/>
      </c>
      <c r="M18338">
        <f t="shared" si="2"/>
      </c>
    </row>
    <row r="18339">
      <c r="G18339" s="9">
        <f t="shared" si="0"/>
      </c>
      <c r="L18339">
        <f t="shared" si="1"/>
      </c>
      <c r="M18339">
        <f t="shared" si="2"/>
      </c>
    </row>
    <row r="18340">
      <c r="G18340" s="9">
        <f t="shared" si="0"/>
      </c>
      <c r="L18340">
        <f t="shared" si="1"/>
      </c>
      <c r="M18340">
        <f t="shared" si="2"/>
      </c>
    </row>
    <row r="18341">
      <c r="G18341" s="9">
        <f t="shared" si="0"/>
      </c>
      <c r="L18341">
        <f t="shared" si="1"/>
      </c>
      <c r="M18341">
        <f t="shared" si="2"/>
      </c>
    </row>
    <row r="18342">
      <c r="G18342" s="9">
        <f t="shared" si="0"/>
      </c>
      <c r="L18342">
        <f t="shared" si="1"/>
      </c>
      <c r="M18342">
        <f t="shared" si="2"/>
      </c>
    </row>
    <row r="18343">
      <c r="G18343" s="9">
        <f t="shared" si="0"/>
      </c>
      <c r="L18343">
        <f t="shared" si="1"/>
      </c>
      <c r="M18343">
        <f t="shared" si="2"/>
      </c>
    </row>
    <row r="18344">
      <c r="G18344" s="9">
        <f t="shared" si="0"/>
      </c>
      <c r="L18344">
        <f t="shared" si="1"/>
      </c>
      <c r="M18344">
        <f t="shared" si="2"/>
      </c>
    </row>
    <row r="18345">
      <c r="G18345" s="9">
        <f t="shared" si="0"/>
      </c>
      <c r="L18345">
        <f t="shared" si="1"/>
      </c>
      <c r="M18345">
        <f t="shared" si="2"/>
      </c>
    </row>
    <row r="18346">
      <c r="G18346" s="9">
        <f t="shared" si="0"/>
      </c>
      <c r="L18346">
        <f t="shared" si="1"/>
      </c>
      <c r="M18346">
        <f t="shared" si="2"/>
      </c>
    </row>
    <row r="18347">
      <c r="G18347" s="9">
        <f t="shared" si="0"/>
      </c>
      <c r="L18347">
        <f t="shared" si="1"/>
      </c>
      <c r="M18347">
        <f t="shared" si="2"/>
      </c>
    </row>
    <row r="18348">
      <c r="G18348" s="9">
        <f t="shared" si="0"/>
      </c>
      <c r="L18348">
        <f t="shared" si="1"/>
      </c>
      <c r="M18348">
        <f t="shared" si="2"/>
      </c>
    </row>
    <row r="18349">
      <c r="G18349" s="9">
        <f t="shared" si="0"/>
      </c>
      <c r="L18349">
        <f t="shared" si="1"/>
      </c>
      <c r="M18349">
        <f t="shared" si="2"/>
      </c>
    </row>
    <row r="18350">
      <c r="G18350" s="9">
        <f t="shared" si="0"/>
      </c>
      <c r="L18350">
        <f t="shared" si="1"/>
      </c>
      <c r="M18350">
        <f t="shared" si="2"/>
      </c>
    </row>
    <row r="18351">
      <c r="G18351" s="9">
        <f t="shared" si="0"/>
      </c>
      <c r="L18351">
        <f t="shared" si="1"/>
      </c>
      <c r="M18351">
        <f t="shared" si="2"/>
      </c>
    </row>
    <row r="18352">
      <c r="G18352" s="9">
        <f t="shared" si="0"/>
      </c>
      <c r="L18352">
        <f t="shared" si="1"/>
      </c>
      <c r="M18352">
        <f t="shared" si="2"/>
      </c>
    </row>
    <row r="18353">
      <c r="G18353" s="9">
        <f t="shared" si="0"/>
      </c>
      <c r="L18353">
        <f t="shared" si="1"/>
      </c>
      <c r="M18353">
        <f t="shared" si="2"/>
      </c>
    </row>
    <row r="18354">
      <c r="G18354" s="9">
        <f t="shared" si="0"/>
      </c>
      <c r="L18354">
        <f t="shared" si="1"/>
      </c>
      <c r="M18354">
        <f t="shared" si="2"/>
      </c>
    </row>
    <row r="18355">
      <c r="G18355" s="9">
        <f t="shared" si="0"/>
      </c>
      <c r="L18355">
        <f t="shared" si="1"/>
      </c>
      <c r="M18355">
        <f t="shared" si="2"/>
      </c>
    </row>
    <row r="18356">
      <c r="G18356" s="9">
        <f t="shared" si="0"/>
      </c>
      <c r="L18356">
        <f t="shared" si="1"/>
      </c>
      <c r="M18356">
        <f t="shared" si="2"/>
      </c>
    </row>
    <row r="18357">
      <c r="G18357" s="9">
        <f t="shared" si="0"/>
      </c>
      <c r="L18357">
        <f t="shared" si="1"/>
      </c>
      <c r="M18357">
        <f t="shared" si="2"/>
      </c>
    </row>
    <row r="18358">
      <c r="G18358" s="9">
        <f t="shared" si="0"/>
      </c>
      <c r="L18358">
        <f t="shared" si="1"/>
      </c>
      <c r="M18358">
        <f t="shared" si="2"/>
      </c>
    </row>
    <row r="18359">
      <c r="G18359" s="9">
        <f t="shared" si="0"/>
      </c>
      <c r="L18359">
        <f t="shared" si="1"/>
      </c>
      <c r="M18359">
        <f t="shared" si="2"/>
      </c>
    </row>
    <row r="18360">
      <c r="G18360" s="9">
        <f t="shared" si="0"/>
      </c>
      <c r="L18360">
        <f t="shared" si="1"/>
      </c>
      <c r="M18360">
        <f t="shared" si="2"/>
      </c>
    </row>
    <row r="18361">
      <c r="G18361" s="9">
        <f t="shared" si="0"/>
      </c>
      <c r="L18361">
        <f t="shared" si="1"/>
      </c>
      <c r="M18361">
        <f t="shared" si="2"/>
      </c>
    </row>
    <row r="18362">
      <c r="G18362" s="9">
        <f t="shared" si="0"/>
      </c>
      <c r="L18362">
        <f t="shared" si="1"/>
      </c>
      <c r="M18362">
        <f t="shared" si="2"/>
      </c>
    </row>
    <row r="18363">
      <c r="G18363" s="9">
        <f t="shared" si="0"/>
      </c>
      <c r="L18363">
        <f t="shared" si="1"/>
      </c>
      <c r="M18363">
        <f t="shared" si="2"/>
      </c>
    </row>
    <row r="18364">
      <c r="G18364" s="9">
        <f t="shared" si="0"/>
      </c>
      <c r="L18364">
        <f t="shared" si="1"/>
      </c>
      <c r="M18364">
        <f t="shared" si="2"/>
      </c>
    </row>
    <row r="18365">
      <c r="G18365" s="9">
        <f t="shared" si="0"/>
      </c>
      <c r="L18365">
        <f t="shared" si="1"/>
      </c>
      <c r="M18365">
        <f t="shared" si="2"/>
      </c>
    </row>
    <row r="18366">
      <c r="G18366" s="9">
        <f t="shared" si="0"/>
      </c>
      <c r="L18366">
        <f t="shared" si="1"/>
      </c>
      <c r="M18366">
        <f t="shared" si="2"/>
      </c>
    </row>
    <row r="18367">
      <c r="G18367" s="9">
        <f t="shared" si="0"/>
      </c>
      <c r="L18367">
        <f t="shared" si="1"/>
      </c>
      <c r="M18367">
        <f t="shared" si="2"/>
      </c>
    </row>
    <row r="18368">
      <c r="G18368" s="9">
        <f t="shared" si="0"/>
      </c>
      <c r="L18368">
        <f t="shared" si="1"/>
      </c>
      <c r="M18368">
        <f t="shared" si="2"/>
      </c>
    </row>
    <row r="18369">
      <c r="G18369" s="9">
        <f t="shared" si="0"/>
      </c>
      <c r="L18369">
        <f t="shared" si="1"/>
      </c>
      <c r="M18369">
        <f t="shared" si="2"/>
      </c>
    </row>
    <row r="18370">
      <c r="G18370" s="9">
        <f t="shared" si="0"/>
      </c>
      <c r="L18370">
        <f t="shared" si="1"/>
      </c>
      <c r="M18370">
        <f t="shared" si="2"/>
      </c>
    </row>
    <row r="18371">
      <c r="G18371" s="9">
        <f t="shared" si="0"/>
      </c>
      <c r="L18371">
        <f t="shared" si="1"/>
      </c>
      <c r="M18371">
        <f t="shared" si="2"/>
      </c>
    </row>
    <row r="18372">
      <c r="G18372" s="9">
        <f t="shared" si="0"/>
      </c>
      <c r="L18372">
        <f t="shared" si="1"/>
      </c>
      <c r="M18372">
        <f t="shared" si="2"/>
      </c>
    </row>
    <row r="18373">
      <c r="G18373" s="9">
        <f t="shared" si="0"/>
      </c>
      <c r="L18373">
        <f t="shared" si="1"/>
      </c>
      <c r="M18373">
        <f t="shared" si="2"/>
      </c>
    </row>
    <row r="18374">
      <c r="G18374" s="9">
        <f t="shared" si="0"/>
      </c>
      <c r="L18374">
        <f t="shared" si="1"/>
      </c>
      <c r="M18374">
        <f t="shared" si="2"/>
      </c>
    </row>
    <row r="18375">
      <c r="G18375" s="9">
        <f t="shared" si="0"/>
      </c>
      <c r="L18375">
        <f t="shared" si="1"/>
      </c>
      <c r="M18375">
        <f t="shared" si="2"/>
      </c>
    </row>
    <row r="18376">
      <c r="G18376" s="9">
        <f t="shared" si="0"/>
      </c>
      <c r="L18376">
        <f t="shared" si="1"/>
      </c>
      <c r="M18376">
        <f t="shared" si="2"/>
      </c>
    </row>
    <row r="18377">
      <c r="G18377" s="9">
        <f t="shared" si="0"/>
      </c>
      <c r="L18377">
        <f t="shared" si="1"/>
      </c>
      <c r="M18377">
        <f t="shared" si="2"/>
      </c>
    </row>
    <row r="18378">
      <c r="G18378" s="9">
        <f t="shared" si="0"/>
      </c>
      <c r="L18378">
        <f t="shared" si="1"/>
      </c>
      <c r="M18378">
        <f t="shared" si="2"/>
      </c>
    </row>
    <row r="18379">
      <c r="G18379" s="9">
        <f t="shared" si="0"/>
      </c>
      <c r="L18379">
        <f t="shared" si="1"/>
      </c>
      <c r="M18379">
        <f t="shared" si="2"/>
      </c>
    </row>
    <row r="18380">
      <c r="G18380" s="9">
        <f t="shared" si="0"/>
      </c>
      <c r="L18380">
        <f t="shared" si="1"/>
      </c>
      <c r="M18380">
        <f t="shared" si="2"/>
      </c>
    </row>
    <row r="18381">
      <c r="G18381" s="9">
        <f t="shared" si="0"/>
      </c>
      <c r="L18381">
        <f t="shared" si="1"/>
      </c>
      <c r="M18381">
        <f t="shared" si="2"/>
      </c>
    </row>
    <row r="18382">
      <c r="G18382" s="9">
        <f t="shared" si="0"/>
      </c>
      <c r="L18382">
        <f t="shared" si="1"/>
      </c>
      <c r="M18382">
        <f t="shared" si="2"/>
      </c>
    </row>
    <row r="18383">
      <c r="G18383" s="9">
        <f t="shared" si="0"/>
      </c>
      <c r="L18383">
        <f t="shared" si="1"/>
      </c>
      <c r="M18383">
        <f t="shared" si="2"/>
      </c>
    </row>
    <row r="18384">
      <c r="G18384" s="9">
        <f t="shared" si="0"/>
      </c>
      <c r="L18384">
        <f t="shared" si="1"/>
      </c>
      <c r="M18384">
        <f t="shared" si="2"/>
      </c>
    </row>
    <row r="18385">
      <c r="G18385" s="9">
        <f t="shared" si="0"/>
      </c>
      <c r="L18385">
        <f t="shared" si="1"/>
      </c>
      <c r="M18385">
        <f t="shared" si="2"/>
      </c>
    </row>
    <row r="18386">
      <c r="G18386" s="9">
        <f t="shared" si="0"/>
      </c>
      <c r="L18386">
        <f t="shared" si="1"/>
      </c>
      <c r="M18386">
        <f t="shared" si="2"/>
      </c>
    </row>
    <row r="18387">
      <c r="G18387" s="9">
        <f t="shared" si="0"/>
      </c>
      <c r="L18387">
        <f t="shared" si="1"/>
      </c>
      <c r="M18387">
        <f t="shared" si="2"/>
      </c>
    </row>
    <row r="18388">
      <c r="G18388" s="9">
        <f t="shared" si="0"/>
      </c>
      <c r="L18388">
        <f t="shared" si="1"/>
      </c>
      <c r="M18388">
        <f t="shared" si="2"/>
      </c>
    </row>
    <row r="18389">
      <c r="G18389" s="9">
        <f t="shared" si="0"/>
      </c>
      <c r="L18389">
        <f t="shared" si="1"/>
      </c>
      <c r="M18389">
        <f t="shared" si="2"/>
      </c>
    </row>
    <row r="18390">
      <c r="G18390" s="9">
        <f t="shared" si="0"/>
      </c>
      <c r="L18390">
        <f t="shared" si="1"/>
      </c>
      <c r="M18390">
        <f t="shared" si="2"/>
      </c>
    </row>
    <row r="18391">
      <c r="G18391" s="9">
        <f t="shared" si="0"/>
      </c>
      <c r="L18391">
        <f t="shared" si="1"/>
      </c>
      <c r="M18391">
        <f t="shared" si="2"/>
      </c>
    </row>
    <row r="18392">
      <c r="G18392" s="9">
        <f t="shared" si="0"/>
      </c>
      <c r="L18392">
        <f t="shared" si="1"/>
      </c>
      <c r="M18392">
        <f t="shared" si="2"/>
      </c>
    </row>
    <row r="18393">
      <c r="G18393" s="9">
        <f t="shared" si="0"/>
      </c>
      <c r="L18393">
        <f t="shared" si="1"/>
      </c>
      <c r="M18393">
        <f t="shared" si="2"/>
      </c>
    </row>
    <row r="18394">
      <c r="G18394" s="9">
        <f t="shared" si="0"/>
      </c>
      <c r="L18394">
        <f t="shared" si="1"/>
      </c>
      <c r="M18394">
        <f t="shared" si="2"/>
      </c>
    </row>
    <row r="18395">
      <c r="G18395" s="9">
        <f t="shared" si="0"/>
      </c>
      <c r="L18395">
        <f t="shared" si="1"/>
      </c>
      <c r="M18395">
        <f t="shared" si="2"/>
      </c>
    </row>
    <row r="18396">
      <c r="G18396" s="9">
        <f t="shared" si="0"/>
      </c>
      <c r="L18396">
        <f t="shared" si="1"/>
      </c>
      <c r="M18396">
        <f t="shared" si="2"/>
      </c>
    </row>
    <row r="18397">
      <c r="G18397" s="9">
        <f t="shared" si="0"/>
      </c>
      <c r="L18397">
        <f t="shared" si="1"/>
      </c>
      <c r="M18397">
        <f t="shared" si="2"/>
      </c>
    </row>
    <row r="18398">
      <c r="G18398" s="9">
        <f t="shared" si="0"/>
      </c>
      <c r="L18398">
        <f t="shared" si="1"/>
      </c>
      <c r="M18398">
        <f t="shared" si="2"/>
      </c>
    </row>
    <row r="18399">
      <c r="G18399" s="9">
        <f t="shared" si="0"/>
      </c>
      <c r="L18399">
        <f t="shared" si="1"/>
      </c>
      <c r="M18399">
        <f t="shared" si="2"/>
      </c>
    </row>
    <row r="18400">
      <c r="G18400" s="9">
        <f t="shared" si="0"/>
      </c>
      <c r="L18400">
        <f t="shared" si="1"/>
      </c>
      <c r="M18400">
        <f t="shared" si="2"/>
      </c>
    </row>
    <row r="18401">
      <c r="G18401" s="9">
        <f t="shared" si="0"/>
      </c>
      <c r="L18401">
        <f t="shared" si="1"/>
      </c>
      <c r="M18401">
        <f t="shared" si="2"/>
      </c>
    </row>
    <row r="18402">
      <c r="G18402" s="9">
        <f t="shared" si="0"/>
      </c>
      <c r="L18402">
        <f t="shared" si="1"/>
      </c>
      <c r="M18402">
        <f t="shared" si="2"/>
      </c>
    </row>
    <row r="18403">
      <c r="G18403" s="9">
        <f t="shared" si="0"/>
      </c>
      <c r="L18403">
        <f t="shared" si="1"/>
      </c>
      <c r="M18403">
        <f t="shared" si="2"/>
      </c>
    </row>
    <row r="18404">
      <c r="G18404" s="9">
        <f t="shared" si="0"/>
      </c>
      <c r="L18404">
        <f t="shared" si="1"/>
      </c>
      <c r="M18404">
        <f t="shared" si="2"/>
      </c>
    </row>
    <row r="18405">
      <c r="G18405" s="9">
        <f t="shared" si="0"/>
      </c>
      <c r="L18405">
        <f t="shared" si="1"/>
      </c>
      <c r="M18405">
        <f t="shared" si="2"/>
      </c>
    </row>
    <row r="18406">
      <c r="G18406" s="9">
        <f t="shared" si="0"/>
      </c>
      <c r="L18406">
        <f t="shared" si="1"/>
      </c>
      <c r="M18406">
        <f t="shared" si="2"/>
      </c>
    </row>
    <row r="18407">
      <c r="G18407" s="9">
        <f t="shared" si="0"/>
      </c>
      <c r="L18407">
        <f t="shared" si="1"/>
      </c>
      <c r="M18407">
        <f t="shared" si="2"/>
      </c>
    </row>
    <row r="18408">
      <c r="G18408" s="9">
        <f t="shared" si="0"/>
      </c>
      <c r="L18408">
        <f t="shared" si="1"/>
      </c>
      <c r="M18408">
        <f t="shared" si="2"/>
      </c>
    </row>
    <row r="18409">
      <c r="G18409" s="9">
        <f t="shared" si="0"/>
      </c>
      <c r="L18409">
        <f t="shared" si="1"/>
      </c>
      <c r="M18409">
        <f t="shared" si="2"/>
      </c>
    </row>
    <row r="18410">
      <c r="G18410" s="9">
        <f t="shared" si="0"/>
      </c>
      <c r="L18410">
        <f t="shared" si="1"/>
      </c>
      <c r="M18410">
        <f t="shared" si="2"/>
      </c>
    </row>
    <row r="18411">
      <c r="G18411" s="9">
        <f t="shared" si="0"/>
      </c>
      <c r="L18411">
        <f t="shared" si="1"/>
      </c>
      <c r="M18411">
        <f t="shared" si="2"/>
      </c>
    </row>
    <row r="18412">
      <c r="G18412" s="9">
        <f t="shared" si="0"/>
      </c>
      <c r="L18412">
        <f t="shared" si="1"/>
      </c>
      <c r="M18412">
        <f t="shared" si="2"/>
      </c>
    </row>
    <row r="18413">
      <c r="G18413" s="9">
        <f t="shared" si="0"/>
      </c>
      <c r="L18413">
        <f t="shared" si="1"/>
      </c>
      <c r="M18413">
        <f t="shared" si="2"/>
      </c>
    </row>
    <row r="18414">
      <c r="G18414" s="9">
        <f t="shared" si="0"/>
      </c>
      <c r="L18414">
        <f t="shared" si="1"/>
      </c>
      <c r="M18414">
        <f t="shared" si="2"/>
      </c>
    </row>
    <row r="18415">
      <c r="G18415" s="9">
        <f t="shared" si="0"/>
      </c>
      <c r="L18415">
        <f t="shared" si="1"/>
      </c>
      <c r="M18415">
        <f t="shared" si="2"/>
      </c>
    </row>
    <row r="18416">
      <c r="G18416" s="9">
        <f t="shared" si="0"/>
      </c>
      <c r="L18416">
        <f t="shared" si="1"/>
      </c>
      <c r="M18416">
        <f t="shared" si="2"/>
      </c>
    </row>
    <row r="18417">
      <c r="G18417" s="9">
        <f t="shared" si="0"/>
      </c>
      <c r="L18417">
        <f t="shared" si="1"/>
      </c>
      <c r="M18417">
        <f t="shared" si="2"/>
      </c>
    </row>
    <row r="18418">
      <c r="G18418" s="9">
        <f t="shared" si="0"/>
      </c>
      <c r="L18418">
        <f t="shared" si="1"/>
      </c>
      <c r="M18418">
        <f t="shared" si="2"/>
      </c>
    </row>
    <row r="18419">
      <c r="G18419" s="9">
        <f t="shared" si="0"/>
      </c>
      <c r="L18419">
        <f t="shared" si="1"/>
      </c>
      <c r="M18419">
        <f t="shared" si="2"/>
      </c>
    </row>
    <row r="18420">
      <c r="G18420" s="9">
        <f t="shared" si="0"/>
      </c>
      <c r="L18420">
        <f t="shared" si="1"/>
      </c>
      <c r="M18420">
        <f t="shared" si="2"/>
      </c>
    </row>
    <row r="18421">
      <c r="G18421" s="9">
        <f t="shared" si="0"/>
      </c>
      <c r="L18421">
        <f t="shared" si="1"/>
      </c>
      <c r="M18421">
        <f t="shared" si="2"/>
      </c>
    </row>
    <row r="18422">
      <c r="G18422" s="9">
        <f t="shared" si="0"/>
      </c>
      <c r="L18422">
        <f t="shared" si="1"/>
      </c>
      <c r="M18422">
        <f t="shared" si="2"/>
      </c>
    </row>
    <row r="18423">
      <c r="G18423" s="9">
        <f t="shared" si="0"/>
      </c>
      <c r="L18423">
        <f t="shared" si="1"/>
      </c>
      <c r="M18423">
        <f t="shared" si="2"/>
      </c>
    </row>
    <row r="18424">
      <c r="G18424" s="9">
        <f t="shared" si="0"/>
      </c>
      <c r="L18424">
        <f t="shared" si="1"/>
      </c>
      <c r="M18424">
        <f t="shared" si="2"/>
      </c>
    </row>
    <row r="18425">
      <c r="G18425" s="9">
        <f t="shared" si="0"/>
      </c>
      <c r="L18425">
        <f t="shared" si="1"/>
      </c>
      <c r="M18425">
        <f t="shared" si="2"/>
      </c>
    </row>
    <row r="18426">
      <c r="G18426" s="9">
        <f t="shared" si="0"/>
      </c>
      <c r="L18426">
        <f t="shared" si="1"/>
      </c>
      <c r="M18426">
        <f t="shared" si="2"/>
      </c>
    </row>
    <row r="18427">
      <c r="G18427" s="9">
        <f t="shared" si="0"/>
      </c>
      <c r="L18427">
        <f t="shared" si="1"/>
      </c>
      <c r="M18427">
        <f t="shared" si="2"/>
      </c>
    </row>
    <row r="18428">
      <c r="G18428" s="9">
        <f t="shared" si="0"/>
      </c>
      <c r="L18428">
        <f t="shared" si="1"/>
      </c>
      <c r="M18428">
        <f t="shared" si="2"/>
      </c>
    </row>
    <row r="18429">
      <c r="G18429" s="9">
        <f t="shared" si="0"/>
      </c>
      <c r="L18429">
        <f t="shared" si="1"/>
      </c>
      <c r="M18429">
        <f t="shared" si="2"/>
      </c>
    </row>
    <row r="18430">
      <c r="G18430" s="9">
        <f t="shared" si="0"/>
      </c>
      <c r="L18430">
        <f t="shared" si="1"/>
      </c>
      <c r="M18430">
        <f t="shared" si="2"/>
      </c>
    </row>
    <row r="18431">
      <c r="G18431" s="9">
        <f t="shared" si="0"/>
      </c>
      <c r="L18431">
        <f t="shared" si="1"/>
      </c>
      <c r="M18431">
        <f t="shared" si="2"/>
      </c>
    </row>
    <row r="18432">
      <c r="G18432" s="9">
        <f t="shared" si="0"/>
      </c>
      <c r="L18432">
        <f t="shared" si="1"/>
      </c>
      <c r="M18432">
        <f t="shared" si="2"/>
      </c>
    </row>
    <row r="18433">
      <c r="G18433" s="9">
        <f t="shared" si="0"/>
      </c>
      <c r="L18433">
        <f t="shared" si="1"/>
      </c>
      <c r="M18433">
        <f t="shared" si="2"/>
      </c>
    </row>
    <row r="18434">
      <c r="G18434" s="9">
        <f t="shared" si="0"/>
      </c>
      <c r="L18434">
        <f t="shared" si="1"/>
      </c>
      <c r="M18434">
        <f t="shared" si="2"/>
      </c>
    </row>
    <row r="18435">
      <c r="G18435" s="9">
        <f t="shared" si="0"/>
      </c>
      <c r="L18435">
        <f t="shared" si="1"/>
      </c>
      <c r="M18435">
        <f t="shared" si="2"/>
      </c>
    </row>
    <row r="18436">
      <c r="G18436" s="9">
        <f t="shared" si="0"/>
      </c>
      <c r="L18436">
        <f t="shared" si="1"/>
      </c>
      <c r="M18436">
        <f t="shared" si="2"/>
      </c>
    </row>
    <row r="18437">
      <c r="G18437" s="9">
        <f t="shared" si="0"/>
      </c>
      <c r="L18437">
        <f t="shared" si="1"/>
      </c>
      <c r="M18437">
        <f t="shared" si="2"/>
      </c>
    </row>
    <row r="18438">
      <c r="G18438" s="9">
        <f t="shared" si="0"/>
      </c>
      <c r="L18438">
        <f t="shared" si="1"/>
      </c>
      <c r="M18438">
        <f t="shared" si="2"/>
      </c>
    </row>
    <row r="18439">
      <c r="G18439" s="9">
        <f t="shared" si="0"/>
      </c>
      <c r="L18439">
        <f t="shared" si="1"/>
      </c>
      <c r="M18439">
        <f t="shared" si="2"/>
      </c>
    </row>
    <row r="18440">
      <c r="G18440" s="9">
        <f t="shared" si="0"/>
      </c>
      <c r="L18440">
        <f t="shared" si="1"/>
      </c>
      <c r="M18440">
        <f t="shared" si="2"/>
      </c>
    </row>
    <row r="18441">
      <c r="G18441" s="9">
        <f t="shared" si="0"/>
      </c>
      <c r="L18441">
        <f t="shared" si="1"/>
      </c>
      <c r="M18441">
        <f t="shared" si="2"/>
      </c>
    </row>
    <row r="18442">
      <c r="G18442" s="9">
        <f t="shared" si="0"/>
      </c>
      <c r="L18442">
        <f t="shared" si="1"/>
      </c>
      <c r="M18442">
        <f t="shared" si="2"/>
      </c>
    </row>
    <row r="18443">
      <c r="G18443" s="9">
        <f t="shared" si="0"/>
      </c>
      <c r="L18443">
        <f t="shared" si="1"/>
      </c>
      <c r="M18443">
        <f t="shared" si="2"/>
      </c>
    </row>
    <row r="18444">
      <c r="G18444" s="9">
        <f t="shared" si="0"/>
      </c>
      <c r="L18444">
        <f t="shared" si="1"/>
      </c>
      <c r="M18444">
        <f t="shared" si="2"/>
      </c>
    </row>
    <row r="18445">
      <c r="G18445" s="9">
        <f t="shared" si="0"/>
      </c>
      <c r="L18445">
        <f t="shared" si="1"/>
      </c>
      <c r="M18445">
        <f t="shared" si="2"/>
      </c>
    </row>
    <row r="18446">
      <c r="G18446" s="9">
        <f t="shared" si="0"/>
      </c>
      <c r="L18446">
        <f t="shared" si="1"/>
      </c>
      <c r="M18446">
        <f t="shared" si="2"/>
      </c>
    </row>
    <row r="18447">
      <c r="G18447" s="9">
        <f t="shared" si="0"/>
      </c>
      <c r="L18447">
        <f t="shared" si="1"/>
      </c>
      <c r="M18447">
        <f t="shared" si="2"/>
      </c>
    </row>
    <row r="18448">
      <c r="G18448" s="9">
        <f t="shared" si="0"/>
      </c>
      <c r="L18448">
        <f t="shared" si="1"/>
      </c>
      <c r="M18448">
        <f t="shared" si="2"/>
      </c>
    </row>
    <row r="18449">
      <c r="G18449" s="9">
        <f t="shared" si="0"/>
      </c>
      <c r="L18449">
        <f t="shared" si="1"/>
      </c>
      <c r="M18449">
        <f t="shared" si="2"/>
      </c>
    </row>
    <row r="18450">
      <c r="G18450" s="9">
        <f t="shared" si="0"/>
      </c>
      <c r="L18450">
        <f t="shared" si="1"/>
      </c>
      <c r="M18450">
        <f t="shared" si="2"/>
      </c>
    </row>
    <row r="18451">
      <c r="G18451" s="9">
        <f t="shared" si="0"/>
      </c>
      <c r="L18451">
        <f t="shared" si="1"/>
      </c>
      <c r="M18451">
        <f t="shared" si="2"/>
      </c>
    </row>
    <row r="18452">
      <c r="G18452" s="9">
        <f t="shared" si="0"/>
      </c>
      <c r="L18452">
        <f t="shared" si="1"/>
      </c>
      <c r="M18452">
        <f t="shared" si="2"/>
      </c>
    </row>
    <row r="18453">
      <c r="G18453" s="9">
        <f t="shared" si="0"/>
      </c>
      <c r="L18453">
        <f t="shared" si="1"/>
      </c>
      <c r="M18453">
        <f t="shared" si="2"/>
      </c>
    </row>
    <row r="18454">
      <c r="G18454" s="9">
        <f t="shared" si="0"/>
      </c>
      <c r="L18454">
        <f t="shared" si="1"/>
      </c>
      <c r="M18454">
        <f t="shared" si="2"/>
      </c>
    </row>
    <row r="18455">
      <c r="G18455" s="9">
        <f t="shared" si="0"/>
      </c>
      <c r="L18455">
        <f t="shared" si="1"/>
      </c>
      <c r="M18455">
        <f t="shared" si="2"/>
      </c>
    </row>
    <row r="18456">
      <c r="G18456" s="9">
        <f t="shared" si="0"/>
      </c>
      <c r="L18456">
        <f t="shared" si="1"/>
      </c>
      <c r="M18456">
        <f t="shared" si="2"/>
      </c>
    </row>
    <row r="18457">
      <c r="G18457" s="9">
        <f t="shared" si="0"/>
      </c>
      <c r="L18457">
        <f t="shared" si="1"/>
      </c>
      <c r="M18457">
        <f t="shared" si="2"/>
      </c>
    </row>
    <row r="18458">
      <c r="G18458" s="9">
        <f t="shared" si="0"/>
      </c>
      <c r="L18458">
        <f t="shared" si="1"/>
      </c>
      <c r="M18458">
        <f t="shared" si="2"/>
      </c>
    </row>
    <row r="18459">
      <c r="G18459" s="9">
        <f t="shared" si="0"/>
      </c>
      <c r="L18459">
        <f t="shared" si="1"/>
      </c>
      <c r="M18459">
        <f t="shared" si="2"/>
      </c>
    </row>
    <row r="18460">
      <c r="G18460" s="9">
        <f t="shared" si="0"/>
      </c>
      <c r="L18460">
        <f t="shared" si="1"/>
      </c>
      <c r="M18460">
        <f t="shared" si="2"/>
      </c>
    </row>
    <row r="18461">
      <c r="G18461" s="9">
        <f t="shared" si="0"/>
      </c>
      <c r="L18461">
        <f t="shared" si="1"/>
      </c>
      <c r="M18461">
        <f t="shared" si="2"/>
      </c>
    </row>
    <row r="18462">
      <c r="G18462" s="9">
        <f t="shared" si="0"/>
      </c>
      <c r="L18462">
        <f t="shared" si="1"/>
      </c>
      <c r="M18462">
        <f t="shared" si="2"/>
      </c>
    </row>
    <row r="18463">
      <c r="G18463" s="9">
        <f t="shared" si="0"/>
      </c>
      <c r="L18463">
        <f t="shared" si="1"/>
      </c>
      <c r="M18463">
        <f t="shared" si="2"/>
      </c>
    </row>
    <row r="18464">
      <c r="G18464" s="9">
        <f t="shared" si="0"/>
      </c>
      <c r="L18464">
        <f t="shared" si="1"/>
      </c>
      <c r="M18464">
        <f t="shared" si="2"/>
      </c>
    </row>
    <row r="18465">
      <c r="G18465" s="9">
        <f t="shared" si="0"/>
      </c>
      <c r="L18465">
        <f t="shared" si="1"/>
      </c>
      <c r="M18465">
        <f t="shared" si="2"/>
      </c>
    </row>
    <row r="18466">
      <c r="G18466" s="9">
        <f t="shared" si="0"/>
      </c>
      <c r="L18466">
        <f t="shared" si="1"/>
      </c>
      <c r="M18466">
        <f t="shared" si="2"/>
      </c>
    </row>
    <row r="18467">
      <c r="G18467" s="9">
        <f t="shared" si="0"/>
      </c>
      <c r="L18467">
        <f t="shared" si="1"/>
      </c>
      <c r="M18467">
        <f t="shared" si="2"/>
      </c>
    </row>
    <row r="18468">
      <c r="G18468" s="9">
        <f t="shared" si="0"/>
      </c>
      <c r="L18468">
        <f t="shared" si="1"/>
      </c>
      <c r="M18468">
        <f t="shared" si="2"/>
      </c>
    </row>
    <row r="18469">
      <c r="G18469" s="9">
        <f t="shared" si="0"/>
      </c>
      <c r="L18469">
        <f t="shared" si="1"/>
      </c>
      <c r="M18469">
        <f t="shared" si="2"/>
      </c>
    </row>
    <row r="18470">
      <c r="G18470" s="9">
        <f t="shared" si="0"/>
      </c>
      <c r="L18470">
        <f t="shared" si="1"/>
      </c>
      <c r="M18470">
        <f t="shared" si="2"/>
      </c>
    </row>
    <row r="18471">
      <c r="G18471" s="9">
        <f t="shared" si="0"/>
      </c>
      <c r="L18471">
        <f t="shared" si="1"/>
      </c>
      <c r="M18471">
        <f t="shared" si="2"/>
      </c>
    </row>
    <row r="18472">
      <c r="G18472" s="9">
        <f t="shared" si="0"/>
      </c>
      <c r="L18472">
        <f t="shared" si="1"/>
      </c>
      <c r="M18472">
        <f t="shared" si="2"/>
      </c>
    </row>
    <row r="18473">
      <c r="G18473" s="9">
        <f t="shared" si="0"/>
      </c>
      <c r="L18473">
        <f t="shared" si="1"/>
      </c>
      <c r="M18473">
        <f t="shared" si="2"/>
      </c>
    </row>
    <row r="18474">
      <c r="G18474" s="9">
        <f t="shared" si="0"/>
      </c>
      <c r="L18474">
        <f t="shared" si="1"/>
      </c>
      <c r="M18474">
        <f t="shared" si="2"/>
      </c>
    </row>
    <row r="18475">
      <c r="G18475" s="9">
        <f t="shared" si="0"/>
      </c>
      <c r="L18475">
        <f t="shared" si="1"/>
      </c>
      <c r="M18475">
        <f t="shared" si="2"/>
      </c>
    </row>
    <row r="18476">
      <c r="G18476" s="9">
        <f t="shared" si="0"/>
      </c>
      <c r="L18476">
        <f t="shared" si="1"/>
      </c>
      <c r="M18476">
        <f t="shared" si="2"/>
      </c>
    </row>
    <row r="18477">
      <c r="G18477" s="9">
        <f t="shared" si="0"/>
      </c>
      <c r="L18477">
        <f t="shared" si="1"/>
      </c>
      <c r="M18477">
        <f t="shared" si="2"/>
      </c>
    </row>
    <row r="18478">
      <c r="G18478" s="9">
        <f t="shared" si="0"/>
      </c>
      <c r="L18478">
        <f t="shared" si="1"/>
      </c>
      <c r="M18478">
        <f t="shared" si="2"/>
      </c>
    </row>
    <row r="18479">
      <c r="G18479" s="9">
        <f t="shared" si="0"/>
      </c>
      <c r="L18479">
        <f t="shared" si="1"/>
      </c>
      <c r="M18479">
        <f t="shared" si="2"/>
      </c>
    </row>
    <row r="18480">
      <c r="G18480" s="9">
        <f t="shared" si="0"/>
      </c>
      <c r="L18480">
        <f t="shared" si="1"/>
      </c>
      <c r="M18480">
        <f t="shared" si="2"/>
      </c>
    </row>
    <row r="18481">
      <c r="G18481" s="9">
        <f t="shared" si="0"/>
      </c>
      <c r="L18481">
        <f t="shared" si="1"/>
      </c>
      <c r="M18481">
        <f t="shared" si="2"/>
      </c>
    </row>
    <row r="18482">
      <c r="G18482" s="9">
        <f t="shared" si="0"/>
      </c>
      <c r="L18482">
        <f t="shared" si="1"/>
      </c>
      <c r="M18482">
        <f t="shared" si="2"/>
      </c>
    </row>
    <row r="18483">
      <c r="G18483" s="9">
        <f t="shared" si="0"/>
      </c>
      <c r="L18483">
        <f t="shared" si="1"/>
      </c>
      <c r="M18483">
        <f t="shared" si="2"/>
      </c>
    </row>
    <row r="18484">
      <c r="G18484" s="9">
        <f t="shared" si="0"/>
      </c>
      <c r="L18484">
        <f t="shared" si="1"/>
      </c>
      <c r="M18484">
        <f t="shared" si="2"/>
      </c>
    </row>
    <row r="18485">
      <c r="G18485" s="9">
        <f t="shared" si="0"/>
      </c>
      <c r="L18485">
        <f t="shared" si="1"/>
      </c>
      <c r="M18485">
        <f t="shared" si="2"/>
      </c>
    </row>
    <row r="18486">
      <c r="G18486" s="9">
        <f t="shared" si="0"/>
      </c>
      <c r="L18486">
        <f t="shared" si="1"/>
      </c>
      <c r="M18486">
        <f t="shared" si="2"/>
      </c>
    </row>
    <row r="18487">
      <c r="G18487" s="9">
        <f t="shared" si="0"/>
      </c>
      <c r="L18487">
        <f t="shared" si="1"/>
      </c>
      <c r="M18487">
        <f t="shared" si="2"/>
      </c>
    </row>
    <row r="18488">
      <c r="G18488" s="9">
        <f t="shared" si="0"/>
      </c>
      <c r="L18488">
        <f t="shared" si="1"/>
      </c>
      <c r="M18488">
        <f t="shared" si="2"/>
      </c>
    </row>
    <row r="18489">
      <c r="G18489" s="9">
        <f t="shared" si="0"/>
      </c>
      <c r="L18489">
        <f t="shared" si="1"/>
      </c>
      <c r="M18489">
        <f t="shared" si="2"/>
      </c>
    </row>
    <row r="18490">
      <c r="G18490" s="9">
        <f t="shared" si="0"/>
      </c>
      <c r="L18490">
        <f t="shared" si="1"/>
      </c>
      <c r="M18490">
        <f t="shared" si="2"/>
      </c>
    </row>
    <row r="18491">
      <c r="G18491" s="9">
        <f t="shared" si="0"/>
      </c>
      <c r="L18491">
        <f t="shared" si="1"/>
      </c>
      <c r="M18491">
        <f t="shared" si="2"/>
      </c>
    </row>
    <row r="18492">
      <c r="G18492" s="9">
        <f t="shared" si="0"/>
      </c>
      <c r="L18492">
        <f t="shared" si="1"/>
      </c>
      <c r="M18492">
        <f t="shared" si="2"/>
      </c>
    </row>
    <row r="18493">
      <c r="G18493" s="9">
        <f t="shared" si="0"/>
      </c>
      <c r="L18493">
        <f t="shared" si="1"/>
      </c>
      <c r="M18493">
        <f t="shared" si="2"/>
      </c>
    </row>
    <row r="18494">
      <c r="G18494" s="9">
        <f t="shared" si="0"/>
      </c>
      <c r="L18494">
        <f t="shared" si="1"/>
      </c>
      <c r="M18494">
        <f t="shared" si="2"/>
      </c>
    </row>
    <row r="18495">
      <c r="G18495" s="9">
        <f t="shared" si="0"/>
      </c>
      <c r="L18495">
        <f t="shared" si="1"/>
      </c>
      <c r="M18495">
        <f t="shared" si="2"/>
      </c>
    </row>
    <row r="18496">
      <c r="G18496" s="9">
        <f t="shared" si="0"/>
      </c>
      <c r="L18496">
        <f t="shared" si="1"/>
      </c>
      <c r="M18496">
        <f t="shared" si="2"/>
      </c>
    </row>
    <row r="18497">
      <c r="G18497" s="9">
        <f t="shared" si="0"/>
      </c>
      <c r="L18497">
        <f t="shared" si="1"/>
      </c>
      <c r="M18497">
        <f t="shared" si="2"/>
      </c>
    </row>
    <row r="18498">
      <c r="G18498" s="9">
        <f t="shared" si="0"/>
      </c>
      <c r="L18498">
        <f t="shared" si="1"/>
      </c>
      <c r="M18498">
        <f t="shared" si="2"/>
      </c>
    </row>
    <row r="18499">
      <c r="G18499" s="9">
        <f t="shared" si="0"/>
      </c>
      <c r="L18499">
        <f t="shared" si="1"/>
      </c>
      <c r="M18499">
        <f t="shared" si="2"/>
      </c>
    </row>
    <row r="18500">
      <c r="G18500" s="9">
        <f t="shared" si="0"/>
      </c>
      <c r="L18500">
        <f t="shared" si="1"/>
      </c>
      <c r="M18500">
        <f t="shared" si="2"/>
      </c>
    </row>
    <row r="18501">
      <c r="G18501" s="9">
        <f t="shared" si="0"/>
      </c>
      <c r="L18501">
        <f t="shared" si="1"/>
      </c>
      <c r="M18501">
        <f t="shared" si="2"/>
      </c>
    </row>
    <row r="18502">
      <c r="G18502" s="9">
        <f t="shared" si="0"/>
      </c>
      <c r="L18502">
        <f t="shared" si="1"/>
      </c>
      <c r="M18502">
        <f t="shared" si="2"/>
      </c>
    </row>
    <row r="18503">
      <c r="G18503" s="9">
        <f t="shared" si="0"/>
      </c>
      <c r="L18503">
        <f t="shared" si="1"/>
      </c>
      <c r="M18503">
        <f t="shared" si="2"/>
      </c>
    </row>
    <row r="18504">
      <c r="G18504" s="9">
        <f t="shared" si="0"/>
      </c>
      <c r="L18504">
        <f t="shared" si="1"/>
      </c>
      <c r="M18504">
        <f t="shared" si="2"/>
      </c>
    </row>
    <row r="18505">
      <c r="G18505" s="9">
        <f t="shared" si="0"/>
      </c>
      <c r="L18505">
        <f t="shared" si="1"/>
      </c>
      <c r="M18505">
        <f t="shared" si="2"/>
      </c>
    </row>
    <row r="18506">
      <c r="G18506" s="9">
        <f t="shared" si="0"/>
      </c>
      <c r="L18506">
        <f t="shared" si="1"/>
      </c>
      <c r="M18506">
        <f t="shared" si="2"/>
      </c>
    </row>
    <row r="18507">
      <c r="G18507" s="9">
        <f t="shared" si="0"/>
      </c>
      <c r="L18507">
        <f t="shared" si="1"/>
      </c>
      <c r="M18507">
        <f t="shared" si="2"/>
      </c>
    </row>
    <row r="18508">
      <c r="G18508" s="9">
        <f t="shared" si="0"/>
      </c>
      <c r="L18508">
        <f t="shared" si="1"/>
      </c>
      <c r="M18508">
        <f t="shared" si="2"/>
      </c>
    </row>
    <row r="18509">
      <c r="G18509" s="9">
        <f t="shared" si="0"/>
      </c>
      <c r="L18509">
        <f t="shared" si="1"/>
      </c>
      <c r="M18509">
        <f t="shared" si="2"/>
      </c>
    </row>
    <row r="18510">
      <c r="G18510" s="9">
        <f t="shared" si="0"/>
      </c>
      <c r="L18510">
        <f t="shared" si="1"/>
      </c>
      <c r="M18510">
        <f t="shared" si="2"/>
      </c>
    </row>
    <row r="18511">
      <c r="G18511" s="9">
        <f t="shared" si="0"/>
      </c>
      <c r="L18511">
        <f t="shared" si="1"/>
      </c>
      <c r="M18511">
        <f t="shared" si="2"/>
      </c>
    </row>
    <row r="18512">
      <c r="G18512" s="9">
        <f t="shared" si="0"/>
      </c>
      <c r="L18512">
        <f t="shared" si="1"/>
      </c>
      <c r="M18512">
        <f t="shared" si="2"/>
      </c>
    </row>
    <row r="18513">
      <c r="G18513" s="9">
        <f t="shared" si="0"/>
      </c>
      <c r="L18513">
        <f t="shared" si="1"/>
      </c>
      <c r="M18513">
        <f t="shared" si="2"/>
      </c>
    </row>
    <row r="18514">
      <c r="G18514" s="9">
        <f t="shared" si="0"/>
      </c>
      <c r="L18514">
        <f t="shared" si="1"/>
      </c>
      <c r="M18514">
        <f t="shared" si="2"/>
      </c>
    </row>
    <row r="18515">
      <c r="G18515" s="9">
        <f t="shared" si="0"/>
      </c>
      <c r="L18515">
        <f t="shared" si="1"/>
      </c>
      <c r="M18515">
        <f t="shared" si="2"/>
      </c>
    </row>
    <row r="18516">
      <c r="G18516" s="9">
        <f t="shared" si="0"/>
      </c>
      <c r="L18516">
        <f t="shared" si="1"/>
      </c>
      <c r="M18516">
        <f t="shared" si="2"/>
      </c>
    </row>
    <row r="18517">
      <c r="G18517" s="9">
        <f t="shared" si="0"/>
      </c>
      <c r="L18517">
        <f t="shared" si="1"/>
      </c>
      <c r="M18517">
        <f t="shared" si="2"/>
      </c>
    </row>
    <row r="18518">
      <c r="G18518" s="9">
        <f t="shared" si="0"/>
      </c>
      <c r="L18518">
        <f t="shared" si="1"/>
      </c>
      <c r="M18518">
        <f t="shared" si="2"/>
      </c>
    </row>
    <row r="18519">
      <c r="G18519" s="9">
        <f t="shared" si="0"/>
      </c>
      <c r="L18519">
        <f t="shared" si="1"/>
      </c>
      <c r="M18519">
        <f t="shared" si="2"/>
      </c>
    </row>
    <row r="18520">
      <c r="G18520" s="9">
        <f t="shared" si="0"/>
      </c>
      <c r="L18520">
        <f t="shared" si="1"/>
      </c>
      <c r="M18520">
        <f t="shared" si="2"/>
      </c>
    </row>
    <row r="18521">
      <c r="G18521" s="9">
        <f t="shared" si="0"/>
      </c>
      <c r="L18521">
        <f t="shared" si="1"/>
      </c>
      <c r="M18521">
        <f t="shared" si="2"/>
      </c>
    </row>
    <row r="18522">
      <c r="G18522" s="9">
        <f t="shared" si="0"/>
      </c>
      <c r="L18522">
        <f t="shared" si="1"/>
      </c>
      <c r="M18522">
        <f t="shared" si="2"/>
      </c>
    </row>
    <row r="18523">
      <c r="G18523" s="9">
        <f t="shared" si="0"/>
      </c>
      <c r="L18523">
        <f t="shared" si="1"/>
      </c>
      <c r="M18523">
        <f t="shared" si="2"/>
      </c>
    </row>
    <row r="18524">
      <c r="G18524" s="9">
        <f t="shared" si="0"/>
      </c>
      <c r="L18524">
        <f t="shared" si="1"/>
      </c>
      <c r="M18524">
        <f t="shared" si="2"/>
      </c>
    </row>
    <row r="18525">
      <c r="G18525" s="9">
        <f t="shared" si="0"/>
      </c>
      <c r="L18525">
        <f t="shared" si="1"/>
      </c>
      <c r="M18525">
        <f t="shared" si="2"/>
      </c>
    </row>
    <row r="18526">
      <c r="G18526" s="9">
        <f t="shared" si="0"/>
      </c>
      <c r="L18526">
        <f t="shared" si="1"/>
      </c>
      <c r="M18526">
        <f t="shared" si="2"/>
      </c>
    </row>
    <row r="18527">
      <c r="G18527" s="9">
        <f t="shared" si="0"/>
      </c>
      <c r="L18527">
        <f t="shared" si="1"/>
      </c>
      <c r="M18527">
        <f t="shared" si="2"/>
      </c>
    </row>
    <row r="18528">
      <c r="G18528" s="9">
        <f t="shared" si="0"/>
      </c>
      <c r="L18528">
        <f t="shared" si="1"/>
      </c>
      <c r="M18528">
        <f t="shared" si="2"/>
      </c>
    </row>
    <row r="18529">
      <c r="G18529" s="9">
        <f t="shared" si="0"/>
      </c>
      <c r="L18529">
        <f t="shared" si="1"/>
      </c>
      <c r="M18529">
        <f t="shared" si="2"/>
      </c>
    </row>
    <row r="18530">
      <c r="G18530" s="9">
        <f t="shared" si="0"/>
      </c>
      <c r="L18530">
        <f t="shared" si="1"/>
      </c>
      <c r="M18530">
        <f t="shared" si="2"/>
      </c>
    </row>
    <row r="18531">
      <c r="G18531" s="9">
        <f t="shared" si="0"/>
      </c>
      <c r="L18531">
        <f t="shared" si="1"/>
      </c>
      <c r="M18531">
        <f t="shared" si="2"/>
      </c>
    </row>
    <row r="18532">
      <c r="G18532" s="9">
        <f t="shared" si="0"/>
      </c>
      <c r="L18532">
        <f t="shared" si="1"/>
      </c>
      <c r="M18532">
        <f t="shared" si="2"/>
      </c>
    </row>
    <row r="18533">
      <c r="G18533" s="9">
        <f t="shared" si="0"/>
      </c>
      <c r="L18533">
        <f t="shared" si="1"/>
      </c>
      <c r="M18533">
        <f t="shared" si="2"/>
      </c>
    </row>
    <row r="18534">
      <c r="G18534" s="9">
        <f t="shared" si="0"/>
      </c>
      <c r="L18534">
        <f t="shared" si="1"/>
      </c>
      <c r="M18534">
        <f t="shared" si="2"/>
      </c>
    </row>
    <row r="18535">
      <c r="G18535" s="9">
        <f t="shared" si="0"/>
      </c>
      <c r="L18535">
        <f t="shared" si="1"/>
      </c>
      <c r="M18535">
        <f t="shared" si="2"/>
      </c>
    </row>
    <row r="18536">
      <c r="G18536" s="9">
        <f t="shared" si="0"/>
      </c>
      <c r="L18536">
        <f t="shared" si="1"/>
      </c>
      <c r="M18536">
        <f t="shared" si="2"/>
      </c>
    </row>
    <row r="18537">
      <c r="G18537" s="9">
        <f t="shared" si="0"/>
      </c>
      <c r="L18537">
        <f t="shared" si="1"/>
      </c>
      <c r="M18537">
        <f t="shared" si="2"/>
      </c>
    </row>
    <row r="18538">
      <c r="G18538" s="9">
        <f t="shared" si="0"/>
      </c>
      <c r="L18538">
        <f t="shared" si="1"/>
      </c>
      <c r="M18538">
        <f t="shared" si="2"/>
      </c>
    </row>
    <row r="18539">
      <c r="G18539" s="9">
        <f t="shared" si="0"/>
      </c>
      <c r="L18539">
        <f t="shared" si="1"/>
      </c>
      <c r="M18539">
        <f t="shared" si="2"/>
      </c>
    </row>
    <row r="18540">
      <c r="G18540" s="9">
        <f t="shared" si="0"/>
      </c>
      <c r="L18540">
        <f t="shared" si="1"/>
      </c>
      <c r="M18540">
        <f t="shared" si="2"/>
      </c>
    </row>
    <row r="18541">
      <c r="G18541" s="9">
        <f t="shared" si="0"/>
      </c>
      <c r="L18541">
        <f t="shared" si="1"/>
      </c>
      <c r="M18541">
        <f t="shared" si="2"/>
      </c>
    </row>
    <row r="18542">
      <c r="G18542" s="9">
        <f t="shared" si="0"/>
      </c>
      <c r="L18542">
        <f t="shared" si="1"/>
      </c>
      <c r="M18542">
        <f t="shared" si="2"/>
      </c>
    </row>
    <row r="18543">
      <c r="G18543" s="9">
        <f t="shared" si="0"/>
      </c>
      <c r="L18543">
        <f t="shared" si="1"/>
      </c>
      <c r="M18543">
        <f t="shared" si="2"/>
      </c>
    </row>
    <row r="18544">
      <c r="G18544" s="9">
        <f t="shared" si="0"/>
      </c>
      <c r="L18544">
        <f t="shared" si="1"/>
      </c>
      <c r="M18544">
        <f t="shared" si="2"/>
      </c>
    </row>
    <row r="18545">
      <c r="G18545" s="9">
        <f t="shared" si="0"/>
      </c>
      <c r="L18545">
        <f t="shared" si="1"/>
      </c>
      <c r="M18545">
        <f t="shared" si="2"/>
      </c>
    </row>
    <row r="18546">
      <c r="G18546" s="9">
        <f t="shared" si="0"/>
      </c>
      <c r="L18546">
        <f t="shared" si="1"/>
      </c>
      <c r="M18546">
        <f t="shared" si="2"/>
      </c>
    </row>
    <row r="18547">
      <c r="G18547" s="9">
        <f t="shared" si="0"/>
      </c>
      <c r="L18547">
        <f t="shared" si="1"/>
      </c>
      <c r="M18547">
        <f t="shared" si="2"/>
      </c>
    </row>
    <row r="18548">
      <c r="G18548" s="9">
        <f t="shared" si="0"/>
      </c>
      <c r="L18548">
        <f t="shared" si="1"/>
      </c>
      <c r="M18548">
        <f t="shared" si="2"/>
      </c>
    </row>
    <row r="18549">
      <c r="G18549" s="9">
        <f t="shared" si="0"/>
      </c>
      <c r="L18549">
        <f t="shared" si="1"/>
      </c>
      <c r="M18549">
        <f t="shared" si="2"/>
      </c>
    </row>
    <row r="18550">
      <c r="G18550" s="9">
        <f t="shared" si="0"/>
      </c>
      <c r="L18550">
        <f t="shared" si="1"/>
      </c>
      <c r="M18550">
        <f t="shared" si="2"/>
      </c>
    </row>
    <row r="18551">
      <c r="G18551" s="9">
        <f t="shared" si="0"/>
      </c>
      <c r="L18551">
        <f t="shared" si="1"/>
      </c>
      <c r="M18551">
        <f t="shared" si="2"/>
      </c>
    </row>
    <row r="18552">
      <c r="G18552" s="9">
        <f t="shared" si="0"/>
      </c>
      <c r="L18552">
        <f t="shared" si="1"/>
      </c>
      <c r="M18552">
        <f t="shared" si="2"/>
      </c>
    </row>
    <row r="18553">
      <c r="G18553" s="9">
        <f t="shared" si="0"/>
      </c>
      <c r="L18553">
        <f t="shared" si="1"/>
      </c>
      <c r="M18553">
        <f t="shared" si="2"/>
      </c>
    </row>
    <row r="18554">
      <c r="G18554" s="9">
        <f t="shared" si="0"/>
      </c>
      <c r="L18554">
        <f t="shared" si="1"/>
      </c>
      <c r="M18554">
        <f t="shared" si="2"/>
      </c>
    </row>
    <row r="18555">
      <c r="G18555" s="9">
        <f t="shared" si="0"/>
      </c>
      <c r="L18555">
        <f t="shared" si="1"/>
      </c>
      <c r="M18555">
        <f t="shared" si="2"/>
      </c>
    </row>
    <row r="18556">
      <c r="G18556" s="9">
        <f t="shared" si="0"/>
      </c>
      <c r="L18556">
        <f t="shared" si="1"/>
      </c>
      <c r="M18556">
        <f t="shared" si="2"/>
      </c>
    </row>
    <row r="18557">
      <c r="G18557" s="9">
        <f t="shared" si="0"/>
      </c>
      <c r="L18557">
        <f t="shared" si="1"/>
      </c>
      <c r="M18557">
        <f t="shared" si="2"/>
      </c>
    </row>
    <row r="18558">
      <c r="G18558" s="9">
        <f t="shared" si="0"/>
      </c>
      <c r="L18558">
        <f t="shared" si="1"/>
      </c>
      <c r="M18558">
        <f t="shared" si="2"/>
      </c>
    </row>
    <row r="18559">
      <c r="G18559" s="9">
        <f t="shared" si="0"/>
      </c>
      <c r="L18559">
        <f t="shared" si="1"/>
      </c>
      <c r="M18559">
        <f t="shared" si="2"/>
      </c>
    </row>
    <row r="18560">
      <c r="G18560" s="9">
        <f t="shared" si="0"/>
      </c>
      <c r="L18560">
        <f t="shared" si="1"/>
      </c>
      <c r="M18560">
        <f t="shared" si="2"/>
      </c>
    </row>
    <row r="18561">
      <c r="G18561" s="9">
        <f t="shared" si="0"/>
      </c>
      <c r="L18561">
        <f t="shared" si="1"/>
      </c>
      <c r="M18561">
        <f t="shared" si="2"/>
      </c>
    </row>
    <row r="18562">
      <c r="G18562" s="9">
        <f t="shared" si="0"/>
      </c>
      <c r="L18562">
        <f t="shared" si="1"/>
      </c>
      <c r="M18562">
        <f t="shared" si="2"/>
      </c>
    </row>
    <row r="18563">
      <c r="G18563" s="9">
        <f t="shared" si="0"/>
      </c>
      <c r="L18563">
        <f t="shared" si="1"/>
      </c>
      <c r="M18563">
        <f t="shared" si="2"/>
      </c>
    </row>
    <row r="18564">
      <c r="G18564" s="9">
        <f t="shared" si="0"/>
      </c>
      <c r="L18564">
        <f t="shared" si="1"/>
      </c>
      <c r="M18564">
        <f t="shared" si="2"/>
      </c>
    </row>
    <row r="18565">
      <c r="G18565" s="9">
        <f t="shared" si="0"/>
      </c>
      <c r="L18565">
        <f t="shared" si="1"/>
      </c>
      <c r="M18565">
        <f t="shared" si="2"/>
      </c>
    </row>
    <row r="18566">
      <c r="G18566" s="9">
        <f t="shared" si="0"/>
      </c>
      <c r="L18566">
        <f t="shared" si="1"/>
      </c>
      <c r="M18566">
        <f t="shared" si="2"/>
      </c>
    </row>
    <row r="18567">
      <c r="G18567" s="9">
        <f t="shared" si="0"/>
      </c>
      <c r="L18567">
        <f t="shared" si="1"/>
      </c>
      <c r="M18567">
        <f t="shared" si="2"/>
      </c>
    </row>
    <row r="18568">
      <c r="G18568" s="9">
        <f t="shared" si="0"/>
      </c>
      <c r="L18568">
        <f t="shared" si="1"/>
      </c>
      <c r="M18568">
        <f t="shared" si="2"/>
      </c>
    </row>
    <row r="18569">
      <c r="G18569" s="9">
        <f t="shared" si="0"/>
      </c>
      <c r="L18569">
        <f t="shared" si="1"/>
      </c>
      <c r="M18569">
        <f t="shared" si="2"/>
      </c>
    </row>
    <row r="18570">
      <c r="G18570" s="9">
        <f t="shared" si="0"/>
      </c>
      <c r="L18570">
        <f t="shared" si="1"/>
      </c>
      <c r="M18570">
        <f t="shared" si="2"/>
      </c>
    </row>
    <row r="18571">
      <c r="G18571" s="9">
        <f t="shared" si="0"/>
      </c>
      <c r="L18571">
        <f t="shared" si="1"/>
      </c>
      <c r="M18571">
        <f t="shared" si="2"/>
      </c>
    </row>
    <row r="18572">
      <c r="G18572" s="9">
        <f t="shared" si="0"/>
      </c>
      <c r="L18572">
        <f t="shared" si="1"/>
      </c>
      <c r="M18572">
        <f t="shared" si="2"/>
      </c>
    </row>
    <row r="18573">
      <c r="G18573" s="9">
        <f t="shared" si="0"/>
      </c>
      <c r="L18573">
        <f t="shared" si="1"/>
      </c>
      <c r="M18573">
        <f t="shared" si="2"/>
      </c>
    </row>
    <row r="18574">
      <c r="G18574" s="9">
        <f t="shared" si="0"/>
      </c>
      <c r="L18574">
        <f t="shared" si="1"/>
      </c>
      <c r="M18574">
        <f t="shared" si="2"/>
      </c>
    </row>
    <row r="18575">
      <c r="G18575" s="9">
        <f t="shared" si="0"/>
      </c>
      <c r="L18575">
        <f t="shared" si="1"/>
      </c>
      <c r="M18575">
        <f t="shared" si="2"/>
      </c>
    </row>
    <row r="18576">
      <c r="G18576" s="9">
        <f t="shared" si="0"/>
      </c>
      <c r="L18576">
        <f t="shared" si="1"/>
      </c>
      <c r="M18576">
        <f t="shared" si="2"/>
      </c>
    </row>
    <row r="18577">
      <c r="G18577" s="9">
        <f t="shared" si="0"/>
      </c>
      <c r="L18577">
        <f t="shared" si="1"/>
      </c>
      <c r="M18577">
        <f t="shared" si="2"/>
      </c>
    </row>
    <row r="18578">
      <c r="G18578" s="9">
        <f t="shared" si="0"/>
      </c>
      <c r="L18578">
        <f t="shared" si="1"/>
      </c>
      <c r="M18578">
        <f t="shared" si="2"/>
      </c>
    </row>
    <row r="18579">
      <c r="G18579" s="9">
        <f t="shared" si="0"/>
      </c>
      <c r="L18579">
        <f t="shared" si="1"/>
      </c>
      <c r="M18579">
        <f t="shared" si="2"/>
      </c>
    </row>
    <row r="18580">
      <c r="G18580" s="9">
        <f t="shared" si="0"/>
      </c>
      <c r="L18580">
        <f t="shared" si="1"/>
      </c>
      <c r="M18580">
        <f t="shared" si="2"/>
      </c>
    </row>
    <row r="18581">
      <c r="G18581" s="9">
        <f t="shared" si="0"/>
      </c>
      <c r="L18581">
        <f t="shared" si="1"/>
      </c>
      <c r="M18581">
        <f t="shared" si="2"/>
      </c>
    </row>
    <row r="18582">
      <c r="G18582" s="9">
        <f t="shared" si="0"/>
      </c>
      <c r="L18582">
        <f t="shared" si="1"/>
      </c>
      <c r="M18582">
        <f t="shared" si="2"/>
      </c>
    </row>
    <row r="18583">
      <c r="G18583" s="9">
        <f t="shared" si="0"/>
      </c>
      <c r="L18583">
        <f t="shared" si="1"/>
      </c>
      <c r="M18583">
        <f t="shared" si="2"/>
      </c>
    </row>
    <row r="18584">
      <c r="G18584" s="9">
        <f t="shared" si="0"/>
      </c>
      <c r="L18584">
        <f t="shared" si="1"/>
      </c>
      <c r="M18584">
        <f t="shared" si="2"/>
      </c>
    </row>
    <row r="18585">
      <c r="G18585" s="9">
        <f t="shared" si="0"/>
      </c>
      <c r="L18585">
        <f t="shared" si="1"/>
      </c>
      <c r="M18585">
        <f t="shared" si="2"/>
      </c>
    </row>
    <row r="18586">
      <c r="G18586" s="9">
        <f t="shared" si="0"/>
      </c>
      <c r="L18586">
        <f t="shared" si="1"/>
      </c>
      <c r="M18586">
        <f t="shared" si="2"/>
      </c>
    </row>
    <row r="18587">
      <c r="G18587" s="9">
        <f t="shared" si="0"/>
      </c>
      <c r="L18587">
        <f t="shared" si="1"/>
      </c>
      <c r="M18587">
        <f t="shared" si="2"/>
      </c>
    </row>
    <row r="18588">
      <c r="G18588" s="9">
        <f t="shared" si="0"/>
      </c>
      <c r="L18588">
        <f t="shared" si="1"/>
      </c>
      <c r="M18588">
        <f t="shared" si="2"/>
      </c>
    </row>
    <row r="18589">
      <c r="G18589" s="9">
        <f t="shared" si="0"/>
      </c>
      <c r="L18589">
        <f t="shared" si="1"/>
      </c>
      <c r="M18589">
        <f t="shared" si="2"/>
      </c>
    </row>
    <row r="18590">
      <c r="G18590" s="9">
        <f t="shared" si="0"/>
      </c>
      <c r="L18590">
        <f t="shared" si="1"/>
      </c>
      <c r="M18590">
        <f t="shared" si="2"/>
      </c>
    </row>
    <row r="18591">
      <c r="G18591" s="9">
        <f t="shared" si="0"/>
      </c>
      <c r="L18591">
        <f t="shared" si="1"/>
      </c>
      <c r="M18591">
        <f t="shared" si="2"/>
      </c>
    </row>
    <row r="18592">
      <c r="G18592" s="9">
        <f t="shared" si="0"/>
      </c>
      <c r="L18592">
        <f t="shared" si="1"/>
      </c>
      <c r="M18592">
        <f t="shared" si="2"/>
      </c>
    </row>
    <row r="18593">
      <c r="G18593" s="9">
        <f t="shared" si="0"/>
      </c>
      <c r="L18593">
        <f t="shared" si="1"/>
      </c>
      <c r="M18593">
        <f t="shared" si="2"/>
      </c>
    </row>
    <row r="18594">
      <c r="G18594" s="9">
        <f t="shared" si="0"/>
      </c>
      <c r="L18594">
        <f t="shared" si="1"/>
      </c>
      <c r="M18594">
        <f t="shared" si="2"/>
      </c>
    </row>
    <row r="18595">
      <c r="G18595" s="9">
        <f t="shared" si="0"/>
      </c>
      <c r="L18595">
        <f t="shared" si="1"/>
      </c>
      <c r="M18595">
        <f t="shared" si="2"/>
      </c>
    </row>
    <row r="18596">
      <c r="G18596" s="9">
        <f t="shared" si="0"/>
      </c>
      <c r="L18596">
        <f t="shared" si="1"/>
      </c>
      <c r="M18596">
        <f t="shared" si="2"/>
      </c>
    </row>
    <row r="18597">
      <c r="G18597" s="9">
        <f t="shared" si="0"/>
      </c>
      <c r="L18597">
        <f t="shared" si="1"/>
      </c>
      <c r="M18597">
        <f t="shared" si="2"/>
      </c>
    </row>
    <row r="18598">
      <c r="G18598" s="9">
        <f t="shared" si="0"/>
      </c>
      <c r="L18598">
        <f t="shared" si="1"/>
      </c>
      <c r="M18598">
        <f t="shared" si="2"/>
      </c>
    </row>
    <row r="18599">
      <c r="G18599" s="9">
        <f t="shared" si="0"/>
      </c>
      <c r="L18599">
        <f t="shared" si="1"/>
      </c>
      <c r="M18599">
        <f t="shared" si="2"/>
      </c>
    </row>
    <row r="18600">
      <c r="G18600" s="9">
        <f t="shared" si="0"/>
      </c>
      <c r="L18600">
        <f t="shared" si="1"/>
      </c>
      <c r="M18600">
        <f t="shared" si="2"/>
      </c>
    </row>
    <row r="18601">
      <c r="G18601" s="9">
        <f t="shared" si="0"/>
      </c>
      <c r="L18601">
        <f t="shared" si="1"/>
      </c>
      <c r="M18601">
        <f t="shared" si="2"/>
      </c>
    </row>
    <row r="18602">
      <c r="G18602" s="9">
        <f t="shared" si="0"/>
      </c>
      <c r="L18602">
        <f t="shared" si="1"/>
      </c>
      <c r="M18602">
        <f t="shared" si="2"/>
      </c>
    </row>
    <row r="18603">
      <c r="G18603" s="9">
        <f t="shared" si="0"/>
      </c>
      <c r="L18603">
        <f t="shared" si="1"/>
      </c>
      <c r="M18603">
        <f t="shared" si="2"/>
      </c>
    </row>
    <row r="18604">
      <c r="G18604" s="9">
        <f t="shared" si="0"/>
      </c>
      <c r="L18604">
        <f t="shared" si="1"/>
      </c>
      <c r="M18604">
        <f t="shared" si="2"/>
      </c>
    </row>
    <row r="18605">
      <c r="G18605" s="9">
        <f t="shared" si="0"/>
      </c>
      <c r="L18605">
        <f t="shared" si="1"/>
      </c>
      <c r="M18605">
        <f t="shared" si="2"/>
      </c>
    </row>
    <row r="18606">
      <c r="G18606" s="9">
        <f t="shared" si="0"/>
      </c>
      <c r="L18606">
        <f t="shared" si="1"/>
      </c>
      <c r="M18606">
        <f t="shared" si="2"/>
      </c>
    </row>
    <row r="18607">
      <c r="G18607" s="9">
        <f t="shared" si="0"/>
      </c>
      <c r="L18607">
        <f t="shared" si="1"/>
      </c>
      <c r="M18607">
        <f t="shared" si="2"/>
      </c>
    </row>
    <row r="18608">
      <c r="G18608" s="9">
        <f t="shared" si="0"/>
      </c>
      <c r="L18608">
        <f t="shared" si="1"/>
      </c>
      <c r="M18608">
        <f t="shared" si="2"/>
      </c>
    </row>
    <row r="18609">
      <c r="G18609" s="9">
        <f t="shared" si="0"/>
      </c>
      <c r="L18609">
        <f t="shared" si="1"/>
      </c>
      <c r="M18609">
        <f t="shared" si="2"/>
      </c>
    </row>
    <row r="18610">
      <c r="G18610" s="9">
        <f t="shared" si="0"/>
      </c>
      <c r="L18610">
        <f t="shared" si="1"/>
      </c>
      <c r="M18610">
        <f t="shared" si="2"/>
      </c>
    </row>
    <row r="18611">
      <c r="G18611" s="9">
        <f t="shared" si="0"/>
      </c>
      <c r="L18611">
        <f t="shared" si="1"/>
      </c>
      <c r="M18611">
        <f t="shared" si="2"/>
      </c>
    </row>
    <row r="18612">
      <c r="G18612" s="9">
        <f t="shared" si="0"/>
      </c>
      <c r="L18612">
        <f t="shared" si="1"/>
      </c>
      <c r="M18612">
        <f t="shared" si="2"/>
      </c>
    </row>
    <row r="18613">
      <c r="G18613" s="9">
        <f t="shared" si="0"/>
      </c>
      <c r="L18613">
        <f t="shared" si="1"/>
      </c>
      <c r="M18613">
        <f t="shared" si="2"/>
      </c>
    </row>
    <row r="18614">
      <c r="G18614" s="9">
        <f t="shared" si="0"/>
      </c>
      <c r="L18614">
        <f t="shared" si="1"/>
      </c>
      <c r="M18614">
        <f t="shared" si="2"/>
      </c>
    </row>
    <row r="18615">
      <c r="G18615" s="9">
        <f t="shared" si="0"/>
      </c>
      <c r="L18615">
        <f t="shared" si="1"/>
      </c>
      <c r="M18615">
        <f t="shared" si="2"/>
      </c>
    </row>
    <row r="18616">
      <c r="G18616" s="9">
        <f t="shared" si="0"/>
      </c>
      <c r="L18616">
        <f t="shared" si="1"/>
      </c>
      <c r="M18616">
        <f t="shared" si="2"/>
      </c>
    </row>
    <row r="18617">
      <c r="G18617" s="9">
        <f t="shared" si="0"/>
      </c>
      <c r="L18617">
        <f t="shared" si="1"/>
      </c>
      <c r="M18617">
        <f t="shared" si="2"/>
      </c>
    </row>
    <row r="18618">
      <c r="G18618" s="9">
        <f t="shared" si="0"/>
      </c>
      <c r="L18618">
        <f t="shared" si="1"/>
      </c>
      <c r="M18618">
        <f t="shared" si="2"/>
      </c>
    </row>
    <row r="18619">
      <c r="G18619" s="9">
        <f t="shared" si="0"/>
      </c>
      <c r="L18619">
        <f t="shared" si="1"/>
      </c>
      <c r="M18619">
        <f t="shared" si="2"/>
      </c>
    </row>
    <row r="18620">
      <c r="G18620" s="9">
        <f t="shared" si="0"/>
      </c>
      <c r="L18620">
        <f t="shared" si="1"/>
      </c>
      <c r="M18620">
        <f t="shared" si="2"/>
      </c>
    </row>
    <row r="18621">
      <c r="G18621" s="9">
        <f t="shared" si="0"/>
      </c>
      <c r="L18621">
        <f t="shared" si="1"/>
      </c>
      <c r="M18621">
        <f t="shared" si="2"/>
      </c>
    </row>
    <row r="18622">
      <c r="G18622" s="9">
        <f t="shared" si="0"/>
      </c>
      <c r="L18622">
        <f t="shared" si="1"/>
      </c>
      <c r="M18622">
        <f t="shared" si="2"/>
      </c>
    </row>
    <row r="18623">
      <c r="G18623" s="9">
        <f t="shared" si="0"/>
      </c>
      <c r="L18623">
        <f t="shared" si="1"/>
      </c>
      <c r="M18623">
        <f t="shared" si="2"/>
      </c>
    </row>
    <row r="18624">
      <c r="G18624" s="9">
        <f t="shared" si="0"/>
      </c>
      <c r="L18624">
        <f t="shared" si="1"/>
      </c>
      <c r="M18624">
        <f t="shared" si="2"/>
      </c>
    </row>
    <row r="18625">
      <c r="G18625" s="9">
        <f t="shared" si="0"/>
      </c>
      <c r="L18625">
        <f t="shared" si="1"/>
      </c>
      <c r="M18625">
        <f t="shared" si="2"/>
      </c>
    </row>
    <row r="18626">
      <c r="G18626" s="9">
        <f t="shared" si="0"/>
      </c>
      <c r="L18626">
        <f t="shared" si="1"/>
      </c>
      <c r="M18626">
        <f t="shared" si="2"/>
      </c>
    </row>
    <row r="18627">
      <c r="G18627" s="9">
        <f t="shared" si="0"/>
      </c>
      <c r="L18627">
        <f t="shared" si="1"/>
      </c>
      <c r="M18627">
        <f t="shared" si="2"/>
      </c>
    </row>
    <row r="18628">
      <c r="G18628" s="9">
        <f t="shared" si="0"/>
      </c>
      <c r="L18628">
        <f t="shared" si="1"/>
      </c>
      <c r="M18628">
        <f t="shared" si="2"/>
      </c>
    </row>
    <row r="18629">
      <c r="G18629" s="9">
        <f t="shared" si="0"/>
      </c>
      <c r="L18629">
        <f t="shared" si="1"/>
      </c>
      <c r="M18629">
        <f t="shared" si="2"/>
      </c>
    </row>
    <row r="18630">
      <c r="G18630" s="9">
        <f t="shared" si="0"/>
      </c>
      <c r="L18630">
        <f t="shared" si="1"/>
      </c>
      <c r="M18630">
        <f t="shared" si="2"/>
      </c>
    </row>
    <row r="18631">
      <c r="G18631" s="9">
        <f t="shared" si="0"/>
      </c>
      <c r="L18631">
        <f t="shared" si="1"/>
      </c>
      <c r="M18631">
        <f t="shared" si="2"/>
      </c>
    </row>
    <row r="18632">
      <c r="G18632" s="9">
        <f t="shared" si="0"/>
      </c>
      <c r="L18632">
        <f t="shared" si="1"/>
      </c>
      <c r="M18632">
        <f t="shared" si="2"/>
      </c>
    </row>
    <row r="18633">
      <c r="G18633" s="9">
        <f t="shared" si="0"/>
      </c>
      <c r="L18633">
        <f t="shared" si="1"/>
      </c>
      <c r="M18633">
        <f t="shared" si="2"/>
      </c>
    </row>
    <row r="18634">
      <c r="G18634" s="9">
        <f t="shared" si="0"/>
      </c>
      <c r="L18634">
        <f t="shared" si="1"/>
      </c>
      <c r="M18634">
        <f t="shared" si="2"/>
      </c>
    </row>
    <row r="18635">
      <c r="G18635" s="9">
        <f t="shared" si="0"/>
      </c>
      <c r="L18635">
        <f t="shared" si="1"/>
      </c>
      <c r="M18635">
        <f t="shared" si="2"/>
      </c>
    </row>
    <row r="18636">
      <c r="G18636" s="9">
        <f t="shared" si="0"/>
      </c>
      <c r="L18636">
        <f t="shared" si="1"/>
      </c>
      <c r="M18636">
        <f t="shared" si="2"/>
      </c>
    </row>
    <row r="18637">
      <c r="G18637" s="9">
        <f t="shared" si="0"/>
      </c>
      <c r="L18637">
        <f t="shared" si="1"/>
      </c>
      <c r="M18637">
        <f t="shared" si="2"/>
      </c>
    </row>
    <row r="18638">
      <c r="G18638" s="9">
        <f t="shared" si="0"/>
      </c>
      <c r="L18638">
        <f t="shared" si="1"/>
      </c>
      <c r="M18638">
        <f t="shared" si="2"/>
      </c>
    </row>
    <row r="18639">
      <c r="G18639" s="9">
        <f t="shared" si="0"/>
      </c>
      <c r="L18639">
        <f t="shared" si="1"/>
      </c>
      <c r="M18639">
        <f t="shared" si="2"/>
      </c>
    </row>
    <row r="18640">
      <c r="G18640" s="9">
        <f t="shared" si="0"/>
      </c>
      <c r="L18640">
        <f t="shared" si="1"/>
      </c>
      <c r="M18640">
        <f t="shared" si="2"/>
      </c>
    </row>
    <row r="18641">
      <c r="G18641" s="9">
        <f t="shared" si="0"/>
      </c>
      <c r="L18641">
        <f t="shared" si="1"/>
      </c>
      <c r="M18641">
        <f t="shared" si="2"/>
      </c>
    </row>
    <row r="18642">
      <c r="G18642" s="9">
        <f t="shared" si="0"/>
      </c>
      <c r="L18642">
        <f t="shared" si="1"/>
      </c>
      <c r="M18642">
        <f t="shared" si="2"/>
      </c>
    </row>
    <row r="18643">
      <c r="G18643" s="9">
        <f t="shared" si="0"/>
      </c>
      <c r="L18643">
        <f t="shared" si="1"/>
      </c>
      <c r="M18643">
        <f t="shared" si="2"/>
      </c>
    </row>
    <row r="18644">
      <c r="G18644" s="9">
        <f t="shared" si="0"/>
      </c>
      <c r="L18644">
        <f t="shared" si="1"/>
      </c>
      <c r="M18644">
        <f t="shared" si="2"/>
      </c>
    </row>
    <row r="18645">
      <c r="G18645" s="9">
        <f t="shared" si="0"/>
      </c>
      <c r="L18645">
        <f t="shared" si="1"/>
      </c>
      <c r="M18645">
        <f t="shared" si="2"/>
      </c>
    </row>
    <row r="18646">
      <c r="G18646" s="9">
        <f t="shared" si="0"/>
      </c>
      <c r="L18646">
        <f t="shared" si="1"/>
      </c>
      <c r="M18646">
        <f t="shared" si="2"/>
      </c>
    </row>
    <row r="18647">
      <c r="G18647" s="9">
        <f t="shared" si="0"/>
      </c>
      <c r="L18647">
        <f t="shared" si="1"/>
      </c>
      <c r="M18647">
        <f t="shared" si="2"/>
      </c>
    </row>
    <row r="18648">
      <c r="G18648" s="9">
        <f t="shared" si="0"/>
      </c>
      <c r="L18648">
        <f t="shared" si="1"/>
      </c>
      <c r="M18648">
        <f t="shared" si="2"/>
      </c>
    </row>
    <row r="18649">
      <c r="G18649" s="9">
        <f t="shared" si="0"/>
      </c>
      <c r="L18649">
        <f t="shared" si="1"/>
      </c>
      <c r="M18649">
        <f t="shared" si="2"/>
      </c>
    </row>
    <row r="18650">
      <c r="G18650" s="9">
        <f t="shared" si="0"/>
      </c>
      <c r="L18650">
        <f t="shared" si="1"/>
      </c>
      <c r="M18650">
        <f t="shared" si="2"/>
      </c>
    </row>
    <row r="18651">
      <c r="G18651" s="9">
        <f t="shared" si="0"/>
      </c>
      <c r="L18651">
        <f t="shared" si="1"/>
      </c>
      <c r="M18651">
        <f t="shared" si="2"/>
      </c>
    </row>
    <row r="18652">
      <c r="G18652" s="9">
        <f t="shared" si="0"/>
      </c>
      <c r="L18652">
        <f t="shared" si="1"/>
      </c>
      <c r="M18652">
        <f t="shared" si="2"/>
      </c>
    </row>
    <row r="18653">
      <c r="G18653" s="9">
        <f t="shared" si="0"/>
      </c>
      <c r="L18653">
        <f t="shared" si="1"/>
      </c>
      <c r="M18653">
        <f t="shared" si="2"/>
      </c>
    </row>
    <row r="18654">
      <c r="G18654" s="9">
        <f t="shared" si="0"/>
      </c>
      <c r="L18654">
        <f t="shared" si="1"/>
      </c>
      <c r="M18654">
        <f t="shared" si="2"/>
      </c>
    </row>
    <row r="18655">
      <c r="G18655" s="9">
        <f t="shared" si="0"/>
      </c>
      <c r="L18655">
        <f t="shared" si="1"/>
      </c>
      <c r="M18655">
        <f t="shared" si="2"/>
      </c>
    </row>
    <row r="18656">
      <c r="G18656" s="9">
        <f t="shared" si="0"/>
      </c>
      <c r="L18656">
        <f t="shared" si="1"/>
      </c>
      <c r="M18656">
        <f t="shared" si="2"/>
      </c>
    </row>
    <row r="18657">
      <c r="G18657" s="9">
        <f t="shared" si="0"/>
      </c>
      <c r="L18657">
        <f t="shared" si="1"/>
      </c>
      <c r="M18657">
        <f t="shared" si="2"/>
      </c>
    </row>
    <row r="18658">
      <c r="G18658" s="9">
        <f t="shared" si="0"/>
      </c>
      <c r="L18658">
        <f t="shared" si="1"/>
      </c>
      <c r="M18658">
        <f t="shared" si="2"/>
      </c>
    </row>
    <row r="18659">
      <c r="G18659" s="9">
        <f t="shared" si="0"/>
      </c>
      <c r="L18659">
        <f t="shared" si="1"/>
      </c>
      <c r="M18659">
        <f t="shared" si="2"/>
      </c>
    </row>
    <row r="18660">
      <c r="G18660" s="9">
        <f t="shared" si="0"/>
      </c>
      <c r="L18660">
        <f t="shared" si="1"/>
      </c>
      <c r="M18660">
        <f t="shared" si="2"/>
      </c>
    </row>
    <row r="18661">
      <c r="G18661" s="9">
        <f t="shared" si="0"/>
      </c>
      <c r="L18661">
        <f t="shared" si="1"/>
      </c>
      <c r="M18661">
        <f t="shared" si="2"/>
      </c>
    </row>
    <row r="18662">
      <c r="G18662" s="9">
        <f t="shared" si="0"/>
      </c>
      <c r="L18662">
        <f t="shared" si="1"/>
      </c>
      <c r="M18662">
        <f t="shared" si="2"/>
      </c>
    </row>
    <row r="18663">
      <c r="G18663" s="9">
        <f t="shared" si="0"/>
      </c>
      <c r="L18663">
        <f t="shared" si="1"/>
      </c>
      <c r="M18663">
        <f t="shared" si="2"/>
      </c>
    </row>
    <row r="18664">
      <c r="G18664" s="9">
        <f t="shared" si="0"/>
      </c>
      <c r="L18664">
        <f t="shared" si="1"/>
      </c>
      <c r="M18664">
        <f t="shared" si="2"/>
      </c>
    </row>
    <row r="18665">
      <c r="G18665" s="9">
        <f t="shared" si="0"/>
      </c>
      <c r="L18665">
        <f t="shared" si="1"/>
      </c>
      <c r="M18665">
        <f t="shared" si="2"/>
      </c>
    </row>
    <row r="18666">
      <c r="G18666" s="9">
        <f t="shared" si="0"/>
      </c>
      <c r="L18666">
        <f t="shared" si="1"/>
      </c>
      <c r="M18666">
        <f t="shared" si="2"/>
      </c>
    </row>
    <row r="18667">
      <c r="G18667" s="9">
        <f t="shared" si="0"/>
      </c>
      <c r="L18667">
        <f t="shared" si="1"/>
      </c>
      <c r="M18667">
        <f t="shared" si="2"/>
      </c>
    </row>
    <row r="18668">
      <c r="G18668" s="9">
        <f t="shared" si="0"/>
      </c>
      <c r="L18668">
        <f t="shared" si="1"/>
      </c>
      <c r="M18668">
        <f t="shared" si="2"/>
      </c>
    </row>
    <row r="18669">
      <c r="G18669" s="9">
        <f t="shared" si="0"/>
      </c>
      <c r="L18669">
        <f t="shared" si="1"/>
      </c>
      <c r="M18669">
        <f t="shared" si="2"/>
      </c>
    </row>
    <row r="18670">
      <c r="G18670" s="9">
        <f t="shared" si="0"/>
      </c>
      <c r="L18670">
        <f t="shared" si="1"/>
      </c>
      <c r="M18670">
        <f t="shared" si="2"/>
      </c>
    </row>
    <row r="18671">
      <c r="G18671" s="9">
        <f t="shared" si="0"/>
      </c>
      <c r="L18671">
        <f t="shared" si="1"/>
      </c>
      <c r="M18671">
        <f t="shared" si="2"/>
      </c>
    </row>
    <row r="18672">
      <c r="G18672" s="9">
        <f t="shared" si="0"/>
      </c>
      <c r="L18672">
        <f t="shared" si="1"/>
      </c>
      <c r="M18672">
        <f t="shared" si="2"/>
      </c>
    </row>
    <row r="18673">
      <c r="G18673" s="9">
        <f t="shared" si="0"/>
      </c>
      <c r="L18673">
        <f t="shared" si="1"/>
      </c>
      <c r="M18673">
        <f t="shared" si="2"/>
      </c>
    </row>
    <row r="18674">
      <c r="G18674" s="9">
        <f t="shared" si="0"/>
      </c>
      <c r="L18674">
        <f t="shared" si="1"/>
      </c>
      <c r="M18674">
        <f t="shared" si="2"/>
      </c>
    </row>
    <row r="18675">
      <c r="G18675" s="9">
        <f t="shared" si="0"/>
      </c>
      <c r="L18675">
        <f t="shared" si="1"/>
      </c>
      <c r="M18675">
        <f t="shared" si="2"/>
      </c>
    </row>
    <row r="18676">
      <c r="G18676" s="9">
        <f t="shared" si="0"/>
      </c>
      <c r="L18676">
        <f t="shared" si="1"/>
      </c>
      <c r="M18676">
        <f t="shared" si="2"/>
      </c>
    </row>
    <row r="18677">
      <c r="G18677" s="9">
        <f t="shared" si="0"/>
      </c>
      <c r="L18677">
        <f t="shared" si="1"/>
      </c>
      <c r="M18677">
        <f t="shared" si="2"/>
      </c>
    </row>
    <row r="18678">
      <c r="G18678" s="9">
        <f t="shared" si="0"/>
      </c>
      <c r="L18678">
        <f t="shared" si="1"/>
      </c>
      <c r="M18678">
        <f t="shared" si="2"/>
      </c>
    </row>
    <row r="18679">
      <c r="G18679" s="9">
        <f t="shared" si="0"/>
      </c>
      <c r="L18679">
        <f t="shared" si="1"/>
      </c>
      <c r="M18679">
        <f t="shared" si="2"/>
      </c>
    </row>
    <row r="18680">
      <c r="G18680" s="9">
        <f t="shared" si="0"/>
      </c>
      <c r="L18680">
        <f t="shared" si="1"/>
      </c>
      <c r="M18680">
        <f t="shared" si="2"/>
      </c>
    </row>
    <row r="18681">
      <c r="G18681" s="9">
        <f t="shared" si="0"/>
      </c>
      <c r="L18681">
        <f t="shared" si="1"/>
      </c>
      <c r="M18681">
        <f t="shared" si="2"/>
      </c>
    </row>
    <row r="18682">
      <c r="G18682" s="9">
        <f t="shared" si="0"/>
      </c>
      <c r="L18682">
        <f t="shared" si="1"/>
      </c>
      <c r="M18682">
        <f t="shared" si="2"/>
      </c>
    </row>
    <row r="18683">
      <c r="G18683" s="9">
        <f t="shared" si="0"/>
      </c>
      <c r="L18683">
        <f t="shared" si="1"/>
      </c>
      <c r="M18683">
        <f t="shared" si="2"/>
      </c>
    </row>
    <row r="18684">
      <c r="G18684" s="9">
        <f t="shared" si="0"/>
      </c>
      <c r="L18684">
        <f t="shared" si="1"/>
      </c>
      <c r="M18684">
        <f t="shared" si="2"/>
      </c>
    </row>
    <row r="18685">
      <c r="G18685" s="9">
        <f t="shared" si="0"/>
      </c>
      <c r="L18685">
        <f t="shared" si="1"/>
      </c>
      <c r="M18685">
        <f t="shared" si="2"/>
      </c>
    </row>
    <row r="18686">
      <c r="G18686" s="9">
        <f t="shared" si="0"/>
      </c>
      <c r="L18686">
        <f t="shared" si="1"/>
      </c>
      <c r="M18686">
        <f t="shared" si="2"/>
      </c>
    </row>
    <row r="18687">
      <c r="G18687" s="9">
        <f t="shared" si="0"/>
      </c>
      <c r="L18687">
        <f t="shared" si="1"/>
      </c>
      <c r="M18687">
        <f t="shared" si="2"/>
      </c>
    </row>
    <row r="18688">
      <c r="G18688" s="9">
        <f t="shared" si="0"/>
      </c>
      <c r="L18688">
        <f t="shared" si="1"/>
      </c>
      <c r="M18688">
        <f t="shared" si="2"/>
      </c>
    </row>
    <row r="18689">
      <c r="G18689" s="9">
        <f t="shared" si="0"/>
      </c>
      <c r="L18689">
        <f t="shared" si="1"/>
      </c>
      <c r="M18689">
        <f t="shared" si="2"/>
      </c>
    </row>
    <row r="18690">
      <c r="G18690" s="9">
        <f t="shared" si="0"/>
      </c>
      <c r="L18690">
        <f t="shared" si="1"/>
      </c>
      <c r="M18690">
        <f t="shared" si="2"/>
      </c>
    </row>
    <row r="18691">
      <c r="G18691" s="9">
        <f t="shared" si="0"/>
      </c>
      <c r="L18691">
        <f t="shared" si="1"/>
      </c>
      <c r="M18691">
        <f t="shared" si="2"/>
      </c>
    </row>
    <row r="18692">
      <c r="G18692" s="9">
        <f t="shared" si="0"/>
      </c>
      <c r="L18692">
        <f t="shared" si="1"/>
      </c>
      <c r="M18692">
        <f t="shared" si="2"/>
      </c>
    </row>
    <row r="18693">
      <c r="G18693" s="9">
        <f t="shared" si="0"/>
      </c>
      <c r="L18693">
        <f t="shared" si="1"/>
      </c>
      <c r="M18693">
        <f t="shared" si="2"/>
      </c>
    </row>
    <row r="18694">
      <c r="G18694" s="9">
        <f t="shared" si="0"/>
      </c>
      <c r="L18694">
        <f t="shared" si="1"/>
      </c>
      <c r="M18694">
        <f t="shared" si="2"/>
      </c>
    </row>
    <row r="18695">
      <c r="G18695" s="9">
        <f t="shared" si="0"/>
      </c>
      <c r="L18695">
        <f t="shared" si="1"/>
      </c>
      <c r="M18695">
        <f t="shared" si="2"/>
      </c>
    </row>
    <row r="18696">
      <c r="G18696" s="9">
        <f t="shared" si="0"/>
      </c>
      <c r="L18696">
        <f t="shared" si="1"/>
      </c>
      <c r="M18696">
        <f t="shared" si="2"/>
      </c>
    </row>
    <row r="18697">
      <c r="G18697" s="9">
        <f t="shared" si="0"/>
      </c>
      <c r="L18697">
        <f t="shared" si="1"/>
      </c>
      <c r="M18697">
        <f t="shared" si="2"/>
      </c>
    </row>
    <row r="18698">
      <c r="G18698" s="9">
        <f t="shared" si="0"/>
      </c>
      <c r="L18698">
        <f t="shared" si="1"/>
      </c>
      <c r="M18698">
        <f t="shared" si="2"/>
      </c>
    </row>
    <row r="18699">
      <c r="G18699" s="9">
        <f t="shared" si="0"/>
      </c>
      <c r="L18699">
        <f t="shared" si="1"/>
      </c>
      <c r="M18699">
        <f t="shared" si="2"/>
      </c>
    </row>
    <row r="18700">
      <c r="G18700" s="9">
        <f t="shared" si="0"/>
      </c>
      <c r="L18700">
        <f t="shared" si="1"/>
      </c>
      <c r="M18700">
        <f t="shared" si="2"/>
      </c>
    </row>
    <row r="18701">
      <c r="G18701" s="9">
        <f t="shared" si="0"/>
      </c>
      <c r="L18701">
        <f t="shared" si="1"/>
      </c>
      <c r="M18701">
        <f t="shared" si="2"/>
      </c>
    </row>
    <row r="18702">
      <c r="G18702" s="9">
        <f t="shared" si="0"/>
      </c>
      <c r="L18702">
        <f t="shared" si="1"/>
      </c>
      <c r="M18702">
        <f t="shared" si="2"/>
      </c>
    </row>
    <row r="18703">
      <c r="G18703" s="9">
        <f t="shared" si="0"/>
      </c>
      <c r="L18703">
        <f t="shared" si="1"/>
      </c>
      <c r="M18703">
        <f t="shared" si="2"/>
      </c>
    </row>
    <row r="18704">
      <c r="G18704" s="9">
        <f t="shared" si="0"/>
      </c>
      <c r="L18704">
        <f t="shared" si="1"/>
      </c>
      <c r="M18704">
        <f t="shared" si="2"/>
      </c>
    </row>
    <row r="18705">
      <c r="G18705" s="9">
        <f t="shared" si="0"/>
      </c>
      <c r="L18705">
        <f t="shared" si="1"/>
      </c>
      <c r="M18705">
        <f t="shared" si="2"/>
      </c>
    </row>
    <row r="18706">
      <c r="G18706" s="9">
        <f t="shared" si="0"/>
      </c>
      <c r="L18706">
        <f t="shared" si="1"/>
      </c>
      <c r="M18706">
        <f t="shared" si="2"/>
      </c>
    </row>
    <row r="18707">
      <c r="G18707" s="9">
        <f t="shared" si="0"/>
      </c>
      <c r="L18707">
        <f t="shared" si="1"/>
      </c>
      <c r="M18707">
        <f t="shared" si="2"/>
      </c>
    </row>
    <row r="18708">
      <c r="G18708" s="9">
        <f t="shared" si="0"/>
      </c>
      <c r="L18708">
        <f t="shared" si="1"/>
      </c>
      <c r="M18708">
        <f t="shared" si="2"/>
      </c>
    </row>
    <row r="18709">
      <c r="G18709" s="9">
        <f t="shared" si="0"/>
      </c>
      <c r="L18709">
        <f t="shared" si="1"/>
      </c>
      <c r="M18709">
        <f t="shared" si="2"/>
      </c>
    </row>
    <row r="18710">
      <c r="G18710" s="9">
        <f t="shared" si="0"/>
      </c>
      <c r="L18710">
        <f t="shared" si="1"/>
      </c>
      <c r="M18710">
        <f t="shared" si="2"/>
      </c>
    </row>
    <row r="18711">
      <c r="G18711" s="9">
        <f t="shared" si="0"/>
      </c>
      <c r="L18711">
        <f t="shared" si="1"/>
      </c>
      <c r="M18711">
        <f t="shared" si="2"/>
      </c>
    </row>
    <row r="18712">
      <c r="G18712" s="9">
        <f t="shared" si="0"/>
      </c>
      <c r="L18712">
        <f t="shared" si="1"/>
      </c>
      <c r="M18712">
        <f t="shared" si="2"/>
      </c>
    </row>
    <row r="18713">
      <c r="G18713" s="9">
        <f t="shared" si="0"/>
      </c>
      <c r="L18713">
        <f t="shared" si="1"/>
      </c>
      <c r="M18713">
        <f t="shared" si="2"/>
      </c>
    </row>
    <row r="18714">
      <c r="G18714" s="9">
        <f t="shared" si="0"/>
      </c>
      <c r="L18714">
        <f t="shared" si="1"/>
      </c>
      <c r="M18714">
        <f t="shared" si="2"/>
      </c>
    </row>
    <row r="18715">
      <c r="G18715" s="9">
        <f t="shared" si="0"/>
      </c>
      <c r="L18715">
        <f t="shared" si="1"/>
      </c>
      <c r="M18715">
        <f t="shared" si="2"/>
      </c>
    </row>
    <row r="18716">
      <c r="G18716" s="9">
        <f t="shared" si="0"/>
      </c>
      <c r="L18716">
        <f t="shared" si="1"/>
      </c>
      <c r="M18716">
        <f t="shared" si="2"/>
      </c>
    </row>
    <row r="18717">
      <c r="G18717" s="9">
        <f t="shared" si="0"/>
      </c>
      <c r="L18717">
        <f t="shared" si="1"/>
      </c>
      <c r="M18717">
        <f t="shared" si="2"/>
      </c>
    </row>
    <row r="18718">
      <c r="G18718" s="9">
        <f t="shared" si="0"/>
      </c>
      <c r="L18718">
        <f t="shared" si="1"/>
      </c>
      <c r="M18718">
        <f t="shared" si="2"/>
      </c>
    </row>
    <row r="18719">
      <c r="G18719" s="9">
        <f t="shared" si="0"/>
      </c>
      <c r="L18719">
        <f t="shared" si="1"/>
      </c>
      <c r="M18719">
        <f t="shared" si="2"/>
      </c>
    </row>
    <row r="18720">
      <c r="G18720" s="9">
        <f t="shared" si="0"/>
      </c>
      <c r="L18720">
        <f t="shared" si="1"/>
      </c>
      <c r="M18720">
        <f t="shared" si="2"/>
      </c>
    </row>
    <row r="18721">
      <c r="G18721" s="9">
        <f t="shared" si="0"/>
      </c>
      <c r="L18721">
        <f t="shared" si="1"/>
      </c>
      <c r="M18721">
        <f t="shared" si="2"/>
      </c>
    </row>
    <row r="18722">
      <c r="G18722" s="9">
        <f t="shared" si="0"/>
      </c>
      <c r="L18722">
        <f t="shared" si="1"/>
      </c>
      <c r="M18722">
        <f t="shared" si="2"/>
      </c>
    </row>
    <row r="18723">
      <c r="G18723" s="9">
        <f t="shared" si="0"/>
      </c>
      <c r="L18723">
        <f t="shared" si="1"/>
      </c>
      <c r="M18723">
        <f t="shared" si="2"/>
      </c>
    </row>
    <row r="18724">
      <c r="G18724" s="9">
        <f t="shared" si="0"/>
      </c>
      <c r="L18724">
        <f t="shared" si="1"/>
      </c>
      <c r="M18724">
        <f t="shared" si="2"/>
      </c>
    </row>
    <row r="18725">
      <c r="G18725" s="9">
        <f t="shared" si="0"/>
      </c>
      <c r="L18725">
        <f t="shared" si="1"/>
      </c>
      <c r="M18725">
        <f t="shared" si="2"/>
      </c>
    </row>
    <row r="18726">
      <c r="G18726" s="9">
        <f t="shared" si="0"/>
      </c>
      <c r="L18726">
        <f t="shared" si="1"/>
      </c>
      <c r="M18726">
        <f t="shared" si="2"/>
      </c>
    </row>
    <row r="18727">
      <c r="G18727" s="9">
        <f t="shared" si="0"/>
      </c>
      <c r="L18727">
        <f t="shared" si="1"/>
      </c>
      <c r="M18727">
        <f t="shared" si="2"/>
      </c>
    </row>
    <row r="18728">
      <c r="G18728" s="9">
        <f t="shared" si="0"/>
      </c>
      <c r="L18728">
        <f t="shared" si="1"/>
      </c>
      <c r="M18728">
        <f t="shared" si="2"/>
      </c>
    </row>
    <row r="18729">
      <c r="G18729" s="9">
        <f t="shared" si="0"/>
      </c>
      <c r="L18729">
        <f t="shared" si="1"/>
      </c>
      <c r="M18729">
        <f t="shared" si="2"/>
      </c>
    </row>
    <row r="18730">
      <c r="G18730" s="9">
        <f t="shared" si="0"/>
      </c>
      <c r="L18730">
        <f t="shared" si="1"/>
      </c>
      <c r="M18730">
        <f t="shared" si="2"/>
      </c>
    </row>
    <row r="18731">
      <c r="G18731" s="9">
        <f t="shared" si="0"/>
      </c>
      <c r="L18731">
        <f t="shared" si="1"/>
      </c>
      <c r="M18731">
        <f t="shared" si="2"/>
      </c>
    </row>
    <row r="18732">
      <c r="G18732" s="9">
        <f t="shared" si="0"/>
      </c>
      <c r="L18732">
        <f t="shared" si="1"/>
      </c>
      <c r="M18732">
        <f t="shared" si="2"/>
      </c>
    </row>
    <row r="18733">
      <c r="G18733" s="9">
        <f t="shared" si="0"/>
      </c>
      <c r="L18733">
        <f t="shared" si="1"/>
      </c>
      <c r="M18733">
        <f t="shared" si="2"/>
      </c>
    </row>
    <row r="18734">
      <c r="G18734" s="9">
        <f t="shared" si="0"/>
      </c>
      <c r="L18734">
        <f t="shared" si="1"/>
      </c>
      <c r="M18734">
        <f t="shared" si="2"/>
      </c>
    </row>
    <row r="18735">
      <c r="G18735" s="9">
        <f t="shared" si="0"/>
      </c>
      <c r="L18735">
        <f t="shared" si="1"/>
      </c>
      <c r="M18735">
        <f t="shared" si="2"/>
      </c>
    </row>
    <row r="18736">
      <c r="G18736" s="9">
        <f t="shared" si="0"/>
      </c>
      <c r="L18736">
        <f t="shared" si="1"/>
      </c>
      <c r="M18736">
        <f t="shared" si="2"/>
      </c>
    </row>
    <row r="18737">
      <c r="G18737" s="9">
        <f t="shared" si="0"/>
      </c>
      <c r="L18737">
        <f t="shared" si="1"/>
      </c>
      <c r="M18737">
        <f t="shared" si="2"/>
      </c>
    </row>
    <row r="18738">
      <c r="G18738" s="9">
        <f t="shared" si="0"/>
      </c>
      <c r="L18738">
        <f t="shared" si="1"/>
      </c>
      <c r="M18738">
        <f t="shared" si="2"/>
      </c>
    </row>
    <row r="18739">
      <c r="G18739" s="9">
        <f t="shared" si="0"/>
      </c>
      <c r="L18739">
        <f t="shared" si="1"/>
      </c>
      <c r="M18739">
        <f t="shared" si="2"/>
      </c>
    </row>
    <row r="18740">
      <c r="G18740" s="9">
        <f t="shared" si="0"/>
      </c>
      <c r="L18740">
        <f t="shared" si="1"/>
      </c>
      <c r="M18740">
        <f t="shared" si="2"/>
      </c>
    </row>
    <row r="18741">
      <c r="G18741" s="9">
        <f t="shared" si="0"/>
      </c>
      <c r="L18741">
        <f t="shared" si="1"/>
      </c>
      <c r="M18741">
        <f t="shared" si="2"/>
      </c>
    </row>
    <row r="18742">
      <c r="G18742" s="9">
        <f t="shared" si="0"/>
      </c>
      <c r="L18742">
        <f t="shared" si="1"/>
      </c>
      <c r="M18742">
        <f t="shared" si="2"/>
      </c>
    </row>
    <row r="18743">
      <c r="G18743" s="9">
        <f t="shared" si="0"/>
      </c>
      <c r="L18743">
        <f t="shared" si="1"/>
      </c>
      <c r="M18743">
        <f t="shared" si="2"/>
      </c>
    </row>
    <row r="18744">
      <c r="G18744" s="9">
        <f t="shared" si="0"/>
      </c>
      <c r="L18744">
        <f t="shared" si="1"/>
      </c>
      <c r="M18744">
        <f t="shared" si="2"/>
      </c>
    </row>
    <row r="18745">
      <c r="G18745" s="9">
        <f t="shared" si="0"/>
      </c>
      <c r="L18745">
        <f t="shared" si="1"/>
      </c>
      <c r="M18745">
        <f t="shared" si="2"/>
      </c>
    </row>
    <row r="18746">
      <c r="G18746" s="9">
        <f t="shared" si="0"/>
      </c>
      <c r="L18746">
        <f t="shared" si="1"/>
      </c>
      <c r="M18746">
        <f t="shared" si="2"/>
      </c>
    </row>
    <row r="18747">
      <c r="G18747" s="9">
        <f t="shared" si="0"/>
      </c>
      <c r="L18747">
        <f t="shared" si="1"/>
      </c>
      <c r="M18747">
        <f t="shared" si="2"/>
      </c>
    </row>
    <row r="18748">
      <c r="G18748" s="9">
        <f t="shared" si="0"/>
      </c>
      <c r="L18748">
        <f t="shared" si="1"/>
      </c>
      <c r="M18748">
        <f t="shared" si="2"/>
      </c>
    </row>
    <row r="18749">
      <c r="G18749" s="9">
        <f t="shared" si="0"/>
      </c>
      <c r="L18749">
        <f t="shared" si="1"/>
      </c>
      <c r="M18749">
        <f t="shared" si="2"/>
      </c>
    </row>
    <row r="18750">
      <c r="G18750" s="9">
        <f t="shared" si="0"/>
      </c>
      <c r="L18750">
        <f t="shared" si="1"/>
      </c>
      <c r="M18750">
        <f t="shared" si="2"/>
      </c>
    </row>
    <row r="18751">
      <c r="G18751" s="9">
        <f t="shared" si="0"/>
      </c>
      <c r="L18751">
        <f t="shared" si="1"/>
      </c>
      <c r="M18751">
        <f t="shared" si="2"/>
      </c>
    </row>
    <row r="18752">
      <c r="G18752" s="9">
        <f t="shared" si="0"/>
      </c>
      <c r="L18752">
        <f t="shared" si="1"/>
      </c>
      <c r="M18752">
        <f t="shared" si="2"/>
      </c>
    </row>
    <row r="18753">
      <c r="G18753" s="9">
        <f t="shared" si="0"/>
      </c>
      <c r="L18753">
        <f t="shared" si="1"/>
      </c>
      <c r="M18753">
        <f t="shared" si="2"/>
      </c>
    </row>
    <row r="18754">
      <c r="G18754" s="9">
        <f t="shared" si="0"/>
      </c>
      <c r="L18754">
        <f t="shared" si="1"/>
      </c>
      <c r="M18754">
        <f t="shared" si="2"/>
      </c>
    </row>
    <row r="18755">
      <c r="G18755" s="9">
        <f t="shared" si="0"/>
      </c>
      <c r="L18755">
        <f t="shared" si="1"/>
      </c>
      <c r="M18755">
        <f t="shared" si="2"/>
      </c>
    </row>
    <row r="18756">
      <c r="G18756" s="9">
        <f t="shared" si="0"/>
      </c>
      <c r="L18756">
        <f t="shared" si="1"/>
      </c>
      <c r="M18756">
        <f t="shared" si="2"/>
      </c>
    </row>
    <row r="18757">
      <c r="G18757" s="9">
        <f t="shared" si="0"/>
      </c>
      <c r="L18757">
        <f t="shared" si="1"/>
      </c>
      <c r="M18757">
        <f t="shared" si="2"/>
      </c>
    </row>
    <row r="18758">
      <c r="G18758" s="9">
        <f t="shared" si="0"/>
      </c>
      <c r="L18758">
        <f t="shared" si="1"/>
      </c>
      <c r="M18758">
        <f t="shared" si="2"/>
      </c>
    </row>
    <row r="18759">
      <c r="G18759" s="9">
        <f t="shared" si="0"/>
      </c>
      <c r="L18759">
        <f t="shared" si="1"/>
      </c>
      <c r="M18759">
        <f t="shared" si="2"/>
      </c>
    </row>
    <row r="18760">
      <c r="G18760" s="9">
        <f t="shared" si="0"/>
      </c>
      <c r="L18760">
        <f t="shared" si="1"/>
      </c>
      <c r="M18760">
        <f t="shared" si="2"/>
      </c>
    </row>
    <row r="18761">
      <c r="G18761" s="9">
        <f t="shared" si="0"/>
      </c>
      <c r="L18761">
        <f t="shared" si="1"/>
      </c>
      <c r="M18761">
        <f t="shared" si="2"/>
      </c>
    </row>
    <row r="18762">
      <c r="G18762" s="9">
        <f t="shared" si="0"/>
      </c>
      <c r="L18762">
        <f t="shared" si="1"/>
      </c>
      <c r="M18762">
        <f t="shared" si="2"/>
      </c>
    </row>
    <row r="18763">
      <c r="G18763" s="9">
        <f t="shared" si="0"/>
      </c>
      <c r="L18763">
        <f t="shared" si="1"/>
      </c>
      <c r="M18763">
        <f t="shared" si="2"/>
      </c>
    </row>
    <row r="18764">
      <c r="G18764" s="9">
        <f t="shared" si="0"/>
      </c>
      <c r="L18764">
        <f t="shared" si="1"/>
      </c>
      <c r="M18764">
        <f t="shared" si="2"/>
      </c>
    </row>
    <row r="18765">
      <c r="G18765" s="9">
        <f t="shared" si="0"/>
      </c>
      <c r="L18765">
        <f t="shared" si="1"/>
      </c>
      <c r="M18765">
        <f t="shared" si="2"/>
      </c>
    </row>
    <row r="18766">
      <c r="G18766" s="9">
        <f t="shared" si="0"/>
      </c>
      <c r="L18766">
        <f t="shared" si="1"/>
      </c>
      <c r="M18766">
        <f t="shared" si="2"/>
      </c>
    </row>
    <row r="18767">
      <c r="G18767" s="9">
        <f t="shared" si="0"/>
      </c>
      <c r="L18767">
        <f t="shared" si="1"/>
      </c>
      <c r="M18767">
        <f t="shared" si="2"/>
      </c>
    </row>
    <row r="18768">
      <c r="G18768" s="9">
        <f t="shared" si="0"/>
      </c>
      <c r="L18768">
        <f t="shared" si="1"/>
      </c>
      <c r="M18768">
        <f t="shared" si="2"/>
      </c>
    </row>
    <row r="18769">
      <c r="G18769" s="9">
        <f t="shared" si="0"/>
      </c>
      <c r="L18769">
        <f t="shared" si="1"/>
      </c>
      <c r="M18769">
        <f t="shared" si="2"/>
      </c>
    </row>
    <row r="18770">
      <c r="G18770" s="9">
        <f t="shared" si="0"/>
      </c>
      <c r="L18770">
        <f t="shared" si="1"/>
      </c>
      <c r="M18770">
        <f t="shared" si="2"/>
      </c>
    </row>
    <row r="18771">
      <c r="G18771" s="9">
        <f t="shared" si="0"/>
      </c>
      <c r="L18771">
        <f t="shared" si="1"/>
      </c>
      <c r="M18771">
        <f t="shared" si="2"/>
      </c>
    </row>
    <row r="18772">
      <c r="G18772" s="9">
        <f t="shared" si="0"/>
      </c>
      <c r="L18772">
        <f t="shared" si="1"/>
      </c>
      <c r="M18772">
        <f t="shared" si="2"/>
      </c>
    </row>
    <row r="18773">
      <c r="G18773" s="9">
        <f t="shared" si="0"/>
      </c>
      <c r="L18773">
        <f t="shared" si="1"/>
      </c>
      <c r="M18773">
        <f t="shared" si="2"/>
      </c>
    </row>
    <row r="18774">
      <c r="G18774" s="9">
        <f t="shared" si="0"/>
      </c>
      <c r="L18774">
        <f t="shared" si="1"/>
      </c>
      <c r="M18774">
        <f t="shared" si="2"/>
      </c>
    </row>
    <row r="18775">
      <c r="G18775" s="9">
        <f t="shared" si="0"/>
      </c>
      <c r="L18775">
        <f t="shared" si="1"/>
      </c>
      <c r="M18775">
        <f t="shared" si="2"/>
      </c>
    </row>
    <row r="18776">
      <c r="G18776" s="9">
        <f t="shared" si="0"/>
      </c>
      <c r="L18776">
        <f t="shared" si="1"/>
      </c>
      <c r="M18776">
        <f t="shared" si="2"/>
      </c>
    </row>
    <row r="18777">
      <c r="G18777" s="9">
        <f t="shared" si="0"/>
      </c>
      <c r="L18777">
        <f t="shared" si="1"/>
      </c>
      <c r="M18777">
        <f t="shared" si="2"/>
      </c>
    </row>
    <row r="18778">
      <c r="G18778" s="9">
        <f t="shared" si="0"/>
      </c>
      <c r="L18778">
        <f t="shared" si="1"/>
      </c>
      <c r="M18778">
        <f t="shared" si="2"/>
      </c>
    </row>
    <row r="18779">
      <c r="G18779" s="9">
        <f t="shared" si="0"/>
      </c>
      <c r="L18779">
        <f t="shared" si="1"/>
      </c>
      <c r="M18779">
        <f t="shared" si="2"/>
      </c>
    </row>
    <row r="18780">
      <c r="G18780" s="9">
        <f t="shared" si="0"/>
      </c>
      <c r="L18780">
        <f t="shared" si="1"/>
      </c>
      <c r="M18780">
        <f t="shared" si="2"/>
      </c>
    </row>
    <row r="18781">
      <c r="G18781" s="9">
        <f t="shared" si="0"/>
      </c>
      <c r="L18781">
        <f t="shared" si="1"/>
      </c>
      <c r="M18781">
        <f t="shared" si="2"/>
      </c>
    </row>
    <row r="18782">
      <c r="G18782" s="9">
        <f t="shared" si="0"/>
      </c>
      <c r="L18782">
        <f t="shared" si="1"/>
      </c>
      <c r="M18782">
        <f t="shared" si="2"/>
      </c>
    </row>
    <row r="18783">
      <c r="G18783" s="9">
        <f t="shared" si="0"/>
      </c>
      <c r="L18783">
        <f t="shared" si="1"/>
      </c>
      <c r="M18783">
        <f t="shared" si="2"/>
      </c>
    </row>
    <row r="18784">
      <c r="G18784" s="9">
        <f t="shared" si="0"/>
      </c>
      <c r="L18784">
        <f t="shared" si="1"/>
      </c>
      <c r="M18784">
        <f t="shared" si="2"/>
      </c>
    </row>
    <row r="18785">
      <c r="G18785" s="9">
        <f t="shared" si="0"/>
      </c>
      <c r="L18785">
        <f t="shared" si="1"/>
      </c>
      <c r="M18785">
        <f t="shared" si="2"/>
      </c>
    </row>
    <row r="18786">
      <c r="G18786" s="9">
        <f t="shared" si="0"/>
      </c>
      <c r="L18786">
        <f t="shared" si="1"/>
      </c>
      <c r="M18786">
        <f t="shared" si="2"/>
      </c>
    </row>
    <row r="18787">
      <c r="G18787" s="9">
        <f t="shared" si="0"/>
      </c>
      <c r="L18787">
        <f t="shared" si="1"/>
      </c>
      <c r="M18787">
        <f t="shared" si="2"/>
      </c>
    </row>
    <row r="18788">
      <c r="G18788" s="9">
        <f t="shared" si="0"/>
      </c>
      <c r="L18788">
        <f t="shared" si="1"/>
      </c>
      <c r="M18788">
        <f t="shared" si="2"/>
      </c>
    </row>
    <row r="18789">
      <c r="G18789" s="9">
        <f t="shared" si="0"/>
      </c>
      <c r="L18789">
        <f t="shared" si="1"/>
      </c>
      <c r="M18789">
        <f t="shared" si="2"/>
      </c>
    </row>
    <row r="18790">
      <c r="G18790" s="9">
        <f t="shared" si="0"/>
      </c>
      <c r="L18790">
        <f t="shared" si="1"/>
      </c>
      <c r="M18790">
        <f t="shared" si="2"/>
      </c>
    </row>
    <row r="18791">
      <c r="G18791" s="9">
        <f t="shared" si="0"/>
      </c>
      <c r="L18791">
        <f t="shared" si="1"/>
      </c>
      <c r="M18791">
        <f t="shared" si="2"/>
      </c>
    </row>
    <row r="18792">
      <c r="G18792" s="9">
        <f t="shared" si="0"/>
      </c>
      <c r="L18792">
        <f t="shared" si="1"/>
      </c>
      <c r="M18792">
        <f t="shared" si="2"/>
      </c>
    </row>
    <row r="18793">
      <c r="G18793" s="9">
        <f t="shared" si="0"/>
      </c>
      <c r="L18793">
        <f t="shared" si="1"/>
      </c>
      <c r="M18793">
        <f t="shared" si="2"/>
      </c>
    </row>
    <row r="18794">
      <c r="G18794" s="9">
        <f t="shared" si="0"/>
      </c>
      <c r="L18794">
        <f t="shared" si="1"/>
      </c>
      <c r="M18794">
        <f t="shared" si="2"/>
      </c>
    </row>
    <row r="18795">
      <c r="G18795" s="9">
        <f t="shared" si="0"/>
      </c>
      <c r="L18795">
        <f t="shared" si="1"/>
      </c>
      <c r="M18795">
        <f t="shared" si="2"/>
      </c>
    </row>
    <row r="18796">
      <c r="G18796" s="9">
        <f t="shared" si="0"/>
      </c>
      <c r="L18796">
        <f t="shared" si="1"/>
      </c>
      <c r="M18796">
        <f t="shared" si="2"/>
      </c>
    </row>
    <row r="18797">
      <c r="G18797" s="9">
        <f t="shared" si="0"/>
      </c>
      <c r="L18797">
        <f t="shared" si="1"/>
      </c>
      <c r="M18797">
        <f t="shared" si="2"/>
      </c>
    </row>
    <row r="18798">
      <c r="G18798" s="9">
        <f t="shared" si="0"/>
      </c>
      <c r="L18798">
        <f t="shared" si="1"/>
      </c>
      <c r="M18798">
        <f t="shared" si="2"/>
      </c>
    </row>
    <row r="18799">
      <c r="G18799" s="9">
        <f t="shared" si="0"/>
      </c>
      <c r="L18799">
        <f t="shared" si="1"/>
      </c>
      <c r="M18799">
        <f t="shared" si="2"/>
      </c>
    </row>
    <row r="18800">
      <c r="G18800" s="9">
        <f t="shared" si="0"/>
      </c>
      <c r="L18800">
        <f t="shared" si="1"/>
      </c>
      <c r="M18800">
        <f t="shared" si="2"/>
      </c>
    </row>
    <row r="18801">
      <c r="G18801" s="9">
        <f t="shared" si="0"/>
      </c>
      <c r="L18801">
        <f t="shared" si="1"/>
      </c>
      <c r="M18801">
        <f t="shared" si="2"/>
      </c>
    </row>
    <row r="18802">
      <c r="G18802" s="9">
        <f t="shared" si="0"/>
      </c>
      <c r="L18802">
        <f t="shared" si="1"/>
      </c>
      <c r="M18802">
        <f t="shared" si="2"/>
      </c>
    </row>
    <row r="18803">
      <c r="G18803" s="9">
        <f t="shared" si="0"/>
      </c>
      <c r="L18803">
        <f t="shared" si="1"/>
      </c>
      <c r="M18803">
        <f t="shared" si="2"/>
      </c>
    </row>
    <row r="18804">
      <c r="G18804" s="9">
        <f t="shared" si="0"/>
      </c>
      <c r="L18804">
        <f t="shared" si="1"/>
      </c>
      <c r="M18804">
        <f t="shared" si="2"/>
      </c>
    </row>
    <row r="18805">
      <c r="G18805" s="9">
        <f t="shared" si="0"/>
      </c>
      <c r="L18805">
        <f t="shared" si="1"/>
      </c>
      <c r="M18805">
        <f t="shared" si="2"/>
      </c>
    </row>
    <row r="18806">
      <c r="G18806" s="9">
        <f t="shared" si="0"/>
      </c>
      <c r="L18806">
        <f t="shared" si="1"/>
      </c>
      <c r="M18806">
        <f t="shared" si="2"/>
      </c>
    </row>
    <row r="18807">
      <c r="G18807" s="9">
        <f t="shared" si="0"/>
      </c>
      <c r="L18807">
        <f t="shared" si="1"/>
      </c>
      <c r="M18807">
        <f t="shared" si="2"/>
      </c>
    </row>
    <row r="18808">
      <c r="G18808" s="9">
        <f t="shared" si="0"/>
      </c>
      <c r="L18808">
        <f t="shared" si="1"/>
      </c>
      <c r="M18808">
        <f t="shared" si="2"/>
      </c>
    </row>
    <row r="18809">
      <c r="G18809" s="9">
        <f t="shared" si="0"/>
      </c>
      <c r="L18809">
        <f t="shared" si="1"/>
      </c>
      <c r="M18809">
        <f t="shared" si="2"/>
      </c>
    </row>
    <row r="18810">
      <c r="G18810" s="9">
        <f t="shared" si="0"/>
      </c>
      <c r="L18810">
        <f t="shared" si="1"/>
      </c>
      <c r="M18810">
        <f t="shared" si="2"/>
      </c>
    </row>
    <row r="18811">
      <c r="G18811" s="9">
        <f t="shared" si="0"/>
      </c>
      <c r="L18811">
        <f t="shared" si="1"/>
      </c>
      <c r="M18811">
        <f t="shared" si="2"/>
      </c>
    </row>
    <row r="18812">
      <c r="G18812" s="9">
        <f t="shared" si="0"/>
      </c>
      <c r="L18812">
        <f t="shared" si="1"/>
      </c>
      <c r="M18812">
        <f t="shared" si="2"/>
      </c>
    </row>
    <row r="18813">
      <c r="G18813" s="9">
        <f t="shared" si="0"/>
      </c>
      <c r="L18813">
        <f t="shared" si="1"/>
      </c>
      <c r="M18813">
        <f t="shared" si="2"/>
      </c>
    </row>
    <row r="18814">
      <c r="G18814" s="9">
        <f t="shared" si="0"/>
      </c>
      <c r="L18814">
        <f t="shared" si="1"/>
      </c>
      <c r="M18814">
        <f t="shared" si="2"/>
      </c>
    </row>
    <row r="18815">
      <c r="G18815" s="9">
        <f t="shared" si="0"/>
      </c>
      <c r="L18815">
        <f t="shared" si="1"/>
      </c>
      <c r="M18815">
        <f t="shared" si="2"/>
      </c>
    </row>
    <row r="18816">
      <c r="G18816" s="9">
        <f t="shared" si="0"/>
      </c>
      <c r="L18816">
        <f t="shared" si="1"/>
      </c>
      <c r="M18816">
        <f t="shared" si="2"/>
      </c>
    </row>
    <row r="18817">
      <c r="G18817" s="9">
        <f t="shared" si="0"/>
      </c>
      <c r="L18817">
        <f t="shared" si="1"/>
      </c>
      <c r="M18817">
        <f t="shared" si="2"/>
      </c>
    </row>
    <row r="18818">
      <c r="G18818" s="9">
        <f t="shared" si="0"/>
      </c>
      <c r="L18818">
        <f t="shared" si="1"/>
      </c>
      <c r="M18818">
        <f t="shared" si="2"/>
      </c>
    </row>
    <row r="18819">
      <c r="G18819" s="9">
        <f t="shared" si="0"/>
      </c>
      <c r="L18819">
        <f t="shared" si="1"/>
      </c>
      <c r="M18819">
        <f t="shared" si="2"/>
      </c>
    </row>
    <row r="18820">
      <c r="G18820" s="9">
        <f t="shared" si="0"/>
      </c>
      <c r="L18820">
        <f t="shared" si="1"/>
      </c>
      <c r="M18820">
        <f t="shared" si="2"/>
      </c>
    </row>
    <row r="18821">
      <c r="G18821" s="9">
        <f t="shared" si="0"/>
      </c>
      <c r="L18821">
        <f t="shared" si="1"/>
      </c>
      <c r="M18821">
        <f t="shared" si="2"/>
      </c>
    </row>
    <row r="18822">
      <c r="G18822" s="9">
        <f t="shared" si="0"/>
      </c>
      <c r="L18822">
        <f t="shared" si="1"/>
      </c>
      <c r="M18822">
        <f t="shared" si="2"/>
      </c>
    </row>
    <row r="18823">
      <c r="G18823" s="9">
        <f t="shared" si="0"/>
      </c>
      <c r="L18823">
        <f t="shared" si="1"/>
      </c>
      <c r="M18823">
        <f t="shared" si="2"/>
      </c>
    </row>
    <row r="18824">
      <c r="G18824" s="9">
        <f t="shared" si="0"/>
      </c>
      <c r="L18824">
        <f t="shared" si="1"/>
      </c>
      <c r="M18824">
        <f t="shared" si="2"/>
      </c>
    </row>
    <row r="18825">
      <c r="G18825" s="9">
        <f t="shared" si="0"/>
      </c>
      <c r="L18825">
        <f t="shared" si="1"/>
      </c>
      <c r="M18825">
        <f t="shared" si="2"/>
      </c>
    </row>
    <row r="18826">
      <c r="G18826" s="9">
        <f t="shared" si="0"/>
      </c>
      <c r="L18826">
        <f t="shared" si="1"/>
      </c>
      <c r="M18826">
        <f t="shared" si="2"/>
      </c>
    </row>
    <row r="18827">
      <c r="G18827" s="9">
        <f t="shared" si="0"/>
      </c>
      <c r="L18827">
        <f t="shared" si="1"/>
      </c>
      <c r="M18827">
        <f t="shared" si="2"/>
      </c>
    </row>
    <row r="18828">
      <c r="G18828" s="9">
        <f t="shared" si="0"/>
      </c>
      <c r="L18828">
        <f t="shared" si="1"/>
      </c>
      <c r="M18828">
        <f t="shared" si="2"/>
      </c>
    </row>
    <row r="18829">
      <c r="G18829" s="9">
        <f t="shared" si="0"/>
      </c>
      <c r="L18829">
        <f t="shared" si="1"/>
      </c>
      <c r="M18829">
        <f t="shared" si="2"/>
      </c>
    </row>
    <row r="18830">
      <c r="G18830" s="9">
        <f t="shared" si="0"/>
      </c>
      <c r="L18830">
        <f t="shared" si="1"/>
      </c>
      <c r="M18830">
        <f t="shared" si="2"/>
      </c>
    </row>
    <row r="18831">
      <c r="G18831" s="9">
        <f t="shared" si="0"/>
      </c>
      <c r="L18831">
        <f t="shared" si="1"/>
      </c>
      <c r="M18831">
        <f t="shared" si="2"/>
      </c>
    </row>
    <row r="18832">
      <c r="G18832" s="9">
        <f t="shared" si="0"/>
      </c>
      <c r="L18832">
        <f t="shared" si="1"/>
      </c>
      <c r="M18832">
        <f t="shared" si="2"/>
      </c>
    </row>
    <row r="18833">
      <c r="G18833" s="9">
        <f t="shared" si="0"/>
      </c>
      <c r="L18833">
        <f t="shared" si="1"/>
      </c>
      <c r="M18833">
        <f t="shared" si="2"/>
      </c>
    </row>
    <row r="18834">
      <c r="G18834" s="9">
        <f t="shared" si="0"/>
      </c>
      <c r="L18834">
        <f t="shared" si="1"/>
      </c>
      <c r="M18834">
        <f t="shared" si="2"/>
      </c>
    </row>
    <row r="18835">
      <c r="G18835" s="9">
        <f t="shared" si="0"/>
      </c>
      <c r="L18835">
        <f t="shared" si="1"/>
      </c>
      <c r="M18835">
        <f t="shared" si="2"/>
      </c>
    </row>
    <row r="18836">
      <c r="G18836" s="9">
        <f t="shared" si="0"/>
      </c>
      <c r="L18836">
        <f t="shared" si="1"/>
      </c>
      <c r="M18836">
        <f t="shared" si="2"/>
      </c>
    </row>
    <row r="18837">
      <c r="G18837" s="9">
        <f t="shared" si="0"/>
      </c>
      <c r="L18837">
        <f t="shared" si="1"/>
      </c>
      <c r="M18837">
        <f t="shared" si="2"/>
      </c>
    </row>
    <row r="18838">
      <c r="G18838" s="9">
        <f t="shared" si="0"/>
      </c>
      <c r="L18838">
        <f t="shared" si="1"/>
      </c>
      <c r="M18838">
        <f t="shared" si="2"/>
      </c>
    </row>
    <row r="18839">
      <c r="G18839" s="9">
        <f t="shared" si="0"/>
      </c>
      <c r="L18839">
        <f t="shared" si="1"/>
      </c>
      <c r="M18839">
        <f t="shared" si="2"/>
      </c>
    </row>
    <row r="18840">
      <c r="G18840" s="9">
        <f t="shared" si="0"/>
      </c>
      <c r="L18840">
        <f t="shared" si="1"/>
      </c>
      <c r="M18840">
        <f t="shared" si="2"/>
      </c>
    </row>
    <row r="18841">
      <c r="G18841" s="9">
        <f t="shared" si="0"/>
      </c>
      <c r="L18841">
        <f t="shared" si="1"/>
      </c>
      <c r="M18841">
        <f t="shared" si="2"/>
      </c>
    </row>
    <row r="18842">
      <c r="G18842" s="9">
        <f t="shared" si="0"/>
      </c>
      <c r="L18842">
        <f t="shared" si="1"/>
      </c>
      <c r="M18842">
        <f t="shared" si="2"/>
      </c>
    </row>
    <row r="18843">
      <c r="G18843" s="9">
        <f t="shared" si="0"/>
      </c>
      <c r="L18843">
        <f t="shared" si="1"/>
      </c>
      <c r="M18843">
        <f t="shared" si="2"/>
      </c>
    </row>
    <row r="18844">
      <c r="G18844" s="9">
        <f t="shared" si="0"/>
      </c>
      <c r="L18844">
        <f t="shared" si="1"/>
      </c>
      <c r="M18844">
        <f t="shared" si="2"/>
      </c>
    </row>
    <row r="18845">
      <c r="G18845" s="9">
        <f t="shared" si="0"/>
      </c>
      <c r="L18845">
        <f t="shared" si="1"/>
      </c>
      <c r="M18845">
        <f t="shared" si="2"/>
      </c>
    </row>
    <row r="18846">
      <c r="G18846" s="9">
        <f t="shared" si="0"/>
      </c>
      <c r="L18846">
        <f t="shared" si="1"/>
      </c>
      <c r="M18846">
        <f t="shared" si="2"/>
      </c>
    </row>
    <row r="18847">
      <c r="G18847" s="9">
        <f t="shared" si="0"/>
      </c>
      <c r="L18847">
        <f t="shared" si="1"/>
      </c>
      <c r="M18847">
        <f t="shared" si="2"/>
      </c>
    </row>
    <row r="18848">
      <c r="G18848" s="9">
        <f t="shared" si="0"/>
      </c>
      <c r="L18848">
        <f t="shared" si="1"/>
      </c>
      <c r="M18848">
        <f t="shared" si="2"/>
      </c>
    </row>
    <row r="18849">
      <c r="G18849" s="9">
        <f t="shared" si="0"/>
      </c>
      <c r="L18849">
        <f t="shared" si="1"/>
      </c>
      <c r="M18849">
        <f t="shared" si="2"/>
      </c>
    </row>
    <row r="18850">
      <c r="G18850" s="9">
        <f t="shared" si="0"/>
      </c>
      <c r="L18850">
        <f t="shared" si="1"/>
      </c>
      <c r="M18850">
        <f t="shared" si="2"/>
      </c>
    </row>
    <row r="18851">
      <c r="G18851" s="9">
        <f t="shared" si="0"/>
      </c>
      <c r="L18851">
        <f t="shared" si="1"/>
      </c>
      <c r="M18851">
        <f t="shared" si="2"/>
      </c>
    </row>
    <row r="18852">
      <c r="G18852" s="9">
        <f t="shared" si="0"/>
      </c>
      <c r="L18852">
        <f t="shared" si="1"/>
      </c>
      <c r="M18852">
        <f t="shared" si="2"/>
      </c>
    </row>
    <row r="18853">
      <c r="G18853" s="9">
        <f t="shared" si="0"/>
      </c>
      <c r="L18853">
        <f t="shared" si="1"/>
      </c>
      <c r="M18853">
        <f t="shared" si="2"/>
      </c>
    </row>
    <row r="18854">
      <c r="G18854" s="9">
        <f t="shared" si="0"/>
      </c>
      <c r="L18854">
        <f t="shared" si="1"/>
      </c>
      <c r="M18854">
        <f t="shared" si="2"/>
      </c>
    </row>
    <row r="18855">
      <c r="G18855" s="9">
        <f t="shared" si="0"/>
      </c>
      <c r="L18855">
        <f t="shared" si="1"/>
      </c>
      <c r="M18855">
        <f t="shared" si="2"/>
      </c>
    </row>
    <row r="18856">
      <c r="G18856" s="9">
        <f t="shared" si="0"/>
      </c>
      <c r="L18856">
        <f t="shared" si="1"/>
      </c>
      <c r="M18856">
        <f t="shared" si="2"/>
      </c>
    </row>
    <row r="18857">
      <c r="G18857" s="9">
        <f t="shared" si="0"/>
      </c>
      <c r="L18857">
        <f t="shared" si="1"/>
      </c>
      <c r="M18857">
        <f t="shared" si="2"/>
      </c>
    </row>
    <row r="18858">
      <c r="G18858" s="9">
        <f t="shared" si="0"/>
      </c>
      <c r="L18858">
        <f t="shared" si="1"/>
      </c>
      <c r="M18858">
        <f t="shared" si="2"/>
      </c>
    </row>
    <row r="18859">
      <c r="G18859" s="9">
        <f t="shared" si="0"/>
      </c>
      <c r="L18859">
        <f t="shared" si="1"/>
      </c>
      <c r="M18859">
        <f t="shared" si="2"/>
      </c>
    </row>
    <row r="18860">
      <c r="G18860" s="9">
        <f t="shared" si="0"/>
      </c>
      <c r="L18860">
        <f t="shared" si="1"/>
      </c>
      <c r="M18860">
        <f t="shared" si="2"/>
      </c>
    </row>
    <row r="18861">
      <c r="G18861" s="9">
        <f t="shared" si="0"/>
      </c>
      <c r="L18861">
        <f t="shared" si="1"/>
      </c>
      <c r="M18861">
        <f t="shared" si="2"/>
      </c>
    </row>
    <row r="18862">
      <c r="G18862" s="9">
        <f t="shared" si="0"/>
      </c>
      <c r="L18862">
        <f t="shared" si="1"/>
      </c>
      <c r="M18862">
        <f t="shared" si="2"/>
      </c>
    </row>
    <row r="18863">
      <c r="G18863" s="9">
        <f t="shared" si="0"/>
      </c>
      <c r="L18863">
        <f t="shared" si="1"/>
      </c>
      <c r="M18863">
        <f t="shared" si="2"/>
      </c>
    </row>
    <row r="18864">
      <c r="G18864" s="9">
        <f t="shared" si="0"/>
      </c>
      <c r="L18864">
        <f t="shared" si="1"/>
      </c>
      <c r="M18864">
        <f t="shared" si="2"/>
      </c>
    </row>
    <row r="18865">
      <c r="G18865" s="9">
        <f t="shared" si="0"/>
      </c>
      <c r="L18865">
        <f t="shared" si="1"/>
      </c>
      <c r="M18865">
        <f t="shared" si="2"/>
      </c>
    </row>
    <row r="18866">
      <c r="G18866" s="9">
        <f t="shared" si="0"/>
      </c>
      <c r="L18866">
        <f t="shared" si="1"/>
      </c>
      <c r="M18866">
        <f t="shared" si="2"/>
      </c>
    </row>
    <row r="18867">
      <c r="G18867" s="9">
        <f t="shared" si="0"/>
      </c>
      <c r="L18867">
        <f t="shared" si="1"/>
      </c>
      <c r="M18867">
        <f t="shared" si="2"/>
      </c>
    </row>
    <row r="18868">
      <c r="G18868" s="9">
        <f t="shared" si="0"/>
      </c>
      <c r="L18868">
        <f t="shared" si="1"/>
      </c>
      <c r="M18868">
        <f t="shared" si="2"/>
      </c>
    </row>
    <row r="18869">
      <c r="G18869" s="9">
        <f t="shared" si="0"/>
      </c>
      <c r="L18869">
        <f t="shared" si="1"/>
      </c>
      <c r="M18869">
        <f t="shared" si="2"/>
      </c>
    </row>
    <row r="18870">
      <c r="G18870" s="9">
        <f t="shared" si="0"/>
      </c>
      <c r="L18870">
        <f t="shared" si="1"/>
      </c>
      <c r="M18870">
        <f t="shared" si="2"/>
      </c>
    </row>
    <row r="18871">
      <c r="G18871" s="9">
        <f t="shared" si="0"/>
      </c>
      <c r="L18871">
        <f t="shared" si="1"/>
      </c>
      <c r="M18871">
        <f t="shared" si="2"/>
      </c>
    </row>
    <row r="18872">
      <c r="G18872" s="9">
        <f t="shared" si="0"/>
      </c>
      <c r="L18872">
        <f t="shared" si="1"/>
      </c>
      <c r="M18872">
        <f t="shared" si="2"/>
      </c>
    </row>
    <row r="18873">
      <c r="G18873" s="9">
        <f t="shared" si="0"/>
      </c>
      <c r="L18873">
        <f t="shared" si="1"/>
      </c>
      <c r="M18873">
        <f t="shared" si="2"/>
      </c>
    </row>
    <row r="18874">
      <c r="G18874" s="9">
        <f t="shared" si="0"/>
      </c>
      <c r="L18874">
        <f t="shared" si="1"/>
      </c>
      <c r="M18874">
        <f t="shared" si="2"/>
      </c>
    </row>
    <row r="18875">
      <c r="G18875" s="9">
        <f t="shared" si="0"/>
      </c>
      <c r="L18875">
        <f t="shared" si="1"/>
      </c>
      <c r="M18875">
        <f t="shared" si="2"/>
      </c>
    </row>
    <row r="18876">
      <c r="G18876" s="9">
        <f t="shared" si="0"/>
      </c>
      <c r="L18876">
        <f t="shared" si="1"/>
      </c>
      <c r="M18876">
        <f t="shared" si="2"/>
      </c>
    </row>
    <row r="18877">
      <c r="G18877" s="9">
        <f t="shared" si="0"/>
      </c>
      <c r="L18877">
        <f t="shared" si="1"/>
      </c>
      <c r="M18877">
        <f t="shared" si="2"/>
      </c>
    </row>
    <row r="18878">
      <c r="G18878" s="9">
        <f t="shared" si="0"/>
      </c>
      <c r="L18878">
        <f t="shared" si="1"/>
      </c>
      <c r="M18878">
        <f t="shared" si="2"/>
      </c>
    </row>
    <row r="18879">
      <c r="G18879" s="9">
        <f t="shared" si="0"/>
      </c>
      <c r="L18879">
        <f t="shared" si="1"/>
      </c>
      <c r="M18879">
        <f t="shared" si="2"/>
      </c>
    </row>
    <row r="18880">
      <c r="G18880" s="9">
        <f t="shared" si="0"/>
      </c>
      <c r="L18880">
        <f t="shared" si="1"/>
      </c>
      <c r="M18880">
        <f t="shared" si="2"/>
      </c>
    </row>
    <row r="18881">
      <c r="G18881" s="9">
        <f t="shared" si="0"/>
      </c>
      <c r="L18881">
        <f t="shared" si="1"/>
      </c>
      <c r="M18881">
        <f t="shared" si="2"/>
      </c>
    </row>
    <row r="18882">
      <c r="G18882" s="9">
        <f t="shared" si="0"/>
      </c>
      <c r="L18882">
        <f t="shared" si="1"/>
      </c>
      <c r="M18882">
        <f t="shared" si="2"/>
      </c>
    </row>
    <row r="18883">
      <c r="G18883" s="9">
        <f t="shared" si="0"/>
      </c>
      <c r="L18883">
        <f t="shared" si="1"/>
      </c>
      <c r="M18883">
        <f t="shared" si="2"/>
      </c>
    </row>
    <row r="18884">
      <c r="G18884" s="9">
        <f t="shared" si="0"/>
      </c>
      <c r="L18884">
        <f t="shared" si="1"/>
      </c>
      <c r="M18884">
        <f t="shared" si="2"/>
      </c>
    </row>
    <row r="18885">
      <c r="G18885" s="9">
        <f t="shared" si="0"/>
      </c>
      <c r="L18885">
        <f t="shared" si="1"/>
      </c>
      <c r="M18885">
        <f t="shared" si="2"/>
      </c>
    </row>
    <row r="18886">
      <c r="G18886" s="9">
        <f t="shared" si="0"/>
      </c>
      <c r="L18886">
        <f t="shared" si="1"/>
      </c>
      <c r="M18886">
        <f t="shared" si="2"/>
      </c>
    </row>
    <row r="18887">
      <c r="G18887" s="9">
        <f t="shared" si="0"/>
      </c>
      <c r="L18887">
        <f t="shared" si="1"/>
      </c>
      <c r="M18887">
        <f t="shared" si="2"/>
      </c>
    </row>
    <row r="18888">
      <c r="G18888" s="9">
        <f t="shared" si="0"/>
      </c>
      <c r="L18888">
        <f t="shared" si="1"/>
      </c>
      <c r="M18888">
        <f t="shared" si="2"/>
      </c>
    </row>
    <row r="18889">
      <c r="G18889" s="9">
        <f t="shared" si="0"/>
      </c>
      <c r="L18889">
        <f t="shared" si="1"/>
      </c>
      <c r="M18889">
        <f t="shared" si="2"/>
      </c>
    </row>
    <row r="18890">
      <c r="G18890" s="9">
        <f t="shared" si="0"/>
      </c>
      <c r="L18890">
        <f t="shared" si="1"/>
      </c>
      <c r="M18890">
        <f t="shared" si="2"/>
      </c>
    </row>
    <row r="18891">
      <c r="G18891" s="9">
        <f t="shared" si="0"/>
      </c>
      <c r="L18891">
        <f t="shared" si="1"/>
      </c>
      <c r="M18891">
        <f t="shared" si="2"/>
      </c>
    </row>
    <row r="18892">
      <c r="G18892" s="9">
        <f t="shared" si="0"/>
      </c>
      <c r="L18892">
        <f t="shared" si="1"/>
      </c>
      <c r="M18892">
        <f t="shared" si="2"/>
      </c>
    </row>
    <row r="18893">
      <c r="G18893" s="9">
        <f t="shared" si="0"/>
      </c>
      <c r="L18893">
        <f t="shared" si="1"/>
      </c>
      <c r="M18893">
        <f t="shared" si="2"/>
      </c>
    </row>
    <row r="18894">
      <c r="G18894" s="9">
        <f t="shared" si="0"/>
      </c>
      <c r="L18894">
        <f t="shared" si="1"/>
      </c>
      <c r="M18894">
        <f t="shared" si="2"/>
      </c>
    </row>
    <row r="18895">
      <c r="G18895" s="9">
        <f t="shared" si="0"/>
      </c>
      <c r="L18895">
        <f t="shared" si="1"/>
      </c>
      <c r="M18895">
        <f t="shared" si="2"/>
      </c>
    </row>
    <row r="18896">
      <c r="G18896" s="9">
        <f t="shared" si="0"/>
      </c>
      <c r="L18896">
        <f t="shared" si="1"/>
      </c>
      <c r="M18896">
        <f t="shared" si="2"/>
      </c>
    </row>
    <row r="18897">
      <c r="G18897" s="9">
        <f t="shared" si="0"/>
      </c>
      <c r="L18897">
        <f t="shared" si="1"/>
      </c>
      <c r="M18897">
        <f t="shared" si="2"/>
      </c>
    </row>
    <row r="18898">
      <c r="G18898" s="9">
        <f t="shared" si="0"/>
      </c>
      <c r="L18898">
        <f t="shared" si="1"/>
      </c>
      <c r="M18898">
        <f t="shared" si="2"/>
      </c>
    </row>
    <row r="18899">
      <c r="G18899" s="9">
        <f t="shared" si="0"/>
      </c>
      <c r="L18899">
        <f t="shared" si="1"/>
      </c>
      <c r="M18899">
        <f t="shared" si="2"/>
      </c>
    </row>
    <row r="18900">
      <c r="G18900" s="9">
        <f t="shared" si="0"/>
      </c>
      <c r="L18900">
        <f t="shared" si="1"/>
      </c>
      <c r="M18900">
        <f t="shared" si="2"/>
      </c>
    </row>
    <row r="18901">
      <c r="G18901" s="9">
        <f t="shared" si="0"/>
      </c>
      <c r="L18901">
        <f t="shared" si="1"/>
      </c>
      <c r="M18901">
        <f t="shared" si="2"/>
      </c>
    </row>
    <row r="18902">
      <c r="G18902" s="9">
        <f t="shared" si="0"/>
      </c>
      <c r="L18902">
        <f t="shared" si="1"/>
      </c>
      <c r="M18902">
        <f t="shared" si="2"/>
      </c>
    </row>
    <row r="18903">
      <c r="G18903" s="9">
        <f t="shared" si="0"/>
      </c>
      <c r="L18903">
        <f t="shared" si="1"/>
      </c>
      <c r="M18903">
        <f t="shared" si="2"/>
      </c>
    </row>
    <row r="18904">
      <c r="G18904" s="9">
        <f t="shared" si="0"/>
      </c>
      <c r="L18904">
        <f t="shared" si="1"/>
      </c>
      <c r="M18904">
        <f t="shared" si="2"/>
      </c>
    </row>
    <row r="18905">
      <c r="G18905" s="9">
        <f t="shared" si="0"/>
      </c>
      <c r="L18905">
        <f t="shared" si="1"/>
      </c>
      <c r="M18905">
        <f t="shared" si="2"/>
      </c>
    </row>
    <row r="18906">
      <c r="G18906" s="9">
        <f t="shared" si="0"/>
      </c>
      <c r="L18906">
        <f t="shared" si="1"/>
      </c>
      <c r="M18906">
        <f t="shared" si="2"/>
      </c>
    </row>
    <row r="18907">
      <c r="G18907" s="9">
        <f t="shared" si="0"/>
      </c>
      <c r="L18907">
        <f t="shared" si="1"/>
      </c>
      <c r="M18907">
        <f t="shared" si="2"/>
      </c>
    </row>
    <row r="18908">
      <c r="G18908" s="9">
        <f t="shared" si="0"/>
      </c>
      <c r="L18908">
        <f t="shared" si="1"/>
      </c>
      <c r="M18908">
        <f t="shared" si="2"/>
      </c>
    </row>
    <row r="18909">
      <c r="G18909" s="9">
        <f t="shared" si="0"/>
      </c>
      <c r="L18909">
        <f t="shared" si="1"/>
      </c>
      <c r="M18909">
        <f t="shared" si="2"/>
      </c>
    </row>
    <row r="18910">
      <c r="G18910" s="9">
        <f t="shared" si="0"/>
      </c>
      <c r="L18910">
        <f t="shared" si="1"/>
      </c>
      <c r="M18910">
        <f t="shared" si="2"/>
      </c>
    </row>
    <row r="18911">
      <c r="G18911" s="9">
        <f t="shared" si="0"/>
      </c>
      <c r="L18911">
        <f t="shared" si="1"/>
      </c>
      <c r="M18911">
        <f t="shared" si="2"/>
      </c>
    </row>
    <row r="18912">
      <c r="G18912" s="9">
        <f t="shared" si="0"/>
      </c>
      <c r="L18912">
        <f t="shared" si="1"/>
      </c>
      <c r="M18912">
        <f t="shared" si="2"/>
      </c>
    </row>
    <row r="18913">
      <c r="G18913" s="9">
        <f t="shared" si="0"/>
      </c>
      <c r="L18913">
        <f t="shared" si="1"/>
      </c>
      <c r="M18913">
        <f t="shared" si="2"/>
      </c>
    </row>
    <row r="18914">
      <c r="G18914" s="9">
        <f t="shared" si="0"/>
      </c>
      <c r="L18914">
        <f t="shared" si="1"/>
      </c>
      <c r="M18914">
        <f t="shared" si="2"/>
      </c>
    </row>
    <row r="18915">
      <c r="G18915" s="9">
        <f t="shared" si="0"/>
      </c>
      <c r="L18915">
        <f t="shared" si="1"/>
      </c>
      <c r="M18915">
        <f t="shared" si="2"/>
      </c>
    </row>
    <row r="18916">
      <c r="G18916" s="9">
        <f t="shared" si="0"/>
      </c>
      <c r="L18916">
        <f t="shared" si="1"/>
      </c>
      <c r="M18916">
        <f t="shared" si="2"/>
      </c>
    </row>
    <row r="18917">
      <c r="G18917" s="9">
        <f t="shared" si="0"/>
      </c>
      <c r="L18917">
        <f t="shared" si="1"/>
      </c>
      <c r="M18917">
        <f t="shared" si="2"/>
      </c>
    </row>
    <row r="18918">
      <c r="G18918" s="9">
        <f t="shared" si="0"/>
      </c>
      <c r="L18918">
        <f t="shared" si="1"/>
      </c>
      <c r="M18918">
        <f t="shared" si="2"/>
      </c>
    </row>
    <row r="18919">
      <c r="G18919" s="9">
        <f t="shared" si="0"/>
      </c>
      <c r="L18919">
        <f t="shared" si="1"/>
      </c>
      <c r="M18919">
        <f t="shared" si="2"/>
      </c>
    </row>
    <row r="18920">
      <c r="G18920" s="9">
        <f t="shared" si="0"/>
      </c>
      <c r="L18920">
        <f t="shared" si="1"/>
      </c>
      <c r="M18920">
        <f t="shared" si="2"/>
      </c>
    </row>
    <row r="18921">
      <c r="G18921" s="9">
        <f t="shared" si="0"/>
      </c>
      <c r="L18921">
        <f t="shared" si="1"/>
      </c>
      <c r="M18921">
        <f t="shared" si="2"/>
      </c>
    </row>
    <row r="18922">
      <c r="G18922" s="9">
        <f t="shared" si="0"/>
      </c>
      <c r="L18922">
        <f t="shared" si="1"/>
      </c>
      <c r="M18922">
        <f t="shared" si="2"/>
      </c>
    </row>
    <row r="18923">
      <c r="G18923" s="9">
        <f t="shared" si="0"/>
      </c>
      <c r="L18923">
        <f t="shared" si="1"/>
      </c>
      <c r="M18923">
        <f t="shared" si="2"/>
      </c>
    </row>
    <row r="18924">
      <c r="G18924" s="9">
        <f t="shared" si="0"/>
      </c>
      <c r="L18924">
        <f t="shared" si="1"/>
      </c>
      <c r="M18924">
        <f t="shared" si="2"/>
      </c>
    </row>
    <row r="18925">
      <c r="G18925" s="9">
        <f t="shared" si="0"/>
      </c>
      <c r="L18925">
        <f t="shared" si="1"/>
      </c>
      <c r="M18925">
        <f t="shared" si="2"/>
      </c>
    </row>
    <row r="18926">
      <c r="G18926" s="9">
        <f t="shared" si="0"/>
      </c>
      <c r="L18926">
        <f t="shared" si="1"/>
      </c>
      <c r="M18926">
        <f t="shared" si="2"/>
      </c>
    </row>
    <row r="18927">
      <c r="G18927" s="9">
        <f t="shared" si="0"/>
      </c>
      <c r="L18927">
        <f t="shared" si="1"/>
      </c>
      <c r="M18927">
        <f t="shared" si="2"/>
      </c>
    </row>
    <row r="18928">
      <c r="G18928" s="9">
        <f t="shared" si="0"/>
      </c>
      <c r="L18928">
        <f t="shared" si="1"/>
      </c>
      <c r="M18928">
        <f t="shared" si="2"/>
      </c>
    </row>
    <row r="18929">
      <c r="G18929" s="9">
        <f t="shared" si="0"/>
      </c>
      <c r="L18929">
        <f t="shared" si="1"/>
      </c>
      <c r="M18929">
        <f t="shared" si="2"/>
      </c>
    </row>
    <row r="18930">
      <c r="G18930" s="9">
        <f t="shared" si="0"/>
      </c>
      <c r="L18930">
        <f t="shared" si="1"/>
      </c>
      <c r="M18930">
        <f t="shared" si="2"/>
      </c>
    </row>
    <row r="18931">
      <c r="G18931" s="9">
        <f t="shared" si="0"/>
      </c>
      <c r="L18931">
        <f t="shared" si="1"/>
      </c>
      <c r="M18931">
        <f t="shared" si="2"/>
      </c>
    </row>
    <row r="18932">
      <c r="G18932" s="9">
        <f t="shared" si="0"/>
      </c>
      <c r="L18932">
        <f t="shared" si="1"/>
      </c>
      <c r="M18932">
        <f t="shared" si="2"/>
      </c>
    </row>
    <row r="18933">
      <c r="G18933" s="9">
        <f t="shared" si="0"/>
      </c>
      <c r="L18933">
        <f t="shared" si="1"/>
      </c>
      <c r="M18933">
        <f t="shared" si="2"/>
      </c>
    </row>
    <row r="18934">
      <c r="G18934" s="9">
        <f t="shared" si="0"/>
      </c>
      <c r="L18934">
        <f t="shared" si="1"/>
      </c>
      <c r="M18934">
        <f t="shared" si="2"/>
      </c>
    </row>
    <row r="18935">
      <c r="G18935" s="9">
        <f t="shared" si="0"/>
      </c>
      <c r="L18935">
        <f t="shared" si="1"/>
      </c>
      <c r="M18935">
        <f t="shared" si="2"/>
      </c>
    </row>
    <row r="18936">
      <c r="G18936" s="9">
        <f t="shared" si="0"/>
      </c>
      <c r="L18936">
        <f t="shared" si="1"/>
      </c>
      <c r="M18936">
        <f t="shared" si="2"/>
      </c>
    </row>
    <row r="18937">
      <c r="G18937" s="9">
        <f t="shared" si="0"/>
      </c>
      <c r="L18937">
        <f t="shared" si="1"/>
      </c>
      <c r="M18937">
        <f t="shared" si="2"/>
      </c>
    </row>
    <row r="18938">
      <c r="G18938" s="9">
        <f t="shared" si="0"/>
      </c>
      <c r="L18938">
        <f t="shared" si="1"/>
      </c>
      <c r="M18938">
        <f t="shared" si="2"/>
      </c>
    </row>
    <row r="18939">
      <c r="G18939" s="9">
        <f t="shared" si="0"/>
      </c>
      <c r="L18939">
        <f t="shared" si="1"/>
      </c>
      <c r="M18939">
        <f t="shared" si="2"/>
      </c>
    </row>
    <row r="18940">
      <c r="G18940" s="9">
        <f t="shared" si="0"/>
      </c>
      <c r="L18940">
        <f t="shared" si="1"/>
      </c>
      <c r="M18940">
        <f t="shared" si="2"/>
      </c>
    </row>
    <row r="18941">
      <c r="G18941" s="9">
        <f t="shared" si="0"/>
      </c>
      <c r="L18941">
        <f t="shared" si="1"/>
      </c>
      <c r="M18941">
        <f t="shared" si="2"/>
      </c>
    </row>
    <row r="18942">
      <c r="G18942" s="9">
        <f t="shared" si="0"/>
      </c>
      <c r="L18942">
        <f t="shared" si="1"/>
      </c>
      <c r="M18942">
        <f t="shared" si="2"/>
      </c>
    </row>
    <row r="18943">
      <c r="G18943" s="9">
        <f t="shared" si="0"/>
      </c>
      <c r="L18943">
        <f t="shared" si="1"/>
      </c>
      <c r="M18943">
        <f t="shared" si="2"/>
      </c>
    </row>
    <row r="18944">
      <c r="G18944" s="9">
        <f t="shared" si="0"/>
      </c>
      <c r="L18944">
        <f t="shared" si="1"/>
      </c>
      <c r="M18944">
        <f t="shared" si="2"/>
      </c>
    </row>
    <row r="18945">
      <c r="G18945" s="9">
        <f t="shared" si="0"/>
      </c>
      <c r="L18945">
        <f t="shared" si="1"/>
      </c>
      <c r="M18945">
        <f t="shared" si="2"/>
      </c>
    </row>
    <row r="18946">
      <c r="G18946" s="9">
        <f t="shared" si="0"/>
      </c>
      <c r="L18946">
        <f t="shared" si="1"/>
      </c>
      <c r="M18946">
        <f t="shared" si="2"/>
      </c>
    </row>
    <row r="18947">
      <c r="G18947" s="9">
        <f t="shared" si="0"/>
      </c>
      <c r="L18947">
        <f t="shared" si="1"/>
      </c>
      <c r="M18947">
        <f t="shared" si="2"/>
      </c>
    </row>
    <row r="18948">
      <c r="G18948" s="9">
        <f t="shared" si="0"/>
      </c>
      <c r="L18948">
        <f t="shared" si="1"/>
      </c>
      <c r="M18948">
        <f t="shared" si="2"/>
      </c>
    </row>
    <row r="18949">
      <c r="G18949" s="9">
        <f t="shared" si="0"/>
      </c>
      <c r="L18949">
        <f t="shared" si="1"/>
      </c>
      <c r="M18949">
        <f t="shared" si="2"/>
      </c>
    </row>
    <row r="18950">
      <c r="G18950" s="9">
        <f t="shared" si="0"/>
      </c>
      <c r="L18950">
        <f t="shared" si="1"/>
      </c>
      <c r="M18950">
        <f t="shared" si="2"/>
      </c>
    </row>
    <row r="18951">
      <c r="G18951" s="9">
        <f t="shared" si="0"/>
      </c>
      <c r="L18951">
        <f t="shared" si="1"/>
      </c>
      <c r="M18951">
        <f t="shared" si="2"/>
      </c>
    </row>
    <row r="18952">
      <c r="G18952" s="9">
        <f t="shared" si="0"/>
      </c>
      <c r="L18952">
        <f t="shared" si="1"/>
      </c>
      <c r="M18952">
        <f t="shared" si="2"/>
      </c>
    </row>
    <row r="18953">
      <c r="G18953" s="9">
        <f t="shared" si="0"/>
      </c>
      <c r="L18953">
        <f t="shared" si="1"/>
      </c>
      <c r="M18953">
        <f t="shared" si="2"/>
      </c>
    </row>
    <row r="18954">
      <c r="G18954" s="9">
        <f t="shared" si="0"/>
      </c>
      <c r="L18954">
        <f t="shared" si="1"/>
      </c>
      <c r="M18954">
        <f t="shared" si="2"/>
      </c>
    </row>
    <row r="18955">
      <c r="G18955" s="9">
        <f t="shared" si="0"/>
      </c>
      <c r="L18955">
        <f t="shared" si="1"/>
      </c>
      <c r="M18955">
        <f t="shared" si="2"/>
      </c>
    </row>
    <row r="18956">
      <c r="G18956" s="9">
        <f t="shared" si="0"/>
      </c>
      <c r="L18956">
        <f t="shared" si="1"/>
      </c>
      <c r="M18956">
        <f t="shared" si="2"/>
      </c>
    </row>
    <row r="18957">
      <c r="G18957" s="9">
        <f t="shared" si="0"/>
      </c>
      <c r="L18957">
        <f t="shared" si="1"/>
      </c>
      <c r="M18957">
        <f t="shared" si="2"/>
      </c>
    </row>
    <row r="18958">
      <c r="G18958" s="9">
        <f t="shared" si="0"/>
      </c>
      <c r="L18958">
        <f t="shared" si="1"/>
      </c>
      <c r="M18958">
        <f t="shared" si="2"/>
      </c>
    </row>
    <row r="18959">
      <c r="G18959" s="9">
        <f t="shared" si="0"/>
      </c>
      <c r="L18959">
        <f t="shared" si="1"/>
      </c>
      <c r="M18959">
        <f t="shared" si="2"/>
      </c>
    </row>
    <row r="18960">
      <c r="G18960" s="9">
        <f t="shared" si="0"/>
      </c>
      <c r="L18960">
        <f t="shared" si="1"/>
      </c>
      <c r="M18960">
        <f t="shared" si="2"/>
      </c>
    </row>
    <row r="18961">
      <c r="G18961" s="9">
        <f t="shared" si="0"/>
      </c>
      <c r="L18961">
        <f t="shared" si="1"/>
      </c>
      <c r="M18961">
        <f t="shared" si="2"/>
      </c>
    </row>
    <row r="18962">
      <c r="G18962" s="9">
        <f t="shared" si="0"/>
      </c>
      <c r="L18962">
        <f t="shared" si="1"/>
      </c>
      <c r="M18962">
        <f t="shared" si="2"/>
      </c>
    </row>
    <row r="18963">
      <c r="G18963" s="9">
        <f t="shared" si="0"/>
      </c>
      <c r="L18963">
        <f t="shared" si="1"/>
      </c>
      <c r="M18963">
        <f t="shared" si="2"/>
      </c>
    </row>
    <row r="18964">
      <c r="G18964" s="9">
        <f t="shared" si="0"/>
      </c>
      <c r="L18964">
        <f t="shared" si="1"/>
      </c>
      <c r="M18964">
        <f t="shared" si="2"/>
      </c>
    </row>
    <row r="18965">
      <c r="G18965" s="9">
        <f t="shared" si="0"/>
      </c>
      <c r="L18965">
        <f t="shared" si="1"/>
      </c>
      <c r="M18965">
        <f t="shared" si="2"/>
      </c>
    </row>
    <row r="18966">
      <c r="G18966" s="9">
        <f t="shared" si="0"/>
      </c>
      <c r="L18966">
        <f t="shared" si="1"/>
      </c>
      <c r="M18966">
        <f t="shared" si="2"/>
      </c>
    </row>
    <row r="18967">
      <c r="G18967" s="9">
        <f t="shared" si="0"/>
      </c>
      <c r="L18967">
        <f t="shared" si="1"/>
      </c>
      <c r="M18967">
        <f t="shared" si="2"/>
      </c>
    </row>
    <row r="18968">
      <c r="G18968" s="9">
        <f t="shared" si="0"/>
      </c>
      <c r="L18968">
        <f t="shared" si="1"/>
      </c>
      <c r="M18968">
        <f t="shared" si="2"/>
      </c>
    </row>
    <row r="18969">
      <c r="G18969" s="9">
        <f t="shared" si="0"/>
      </c>
      <c r="L18969">
        <f t="shared" si="1"/>
      </c>
      <c r="M18969">
        <f t="shared" si="2"/>
      </c>
    </row>
    <row r="18970">
      <c r="G18970" s="9">
        <f t="shared" si="0"/>
      </c>
      <c r="L18970">
        <f t="shared" si="1"/>
      </c>
      <c r="M18970">
        <f t="shared" si="2"/>
      </c>
    </row>
    <row r="18971">
      <c r="G18971" s="9">
        <f t="shared" si="0"/>
      </c>
      <c r="L18971">
        <f t="shared" si="1"/>
      </c>
      <c r="M18971">
        <f t="shared" si="2"/>
      </c>
    </row>
    <row r="18972">
      <c r="G18972" s="9">
        <f t="shared" si="0"/>
      </c>
      <c r="L18972">
        <f t="shared" si="1"/>
      </c>
      <c r="M18972">
        <f t="shared" si="2"/>
      </c>
    </row>
    <row r="18973">
      <c r="G18973" s="9">
        <f t="shared" si="0"/>
      </c>
      <c r="L18973">
        <f t="shared" si="1"/>
      </c>
      <c r="M18973">
        <f t="shared" si="2"/>
      </c>
    </row>
    <row r="18974">
      <c r="G18974" s="9">
        <f t="shared" si="0"/>
      </c>
      <c r="L18974">
        <f t="shared" si="1"/>
      </c>
      <c r="M18974">
        <f t="shared" si="2"/>
      </c>
    </row>
    <row r="18975">
      <c r="G18975" s="9">
        <f t="shared" si="0"/>
      </c>
      <c r="L18975">
        <f t="shared" si="1"/>
      </c>
      <c r="M18975">
        <f t="shared" si="2"/>
      </c>
    </row>
    <row r="18976">
      <c r="G18976" s="9">
        <f t="shared" si="0"/>
      </c>
      <c r="L18976">
        <f t="shared" si="1"/>
      </c>
      <c r="M18976">
        <f t="shared" si="2"/>
      </c>
    </row>
    <row r="18977">
      <c r="G18977" s="9">
        <f t="shared" si="0"/>
      </c>
      <c r="L18977">
        <f t="shared" si="1"/>
      </c>
      <c r="M18977">
        <f t="shared" si="2"/>
      </c>
    </row>
    <row r="18978">
      <c r="G18978" s="9">
        <f t="shared" si="0"/>
      </c>
      <c r="L18978">
        <f t="shared" si="1"/>
      </c>
      <c r="M18978">
        <f t="shared" si="2"/>
      </c>
    </row>
    <row r="18979">
      <c r="G18979" s="9">
        <f t="shared" si="0"/>
      </c>
      <c r="L18979">
        <f t="shared" si="1"/>
      </c>
      <c r="M18979">
        <f t="shared" si="2"/>
      </c>
    </row>
    <row r="18980">
      <c r="G18980" s="9">
        <f t="shared" si="0"/>
      </c>
      <c r="L18980">
        <f t="shared" si="1"/>
      </c>
      <c r="M18980">
        <f t="shared" si="2"/>
      </c>
    </row>
    <row r="18981">
      <c r="G18981" s="9">
        <f t="shared" si="0"/>
      </c>
      <c r="L18981">
        <f t="shared" si="1"/>
      </c>
      <c r="M18981">
        <f t="shared" si="2"/>
      </c>
    </row>
    <row r="18982">
      <c r="G18982" s="9">
        <f t="shared" si="0"/>
      </c>
      <c r="L18982">
        <f t="shared" si="1"/>
      </c>
      <c r="M18982">
        <f t="shared" si="2"/>
      </c>
    </row>
    <row r="18983">
      <c r="G18983" s="9">
        <f t="shared" si="0"/>
      </c>
      <c r="L18983">
        <f t="shared" si="1"/>
      </c>
      <c r="M18983">
        <f t="shared" si="2"/>
      </c>
    </row>
    <row r="18984">
      <c r="G18984" s="9">
        <f t="shared" si="0"/>
      </c>
      <c r="L18984">
        <f t="shared" si="1"/>
      </c>
      <c r="M18984">
        <f t="shared" si="2"/>
      </c>
    </row>
    <row r="18985">
      <c r="G18985" s="9">
        <f t="shared" si="0"/>
      </c>
      <c r="L18985">
        <f t="shared" si="1"/>
      </c>
      <c r="M18985">
        <f t="shared" si="2"/>
      </c>
    </row>
    <row r="18986">
      <c r="G18986" s="9">
        <f t="shared" si="0"/>
      </c>
      <c r="L18986">
        <f t="shared" si="1"/>
      </c>
      <c r="M18986">
        <f t="shared" si="2"/>
      </c>
    </row>
    <row r="18987">
      <c r="G18987" s="9">
        <f t="shared" si="0"/>
      </c>
      <c r="L18987">
        <f t="shared" si="1"/>
      </c>
      <c r="M18987">
        <f t="shared" si="2"/>
      </c>
    </row>
    <row r="18988">
      <c r="G18988" s="9">
        <f t="shared" si="0"/>
      </c>
      <c r="L18988">
        <f t="shared" si="1"/>
      </c>
      <c r="M18988">
        <f t="shared" si="2"/>
      </c>
    </row>
    <row r="18989">
      <c r="G18989" s="9">
        <f t="shared" si="0"/>
      </c>
      <c r="L18989">
        <f t="shared" si="1"/>
      </c>
      <c r="M18989">
        <f t="shared" si="2"/>
      </c>
    </row>
    <row r="18990">
      <c r="G18990" s="9">
        <f t="shared" si="0"/>
      </c>
      <c r="L18990">
        <f t="shared" si="1"/>
      </c>
      <c r="M18990">
        <f t="shared" si="2"/>
      </c>
    </row>
    <row r="18991">
      <c r="G18991" s="9">
        <f t="shared" si="0"/>
      </c>
      <c r="L18991">
        <f t="shared" si="1"/>
      </c>
      <c r="M18991">
        <f t="shared" si="2"/>
      </c>
    </row>
    <row r="18992">
      <c r="G18992" s="9">
        <f t="shared" si="0"/>
      </c>
      <c r="L18992">
        <f t="shared" si="1"/>
      </c>
      <c r="M18992">
        <f t="shared" si="2"/>
      </c>
    </row>
    <row r="18993">
      <c r="G18993" s="9">
        <f t="shared" si="0"/>
      </c>
      <c r="L18993">
        <f t="shared" si="1"/>
      </c>
      <c r="M18993">
        <f t="shared" si="2"/>
      </c>
    </row>
    <row r="18994">
      <c r="G18994" s="9">
        <f t="shared" si="0"/>
      </c>
      <c r="L18994">
        <f t="shared" si="1"/>
      </c>
      <c r="M18994">
        <f t="shared" si="2"/>
      </c>
    </row>
    <row r="18995">
      <c r="G18995" s="9">
        <f t="shared" si="0"/>
      </c>
      <c r="L18995">
        <f t="shared" si="1"/>
      </c>
      <c r="M18995">
        <f t="shared" si="2"/>
      </c>
    </row>
    <row r="18996">
      <c r="G18996" s="9">
        <f t="shared" si="0"/>
      </c>
      <c r="L18996">
        <f t="shared" si="1"/>
      </c>
      <c r="M18996">
        <f t="shared" si="2"/>
      </c>
    </row>
    <row r="18997">
      <c r="G18997" s="9">
        <f t="shared" si="0"/>
      </c>
      <c r="L18997">
        <f t="shared" si="1"/>
      </c>
      <c r="M18997">
        <f t="shared" si="2"/>
      </c>
    </row>
    <row r="18998">
      <c r="G18998" s="9">
        <f t="shared" si="0"/>
      </c>
      <c r="L18998">
        <f t="shared" si="1"/>
      </c>
      <c r="M18998">
        <f t="shared" si="2"/>
      </c>
    </row>
    <row r="18999">
      <c r="G18999" s="9">
        <f t="shared" si="0"/>
      </c>
      <c r="L18999">
        <f t="shared" si="1"/>
      </c>
      <c r="M18999">
        <f t="shared" si="2"/>
      </c>
    </row>
    <row r="19000">
      <c r="G19000" s="9">
        <f t="shared" si="0"/>
      </c>
      <c r="L19000">
        <f t="shared" si="1"/>
      </c>
      <c r="M19000">
        <f t="shared" si="2"/>
      </c>
    </row>
    <row r="19001">
      <c r="G19001" s="9">
        <f t="shared" si="0"/>
      </c>
      <c r="L19001">
        <f t="shared" si="1"/>
      </c>
      <c r="M19001">
        <f t="shared" si="2"/>
      </c>
    </row>
    <row r="19002">
      <c r="G19002" s="9">
        <f t="shared" si="0"/>
      </c>
      <c r="L19002">
        <f t="shared" si="1"/>
      </c>
      <c r="M19002">
        <f t="shared" si="2"/>
      </c>
    </row>
    <row r="19003">
      <c r="G19003" s="9">
        <f t="shared" si="0"/>
      </c>
      <c r="L19003">
        <f t="shared" si="1"/>
      </c>
      <c r="M19003">
        <f t="shared" si="2"/>
      </c>
    </row>
    <row r="19004">
      <c r="G19004" s="9">
        <f t="shared" si="0"/>
      </c>
      <c r="L19004">
        <f t="shared" si="1"/>
      </c>
      <c r="M19004">
        <f t="shared" si="2"/>
      </c>
    </row>
    <row r="19005">
      <c r="G19005" s="9">
        <f t="shared" si="0"/>
      </c>
      <c r="L19005">
        <f t="shared" si="1"/>
      </c>
      <c r="M19005">
        <f t="shared" si="2"/>
      </c>
    </row>
    <row r="19006">
      <c r="G19006" s="9">
        <f t="shared" si="0"/>
      </c>
      <c r="L19006">
        <f t="shared" si="1"/>
      </c>
      <c r="M19006">
        <f t="shared" si="2"/>
      </c>
    </row>
    <row r="19007">
      <c r="G19007" s="9">
        <f t="shared" si="0"/>
      </c>
      <c r="L19007">
        <f t="shared" si="1"/>
      </c>
      <c r="M19007">
        <f t="shared" si="2"/>
      </c>
    </row>
    <row r="19008">
      <c r="G19008" s="9">
        <f t="shared" si="0"/>
      </c>
      <c r="L19008">
        <f t="shared" si="1"/>
      </c>
      <c r="M19008">
        <f t="shared" si="2"/>
      </c>
    </row>
    <row r="19009">
      <c r="G19009" s="9">
        <f t="shared" si="0"/>
      </c>
      <c r="L19009">
        <f t="shared" si="1"/>
      </c>
      <c r="M19009">
        <f t="shared" si="2"/>
      </c>
    </row>
    <row r="19010">
      <c r="G19010" s="9">
        <f t="shared" si="0"/>
      </c>
      <c r="L19010">
        <f t="shared" si="1"/>
      </c>
      <c r="M19010">
        <f t="shared" si="2"/>
      </c>
    </row>
    <row r="19011">
      <c r="G19011" s="9">
        <f t="shared" si="0"/>
      </c>
      <c r="L19011">
        <f t="shared" si="1"/>
      </c>
      <c r="M19011">
        <f t="shared" si="2"/>
      </c>
    </row>
    <row r="19012">
      <c r="G19012" s="9">
        <f t="shared" si="0"/>
      </c>
      <c r="L19012">
        <f t="shared" si="1"/>
      </c>
      <c r="M19012">
        <f t="shared" si="2"/>
      </c>
    </row>
    <row r="19013">
      <c r="G19013" s="9">
        <f t="shared" si="0"/>
      </c>
      <c r="L19013">
        <f t="shared" si="1"/>
      </c>
      <c r="M19013">
        <f t="shared" si="2"/>
      </c>
    </row>
    <row r="19014">
      <c r="G19014" s="9">
        <f t="shared" si="0"/>
      </c>
      <c r="L19014">
        <f t="shared" si="1"/>
      </c>
      <c r="M19014">
        <f t="shared" si="2"/>
      </c>
    </row>
    <row r="19015">
      <c r="G19015" s="9">
        <f t="shared" si="0"/>
      </c>
      <c r="L19015">
        <f t="shared" si="1"/>
      </c>
      <c r="M19015">
        <f t="shared" si="2"/>
      </c>
    </row>
    <row r="19016">
      <c r="G19016" s="9">
        <f t="shared" si="0"/>
      </c>
      <c r="L19016">
        <f t="shared" si="1"/>
      </c>
      <c r="M19016">
        <f t="shared" si="2"/>
      </c>
    </row>
    <row r="19017">
      <c r="G19017" s="9">
        <f t="shared" si="0"/>
      </c>
      <c r="L19017">
        <f t="shared" si="1"/>
      </c>
      <c r="M19017">
        <f t="shared" si="2"/>
      </c>
    </row>
    <row r="19018">
      <c r="G19018" s="9">
        <f t="shared" si="0"/>
      </c>
      <c r="L19018">
        <f t="shared" si="1"/>
      </c>
      <c r="M19018">
        <f t="shared" si="2"/>
      </c>
    </row>
    <row r="19019">
      <c r="G19019" s="9">
        <f t="shared" si="0"/>
      </c>
      <c r="L19019">
        <f t="shared" si="1"/>
      </c>
      <c r="M19019">
        <f t="shared" si="2"/>
      </c>
    </row>
    <row r="19020">
      <c r="G19020" s="9">
        <f t="shared" si="0"/>
      </c>
      <c r="L19020">
        <f t="shared" si="1"/>
      </c>
      <c r="M19020">
        <f t="shared" si="2"/>
      </c>
    </row>
    <row r="19021">
      <c r="G19021" s="9">
        <f t="shared" si="0"/>
      </c>
      <c r="L19021">
        <f t="shared" si="1"/>
      </c>
      <c r="M19021">
        <f t="shared" si="2"/>
      </c>
    </row>
    <row r="19022">
      <c r="G19022" s="9">
        <f t="shared" si="0"/>
      </c>
      <c r="L19022">
        <f t="shared" si="1"/>
      </c>
      <c r="M19022">
        <f t="shared" si="2"/>
      </c>
    </row>
    <row r="19023">
      <c r="G19023" s="9">
        <f t="shared" si="0"/>
      </c>
      <c r="L19023">
        <f t="shared" si="1"/>
      </c>
      <c r="M19023">
        <f t="shared" si="2"/>
      </c>
    </row>
    <row r="19024">
      <c r="G19024" s="9">
        <f t="shared" si="0"/>
      </c>
      <c r="L19024">
        <f t="shared" si="1"/>
      </c>
      <c r="M19024">
        <f t="shared" si="2"/>
      </c>
    </row>
    <row r="19025">
      <c r="G19025" s="9">
        <f t="shared" si="0"/>
      </c>
      <c r="L19025">
        <f t="shared" si="1"/>
      </c>
      <c r="M19025">
        <f t="shared" si="2"/>
      </c>
    </row>
    <row r="19026">
      <c r="G19026" s="9">
        <f t="shared" si="0"/>
      </c>
      <c r="L19026">
        <f t="shared" si="1"/>
      </c>
      <c r="M19026">
        <f t="shared" si="2"/>
      </c>
    </row>
    <row r="19027">
      <c r="G19027" s="9">
        <f t="shared" si="0"/>
      </c>
      <c r="L19027">
        <f t="shared" si="1"/>
      </c>
      <c r="M19027">
        <f t="shared" si="2"/>
      </c>
    </row>
    <row r="19028">
      <c r="G19028" s="9">
        <f t="shared" si="0"/>
      </c>
      <c r="L19028">
        <f t="shared" si="1"/>
      </c>
      <c r="M19028">
        <f t="shared" si="2"/>
      </c>
    </row>
    <row r="19029">
      <c r="G19029" s="9">
        <f t="shared" si="0"/>
      </c>
      <c r="L19029">
        <f t="shared" si="1"/>
      </c>
      <c r="M19029">
        <f t="shared" si="2"/>
      </c>
    </row>
    <row r="19030">
      <c r="G19030" s="9">
        <f t="shared" si="0"/>
      </c>
      <c r="L19030">
        <f t="shared" si="1"/>
      </c>
      <c r="M19030">
        <f t="shared" si="2"/>
      </c>
    </row>
    <row r="19031">
      <c r="G19031" s="9">
        <f t="shared" si="0"/>
      </c>
      <c r="L19031">
        <f t="shared" si="1"/>
      </c>
      <c r="M19031">
        <f t="shared" si="2"/>
      </c>
    </row>
    <row r="19032">
      <c r="G19032" s="9">
        <f t="shared" si="0"/>
      </c>
      <c r="L19032">
        <f t="shared" si="1"/>
      </c>
      <c r="M19032">
        <f t="shared" si="2"/>
      </c>
    </row>
    <row r="19033">
      <c r="G19033" s="9">
        <f t="shared" si="0"/>
      </c>
      <c r="L19033">
        <f t="shared" si="1"/>
      </c>
      <c r="M19033">
        <f t="shared" si="2"/>
      </c>
    </row>
    <row r="19034">
      <c r="G19034" s="9">
        <f t="shared" si="0"/>
      </c>
      <c r="L19034">
        <f t="shared" si="1"/>
      </c>
      <c r="M19034">
        <f t="shared" si="2"/>
      </c>
    </row>
    <row r="19035">
      <c r="G19035" s="9">
        <f t="shared" si="0"/>
      </c>
      <c r="L19035">
        <f t="shared" si="1"/>
      </c>
      <c r="M19035">
        <f t="shared" si="2"/>
      </c>
    </row>
    <row r="19036">
      <c r="G19036" s="9">
        <f t="shared" si="0"/>
      </c>
      <c r="L19036">
        <f t="shared" si="1"/>
      </c>
      <c r="M19036">
        <f t="shared" si="2"/>
      </c>
    </row>
    <row r="19037">
      <c r="G19037" s="9">
        <f t="shared" si="0"/>
      </c>
      <c r="L19037">
        <f t="shared" si="1"/>
      </c>
      <c r="M19037">
        <f t="shared" si="2"/>
      </c>
    </row>
    <row r="19038">
      <c r="G19038" s="9">
        <f t="shared" si="0"/>
      </c>
      <c r="L19038">
        <f t="shared" si="1"/>
      </c>
      <c r="M19038">
        <f t="shared" si="2"/>
      </c>
    </row>
    <row r="19039">
      <c r="G19039" s="9">
        <f t="shared" si="0"/>
      </c>
      <c r="L19039">
        <f t="shared" si="1"/>
      </c>
      <c r="M19039">
        <f t="shared" si="2"/>
      </c>
    </row>
    <row r="19040">
      <c r="G19040" s="9">
        <f t="shared" si="0"/>
      </c>
      <c r="L19040">
        <f t="shared" si="1"/>
      </c>
      <c r="M19040">
        <f t="shared" si="2"/>
      </c>
    </row>
    <row r="19041">
      <c r="G19041" s="9">
        <f t="shared" si="0"/>
      </c>
      <c r="L19041">
        <f t="shared" si="1"/>
      </c>
      <c r="M19041">
        <f t="shared" si="2"/>
      </c>
    </row>
    <row r="19042">
      <c r="G19042" s="9">
        <f t="shared" si="0"/>
      </c>
      <c r="L19042">
        <f t="shared" si="1"/>
      </c>
      <c r="M19042">
        <f t="shared" si="2"/>
      </c>
    </row>
    <row r="19043">
      <c r="G19043" s="9">
        <f t="shared" si="0"/>
      </c>
      <c r="L19043">
        <f t="shared" si="1"/>
      </c>
      <c r="M19043">
        <f t="shared" si="2"/>
      </c>
    </row>
    <row r="19044">
      <c r="G19044" s="9">
        <f t="shared" si="0"/>
      </c>
      <c r="L19044">
        <f t="shared" si="1"/>
      </c>
      <c r="M19044">
        <f t="shared" si="2"/>
      </c>
    </row>
    <row r="19045">
      <c r="G19045" s="9">
        <f t="shared" si="0"/>
      </c>
      <c r="L19045">
        <f t="shared" si="1"/>
      </c>
      <c r="M19045">
        <f t="shared" si="2"/>
      </c>
    </row>
    <row r="19046">
      <c r="G19046" s="9">
        <f t="shared" si="0"/>
      </c>
      <c r="L19046">
        <f t="shared" si="1"/>
      </c>
      <c r="M19046">
        <f t="shared" si="2"/>
      </c>
    </row>
    <row r="19047">
      <c r="G19047" s="9">
        <f t="shared" si="0"/>
      </c>
      <c r="L19047">
        <f t="shared" si="1"/>
      </c>
      <c r="M19047">
        <f t="shared" si="2"/>
      </c>
    </row>
    <row r="19048">
      <c r="G19048" s="9">
        <f t="shared" si="0"/>
      </c>
      <c r="L19048">
        <f t="shared" si="1"/>
      </c>
      <c r="M19048">
        <f t="shared" si="2"/>
      </c>
    </row>
    <row r="19049">
      <c r="G19049" s="9">
        <f t="shared" si="0"/>
      </c>
      <c r="L19049">
        <f t="shared" si="1"/>
      </c>
      <c r="M19049">
        <f t="shared" si="2"/>
      </c>
    </row>
    <row r="19050">
      <c r="G19050" s="9">
        <f t="shared" si="0"/>
      </c>
      <c r="L19050">
        <f t="shared" si="1"/>
      </c>
      <c r="M19050">
        <f t="shared" si="2"/>
      </c>
    </row>
    <row r="19051">
      <c r="G19051" s="9">
        <f t="shared" si="0"/>
      </c>
      <c r="L19051">
        <f t="shared" si="1"/>
      </c>
      <c r="M19051">
        <f t="shared" si="2"/>
      </c>
    </row>
    <row r="19052">
      <c r="G19052" s="9">
        <f t="shared" si="0"/>
      </c>
      <c r="L19052">
        <f t="shared" si="1"/>
      </c>
      <c r="M19052">
        <f t="shared" si="2"/>
      </c>
    </row>
    <row r="19053">
      <c r="G19053" s="9">
        <f t="shared" si="0"/>
      </c>
      <c r="L19053">
        <f t="shared" si="1"/>
      </c>
      <c r="M19053">
        <f t="shared" si="2"/>
      </c>
    </row>
    <row r="19054">
      <c r="G19054" s="9">
        <f t="shared" si="0"/>
      </c>
      <c r="L19054">
        <f t="shared" si="1"/>
      </c>
      <c r="M19054">
        <f t="shared" si="2"/>
      </c>
    </row>
    <row r="19055">
      <c r="G19055" s="9">
        <f t="shared" si="0"/>
      </c>
      <c r="L19055">
        <f t="shared" si="1"/>
      </c>
      <c r="M19055">
        <f t="shared" si="2"/>
      </c>
    </row>
    <row r="19056">
      <c r="G19056" s="9">
        <f t="shared" si="0"/>
      </c>
      <c r="L19056">
        <f t="shared" si="1"/>
      </c>
      <c r="M19056">
        <f t="shared" si="2"/>
      </c>
    </row>
    <row r="19057">
      <c r="G19057" s="9">
        <f t="shared" si="0"/>
      </c>
      <c r="L19057">
        <f t="shared" si="1"/>
      </c>
      <c r="M19057">
        <f t="shared" si="2"/>
      </c>
    </row>
    <row r="19058">
      <c r="G19058" s="9">
        <f t="shared" si="0"/>
      </c>
      <c r="L19058">
        <f t="shared" si="1"/>
      </c>
      <c r="M19058">
        <f t="shared" si="2"/>
      </c>
    </row>
    <row r="19059">
      <c r="G19059" s="9">
        <f t="shared" si="0"/>
      </c>
      <c r="L19059">
        <f t="shared" si="1"/>
      </c>
      <c r="M19059">
        <f t="shared" si="2"/>
      </c>
    </row>
    <row r="19060">
      <c r="G19060" s="9">
        <f t="shared" si="0"/>
      </c>
      <c r="L19060">
        <f t="shared" si="1"/>
      </c>
      <c r="M19060">
        <f t="shared" si="2"/>
      </c>
    </row>
    <row r="19061">
      <c r="G19061" s="9">
        <f t="shared" si="0"/>
      </c>
      <c r="L19061">
        <f t="shared" si="1"/>
      </c>
      <c r="M19061">
        <f t="shared" si="2"/>
      </c>
    </row>
    <row r="19062">
      <c r="G19062" s="9">
        <f t="shared" si="0"/>
      </c>
      <c r="L19062">
        <f t="shared" si="1"/>
      </c>
      <c r="M19062">
        <f t="shared" si="2"/>
      </c>
    </row>
    <row r="19063">
      <c r="G19063" s="9">
        <f t="shared" si="0"/>
      </c>
      <c r="L19063">
        <f t="shared" si="1"/>
      </c>
      <c r="M19063">
        <f t="shared" si="2"/>
      </c>
    </row>
    <row r="19064">
      <c r="G19064" s="9">
        <f t="shared" si="0"/>
      </c>
      <c r="L19064">
        <f t="shared" si="1"/>
      </c>
      <c r="M19064">
        <f t="shared" si="2"/>
      </c>
    </row>
    <row r="19065">
      <c r="G19065" s="9">
        <f t="shared" si="0"/>
      </c>
      <c r="L19065">
        <f t="shared" si="1"/>
      </c>
      <c r="M19065">
        <f t="shared" si="2"/>
      </c>
    </row>
    <row r="19066">
      <c r="G19066" s="9">
        <f t="shared" si="0"/>
      </c>
      <c r="L19066">
        <f t="shared" si="1"/>
      </c>
      <c r="M19066">
        <f t="shared" si="2"/>
      </c>
    </row>
    <row r="19067">
      <c r="G19067" s="9">
        <f t="shared" si="0"/>
      </c>
      <c r="L19067">
        <f t="shared" si="1"/>
      </c>
      <c r="M19067">
        <f t="shared" si="2"/>
      </c>
    </row>
    <row r="19068">
      <c r="G19068" s="9">
        <f t="shared" si="0"/>
      </c>
      <c r="L19068">
        <f t="shared" si="1"/>
      </c>
      <c r="M19068">
        <f t="shared" si="2"/>
      </c>
    </row>
    <row r="19069">
      <c r="G19069" s="9">
        <f t="shared" si="0"/>
      </c>
      <c r="L19069">
        <f t="shared" si="1"/>
      </c>
      <c r="M19069">
        <f t="shared" si="2"/>
      </c>
    </row>
    <row r="19070">
      <c r="G19070" s="9">
        <f t="shared" si="0"/>
      </c>
      <c r="L19070">
        <f t="shared" si="1"/>
      </c>
      <c r="M19070">
        <f t="shared" si="2"/>
      </c>
    </row>
    <row r="19071">
      <c r="G19071" s="9">
        <f t="shared" si="0"/>
      </c>
      <c r="L19071">
        <f t="shared" si="1"/>
      </c>
      <c r="M19071">
        <f t="shared" si="2"/>
      </c>
    </row>
    <row r="19072">
      <c r="G19072" s="9">
        <f t="shared" si="0"/>
      </c>
      <c r="L19072">
        <f t="shared" si="1"/>
      </c>
      <c r="M19072">
        <f t="shared" si="2"/>
      </c>
    </row>
    <row r="19073">
      <c r="G19073" s="9">
        <f t="shared" si="0"/>
      </c>
      <c r="L19073">
        <f t="shared" si="1"/>
      </c>
      <c r="M19073">
        <f t="shared" si="2"/>
      </c>
    </row>
    <row r="19074">
      <c r="G19074" s="9">
        <f t="shared" si="0"/>
      </c>
      <c r="L19074">
        <f t="shared" si="1"/>
      </c>
      <c r="M19074">
        <f t="shared" si="2"/>
      </c>
    </row>
    <row r="19075">
      <c r="G19075" s="9">
        <f t="shared" si="0"/>
      </c>
      <c r="L19075">
        <f t="shared" si="1"/>
      </c>
      <c r="M19075">
        <f t="shared" si="2"/>
      </c>
    </row>
    <row r="19076">
      <c r="G19076" s="9">
        <f t="shared" si="0"/>
      </c>
      <c r="L19076">
        <f t="shared" si="1"/>
      </c>
      <c r="M19076">
        <f t="shared" si="2"/>
      </c>
    </row>
    <row r="19077">
      <c r="G19077" s="9">
        <f t="shared" si="0"/>
      </c>
      <c r="L19077">
        <f t="shared" si="1"/>
      </c>
      <c r="M19077">
        <f t="shared" si="2"/>
      </c>
    </row>
    <row r="19078">
      <c r="G19078" s="9">
        <f t="shared" si="0"/>
      </c>
      <c r="L19078">
        <f t="shared" si="1"/>
      </c>
      <c r="M19078">
        <f t="shared" si="2"/>
      </c>
    </row>
    <row r="19079">
      <c r="G19079" s="9">
        <f t="shared" si="0"/>
      </c>
      <c r="L19079">
        <f t="shared" si="1"/>
      </c>
      <c r="M19079">
        <f t="shared" si="2"/>
      </c>
    </row>
    <row r="19080">
      <c r="G19080" s="9">
        <f t="shared" si="0"/>
      </c>
      <c r="L19080">
        <f t="shared" si="1"/>
      </c>
      <c r="M19080">
        <f t="shared" si="2"/>
      </c>
    </row>
    <row r="19081">
      <c r="G19081" s="9">
        <f t="shared" si="0"/>
      </c>
      <c r="L19081">
        <f t="shared" si="1"/>
      </c>
      <c r="M19081">
        <f t="shared" si="2"/>
      </c>
    </row>
    <row r="19082">
      <c r="G19082" s="9">
        <f t="shared" si="0"/>
      </c>
      <c r="L19082">
        <f t="shared" si="1"/>
      </c>
      <c r="M19082">
        <f t="shared" si="2"/>
      </c>
    </row>
    <row r="19083">
      <c r="G19083" s="9">
        <f t="shared" si="0"/>
      </c>
      <c r="L19083">
        <f t="shared" si="1"/>
      </c>
      <c r="M19083">
        <f t="shared" si="2"/>
      </c>
    </row>
    <row r="19084">
      <c r="G19084" s="9">
        <f t="shared" si="0"/>
      </c>
      <c r="L19084">
        <f t="shared" si="1"/>
      </c>
      <c r="M19084">
        <f t="shared" si="2"/>
      </c>
    </row>
    <row r="19085">
      <c r="G19085" s="9">
        <f t="shared" si="0"/>
      </c>
      <c r="L19085">
        <f t="shared" si="1"/>
      </c>
      <c r="M19085">
        <f t="shared" si="2"/>
      </c>
    </row>
    <row r="19086">
      <c r="G19086" s="9">
        <f t="shared" si="0"/>
      </c>
      <c r="L19086">
        <f t="shared" si="1"/>
      </c>
      <c r="M19086">
        <f t="shared" si="2"/>
      </c>
    </row>
    <row r="19087">
      <c r="G19087" s="9">
        <f t="shared" si="0"/>
      </c>
      <c r="L19087">
        <f t="shared" si="1"/>
      </c>
      <c r="M19087">
        <f t="shared" si="2"/>
      </c>
    </row>
    <row r="19088">
      <c r="G19088" s="9">
        <f t="shared" si="0"/>
      </c>
      <c r="L19088">
        <f t="shared" si="1"/>
      </c>
      <c r="M19088">
        <f t="shared" si="2"/>
      </c>
    </row>
    <row r="19089">
      <c r="G19089" s="9">
        <f t="shared" si="0"/>
      </c>
      <c r="L19089">
        <f t="shared" si="1"/>
      </c>
      <c r="M19089">
        <f t="shared" si="2"/>
      </c>
    </row>
    <row r="19090">
      <c r="G19090" s="9">
        <f t="shared" si="0"/>
      </c>
      <c r="L19090">
        <f t="shared" si="1"/>
      </c>
      <c r="M19090">
        <f t="shared" si="2"/>
      </c>
    </row>
    <row r="19091">
      <c r="G19091" s="9">
        <f t="shared" si="0"/>
      </c>
      <c r="L19091">
        <f t="shared" si="1"/>
      </c>
      <c r="M19091">
        <f t="shared" si="2"/>
      </c>
    </row>
    <row r="19092">
      <c r="G19092" s="9">
        <f t="shared" si="0"/>
      </c>
      <c r="L19092">
        <f t="shared" si="1"/>
      </c>
      <c r="M19092">
        <f t="shared" si="2"/>
      </c>
    </row>
    <row r="19093">
      <c r="G19093" s="9">
        <f t="shared" si="0"/>
      </c>
      <c r="L19093">
        <f t="shared" si="1"/>
      </c>
      <c r="M19093">
        <f t="shared" si="2"/>
      </c>
    </row>
    <row r="19094">
      <c r="G19094" s="9">
        <f t="shared" si="0"/>
      </c>
      <c r="L19094">
        <f t="shared" si="1"/>
      </c>
      <c r="M19094">
        <f t="shared" si="2"/>
      </c>
    </row>
    <row r="19095">
      <c r="G19095" s="9">
        <f t="shared" si="0"/>
      </c>
      <c r="L19095">
        <f t="shared" si="1"/>
      </c>
      <c r="M19095">
        <f t="shared" si="2"/>
      </c>
    </row>
    <row r="19096">
      <c r="G19096" s="9">
        <f t="shared" si="0"/>
      </c>
      <c r="L19096">
        <f t="shared" si="1"/>
      </c>
      <c r="M19096">
        <f t="shared" si="2"/>
      </c>
    </row>
    <row r="19097">
      <c r="G19097" s="9">
        <f t="shared" si="0"/>
      </c>
      <c r="L19097">
        <f t="shared" si="1"/>
      </c>
      <c r="M19097">
        <f t="shared" si="2"/>
      </c>
    </row>
    <row r="19098">
      <c r="G19098" s="9">
        <f t="shared" si="0"/>
      </c>
      <c r="L19098">
        <f t="shared" si="1"/>
      </c>
      <c r="M19098">
        <f t="shared" si="2"/>
      </c>
    </row>
    <row r="19099">
      <c r="G19099" s="9">
        <f t="shared" si="0"/>
      </c>
      <c r="L19099">
        <f t="shared" si="1"/>
      </c>
      <c r="M19099">
        <f t="shared" si="2"/>
      </c>
    </row>
    <row r="19100">
      <c r="G19100" s="9">
        <f t="shared" si="0"/>
      </c>
      <c r="L19100">
        <f t="shared" si="1"/>
      </c>
      <c r="M19100">
        <f t="shared" si="2"/>
      </c>
    </row>
    <row r="19101">
      <c r="G19101" s="9">
        <f t="shared" si="0"/>
      </c>
      <c r="L19101">
        <f t="shared" si="1"/>
      </c>
      <c r="M19101">
        <f t="shared" si="2"/>
      </c>
    </row>
    <row r="19102">
      <c r="G19102" s="9">
        <f t="shared" si="0"/>
      </c>
      <c r="L19102">
        <f t="shared" si="1"/>
      </c>
      <c r="M19102">
        <f t="shared" si="2"/>
      </c>
    </row>
    <row r="19103">
      <c r="G19103" s="9">
        <f t="shared" si="0"/>
      </c>
      <c r="L19103">
        <f t="shared" si="1"/>
      </c>
      <c r="M19103">
        <f t="shared" si="2"/>
      </c>
    </row>
    <row r="19104">
      <c r="G19104" s="9">
        <f t="shared" si="0"/>
      </c>
      <c r="L19104">
        <f t="shared" si="1"/>
      </c>
      <c r="M19104">
        <f t="shared" si="2"/>
      </c>
    </row>
    <row r="19105">
      <c r="G19105" s="9">
        <f t="shared" si="0"/>
      </c>
      <c r="L19105">
        <f t="shared" si="1"/>
      </c>
      <c r="M19105">
        <f t="shared" si="2"/>
      </c>
    </row>
    <row r="19106">
      <c r="G19106" s="9">
        <f t="shared" si="0"/>
      </c>
      <c r="L19106">
        <f t="shared" si="1"/>
      </c>
      <c r="M19106">
        <f t="shared" si="2"/>
      </c>
    </row>
    <row r="19107">
      <c r="G19107" s="9">
        <f t="shared" si="0"/>
      </c>
      <c r="L19107">
        <f t="shared" si="1"/>
      </c>
      <c r="M19107">
        <f t="shared" si="2"/>
      </c>
    </row>
    <row r="19108">
      <c r="G19108" s="9">
        <f t="shared" si="0"/>
      </c>
      <c r="L19108">
        <f t="shared" si="1"/>
      </c>
      <c r="M19108">
        <f t="shared" si="2"/>
      </c>
    </row>
    <row r="19109">
      <c r="G19109" s="9">
        <f t="shared" si="0"/>
      </c>
      <c r="L19109">
        <f t="shared" si="1"/>
      </c>
      <c r="M19109">
        <f t="shared" si="2"/>
      </c>
    </row>
    <row r="19110">
      <c r="G19110" s="9">
        <f t="shared" si="0"/>
      </c>
      <c r="L19110">
        <f t="shared" si="1"/>
      </c>
      <c r="M19110">
        <f t="shared" si="2"/>
      </c>
    </row>
    <row r="19111">
      <c r="G19111" s="9">
        <f t="shared" si="0"/>
      </c>
      <c r="L19111">
        <f t="shared" si="1"/>
      </c>
      <c r="M19111">
        <f t="shared" si="2"/>
      </c>
    </row>
    <row r="19112">
      <c r="G19112" s="9">
        <f t="shared" si="0"/>
      </c>
      <c r="L19112">
        <f t="shared" si="1"/>
      </c>
      <c r="M19112">
        <f t="shared" si="2"/>
      </c>
    </row>
    <row r="19113">
      <c r="G19113" s="9">
        <f t="shared" si="0"/>
      </c>
      <c r="L19113">
        <f t="shared" si="1"/>
      </c>
      <c r="M19113">
        <f t="shared" si="2"/>
      </c>
    </row>
    <row r="19114">
      <c r="G19114" s="9">
        <f t="shared" si="0"/>
      </c>
      <c r="L19114">
        <f t="shared" si="1"/>
      </c>
      <c r="M19114">
        <f t="shared" si="2"/>
      </c>
    </row>
    <row r="19115">
      <c r="G19115" s="9">
        <f t="shared" si="0"/>
      </c>
      <c r="L19115">
        <f t="shared" si="1"/>
      </c>
      <c r="M19115">
        <f t="shared" si="2"/>
      </c>
    </row>
    <row r="19116">
      <c r="G19116" s="9">
        <f t="shared" si="0"/>
      </c>
      <c r="L19116">
        <f t="shared" si="1"/>
      </c>
      <c r="M19116">
        <f t="shared" si="2"/>
      </c>
    </row>
    <row r="19117">
      <c r="G19117" s="9">
        <f t="shared" si="0"/>
      </c>
      <c r="L19117">
        <f t="shared" si="1"/>
      </c>
      <c r="M19117">
        <f t="shared" si="2"/>
      </c>
    </row>
    <row r="19118">
      <c r="G19118" s="9">
        <f t="shared" si="0"/>
      </c>
      <c r="L19118">
        <f t="shared" si="1"/>
      </c>
      <c r="M19118">
        <f t="shared" si="2"/>
      </c>
    </row>
    <row r="19119">
      <c r="G19119" s="9">
        <f t="shared" si="0"/>
      </c>
      <c r="L19119">
        <f t="shared" si="1"/>
      </c>
      <c r="M19119">
        <f t="shared" si="2"/>
      </c>
    </row>
    <row r="19120">
      <c r="G19120" s="9">
        <f t="shared" si="0"/>
      </c>
      <c r="L19120">
        <f t="shared" si="1"/>
      </c>
      <c r="M19120">
        <f t="shared" si="2"/>
      </c>
    </row>
    <row r="19121">
      <c r="G19121" s="9">
        <f t="shared" si="0"/>
      </c>
      <c r="L19121">
        <f t="shared" si="1"/>
      </c>
      <c r="M19121">
        <f t="shared" si="2"/>
      </c>
    </row>
    <row r="19122">
      <c r="G19122" s="9">
        <f t="shared" si="0"/>
      </c>
      <c r="L19122">
        <f t="shared" si="1"/>
      </c>
      <c r="M19122">
        <f t="shared" si="2"/>
      </c>
    </row>
    <row r="19123">
      <c r="G19123" s="9">
        <f t="shared" si="0"/>
      </c>
      <c r="L19123">
        <f t="shared" si="1"/>
      </c>
      <c r="M19123">
        <f t="shared" si="2"/>
      </c>
    </row>
    <row r="19124">
      <c r="G19124" s="9">
        <f t="shared" si="0"/>
      </c>
      <c r="L19124">
        <f t="shared" si="1"/>
      </c>
      <c r="M19124">
        <f t="shared" si="2"/>
      </c>
    </row>
    <row r="19125">
      <c r="G19125" s="9">
        <f t="shared" si="0"/>
      </c>
      <c r="L19125">
        <f t="shared" si="1"/>
      </c>
      <c r="M19125">
        <f t="shared" si="2"/>
      </c>
    </row>
    <row r="19126">
      <c r="G19126" s="9">
        <f t="shared" si="0"/>
      </c>
      <c r="L19126">
        <f t="shared" si="1"/>
      </c>
      <c r="M19126">
        <f t="shared" si="2"/>
      </c>
    </row>
    <row r="19127">
      <c r="G19127" s="9">
        <f t="shared" si="0"/>
      </c>
      <c r="L19127">
        <f t="shared" si="1"/>
      </c>
      <c r="M19127">
        <f t="shared" si="2"/>
      </c>
    </row>
    <row r="19128">
      <c r="G19128" s="9">
        <f t="shared" si="0"/>
      </c>
      <c r="L19128">
        <f t="shared" si="1"/>
      </c>
      <c r="M19128">
        <f t="shared" si="2"/>
      </c>
    </row>
    <row r="19129">
      <c r="G19129" s="9">
        <f t="shared" si="0"/>
      </c>
      <c r="L19129">
        <f t="shared" si="1"/>
      </c>
      <c r="M19129">
        <f t="shared" si="2"/>
      </c>
    </row>
    <row r="19130">
      <c r="G19130" s="9">
        <f t="shared" si="0"/>
      </c>
      <c r="L19130">
        <f t="shared" si="1"/>
      </c>
      <c r="M19130">
        <f t="shared" si="2"/>
      </c>
    </row>
    <row r="19131">
      <c r="G19131" s="9">
        <f t="shared" si="0"/>
      </c>
      <c r="L19131">
        <f t="shared" si="1"/>
      </c>
      <c r="M19131">
        <f t="shared" si="2"/>
      </c>
    </row>
    <row r="19132">
      <c r="G19132" s="9">
        <f t="shared" si="0"/>
      </c>
      <c r="L19132">
        <f t="shared" si="1"/>
      </c>
      <c r="M19132">
        <f t="shared" si="2"/>
      </c>
    </row>
    <row r="19133">
      <c r="G19133" s="9">
        <f t="shared" si="0"/>
      </c>
      <c r="L19133">
        <f t="shared" si="1"/>
      </c>
      <c r="M19133">
        <f t="shared" si="2"/>
      </c>
    </row>
    <row r="19134">
      <c r="G19134" s="9">
        <f t="shared" si="0"/>
      </c>
      <c r="L19134">
        <f t="shared" si="1"/>
      </c>
      <c r="M19134">
        <f t="shared" si="2"/>
      </c>
    </row>
    <row r="19135">
      <c r="G19135" s="9">
        <f t="shared" si="0"/>
      </c>
      <c r="L19135">
        <f t="shared" si="1"/>
      </c>
      <c r="M19135">
        <f t="shared" si="2"/>
      </c>
    </row>
    <row r="19136">
      <c r="G19136" s="9">
        <f t="shared" si="0"/>
      </c>
      <c r="L19136">
        <f t="shared" si="1"/>
      </c>
      <c r="M19136">
        <f t="shared" si="2"/>
      </c>
    </row>
    <row r="19137">
      <c r="G19137" s="9">
        <f t="shared" si="0"/>
      </c>
      <c r="L19137">
        <f t="shared" si="1"/>
      </c>
      <c r="M19137">
        <f t="shared" si="2"/>
      </c>
    </row>
    <row r="19138">
      <c r="G19138" s="9">
        <f t="shared" si="0"/>
      </c>
      <c r="L19138">
        <f t="shared" si="1"/>
      </c>
      <c r="M19138">
        <f t="shared" si="2"/>
      </c>
    </row>
    <row r="19139">
      <c r="G19139" s="9">
        <f t="shared" si="0"/>
      </c>
      <c r="L19139">
        <f t="shared" si="1"/>
      </c>
      <c r="M19139">
        <f t="shared" si="2"/>
      </c>
    </row>
    <row r="19140">
      <c r="G19140" s="9">
        <f t="shared" si="0"/>
      </c>
      <c r="L19140">
        <f t="shared" si="1"/>
      </c>
      <c r="M19140">
        <f t="shared" si="2"/>
      </c>
    </row>
    <row r="19141">
      <c r="G19141" s="9">
        <f t="shared" si="0"/>
      </c>
      <c r="L19141">
        <f t="shared" si="1"/>
      </c>
      <c r="M19141">
        <f t="shared" si="2"/>
      </c>
    </row>
    <row r="19142">
      <c r="G19142" s="9">
        <f t="shared" si="0"/>
      </c>
      <c r="L19142">
        <f t="shared" si="1"/>
      </c>
      <c r="M19142">
        <f t="shared" si="2"/>
      </c>
    </row>
    <row r="19143">
      <c r="G19143" s="9">
        <f t="shared" si="0"/>
      </c>
      <c r="L19143">
        <f t="shared" si="1"/>
      </c>
      <c r="M19143">
        <f t="shared" si="2"/>
      </c>
    </row>
    <row r="19144">
      <c r="G19144" s="9">
        <f t="shared" si="0"/>
      </c>
      <c r="L19144">
        <f t="shared" si="1"/>
      </c>
      <c r="M19144">
        <f t="shared" si="2"/>
      </c>
    </row>
    <row r="19145">
      <c r="G19145" s="9">
        <f t="shared" si="0"/>
      </c>
      <c r="L19145">
        <f t="shared" si="1"/>
      </c>
      <c r="M19145">
        <f t="shared" si="2"/>
      </c>
    </row>
    <row r="19146">
      <c r="G19146" s="9">
        <f t="shared" si="0"/>
      </c>
      <c r="L19146">
        <f t="shared" si="1"/>
      </c>
      <c r="M19146">
        <f t="shared" si="2"/>
      </c>
    </row>
    <row r="19147">
      <c r="G19147" s="9">
        <f t="shared" si="0"/>
      </c>
      <c r="L19147">
        <f t="shared" si="1"/>
      </c>
      <c r="M19147">
        <f t="shared" si="2"/>
      </c>
    </row>
    <row r="19148">
      <c r="G19148" s="9">
        <f t="shared" si="0"/>
      </c>
      <c r="L19148">
        <f t="shared" si="1"/>
      </c>
      <c r="M19148">
        <f t="shared" si="2"/>
      </c>
    </row>
    <row r="19149">
      <c r="G19149" s="9">
        <f t="shared" si="0"/>
      </c>
      <c r="L19149">
        <f t="shared" si="1"/>
      </c>
      <c r="M19149">
        <f t="shared" si="2"/>
      </c>
    </row>
    <row r="19150">
      <c r="G19150" s="9">
        <f t="shared" si="0"/>
      </c>
      <c r="L19150">
        <f t="shared" si="1"/>
      </c>
      <c r="M19150">
        <f t="shared" si="2"/>
      </c>
    </row>
    <row r="19151">
      <c r="G19151" s="9">
        <f t="shared" si="0"/>
      </c>
      <c r="L19151">
        <f t="shared" si="1"/>
      </c>
      <c r="M19151">
        <f t="shared" si="2"/>
      </c>
    </row>
    <row r="19152">
      <c r="G19152" s="9">
        <f t="shared" si="0"/>
      </c>
      <c r="L19152">
        <f t="shared" si="1"/>
      </c>
      <c r="M19152">
        <f t="shared" si="2"/>
      </c>
    </row>
    <row r="19153">
      <c r="G19153" s="9">
        <f t="shared" si="0"/>
      </c>
      <c r="L19153">
        <f t="shared" si="1"/>
      </c>
      <c r="M19153">
        <f t="shared" si="2"/>
      </c>
    </row>
    <row r="19154">
      <c r="G19154" s="9">
        <f t="shared" si="0"/>
      </c>
      <c r="L19154">
        <f t="shared" si="1"/>
      </c>
      <c r="M19154">
        <f t="shared" si="2"/>
      </c>
    </row>
    <row r="19155">
      <c r="G19155" s="9">
        <f t="shared" si="0"/>
      </c>
      <c r="L19155">
        <f t="shared" si="1"/>
      </c>
      <c r="M19155">
        <f t="shared" si="2"/>
      </c>
    </row>
    <row r="19156">
      <c r="G19156" s="9">
        <f t="shared" si="0"/>
      </c>
      <c r="L19156">
        <f t="shared" si="1"/>
      </c>
      <c r="M19156">
        <f t="shared" si="2"/>
      </c>
    </row>
    <row r="19157">
      <c r="G19157" s="9">
        <f t="shared" si="0"/>
      </c>
      <c r="L19157">
        <f t="shared" si="1"/>
      </c>
      <c r="M19157">
        <f t="shared" si="2"/>
      </c>
    </row>
    <row r="19158">
      <c r="G19158" s="9">
        <f t="shared" si="0"/>
      </c>
      <c r="L19158">
        <f t="shared" si="1"/>
      </c>
      <c r="M19158">
        <f t="shared" si="2"/>
      </c>
    </row>
    <row r="19159">
      <c r="G19159" s="9">
        <f t="shared" si="0"/>
      </c>
      <c r="L19159">
        <f t="shared" si="1"/>
      </c>
      <c r="M19159">
        <f t="shared" si="2"/>
      </c>
    </row>
    <row r="19160">
      <c r="G19160" s="9">
        <f t="shared" si="0"/>
      </c>
      <c r="L19160">
        <f t="shared" si="1"/>
      </c>
      <c r="M19160">
        <f t="shared" si="2"/>
      </c>
    </row>
    <row r="19161">
      <c r="G19161" s="9">
        <f t="shared" si="0"/>
      </c>
      <c r="L19161">
        <f t="shared" si="1"/>
      </c>
      <c r="M19161">
        <f t="shared" si="2"/>
      </c>
    </row>
    <row r="19162">
      <c r="G19162" s="9">
        <f t="shared" si="0"/>
      </c>
      <c r="L19162">
        <f t="shared" si="1"/>
      </c>
      <c r="M19162">
        <f t="shared" si="2"/>
      </c>
    </row>
    <row r="19163">
      <c r="G19163" s="9">
        <f t="shared" si="0"/>
      </c>
      <c r="L19163">
        <f t="shared" si="1"/>
      </c>
      <c r="M19163">
        <f t="shared" si="2"/>
      </c>
    </row>
    <row r="19164">
      <c r="G19164" s="9">
        <f t="shared" si="0"/>
      </c>
      <c r="L19164">
        <f t="shared" si="1"/>
      </c>
      <c r="M19164">
        <f t="shared" si="2"/>
      </c>
    </row>
    <row r="19165">
      <c r="G19165" s="9">
        <f t="shared" si="0"/>
      </c>
      <c r="L19165">
        <f t="shared" si="1"/>
      </c>
      <c r="M19165">
        <f t="shared" si="2"/>
      </c>
    </row>
    <row r="19166">
      <c r="G19166" s="9">
        <f t="shared" si="0"/>
      </c>
      <c r="L19166">
        <f t="shared" si="1"/>
      </c>
      <c r="M19166">
        <f t="shared" si="2"/>
      </c>
    </row>
    <row r="19167">
      <c r="G19167" s="9">
        <f t="shared" si="0"/>
      </c>
      <c r="L19167">
        <f t="shared" si="1"/>
      </c>
      <c r="M19167">
        <f t="shared" si="2"/>
      </c>
    </row>
    <row r="19168">
      <c r="G19168" s="9">
        <f t="shared" si="0"/>
      </c>
      <c r="L19168">
        <f t="shared" si="1"/>
      </c>
      <c r="M19168">
        <f t="shared" si="2"/>
      </c>
    </row>
    <row r="19169">
      <c r="G19169" s="9">
        <f t="shared" si="0"/>
      </c>
      <c r="L19169">
        <f t="shared" si="1"/>
      </c>
      <c r="M19169">
        <f t="shared" si="2"/>
      </c>
    </row>
    <row r="19170">
      <c r="G19170" s="9">
        <f t="shared" si="0"/>
      </c>
      <c r="L19170">
        <f t="shared" si="1"/>
      </c>
      <c r="M19170">
        <f t="shared" si="2"/>
      </c>
    </row>
    <row r="19171">
      <c r="G19171" s="9">
        <f t="shared" si="0"/>
      </c>
      <c r="L19171">
        <f t="shared" si="1"/>
      </c>
      <c r="M19171">
        <f t="shared" si="2"/>
      </c>
    </row>
    <row r="19172">
      <c r="G19172" s="9">
        <f t="shared" si="0"/>
      </c>
      <c r="L19172">
        <f t="shared" si="1"/>
      </c>
      <c r="M19172">
        <f t="shared" si="2"/>
      </c>
    </row>
    <row r="19173">
      <c r="G19173" s="9">
        <f t="shared" si="0"/>
      </c>
      <c r="L19173">
        <f t="shared" si="1"/>
      </c>
      <c r="M19173">
        <f t="shared" si="2"/>
      </c>
    </row>
    <row r="19174">
      <c r="G19174" s="9">
        <f t="shared" si="0"/>
      </c>
      <c r="L19174">
        <f t="shared" si="1"/>
      </c>
      <c r="M19174">
        <f t="shared" si="2"/>
      </c>
    </row>
    <row r="19175">
      <c r="G19175" s="9">
        <f t="shared" si="0"/>
      </c>
      <c r="L19175">
        <f t="shared" si="1"/>
      </c>
      <c r="M19175">
        <f t="shared" si="2"/>
      </c>
    </row>
    <row r="19176">
      <c r="G19176" s="9">
        <f t="shared" si="0"/>
      </c>
      <c r="L19176">
        <f t="shared" si="1"/>
      </c>
      <c r="M19176">
        <f t="shared" si="2"/>
      </c>
    </row>
    <row r="19177">
      <c r="G19177" s="9">
        <f t="shared" si="0"/>
      </c>
      <c r="L19177">
        <f t="shared" si="1"/>
      </c>
      <c r="M19177">
        <f t="shared" si="2"/>
      </c>
    </row>
    <row r="19178">
      <c r="G19178" s="9">
        <f t="shared" si="0"/>
      </c>
      <c r="L19178">
        <f t="shared" si="1"/>
      </c>
      <c r="M19178">
        <f t="shared" si="2"/>
      </c>
    </row>
    <row r="19179">
      <c r="G19179" s="9">
        <f t="shared" si="0"/>
      </c>
      <c r="L19179">
        <f t="shared" si="1"/>
      </c>
      <c r="M19179">
        <f t="shared" si="2"/>
      </c>
    </row>
    <row r="19180">
      <c r="G19180" s="9">
        <f t="shared" si="0"/>
      </c>
      <c r="L19180">
        <f t="shared" si="1"/>
      </c>
      <c r="M19180">
        <f t="shared" si="2"/>
      </c>
    </row>
    <row r="19181">
      <c r="G19181" s="9">
        <f t="shared" si="0"/>
      </c>
      <c r="L19181">
        <f t="shared" si="1"/>
      </c>
      <c r="M19181">
        <f t="shared" si="2"/>
      </c>
    </row>
    <row r="19182">
      <c r="G19182" s="9">
        <f t="shared" si="0"/>
      </c>
      <c r="L19182">
        <f t="shared" si="1"/>
      </c>
      <c r="M19182">
        <f t="shared" si="2"/>
      </c>
    </row>
    <row r="19183">
      <c r="G19183" s="9">
        <f t="shared" si="0"/>
      </c>
      <c r="L19183">
        <f t="shared" si="1"/>
      </c>
      <c r="M19183">
        <f t="shared" si="2"/>
      </c>
    </row>
    <row r="19184">
      <c r="G19184" s="9">
        <f t="shared" si="0"/>
      </c>
      <c r="L19184">
        <f t="shared" si="1"/>
      </c>
      <c r="M19184">
        <f t="shared" si="2"/>
      </c>
    </row>
    <row r="19185">
      <c r="G19185" s="9">
        <f t="shared" si="0"/>
      </c>
      <c r="L19185">
        <f t="shared" si="1"/>
      </c>
      <c r="M19185">
        <f t="shared" si="2"/>
      </c>
    </row>
    <row r="19186">
      <c r="G19186" s="9">
        <f t="shared" si="0"/>
      </c>
      <c r="L19186">
        <f t="shared" si="1"/>
      </c>
      <c r="M19186">
        <f t="shared" si="2"/>
      </c>
    </row>
    <row r="19187">
      <c r="G19187" s="9">
        <f t="shared" si="0"/>
      </c>
      <c r="L19187">
        <f t="shared" si="1"/>
      </c>
      <c r="M19187">
        <f t="shared" si="2"/>
      </c>
    </row>
    <row r="19188">
      <c r="G19188" s="9">
        <f t="shared" si="0"/>
      </c>
      <c r="L19188">
        <f t="shared" si="1"/>
      </c>
      <c r="M19188">
        <f t="shared" si="2"/>
      </c>
    </row>
    <row r="19189">
      <c r="G19189" s="9">
        <f t="shared" si="0"/>
      </c>
      <c r="L19189">
        <f t="shared" si="1"/>
      </c>
      <c r="M19189">
        <f t="shared" si="2"/>
      </c>
    </row>
    <row r="19190">
      <c r="G19190" s="9">
        <f t="shared" si="0"/>
      </c>
      <c r="L19190">
        <f t="shared" si="1"/>
      </c>
      <c r="M19190">
        <f t="shared" si="2"/>
      </c>
    </row>
    <row r="19191">
      <c r="G19191" s="9">
        <f t="shared" si="0"/>
      </c>
      <c r="L19191">
        <f t="shared" si="1"/>
      </c>
      <c r="M19191">
        <f t="shared" si="2"/>
      </c>
    </row>
    <row r="19192">
      <c r="G19192" s="9">
        <f t="shared" si="0"/>
      </c>
      <c r="L19192">
        <f t="shared" si="1"/>
      </c>
      <c r="M19192">
        <f t="shared" si="2"/>
      </c>
    </row>
    <row r="19193">
      <c r="G19193" s="9">
        <f t="shared" si="0"/>
      </c>
      <c r="L19193">
        <f t="shared" si="1"/>
      </c>
      <c r="M19193">
        <f t="shared" si="2"/>
      </c>
    </row>
    <row r="19194">
      <c r="G19194" s="9">
        <f t="shared" si="0"/>
      </c>
      <c r="L19194">
        <f t="shared" si="1"/>
      </c>
      <c r="M19194">
        <f t="shared" si="2"/>
      </c>
    </row>
    <row r="19195">
      <c r="G19195" s="9">
        <f t="shared" si="0"/>
      </c>
      <c r="L19195">
        <f t="shared" si="1"/>
      </c>
      <c r="M19195">
        <f t="shared" si="2"/>
      </c>
    </row>
    <row r="19196">
      <c r="G19196" s="9">
        <f t="shared" si="0"/>
      </c>
      <c r="L19196">
        <f t="shared" si="1"/>
      </c>
      <c r="M19196">
        <f t="shared" si="2"/>
      </c>
    </row>
    <row r="19197">
      <c r="G19197" s="9">
        <f t="shared" si="0"/>
      </c>
      <c r="L19197">
        <f t="shared" si="1"/>
      </c>
      <c r="M19197">
        <f t="shared" si="2"/>
      </c>
    </row>
    <row r="19198">
      <c r="G19198" s="9">
        <f t="shared" si="0"/>
      </c>
      <c r="L19198">
        <f t="shared" si="1"/>
      </c>
      <c r="M19198">
        <f t="shared" si="2"/>
      </c>
    </row>
    <row r="19199">
      <c r="G19199" s="9">
        <f t="shared" si="0"/>
      </c>
      <c r="L19199">
        <f t="shared" si="1"/>
      </c>
      <c r="M19199">
        <f t="shared" si="2"/>
      </c>
    </row>
    <row r="19200">
      <c r="G19200" s="9">
        <f t="shared" si="0"/>
      </c>
      <c r="L19200">
        <f t="shared" si="1"/>
      </c>
      <c r="M19200">
        <f t="shared" si="2"/>
      </c>
    </row>
    <row r="19201">
      <c r="G19201" s="9">
        <f t="shared" si="0"/>
      </c>
      <c r="L19201">
        <f t="shared" si="1"/>
      </c>
      <c r="M19201">
        <f t="shared" si="2"/>
      </c>
    </row>
    <row r="19202">
      <c r="G19202" s="9">
        <f t="shared" si="0"/>
      </c>
      <c r="L19202">
        <f t="shared" si="1"/>
      </c>
      <c r="M19202">
        <f t="shared" si="2"/>
      </c>
    </row>
    <row r="19203">
      <c r="G19203" s="9">
        <f t="shared" si="0"/>
      </c>
      <c r="L19203">
        <f t="shared" si="1"/>
      </c>
      <c r="M19203">
        <f t="shared" si="2"/>
      </c>
    </row>
    <row r="19204">
      <c r="G19204" s="9">
        <f t="shared" si="0"/>
      </c>
      <c r="L19204">
        <f t="shared" si="1"/>
      </c>
      <c r="M19204">
        <f t="shared" si="2"/>
      </c>
    </row>
    <row r="19205">
      <c r="G19205" s="9">
        <f t="shared" si="0"/>
      </c>
      <c r="L19205">
        <f t="shared" si="1"/>
      </c>
      <c r="M19205">
        <f t="shared" si="2"/>
      </c>
    </row>
    <row r="19206">
      <c r="G19206" s="9">
        <f t="shared" si="0"/>
      </c>
      <c r="L19206">
        <f t="shared" si="1"/>
      </c>
      <c r="M19206">
        <f t="shared" si="2"/>
      </c>
    </row>
    <row r="19207">
      <c r="G19207" s="9">
        <f t="shared" si="0"/>
      </c>
      <c r="L19207">
        <f t="shared" si="1"/>
      </c>
      <c r="M19207">
        <f t="shared" si="2"/>
      </c>
    </row>
    <row r="19208">
      <c r="G19208" s="9">
        <f t="shared" si="0"/>
      </c>
      <c r="L19208">
        <f t="shared" si="1"/>
      </c>
      <c r="M19208">
        <f t="shared" si="2"/>
      </c>
    </row>
    <row r="19209">
      <c r="G19209" s="9">
        <f t="shared" si="0"/>
      </c>
      <c r="L19209">
        <f t="shared" si="1"/>
      </c>
      <c r="M19209">
        <f t="shared" si="2"/>
      </c>
    </row>
    <row r="19210">
      <c r="G19210" s="9">
        <f t="shared" si="0"/>
      </c>
      <c r="L19210">
        <f t="shared" si="1"/>
      </c>
      <c r="M19210">
        <f t="shared" si="2"/>
      </c>
    </row>
    <row r="19211">
      <c r="G19211" s="9">
        <f t="shared" si="0"/>
      </c>
      <c r="L19211">
        <f t="shared" si="1"/>
      </c>
      <c r="M19211">
        <f t="shared" si="2"/>
      </c>
    </row>
    <row r="19212">
      <c r="G19212" s="9">
        <f t="shared" si="0"/>
      </c>
      <c r="L19212">
        <f t="shared" si="1"/>
      </c>
      <c r="M19212">
        <f t="shared" si="2"/>
      </c>
    </row>
    <row r="19213">
      <c r="G19213" s="9">
        <f t="shared" si="0"/>
      </c>
      <c r="L19213">
        <f t="shared" si="1"/>
      </c>
      <c r="M19213">
        <f t="shared" si="2"/>
      </c>
    </row>
    <row r="19214">
      <c r="G19214" s="9">
        <f t="shared" si="0"/>
      </c>
      <c r="L19214">
        <f t="shared" si="1"/>
      </c>
      <c r="M19214">
        <f t="shared" si="2"/>
      </c>
    </row>
    <row r="19215">
      <c r="G19215" s="9">
        <f t="shared" si="0"/>
      </c>
      <c r="L19215">
        <f t="shared" si="1"/>
      </c>
      <c r="M19215">
        <f t="shared" si="2"/>
      </c>
    </row>
    <row r="19216">
      <c r="G19216" s="9">
        <f t="shared" si="0"/>
      </c>
      <c r="L19216">
        <f t="shared" si="1"/>
      </c>
      <c r="M19216">
        <f t="shared" si="2"/>
      </c>
    </row>
    <row r="19217">
      <c r="G19217" s="9">
        <f t="shared" si="0"/>
      </c>
      <c r="L19217">
        <f t="shared" si="1"/>
      </c>
      <c r="M19217">
        <f t="shared" si="2"/>
      </c>
    </row>
    <row r="19218">
      <c r="G19218" s="9">
        <f t="shared" si="0"/>
      </c>
      <c r="L19218">
        <f t="shared" si="1"/>
      </c>
      <c r="M19218">
        <f t="shared" si="2"/>
      </c>
    </row>
    <row r="19219">
      <c r="G19219" s="9">
        <f t="shared" si="0"/>
      </c>
      <c r="L19219">
        <f t="shared" si="1"/>
      </c>
      <c r="M19219">
        <f t="shared" si="2"/>
      </c>
    </row>
    <row r="19220">
      <c r="G19220" s="9">
        <f t="shared" si="0"/>
      </c>
      <c r="L19220">
        <f t="shared" si="1"/>
      </c>
      <c r="M19220">
        <f t="shared" si="2"/>
      </c>
    </row>
    <row r="19221">
      <c r="G19221" s="9">
        <f t="shared" si="0"/>
      </c>
      <c r="L19221">
        <f t="shared" si="1"/>
      </c>
      <c r="M19221">
        <f t="shared" si="2"/>
      </c>
    </row>
    <row r="19222">
      <c r="G19222" s="9">
        <f t="shared" si="0"/>
      </c>
      <c r="L19222">
        <f t="shared" si="1"/>
      </c>
      <c r="M19222">
        <f t="shared" si="2"/>
      </c>
    </row>
    <row r="19223">
      <c r="G19223" s="9">
        <f t="shared" si="0"/>
      </c>
      <c r="L19223">
        <f t="shared" si="1"/>
      </c>
      <c r="M19223">
        <f t="shared" si="2"/>
      </c>
    </row>
    <row r="19224">
      <c r="G19224" s="9">
        <f t="shared" si="0"/>
      </c>
      <c r="L19224">
        <f t="shared" si="1"/>
      </c>
      <c r="M19224">
        <f t="shared" si="2"/>
      </c>
    </row>
    <row r="19225">
      <c r="G19225" s="9">
        <f t="shared" si="0"/>
      </c>
      <c r="L19225">
        <f t="shared" si="1"/>
      </c>
      <c r="M19225">
        <f t="shared" si="2"/>
      </c>
    </row>
    <row r="19226">
      <c r="G19226" s="9">
        <f t="shared" si="0"/>
      </c>
      <c r="L19226">
        <f t="shared" si="1"/>
      </c>
      <c r="M19226">
        <f t="shared" si="2"/>
      </c>
    </row>
    <row r="19227">
      <c r="G19227" s="9">
        <f t="shared" si="0"/>
      </c>
      <c r="L19227">
        <f t="shared" si="1"/>
      </c>
      <c r="M19227">
        <f t="shared" si="2"/>
      </c>
    </row>
    <row r="19228">
      <c r="G19228" s="9">
        <f t="shared" si="0"/>
      </c>
      <c r="L19228">
        <f t="shared" si="1"/>
      </c>
      <c r="M19228">
        <f t="shared" si="2"/>
      </c>
    </row>
    <row r="19229">
      <c r="G19229" s="9">
        <f t="shared" si="0"/>
      </c>
      <c r="L19229">
        <f t="shared" si="1"/>
      </c>
      <c r="M19229">
        <f t="shared" si="2"/>
      </c>
    </row>
    <row r="19230">
      <c r="G19230" s="9">
        <f t="shared" si="0"/>
      </c>
      <c r="L19230">
        <f t="shared" si="1"/>
      </c>
      <c r="M19230">
        <f t="shared" si="2"/>
      </c>
    </row>
    <row r="19231">
      <c r="G19231" s="9">
        <f t="shared" si="0"/>
      </c>
      <c r="L19231">
        <f t="shared" si="1"/>
      </c>
      <c r="M19231">
        <f t="shared" si="2"/>
      </c>
    </row>
    <row r="19232">
      <c r="G19232" s="9">
        <f t="shared" si="0"/>
      </c>
      <c r="L19232">
        <f t="shared" si="1"/>
      </c>
      <c r="M19232">
        <f t="shared" si="2"/>
      </c>
    </row>
    <row r="19233">
      <c r="G19233" s="9">
        <f t="shared" si="0"/>
      </c>
      <c r="L19233">
        <f t="shared" si="1"/>
      </c>
      <c r="M19233">
        <f t="shared" si="2"/>
      </c>
    </row>
    <row r="19234">
      <c r="G19234" s="9">
        <f t="shared" si="0"/>
      </c>
      <c r="L19234">
        <f t="shared" si="1"/>
      </c>
      <c r="M19234">
        <f t="shared" si="2"/>
      </c>
    </row>
    <row r="19235">
      <c r="G19235" s="9">
        <f t="shared" si="0"/>
      </c>
      <c r="L19235">
        <f t="shared" si="1"/>
      </c>
      <c r="M19235">
        <f t="shared" si="2"/>
      </c>
    </row>
    <row r="19236">
      <c r="G19236" s="9">
        <f t="shared" si="0"/>
      </c>
      <c r="L19236">
        <f t="shared" si="1"/>
      </c>
      <c r="M19236">
        <f t="shared" si="2"/>
      </c>
    </row>
    <row r="19237">
      <c r="G19237" s="9">
        <f t="shared" si="0"/>
      </c>
      <c r="L19237">
        <f t="shared" si="1"/>
      </c>
      <c r="M19237">
        <f t="shared" si="2"/>
      </c>
    </row>
    <row r="19238">
      <c r="G19238" s="9">
        <f t="shared" si="0"/>
      </c>
      <c r="L19238">
        <f t="shared" si="1"/>
      </c>
      <c r="M19238">
        <f t="shared" si="2"/>
      </c>
    </row>
    <row r="19239">
      <c r="G19239" s="9">
        <f t="shared" si="0"/>
      </c>
      <c r="L19239">
        <f t="shared" si="1"/>
      </c>
      <c r="M19239">
        <f t="shared" si="2"/>
      </c>
    </row>
    <row r="19240">
      <c r="G19240" s="9">
        <f t="shared" si="0"/>
      </c>
      <c r="L19240">
        <f t="shared" si="1"/>
      </c>
      <c r="M19240">
        <f t="shared" si="2"/>
      </c>
    </row>
    <row r="19241">
      <c r="G19241" s="9">
        <f t="shared" si="0"/>
      </c>
      <c r="L19241">
        <f t="shared" si="1"/>
      </c>
      <c r="M19241">
        <f t="shared" si="2"/>
      </c>
    </row>
    <row r="19242">
      <c r="G19242" s="9">
        <f t="shared" si="0"/>
      </c>
      <c r="L19242">
        <f t="shared" si="1"/>
      </c>
      <c r="M19242">
        <f t="shared" si="2"/>
      </c>
    </row>
    <row r="19243">
      <c r="G19243" s="9">
        <f t="shared" si="0"/>
      </c>
      <c r="L19243">
        <f t="shared" si="1"/>
      </c>
      <c r="M19243">
        <f t="shared" si="2"/>
      </c>
    </row>
    <row r="19244">
      <c r="G19244" s="9">
        <f t="shared" si="0"/>
      </c>
      <c r="L19244">
        <f t="shared" si="1"/>
      </c>
      <c r="M19244">
        <f t="shared" si="2"/>
      </c>
    </row>
    <row r="19245">
      <c r="G19245" s="9">
        <f t="shared" si="0"/>
      </c>
      <c r="L19245">
        <f t="shared" si="1"/>
      </c>
      <c r="M19245">
        <f t="shared" si="2"/>
      </c>
    </row>
    <row r="19246">
      <c r="G19246" s="9">
        <f t="shared" si="0"/>
      </c>
      <c r="L19246">
        <f t="shared" si="1"/>
      </c>
      <c r="M19246">
        <f t="shared" si="2"/>
      </c>
    </row>
    <row r="19247">
      <c r="G19247" s="9">
        <f t="shared" si="0"/>
      </c>
      <c r="L19247">
        <f t="shared" si="1"/>
      </c>
      <c r="M19247">
        <f t="shared" si="2"/>
      </c>
    </row>
    <row r="19248">
      <c r="G19248" s="9">
        <f t="shared" si="0"/>
      </c>
      <c r="L19248">
        <f t="shared" si="1"/>
      </c>
      <c r="M19248">
        <f t="shared" si="2"/>
      </c>
    </row>
    <row r="19249">
      <c r="G19249" s="9">
        <f t="shared" si="0"/>
      </c>
      <c r="L19249">
        <f t="shared" si="1"/>
      </c>
      <c r="M19249">
        <f t="shared" si="2"/>
      </c>
    </row>
    <row r="19250">
      <c r="G19250" s="9">
        <f t="shared" si="0"/>
      </c>
      <c r="L19250">
        <f t="shared" si="1"/>
      </c>
      <c r="M19250">
        <f t="shared" si="2"/>
      </c>
    </row>
    <row r="19251">
      <c r="G19251" s="9">
        <f t="shared" si="0"/>
      </c>
      <c r="L19251">
        <f t="shared" si="1"/>
      </c>
      <c r="M19251">
        <f t="shared" si="2"/>
      </c>
    </row>
    <row r="19252">
      <c r="G19252" s="9">
        <f t="shared" si="0"/>
      </c>
      <c r="L19252">
        <f t="shared" si="1"/>
      </c>
      <c r="M19252">
        <f t="shared" si="2"/>
      </c>
    </row>
    <row r="19253">
      <c r="G19253" s="9">
        <f t="shared" si="0"/>
      </c>
      <c r="L19253">
        <f t="shared" si="1"/>
      </c>
      <c r="M19253">
        <f t="shared" si="2"/>
      </c>
    </row>
    <row r="19254">
      <c r="G19254" s="9">
        <f t="shared" si="0"/>
      </c>
      <c r="L19254">
        <f t="shared" si="1"/>
      </c>
      <c r="M19254">
        <f t="shared" si="2"/>
      </c>
    </row>
    <row r="19255">
      <c r="G19255" s="9">
        <f t="shared" si="0"/>
      </c>
      <c r="L19255">
        <f t="shared" si="1"/>
      </c>
      <c r="M19255">
        <f t="shared" si="2"/>
      </c>
    </row>
    <row r="19256">
      <c r="G19256" s="9">
        <f t="shared" si="0"/>
      </c>
      <c r="L19256">
        <f t="shared" si="1"/>
      </c>
      <c r="M19256">
        <f t="shared" si="2"/>
      </c>
    </row>
    <row r="19257">
      <c r="G19257" s="9">
        <f t="shared" si="0"/>
      </c>
      <c r="L19257">
        <f t="shared" si="1"/>
      </c>
      <c r="M19257">
        <f t="shared" si="2"/>
      </c>
    </row>
    <row r="19258">
      <c r="G19258" s="9">
        <f t="shared" si="0"/>
      </c>
      <c r="L19258">
        <f t="shared" si="1"/>
      </c>
      <c r="M19258">
        <f t="shared" si="2"/>
      </c>
    </row>
    <row r="19259">
      <c r="G19259" s="9">
        <f t="shared" si="0"/>
      </c>
      <c r="L19259">
        <f t="shared" si="1"/>
      </c>
      <c r="M19259">
        <f t="shared" si="2"/>
      </c>
    </row>
    <row r="19260">
      <c r="G19260" s="9">
        <f t="shared" si="0"/>
      </c>
      <c r="L19260">
        <f t="shared" si="1"/>
      </c>
      <c r="M19260">
        <f t="shared" si="2"/>
      </c>
    </row>
    <row r="19261">
      <c r="G19261" s="9">
        <f t="shared" si="0"/>
      </c>
      <c r="L19261">
        <f t="shared" si="1"/>
      </c>
      <c r="M19261">
        <f t="shared" si="2"/>
      </c>
    </row>
    <row r="19262">
      <c r="G19262" s="9">
        <f t="shared" si="0"/>
      </c>
      <c r="L19262">
        <f t="shared" si="1"/>
      </c>
      <c r="M19262">
        <f t="shared" si="2"/>
      </c>
    </row>
    <row r="19263">
      <c r="G19263" s="9">
        <f t="shared" si="0"/>
      </c>
      <c r="L19263">
        <f t="shared" si="1"/>
      </c>
      <c r="M19263">
        <f t="shared" si="2"/>
      </c>
    </row>
    <row r="19264">
      <c r="G19264" s="9">
        <f t="shared" si="0"/>
      </c>
      <c r="L19264">
        <f t="shared" si="1"/>
      </c>
      <c r="M19264">
        <f t="shared" si="2"/>
      </c>
    </row>
    <row r="19265">
      <c r="G19265" s="9">
        <f t="shared" si="0"/>
      </c>
      <c r="L19265">
        <f t="shared" si="1"/>
      </c>
      <c r="M19265">
        <f t="shared" si="2"/>
      </c>
    </row>
    <row r="19266">
      <c r="G19266" s="9">
        <f t="shared" si="0"/>
      </c>
      <c r="L19266">
        <f t="shared" si="1"/>
      </c>
      <c r="M19266">
        <f t="shared" si="2"/>
      </c>
    </row>
    <row r="19267">
      <c r="G19267" s="9">
        <f t="shared" si="0"/>
      </c>
      <c r="L19267">
        <f t="shared" si="1"/>
      </c>
      <c r="M19267">
        <f t="shared" si="2"/>
      </c>
    </row>
    <row r="19268">
      <c r="G19268" s="9">
        <f t="shared" si="0"/>
      </c>
      <c r="L19268">
        <f t="shared" si="1"/>
      </c>
      <c r="M19268">
        <f t="shared" si="2"/>
      </c>
    </row>
    <row r="19269">
      <c r="G19269" s="9">
        <f t="shared" si="0"/>
      </c>
      <c r="L19269">
        <f t="shared" si="1"/>
      </c>
      <c r="M19269">
        <f t="shared" si="2"/>
      </c>
    </row>
    <row r="19270">
      <c r="G19270" s="9">
        <f t="shared" si="0"/>
      </c>
      <c r="L19270">
        <f t="shared" si="1"/>
      </c>
      <c r="M19270">
        <f t="shared" si="2"/>
      </c>
    </row>
    <row r="19271">
      <c r="G19271" s="9">
        <f t="shared" si="0"/>
      </c>
      <c r="L19271">
        <f t="shared" si="1"/>
      </c>
      <c r="M19271">
        <f t="shared" si="2"/>
      </c>
    </row>
    <row r="19272">
      <c r="G19272" s="9">
        <f t="shared" si="0"/>
      </c>
      <c r="L19272">
        <f t="shared" si="1"/>
      </c>
      <c r="M19272">
        <f t="shared" si="2"/>
      </c>
    </row>
    <row r="19273">
      <c r="G19273" s="9">
        <f t="shared" si="0"/>
      </c>
      <c r="L19273">
        <f t="shared" si="1"/>
      </c>
      <c r="M19273">
        <f t="shared" si="2"/>
      </c>
    </row>
    <row r="19274">
      <c r="G19274" s="9">
        <f t="shared" si="0"/>
      </c>
      <c r="L19274">
        <f t="shared" si="1"/>
      </c>
      <c r="M19274">
        <f t="shared" si="2"/>
      </c>
    </row>
    <row r="19275">
      <c r="G19275" s="9">
        <f t="shared" si="0"/>
      </c>
      <c r="L19275">
        <f t="shared" si="1"/>
      </c>
      <c r="M19275">
        <f t="shared" si="2"/>
      </c>
    </row>
    <row r="19276">
      <c r="G19276" s="9">
        <f t="shared" si="0"/>
      </c>
      <c r="L19276">
        <f t="shared" si="1"/>
      </c>
      <c r="M19276">
        <f t="shared" si="2"/>
      </c>
    </row>
    <row r="19277">
      <c r="G19277" s="9">
        <f t="shared" si="0"/>
      </c>
      <c r="L19277">
        <f t="shared" si="1"/>
      </c>
      <c r="M19277">
        <f t="shared" si="2"/>
      </c>
    </row>
    <row r="19278">
      <c r="G19278" s="9">
        <f t="shared" si="0"/>
      </c>
      <c r="L19278">
        <f t="shared" si="1"/>
      </c>
      <c r="M19278">
        <f t="shared" si="2"/>
      </c>
    </row>
    <row r="19279">
      <c r="G19279" s="9">
        <f t="shared" si="0"/>
      </c>
      <c r="L19279">
        <f t="shared" si="1"/>
      </c>
      <c r="M19279">
        <f t="shared" si="2"/>
      </c>
    </row>
    <row r="19280">
      <c r="G19280" s="9">
        <f t="shared" si="0"/>
      </c>
      <c r="L19280">
        <f t="shared" si="1"/>
      </c>
      <c r="M19280">
        <f t="shared" si="2"/>
      </c>
    </row>
    <row r="19281">
      <c r="G19281" s="9">
        <f t="shared" si="0"/>
      </c>
      <c r="L19281">
        <f t="shared" si="1"/>
      </c>
      <c r="M19281">
        <f t="shared" si="2"/>
      </c>
    </row>
    <row r="19282">
      <c r="G19282" s="9">
        <f t="shared" si="0"/>
      </c>
      <c r="L19282">
        <f t="shared" si="1"/>
      </c>
      <c r="M19282">
        <f t="shared" si="2"/>
      </c>
    </row>
    <row r="19283">
      <c r="G19283" s="9">
        <f t="shared" si="0"/>
      </c>
      <c r="L19283">
        <f t="shared" si="1"/>
      </c>
      <c r="M19283">
        <f t="shared" si="2"/>
      </c>
    </row>
    <row r="19284">
      <c r="G19284" s="9">
        <f t="shared" si="0"/>
      </c>
      <c r="L19284">
        <f t="shared" si="1"/>
      </c>
      <c r="M19284">
        <f t="shared" si="2"/>
      </c>
    </row>
    <row r="19285">
      <c r="G19285" s="9">
        <f t="shared" si="0"/>
      </c>
      <c r="L19285">
        <f t="shared" si="1"/>
      </c>
      <c r="M19285">
        <f t="shared" si="2"/>
      </c>
    </row>
    <row r="19286">
      <c r="G19286" s="9">
        <f t="shared" si="0"/>
      </c>
      <c r="L19286">
        <f t="shared" si="1"/>
      </c>
      <c r="M19286">
        <f t="shared" si="2"/>
      </c>
    </row>
    <row r="19287">
      <c r="G19287" s="9">
        <f t="shared" si="0"/>
      </c>
      <c r="L19287">
        <f t="shared" si="1"/>
      </c>
      <c r="M19287">
        <f t="shared" si="2"/>
      </c>
    </row>
    <row r="19288">
      <c r="G19288" s="9">
        <f t="shared" si="0"/>
      </c>
      <c r="L19288">
        <f t="shared" si="1"/>
      </c>
      <c r="M19288">
        <f t="shared" si="2"/>
      </c>
    </row>
    <row r="19289">
      <c r="G19289" s="9">
        <f t="shared" si="0"/>
      </c>
      <c r="L19289">
        <f t="shared" si="1"/>
      </c>
      <c r="M19289">
        <f t="shared" si="2"/>
      </c>
    </row>
    <row r="19290">
      <c r="G19290" s="9">
        <f t="shared" si="0"/>
      </c>
      <c r="L19290">
        <f t="shared" si="1"/>
      </c>
      <c r="M19290">
        <f t="shared" si="2"/>
      </c>
    </row>
    <row r="19291">
      <c r="G19291" s="9">
        <f t="shared" si="0"/>
      </c>
      <c r="L19291">
        <f t="shared" si="1"/>
      </c>
      <c r="M19291">
        <f t="shared" si="2"/>
      </c>
    </row>
    <row r="19292">
      <c r="G19292" s="9">
        <f t="shared" si="0"/>
      </c>
      <c r="L19292">
        <f t="shared" si="1"/>
      </c>
      <c r="M19292">
        <f t="shared" si="2"/>
      </c>
    </row>
    <row r="19293">
      <c r="G19293" s="9">
        <f t="shared" si="0"/>
      </c>
      <c r="L19293">
        <f t="shared" si="1"/>
      </c>
      <c r="M19293">
        <f t="shared" si="2"/>
      </c>
    </row>
    <row r="19294">
      <c r="G19294" s="9">
        <f t="shared" si="0"/>
      </c>
      <c r="L19294">
        <f t="shared" si="1"/>
      </c>
      <c r="M19294">
        <f t="shared" si="2"/>
      </c>
    </row>
    <row r="19295">
      <c r="G19295" s="9">
        <f t="shared" si="0"/>
      </c>
      <c r="L19295">
        <f t="shared" si="1"/>
      </c>
      <c r="M19295">
        <f t="shared" si="2"/>
      </c>
    </row>
    <row r="19296">
      <c r="G19296" s="9">
        <f t="shared" si="0"/>
      </c>
      <c r="L19296">
        <f t="shared" si="1"/>
      </c>
      <c r="M19296">
        <f t="shared" si="2"/>
      </c>
    </row>
    <row r="19297">
      <c r="G19297" s="9">
        <f t="shared" si="0"/>
      </c>
      <c r="L19297">
        <f t="shared" si="1"/>
      </c>
      <c r="M19297">
        <f t="shared" si="2"/>
      </c>
    </row>
    <row r="19298">
      <c r="G19298" s="9">
        <f t="shared" si="0"/>
      </c>
      <c r="L19298">
        <f t="shared" si="1"/>
      </c>
      <c r="M19298">
        <f t="shared" si="2"/>
      </c>
    </row>
    <row r="19299">
      <c r="G19299" s="9">
        <f t="shared" si="0"/>
      </c>
      <c r="L19299">
        <f t="shared" si="1"/>
      </c>
      <c r="M19299">
        <f t="shared" si="2"/>
      </c>
    </row>
    <row r="19300">
      <c r="G19300" s="9">
        <f t="shared" si="0"/>
      </c>
      <c r="L19300">
        <f t="shared" si="1"/>
      </c>
      <c r="M19300">
        <f t="shared" si="2"/>
      </c>
    </row>
    <row r="19301">
      <c r="G19301" s="9">
        <f t="shared" si="0"/>
      </c>
      <c r="L19301">
        <f t="shared" si="1"/>
      </c>
      <c r="M19301">
        <f t="shared" si="2"/>
      </c>
    </row>
    <row r="19302">
      <c r="G19302" s="9">
        <f t="shared" si="0"/>
      </c>
      <c r="L19302">
        <f t="shared" si="1"/>
      </c>
      <c r="M19302">
        <f t="shared" si="2"/>
      </c>
    </row>
    <row r="19303">
      <c r="G19303" s="9">
        <f t="shared" si="0"/>
      </c>
      <c r="L19303">
        <f t="shared" si="1"/>
      </c>
      <c r="M19303">
        <f t="shared" si="2"/>
      </c>
    </row>
    <row r="19304">
      <c r="G19304" s="9">
        <f t="shared" si="0"/>
      </c>
      <c r="L19304">
        <f t="shared" si="1"/>
      </c>
      <c r="M19304">
        <f t="shared" si="2"/>
      </c>
    </row>
    <row r="19305">
      <c r="G19305" s="9">
        <f t="shared" si="0"/>
      </c>
      <c r="L19305">
        <f t="shared" si="1"/>
      </c>
      <c r="M19305">
        <f t="shared" si="2"/>
      </c>
    </row>
    <row r="19306">
      <c r="G19306" s="9">
        <f t="shared" si="0"/>
      </c>
      <c r="L19306">
        <f t="shared" si="1"/>
      </c>
      <c r="M19306">
        <f t="shared" si="2"/>
      </c>
    </row>
    <row r="19307">
      <c r="G19307" s="9">
        <f t="shared" si="0"/>
      </c>
      <c r="L19307">
        <f t="shared" si="1"/>
      </c>
      <c r="M19307">
        <f t="shared" si="2"/>
      </c>
    </row>
    <row r="19308">
      <c r="G19308" s="9">
        <f t="shared" si="0"/>
      </c>
      <c r="L19308">
        <f t="shared" si="1"/>
      </c>
      <c r="M19308">
        <f t="shared" si="2"/>
      </c>
    </row>
    <row r="19309">
      <c r="G19309" s="9">
        <f t="shared" si="0"/>
      </c>
      <c r="L19309">
        <f t="shared" si="1"/>
      </c>
      <c r="M19309">
        <f t="shared" si="2"/>
      </c>
    </row>
    <row r="19310">
      <c r="G19310" s="9">
        <f t="shared" si="0"/>
      </c>
      <c r="L19310">
        <f t="shared" si="1"/>
      </c>
      <c r="M19310">
        <f t="shared" si="2"/>
      </c>
    </row>
    <row r="19311">
      <c r="G19311" s="9">
        <f t="shared" si="0"/>
      </c>
      <c r="L19311">
        <f t="shared" si="1"/>
      </c>
      <c r="M19311">
        <f t="shared" si="2"/>
      </c>
    </row>
    <row r="19312">
      <c r="G19312" s="9">
        <f t="shared" si="0"/>
      </c>
      <c r="L19312">
        <f t="shared" si="1"/>
      </c>
      <c r="M19312">
        <f t="shared" si="2"/>
      </c>
    </row>
    <row r="19313">
      <c r="G19313" s="9">
        <f t="shared" si="0"/>
      </c>
      <c r="L19313">
        <f t="shared" si="1"/>
      </c>
      <c r="M19313">
        <f t="shared" si="2"/>
      </c>
    </row>
    <row r="19314">
      <c r="G19314" s="9">
        <f t="shared" si="0"/>
      </c>
      <c r="L19314">
        <f t="shared" si="1"/>
      </c>
      <c r="M19314">
        <f t="shared" si="2"/>
      </c>
    </row>
    <row r="19315">
      <c r="G19315" s="9">
        <f t="shared" si="0"/>
      </c>
      <c r="L19315">
        <f t="shared" si="1"/>
      </c>
      <c r="M19315">
        <f t="shared" si="2"/>
      </c>
    </row>
    <row r="19316">
      <c r="G19316" s="9">
        <f t="shared" si="0"/>
      </c>
      <c r="L19316">
        <f t="shared" si="1"/>
      </c>
      <c r="M19316">
        <f t="shared" si="2"/>
      </c>
    </row>
    <row r="19317">
      <c r="G19317" s="9">
        <f t="shared" si="0"/>
      </c>
      <c r="L19317">
        <f t="shared" si="1"/>
      </c>
      <c r="M19317">
        <f t="shared" si="2"/>
      </c>
    </row>
    <row r="19318">
      <c r="G19318" s="9">
        <f t="shared" si="0"/>
      </c>
      <c r="L19318">
        <f t="shared" si="1"/>
      </c>
      <c r="M19318">
        <f t="shared" si="2"/>
      </c>
    </row>
    <row r="19319">
      <c r="G19319" s="9">
        <f t="shared" si="0"/>
      </c>
      <c r="L19319">
        <f t="shared" si="1"/>
      </c>
      <c r="M19319">
        <f t="shared" si="2"/>
      </c>
    </row>
    <row r="19320">
      <c r="G19320" s="9">
        <f t="shared" si="0"/>
      </c>
      <c r="L19320">
        <f t="shared" si="1"/>
      </c>
      <c r="M19320">
        <f t="shared" si="2"/>
      </c>
    </row>
    <row r="19321">
      <c r="G19321" s="9">
        <f t="shared" si="0"/>
      </c>
      <c r="L19321">
        <f t="shared" si="1"/>
      </c>
      <c r="M19321">
        <f t="shared" si="2"/>
      </c>
    </row>
    <row r="19322">
      <c r="G19322" s="9">
        <f t="shared" si="0"/>
      </c>
      <c r="L19322">
        <f t="shared" si="1"/>
      </c>
      <c r="M19322">
        <f t="shared" si="2"/>
      </c>
    </row>
    <row r="19323">
      <c r="G19323" s="9">
        <f t="shared" si="0"/>
      </c>
      <c r="L19323">
        <f t="shared" si="1"/>
      </c>
      <c r="M19323">
        <f t="shared" si="2"/>
      </c>
    </row>
    <row r="19324">
      <c r="G19324" s="9">
        <f t="shared" si="0"/>
      </c>
      <c r="L19324">
        <f t="shared" si="1"/>
      </c>
      <c r="M19324">
        <f t="shared" si="2"/>
      </c>
    </row>
    <row r="19325">
      <c r="G19325" s="9">
        <f t="shared" si="0"/>
      </c>
      <c r="L19325">
        <f t="shared" si="1"/>
      </c>
      <c r="M19325">
        <f t="shared" si="2"/>
      </c>
    </row>
    <row r="19326">
      <c r="G19326" s="9">
        <f t="shared" si="0"/>
      </c>
      <c r="L19326">
        <f t="shared" si="1"/>
      </c>
      <c r="M19326">
        <f t="shared" si="2"/>
      </c>
    </row>
    <row r="19327">
      <c r="G19327" s="9">
        <f t="shared" si="0"/>
      </c>
      <c r="L19327">
        <f t="shared" si="1"/>
      </c>
      <c r="M19327">
        <f t="shared" si="2"/>
      </c>
    </row>
    <row r="19328">
      <c r="G19328" s="9">
        <f t="shared" si="0"/>
      </c>
      <c r="L19328">
        <f t="shared" si="1"/>
      </c>
      <c r="M19328">
        <f t="shared" si="2"/>
      </c>
    </row>
    <row r="19329">
      <c r="G19329" s="9">
        <f t="shared" si="0"/>
      </c>
      <c r="L19329">
        <f t="shared" si="1"/>
      </c>
      <c r="M19329">
        <f t="shared" si="2"/>
      </c>
    </row>
    <row r="19330">
      <c r="G19330" s="9">
        <f t="shared" si="0"/>
      </c>
      <c r="L19330">
        <f t="shared" si="1"/>
      </c>
      <c r="M19330">
        <f t="shared" si="2"/>
      </c>
    </row>
    <row r="19331">
      <c r="G19331" s="9">
        <f t="shared" si="0"/>
      </c>
      <c r="L19331">
        <f t="shared" si="1"/>
      </c>
      <c r="M19331">
        <f t="shared" si="2"/>
      </c>
    </row>
    <row r="19332">
      <c r="G19332" s="9">
        <f t="shared" si="0"/>
      </c>
      <c r="L19332">
        <f t="shared" si="1"/>
      </c>
      <c r="M19332">
        <f t="shared" si="2"/>
      </c>
    </row>
    <row r="19333">
      <c r="G19333" s="9">
        <f t="shared" si="0"/>
      </c>
      <c r="L19333">
        <f t="shared" si="1"/>
      </c>
      <c r="M19333">
        <f t="shared" si="2"/>
      </c>
    </row>
    <row r="19334">
      <c r="G19334" s="9">
        <f t="shared" si="0"/>
      </c>
      <c r="L19334">
        <f t="shared" si="1"/>
      </c>
      <c r="M19334">
        <f t="shared" si="2"/>
      </c>
    </row>
    <row r="19335">
      <c r="G19335" s="9">
        <f t="shared" si="0"/>
      </c>
      <c r="L19335">
        <f t="shared" si="1"/>
      </c>
      <c r="M19335">
        <f t="shared" si="2"/>
      </c>
    </row>
    <row r="19336">
      <c r="G19336" s="9">
        <f t="shared" si="0"/>
      </c>
      <c r="L19336">
        <f t="shared" si="1"/>
      </c>
      <c r="M19336">
        <f t="shared" si="2"/>
      </c>
    </row>
    <row r="19337">
      <c r="G19337" s="9">
        <f t="shared" si="0"/>
      </c>
      <c r="L19337">
        <f t="shared" si="1"/>
      </c>
      <c r="M19337">
        <f t="shared" si="2"/>
      </c>
    </row>
    <row r="19338">
      <c r="G19338" s="9">
        <f t="shared" si="0"/>
      </c>
      <c r="L19338">
        <f t="shared" si="1"/>
      </c>
      <c r="M19338">
        <f t="shared" si="2"/>
      </c>
    </row>
    <row r="19339">
      <c r="G19339" s="9">
        <f t="shared" si="0"/>
      </c>
      <c r="L19339">
        <f t="shared" si="1"/>
      </c>
      <c r="M19339">
        <f t="shared" si="2"/>
      </c>
    </row>
    <row r="19340">
      <c r="G19340" s="9">
        <f t="shared" si="0"/>
      </c>
      <c r="L19340">
        <f t="shared" si="1"/>
      </c>
      <c r="M19340">
        <f t="shared" si="2"/>
      </c>
    </row>
    <row r="19341">
      <c r="G19341" s="9">
        <f t="shared" si="0"/>
      </c>
      <c r="L19341">
        <f t="shared" si="1"/>
      </c>
      <c r="M19341">
        <f t="shared" si="2"/>
      </c>
    </row>
    <row r="19342">
      <c r="G19342" s="9">
        <f t="shared" si="0"/>
      </c>
      <c r="L19342">
        <f t="shared" si="1"/>
      </c>
      <c r="M19342">
        <f t="shared" si="2"/>
      </c>
    </row>
    <row r="19343">
      <c r="G19343" s="9">
        <f t="shared" si="0"/>
      </c>
      <c r="L19343">
        <f t="shared" si="1"/>
      </c>
      <c r="M19343">
        <f t="shared" si="2"/>
      </c>
    </row>
    <row r="19344">
      <c r="G19344" s="9">
        <f t="shared" si="0"/>
      </c>
      <c r="L19344">
        <f t="shared" si="1"/>
      </c>
      <c r="M19344">
        <f t="shared" si="2"/>
      </c>
    </row>
    <row r="19345">
      <c r="G19345" s="9">
        <f t="shared" si="0"/>
      </c>
      <c r="L19345">
        <f t="shared" si="1"/>
      </c>
      <c r="M19345">
        <f t="shared" si="2"/>
      </c>
    </row>
    <row r="19346">
      <c r="G19346" s="9">
        <f t="shared" si="0"/>
      </c>
      <c r="L19346">
        <f t="shared" si="1"/>
      </c>
      <c r="M19346">
        <f t="shared" si="2"/>
      </c>
    </row>
    <row r="19347">
      <c r="G19347" s="9">
        <f t="shared" si="0"/>
      </c>
      <c r="L19347">
        <f t="shared" si="1"/>
      </c>
      <c r="M19347">
        <f t="shared" si="2"/>
      </c>
    </row>
    <row r="19348">
      <c r="G19348" s="9">
        <f t="shared" si="0"/>
      </c>
      <c r="L19348">
        <f t="shared" si="1"/>
      </c>
      <c r="M19348">
        <f t="shared" si="2"/>
      </c>
    </row>
    <row r="19349">
      <c r="G19349" s="9">
        <f t="shared" si="0"/>
      </c>
      <c r="L19349">
        <f t="shared" si="1"/>
      </c>
      <c r="M19349">
        <f t="shared" si="2"/>
      </c>
    </row>
    <row r="19350">
      <c r="G19350" s="9">
        <f t="shared" si="0"/>
      </c>
      <c r="L19350">
        <f t="shared" si="1"/>
      </c>
      <c r="M19350">
        <f t="shared" si="2"/>
      </c>
    </row>
    <row r="19351">
      <c r="G19351" s="9">
        <f t="shared" si="0"/>
      </c>
      <c r="L19351">
        <f t="shared" si="1"/>
      </c>
      <c r="M19351">
        <f t="shared" si="2"/>
      </c>
    </row>
    <row r="19352">
      <c r="G19352" s="9">
        <f t="shared" si="0"/>
      </c>
      <c r="L19352">
        <f t="shared" si="1"/>
      </c>
      <c r="M19352">
        <f t="shared" si="2"/>
      </c>
    </row>
    <row r="19353">
      <c r="G19353" s="9">
        <f t="shared" si="0"/>
      </c>
      <c r="L19353">
        <f t="shared" si="1"/>
      </c>
      <c r="M19353">
        <f t="shared" si="2"/>
      </c>
    </row>
    <row r="19354">
      <c r="G19354" s="9">
        <f t="shared" si="0"/>
      </c>
      <c r="L19354">
        <f t="shared" si="1"/>
      </c>
      <c r="M19354">
        <f t="shared" si="2"/>
      </c>
    </row>
    <row r="19355">
      <c r="G19355" s="9">
        <f t="shared" si="0"/>
      </c>
      <c r="L19355">
        <f t="shared" si="1"/>
      </c>
      <c r="M19355">
        <f t="shared" si="2"/>
      </c>
    </row>
    <row r="19356">
      <c r="G19356" s="9">
        <f t="shared" si="0"/>
      </c>
      <c r="L19356">
        <f t="shared" si="1"/>
      </c>
      <c r="M19356">
        <f t="shared" si="2"/>
      </c>
    </row>
    <row r="19357">
      <c r="G19357" s="9">
        <f t="shared" si="0"/>
      </c>
      <c r="L19357">
        <f t="shared" si="1"/>
      </c>
      <c r="M19357">
        <f t="shared" si="2"/>
      </c>
    </row>
    <row r="19358">
      <c r="G19358" s="9">
        <f t="shared" si="0"/>
      </c>
      <c r="L19358">
        <f t="shared" si="1"/>
      </c>
      <c r="M19358">
        <f t="shared" si="2"/>
      </c>
    </row>
    <row r="19359">
      <c r="G19359" s="9">
        <f t="shared" si="0"/>
      </c>
      <c r="L19359">
        <f t="shared" si="1"/>
      </c>
      <c r="M19359">
        <f t="shared" si="2"/>
      </c>
    </row>
    <row r="19360">
      <c r="G19360" s="9">
        <f t="shared" si="0"/>
      </c>
      <c r="L19360">
        <f t="shared" si="1"/>
      </c>
      <c r="M19360">
        <f t="shared" si="2"/>
      </c>
    </row>
    <row r="19361">
      <c r="G19361" s="9">
        <f t="shared" si="0"/>
      </c>
      <c r="L19361">
        <f t="shared" si="1"/>
      </c>
      <c r="M19361">
        <f t="shared" si="2"/>
      </c>
    </row>
    <row r="19362">
      <c r="G19362" s="9">
        <f t="shared" si="0"/>
      </c>
      <c r="L19362">
        <f t="shared" si="1"/>
      </c>
      <c r="M19362">
        <f t="shared" si="2"/>
      </c>
    </row>
    <row r="19363">
      <c r="G19363" s="9">
        <f t="shared" si="0"/>
      </c>
      <c r="L19363">
        <f t="shared" si="1"/>
      </c>
      <c r="M19363">
        <f t="shared" si="2"/>
      </c>
    </row>
    <row r="19364">
      <c r="G19364" s="9">
        <f t="shared" si="0"/>
      </c>
      <c r="L19364">
        <f t="shared" si="1"/>
      </c>
      <c r="M19364">
        <f t="shared" si="2"/>
      </c>
    </row>
    <row r="19365">
      <c r="G19365" s="9">
        <f t="shared" si="0"/>
      </c>
      <c r="L19365">
        <f t="shared" si="1"/>
      </c>
      <c r="M19365">
        <f t="shared" si="2"/>
      </c>
    </row>
    <row r="19366">
      <c r="G19366" s="9">
        <f t="shared" si="0"/>
      </c>
      <c r="L19366">
        <f t="shared" si="1"/>
      </c>
      <c r="M19366">
        <f t="shared" si="2"/>
      </c>
    </row>
    <row r="19367">
      <c r="G19367" s="9">
        <f t="shared" si="0"/>
      </c>
      <c r="L19367">
        <f t="shared" si="1"/>
      </c>
      <c r="M19367">
        <f t="shared" si="2"/>
      </c>
    </row>
    <row r="19368">
      <c r="G19368" s="9">
        <f t="shared" si="0"/>
      </c>
      <c r="L19368">
        <f t="shared" si="1"/>
      </c>
      <c r="M19368">
        <f t="shared" si="2"/>
      </c>
    </row>
    <row r="19369">
      <c r="G19369" s="9">
        <f t="shared" si="0"/>
      </c>
      <c r="L19369">
        <f t="shared" si="1"/>
      </c>
      <c r="M19369">
        <f t="shared" si="2"/>
      </c>
    </row>
    <row r="19370">
      <c r="G19370" s="9">
        <f t="shared" si="0"/>
      </c>
      <c r="L19370">
        <f t="shared" si="1"/>
      </c>
      <c r="M19370">
        <f t="shared" si="2"/>
      </c>
    </row>
    <row r="19371">
      <c r="G19371" s="9">
        <f t="shared" si="0"/>
      </c>
      <c r="L19371">
        <f t="shared" si="1"/>
      </c>
      <c r="M19371">
        <f t="shared" si="2"/>
      </c>
    </row>
    <row r="19372">
      <c r="G19372" s="9">
        <f t="shared" si="0"/>
      </c>
      <c r="L19372">
        <f t="shared" si="1"/>
      </c>
      <c r="M19372">
        <f t="shared" si="2"/>
      </c>
    </row>
    <row r="19373">
      <c r="G19373" s="9">
        <f t="shared" si="0"/>
      </c>
      <c r="L19373">
        <f t="shared" si="1"/>
      </c>
      <c r="M19373">
        <f t="shared" si="2"/>
      </c>
    </row>
    <row r="19374">
      <c r="G19374" s="9">
        <f t="shared" si="0"/>
      </c>
      <c r="L19374">
        <f t="shared" si="1"/>
      </c>
      <c r="M19374">
        <f t="shared" si="2"/>
      </c>
    </row>
    <row r="19375">
      <c r="G19375" s="9">
        <f t="shared" si="0"/>
      </c>
      <c r="L19375">
        <f t="shared" si="1"/>
      </c>
      <c r="M19375">
        <f t="shared" si="2"/>
      </c>
    </row>
    <row r="19376">
      <c r="G19376" s="9">
        <f t="shared" si="0"/>
      </c>
      <c r="L19376">
        <f t="shared" si="1"/>
      </c>
      <c r="M19376">
        <f t="shared" si="2"/>
      </c>
    </row>
    <row r="19377">
      <c r="G19377" s="9">
        <f t="shared" si="0"/>
      </c>
      <c r="L19377">
        <f t="shared" si="1"/>
      </c>
      <c r="M19377">
        <f t="shared" si="2"/>
      </c>
    </row>
    <row r="19378">
      <c r="G19378" s="9">
        <f t="shared" si="0"/>
      </c>
      <c r="L19378">
        <f t="shared" si="1"/>
      </c>
      <c r="M19378">
        <f t="shared" si="2"/>
      </c>
    </row>
    <row r="19379">
      <c r="G19379" s="9">
        <f t="shared" si="0"/>
      </c>
      <c r="L19379">
        <f t="shared" si="1"/>
      </c>
      <c r="M19379">
        <f t="shared" si="2"/>
      </c>
    </row>
    <row r="19380">
      <c r="G19380" s="9">
        <f t="shared" si="0"/>
      </c>
      <c r="L19380">
        <f t="shared" si="1"/>
      </c>
      <c r="M19380">
        <f t="shared" si="2"/>
      </c>
    </row>
    <row r="19381">
      <c r="G19381" s="9">
        <f t="shared" si="0"/>
      </c>
      <c r="L19381">
        <f t="shared" si="1"/>
      </c>
      <c r="M19381">
        <f t="shared" si="2"/>
      </c>
    </row>
    <row r="19382">
      <c r="G19382" s="9">
        <f t="shared" si="0"/>
      </c>
      <c r="L19382">
        <f t="shared" si="1"/>
      </c>
      <c r="M19382">
        <f t="shared" si="2"/>
      </c>
    </row>
    <row r="19383">
      <c r="G19383" s="9">
        <f t="shared" si="0"/>
      </c>
      <c r="L19383">
        <f t="shared" si="1"/>
      </c>
      <c r="M19383">
        <f t="shared" si="2"/>
      </c>
    </row>
    <row r="19384">
      <c r="G19384" s="9">
        <f t="shared" si="0"/>
      </c>
      <c r="L19384">
        <f t="shared" si="1"/>
      </c>
      <c r="M19384">
        <f t="shared" si="2"/>
      </c>
    </row>
    <row r="19385">
      <c r="G19385" s="9">
        <f t="shared" si="0"/>
      </c>
      <c r="L19385">
        <f t="shared" si="1"/>
      </c>
      <c r="M19385">
        <f t="shared" si="2"/>
      </c>
    </row>
    <row r="19386">
      <c r="G19386" s="9">
        <f t="shared" si="0"/>
      </c>
      <c r="L19386">
        <f t="shared" si="1"/>
      </c>
      <c r="M19386">
        <f t="shared" si="2"/>
      </c>
    </row>
    <row r="19387">
      <c r="G19387" s="9">
        <f t="shared" si="0"/>
      </c>
      <c r="L19387">
        <f t="shared" si="1"/>
      </c>
      <c r="M19387">
        <f t="shared" si="2"/>
      </c>
    </row>
    <row r="19388">
      <c r="G19388" s="9">
        <f t="shared" si="0"/>
      </c>
      <c r="L19388">
        <f t="shared" si="1"/>
      </c>
      <c r="M19388">
        <f t="shared" si="2"/>
      </c>
    </row>
    <row r="19389">
      <c r="G19389" s="9">
        <f t="shared" si="0"/>
      </c>
      <c r="L19389">
        <f t="shared" si="1"/>
      </c>
      <c r="M19389">
        <f t="shared" si="2"/>
      </c>
    </row>
    <row r="19390">
      <c r="G19390" s="9">
        <f t="shared" si="0"/>
      </c>
      <c r="L19390">
        <f t="shared" si="1"/>
      </c>
      <c r="M19390">
        <f t="shared" si="2"/>
      </c>
    </row>
    <row r="19391">
      <c r="G19391" s="9">
        <f t="shared" si="0"/>
      </c>
      <c r="L19391">
        <f t="shared" si="1"/>
      </c>
      <c r="M19391">
        <f t="shared" si="2"/>
      </c>
    </row>
    <row r="19392">
      <c r="G19392" s="9">
        <f t="shared" si="0"/>
      </c>
      <c r="L19392">
        <f t="shared" si="1"/>
      </c>
      <c r="M19392">
        <f t="shared" si="2"/>
      </c>
    </row>
    <row r="19393">
      <c r="G19393" s="9">
        <f t="shared" si="0"/>
      </c>
      <c r="L19393">
        <f t="shared" si="1"/>
      </c>
      <c r="M19393">
        <f t="shared" si="2"/>
      </c>
    </row>
    <row r="19394">
      <c r="G19394" s="9">
        <f t="shared" si="0"/>
      </c>
      <c r="L19394">
        <f t="shared" si="1"/>
      </c>
      <c r="M19394">
        <f t="shared" si="2"/>
      </c>
    </row>
    <row r="19395">
      <c r="G19395" s="9">
        <f t="shared" si="0"/>
      </c>
      <c r="L19395">
        <f t="shared" si="1"/>
      </c>
      <c r="M19395">
        <f t="shared" si="2"/>
      </c>
    </row>
    <row r="19396">
      <c r="G19396" s="9">
        <f t="shared" si="0"/>
      </c>
      <c r="L19396">
        <f t="shared" si="1"/>
      </c>
      <c r="M19396">
        <f t="shared" si="2"/>
      </c>
    </row>
    <row r="19397">
      <c r="G19397" s="9">
        <f t="shared" si="0"/>
      </c>
      <c r="L19397">
        <f t="shared" si="1"/>
      </c>
      <c r="M19397">
        <f t="shared" si="2"/>
      </c>
    </row>
    <row r="19398">
      <c r="G19398" s="9">
        <f t="shared" si="0"/>
      </c>
      <c r="L19398">
        <f t="shared" si="1"/>
      </c>
      <c r="M19398">
        <f t="shared" si="2"/>
      </c>
    </row>
    <row r="19399">
      <c r="G19399" s="9">
        <f t="shared" si="0"/>
      </c>
      <c r="L19399">
        <f t="shared" si="1"/>
      </c>
      <c r="M19399">
        <f t="shared" si="2"/>
      </c>
    </row>
    <row r="19400">
      <c r="G19400" s="9">
        <f t="shared" si="0"/>
      </c>
      <c r="L19400">
        <f t="shared" si="1"/>
      </c>
      <c r="M19400">
        <f t="shared" si="2"/>
      </c>
    </row>
    <row r="19401">
      <c r="G19401" s="9">
        <f t="shared" si="0"/>
      </c>
      <c r="L19401">
        <f t="shared" si="1"/>
      </c>
      <c r="M19401">
        <f t="shared" si="2"/>
      </c>
    </row>
    <row r="19402">
      <c r="G19402" s="9">
        <f t="shared" si="0"/>
      </c>
      <c r="L19402">
        <f t="shared" si="1"/>
      </c>
      <c r="M19402">
        <f t="shared" si="2"/>
      </c>
    </row>
    <row r="19403">
      <c r="G19403" s="9">
        <f t="shared" si="0"/>
      </c>
      <c r="L19403">
        <f t="shared" si="1"/>
      </c>
      <c r="M19403">
        <f t="shared" si="2"/>
      </c>
    </row>
    <row r="19404">
      <c r="G19404" s="9">
        <f t="shared" si="0"/>
      </c>
      <c r="L19404">
        <f t="shared" si="1"/>
      </c>
      <c r="M19404">
        <f t="shared" si="2"/>
      </c>
    </row>
    <row r="19405">
      <c r="G19405" s="9">
        <f t="shared" si="0"/>
      </c>
      <c r="L19405">
        <f t="shared" si="1"/>
      </c>
      <c r="M19405">
        <f t="shared" si="2"/>
      </c>
    </row>
    <row r="19406">
      <c r="G19406" s="9">
        <f t="shared" si="0"/>
      </c>
      <c r="L19406">
        <f t="shared" si="1"/>
      </c>
      <c r="M19406">
        <f t="shared" si="2"/>
      </c>
    </row>
    <row r="19407">
      <c r="G19407" s="9">
        <f t="shared" si="0"/>
      </c>
      <c r="L19407">
        <f t="shared" si="1"/>
      </c>
      <c r="M19407">
        <f t="shared" si="2"/>
      </c>
    </row>
    <row r="19408">
      <c r="G19408" s="9">
        <f t="shared" si="0"/>
      </c>
      <c r="L19408">
        <f t="shared" si="1"/>
      </c>
      <c r="M19408">
        <f t="shared" si="2"/>
      </c>
    </row>
    <row r="19409">
      <c r="G19409" s="9">
        <f t="shared" si="0"/>
      </c>
      <c r="L19409">
        <f t="shared" si="1"/>
      </c>
      <c r="M19409">
        <f t="shared" si="2"/>
      </c>
    </row>
    <row r="19410">
      <c r="G19410" s="9">
        <f t="shared" si="0"/>
      </c>
      <c r="L19410">
        <f t="shared" si="1"/>
      </c>
      <c r="M19410">
        <f t="shared" si="2"/>
      </c>
    </row>
    <row r="19411">
      <c r="G19411" s="9">
        <f t="shared" si="0"/>
      </c>
      <c r="L19411">
        <f t="shared" si="1"/>
      </c>
      <c r="M19411">
        <f t="shared" si="2"/>
      </c>
    </row>
    <row r="19412">
      <c r="G19412" s="9">
        <f t="shared" si="0"/>
      </c>
      <c r="L19412">
        <f t="shared" si="1"/>
      </c>
      <c r="M19412">
        <f t="shared" si="2"/>
      </c>
    </row>
    <row r="19413">
      <c r="G19413" s="9">
        <f t="shared" si="0"/>
      </c>
      <c r="L19413">
        <f t="shared" si="1"/>
      </c>
      <c r="M19413">
        <f t="shared" si="2"/>
      </c>
    </row>
    <row r="19414">
      <c r="G19414" s="9">
        <f t="shared" si="0"/>
      </c>
      <c r="L19414">
        <f t="shared" si="1"/>
      </c>
      <c r="M19414">
        <f t="shared" si="2"/>
      </c>
    </row>
    <row r="19415">
      <c r="G19415" s="9">
        <f t="shared" si="0"/>
      </c>
      <c r="L19415">
        <f t="shared" si="1"/>
      </c>
      <c r="M19415">
        <f t="shared" si="2"/>
      </c>
    </row>
    <row r="19416">
      <c r="G19416" s="9">
        <f t="shared" si="0"/>
      </c>
      <c r="L19416">
        <f t="shared" si="1"/>
      </c>
      <c r="M19416">
        <f t="shared" si="2"/>
      </c>
    </row>
    <row r="19417">
      <c r="G19417" s="9">
        <f t="shared" si="0"/>
      </c>
      <c r="L19417">
        <f t="shared" si="1"/>
      </c>
      <c r="M19417">
        <f t="shared" si="2"/>
      </c>
    </row>
    <row r="19418">
      <c r="G19418" s="9">
        <f t="shared" si="0"/>
      </c>
      <c r="L19418">
        <f t="shared" si="1"/>
      </c>
      <c r="M19418">
        <f t="shared" si="2"/>
      </c>
    </row>
    <row r="19419">
      <c r="G19419" s="9">
        <f t="shared" si="0"/>
      </c>
      <c r="L19419">
        <f t="shared" si="1"/>
      </c>
      <c r="M19419">
        <f t="shared" si="2"/>
      </c>
    </row>
    <row r="19420">
      <c r="G19420" s="9">
        <f t="shared" si="0"/>
      </c>
      <c r="L19420">
        <f t="shared" si="1"/>
      </c>
      <c r="M19420">
        <f t="shared" si="2"/>
      </c>
    </row>
    <row r="19421">
      <c r="G19421" s="9">
        <f t="shared" si="0"/>
      </c>
      <c r="L19421">
        <f t="shared" si="1"/>
      </c>
      <c r="M19421">
        <f t="shared" si="2"/>
      </c>
    </row>
    <row r="19422">
      <c r="G19422" s="9">
        <f t="shared" si="0"/>
      </c>
      <c r="L19422">
        <f t="shared" si="1"/>
      </c>
      <c r="M19422">
        <f t="shared" si="2"/>
      </c>
    </row>
    <row r="19423">
      <c r="G19423" s="9">
        <f t="shared" si="0"/>
      </c>
      <c r="L19423">
        <f t="shared" si="1"/>
      </c>
      <c r="M19423">
        <f t="shared" si="2"/>
      </c>
    </row>
    <row r="19424">
      <c r="G19424" s="9">
        <f t="shared" si="0"/>
      </c>
      <c r="L19424">
        <f t="shared" si="1"/>
      </c>
      <c r="M19424">
        <f t="shared" si="2"/>
      </c>
    </row>
    <row r="19425">
      <c r="G19425" s="9">
        <f t="shared" si="0"/>
      </c>
      <c r="L19425">
        <f t="shared" si="1"/>
      </c>
      <c r="M19425">
        <f t="shared" si="2"/>
      </c>
    </row>
    <row r="19426">
      <c r="G19426" s="9">
        <f t="shared" si="0"/>
      </c>
      <c r="L19426">
        <f t="shared" si="1"/>
      </c>
      <c r="M19426">
        <f t="shared" si="2"/>
      </c>
    </row>
    <row r="19427">
      <c r="G19427" s="9">
        <f t="shared" si="0"/>
      </c>
      <c r="L19427">
        <f t="shared" si="1"/>
      </c>
      <c r="M19427">
        <f t="shared" si="2"/>
      </c>
    </row>
    <row r="19428">
      <c r="G19428" s="9">
        <f t="shared" si="0"/>
      </c>
      <c r="L19428">
        <f t="shared" si="1"/>
      </c>
      <c r="M19428">
        <f t="shared" si="2"/>
      </c>
    </row>
    <row r="19429">
      <c r="G19429" s="9">
        <f t="shared" si="0"/>
      </c>
      <c r="L19429">
        <f t="shared" si="1"/>
      </c>
      <c r="M19429">
        <f t="shared" si="2"/>
      </c>
    </row>
    <row r="19430">
      <c r="G19430" s="9">
        <f t="shared" si="0"/>
      </c>
      <c r="L19430">
        <f t="shared" si="1"/>
      </c>
      <c r="M19430">
        <f t="shared" si="2"/>
      </c>
    </row>
    <row r="19431">
      <c r="G19431" s="9">
        <f t="shared" si="0"/>
      </c>
      <c r="L19431">
        <f t="shared" si="1"/>
      </c>
      <c r="M19431">
        <f t="shared" si="2"/>
      </c>
    </row>
    <row r="19432">
      <c r="G19432" s="9">
        <f t="shared" si="0"/>
      </c>
      <c r="L19432">
        <f t="shared" si="1"/>
      </c>
      <c r="M19432">
        <f t="shared" si="2"/>
      </c>
    </row>
    <row r="19433">
      <c r="G19433" s="9">
        <f t="shared" si="0"/>
      </c>
      <c r="L19433">
        <f t="shared" si="1"/>
      </c>
      <c r="M19433">
        <f t="shared" si="2"/>
      </c>
    </row>
    <row r="19434">
      <c r="G19434" s="9">
        <f t="shared" si="0"/>
      </c>
      <c r="L19434">
        <f t="shared" si="1"/>
      </c>
      <c r="M19434">
        <f t="shared" si="2"/>
      </c>
    </row>
    <row r="19435">
      <c r="G19435" s="9">
        <f t="shared" si="0"/>
      </c>
      <c r="L19435">
        <f t="shared" si="1"/>
      </c>
      <c r="M19435">
        <f t="shared" si="2"/>
      </c>
    </row>
    <row r="19436">
      <c r="G19436" s="9">
        <f t="shared" si="0"/>
      </c>
      <c r="L19436">
        <f t="shared" si="1"/>
      </c>
      <c r="M19436">
        <f t="shared" si="2"/>
      </c>
    </row>
    <row r="19437">
      <c r="G19437" s="9">
        <f t="shared" si="0"/>
      </c>
      <c r="L19437">
        <f t="shared" si="1"/>
      </c>
      <c r="M19437">
        <f t="shared" si="2"/>
      </c>
    </row>
    <row r="19438">
      <c r="G19438" s="9">
        <f t="shared" si="0"/>
      </c>
      <c r="L19438">
        <f t="shared" si="1"/>
      </c>
      <c r="M19438">
        <f t="shared" si="2"/>
      </c>
    </row>
    <row r="19439">
      <c r="G19439" s="9">
        <f t="shared" si="0"/>
      </c>
      <c r="L19439">
        <f t="shared" si="1"/>
      </c>
      <c r="M19439">
        <f t="shared" si="2"/>
      </c>
    </row>
    <row r="19440">
      <c r="G19440" s="9">
        <f t="shared" si="0"/>
      </c>
      <c r="L19440">
        <f t="shared" si="1"/>
      </c>
      <c r="M19440">
        <f t="shared" si="2"/>
      </c>
    </row>
    <row r="19441">
      <c r="G19441" s="9">
        <f t="shared" si="0"/>
      </c>
      <c r="L19441">
        <f t="shared" si="1"/>
      </c>
      <c r="M19441">
        <f t="shared" si="2"/>
      </c>
    </row>
    <row r="19442">
      <c r="G19442" s="9">
        <f t="shared" si="0"/>
      </c>
      <c r="L19442">
        <f t="shared" si="1"/>
      </c>
      <c r="M19442">
        <f t="shared" si="2"/>
      </c>
    </row>
    <row r="19443">
      <c r="G19443" s="9">
        <f t="shared" si="0"/>
      </c>
      <c r="L19443">
        <f t="shared" si="1"/>
      </c>
      <c r="M19443">
        <f t="shared" si="2"/>
      </c>
    </row>
    <row r="19444">
      <c r="G19444" s="9">
        <f t="shared" si="0"/>
      </c>
      <c r="L19444">
        <f t="shared" si="1"/>
      </c>
      <c r="M19444">
        <f t="shared" si="2"/>
      </c>
    </row>
    <row r="19445">
      <c r="G19445" s="9">
        <f t="shared" si="0"/>
      </c>
      <c r="L19445">
        <f t="shared" si="1"/>
      </c>
      <c r="M19445">
        <f t="shared" si="2"/>
      </c>
    </row>
    <row r="19446">
      <c r="G19446" s="9">
        <f t="shared" si="0"/>
      </c>
      <c r="L19446">
        <f t="shared" si="1"/>
      </c>
      <c r="M19446">
        <f t="shared" si="2"/>
      </c>
    </row>
    <row r="19447">
      <c r="G19447" s="9">
        <f t="shared" si="0"/>
      </c>
      <c r="L19447">
        <f t="shared" si="1"/>
      </c>
      <c r="M19447">
        <f t="shared" si="2"/>
      </c>
    </row>
    <row r="19448">
      <c r="G19448" s="9">
        <f t="shared" si="0"/>
      </c>
      <c r="L19448">
        <f t="shared" si="1"/>
      </c>
      <c r="M19448">
        <f t="shared" si="2"/>
      </c>
    </row>
    <row r="19449">
      <c r="G19449" s="9">
        <f t="shared" si="0"/>
      </c>
      <c r="L19449">
        <f t="shared" si="1"/>
      </c>
      <c r="M19449">
        <f t="shared" si="2"/>
      </c>
    </row>
    <row r="19450">
      <c r="G19450" s="9">
        <f t="shared" si="0"/>
      </c>
      <c r="L19450">
        <f t="shared" si="1"/>
      </c>
      <c r="M19450">
        <f t="shared" si="2"/>
      </c>
    </row>
    <row r="19451">
      <c r="G19451" s="9">
        <f t="shared" si="0"/>
      </c>
      <c r="L19451">
        <f t="shared" si="1"/>
      </c>
      <c r="M19451">
        <f t="shared" si="2"/>
      </c>
    </row>
    <row r="19452">
      <c r="G19452" s="9">
        <f t="shared" si="0"/>
      </c>
      <c r="L19452">
        <f t="shared" si="1"/>
      </c>
      <c r="M19452">
        <f t="shared" si="2"/>
      </c>
    </row>
    <row r="19453">
      <c r="G19453" s="9">
        <f t="shared" si="0"/>
      </c>
      <c r="L19453">
        <f t="shared" si="1"/>
      </c>
      <c r="M19453">
        <f t="shared" si="2"/>
      </c>
    </row>
    <row r="19454">
      <c r="G19454" s="9">
        <f t="shared" si="0"/>
      </c>
      <c r="L19454">
        <f t="shared" si="1"/>
      </c>
      <c r="M19454">
        <f t="shared" si="2"/>
      </c>
    </row>
    <row r="19455">
      <c r="G19455" s="9">
        <f t="shared" si="0"/>
      </c>
      <c r="L19455">
        <f t="shared" si="1"/>
      </c>
      <c r="M19455">
        <f t="shared" si="2"/>
      </c>
    </row>
    <row r="19456">
      <c r="G19456" s="9">
        <f t="shared" si="0"/>
      </c>
      <c r="L19456">
        <f t="shared" si="1"/>
      </c>
      <c r="M19456">
        <f t="shared" si="2"/>
      </c>
    </row>
    <row r="19457">
      <c r="G19457" s="9">
        <f t="shared" si="0"/>
      </c>
      <c r="L19457">
        <f t="shared" si="1"/>
      </c>
      <c r="M19457">
        <f t="shared" si="2"/>
      </c>
    </row>
    <row r="19458">
      <c r="G19458" s="9">
        <f t="shared" si="0"/>
      </c>
      <c r="L19458">
        <f t="shared" si="1"/>
      </c>
      <c r="M19458">
        <f t="shared" si="2"/>
      </c>
    </row>
    <row r="19459">
      <c r="G19459" s="9">
        <f t="shared" si="0"/>
      </c>
      <c r="L19459">
        <f t="shared" si="1"/>
      </c>
      <c r="M19459">
        <f t="shared" si="2"/>
      </c>
    </row>
    <row r="19460">
      <c r="G19460" s="9">
        <f t="shared" si="0"/>
      </c>
      <c r="L19460">
        <f t="shared" si="1"/>
      </c>
      <c r="M19460">
        <f t="shared" si="2"/>
      </c>
    </row>
    <row r="19461">
      <c r="G19461" s="9">
        <f t="shared" si="0"/>
      </c>
      <c r="L19461">
        <f t="shared" si="1"/>
      </c>
      <c r="M19461">
        <f t="shared" si="2"/>
      </c>
    </row>
    <row r="19462">
      <c r="G19462" s="9">
        <f t="shared" si="0"/>
      </c>
      <c r="L19462">
        <f t="shared" si="1"/>
      </c>
      <c r="M19462">
        <f t="shared" si="2"/>
      </c>
    </row>
    <row r="19463">
      <c r="G19463" s="9">
        <f t="shared" si="0"/>
      </c>
      <c r="L19463">
        <f t="shared" si="1"/>
      </c>
      <c r="M19463">
        <f t="shared" si="2"/>
      </c>
    </row>
    <row r="19464">
      <c r="G19464" s="9">
        <f t="shared" si="0"/>
      </c>
      <c r="L19464">
        <f t="shared" si="1"/>
      </c>
      <c r="M19464">
        <f t="shared" si="2"/>
      </c>
    </row>
    <row r="19465">
      <c r="G19465" s="9">
        <f t="shared" si="0"/>
      </c>
      <c r="L19465">
        <f t="shared" si="1"/>
      </c>
      <c r="M19465">
        <f t="shared" si="2"/>
      </c>
    </row>
    <row r="19466">
      <c r="G19466" s="9">
        <f t="shared" si="0"/>
      </c>
      <c r="L19466">
        <f t="shared" si="1"/>
      </c>
      <c r="M19466">
        <f t="shared" si="2"/>
      </c>
    </row>
    <row r="19467">
      <c r="G19467" s="9">
        <f t="shared" si="0"/>
      </c>
      <c r="L19467">
        <f t="shared" si="1"/>
      </c>
      <c r="M19467">
        <f t="shared" si="2"/>
      </c>
    </row>
    <row r="19468">
      <c r="G19468" s="9">
        <f t="shared" si="0"/>
      </c>
      <c r="L19468">
        <f t="shared" si="1"/>
      </c>
      <c r="M19468">
        <f t="shared" si="2"/>
      </c>
    </row>
    <row r="19469">
      <c r="G19469" s="9">
        <f t="shared" si="0"/>
      </c>
      <c r="L19469">
        <f t="shared" si="1"/>
      </c>
      <c r="M19469">
        <f t="shared" si="2"/>
      </c>
    </row>
    <row r="19470">
      <c r="G19470" s="9">
        <f t="shared" si="0"/>
      </c>
      <c r="L19470">
        <f t="shared" si="1"/>
      </c>
      <c r="M19470">
        <f t="shared" si="2"/>
      </c>
    </row>
    <row r="19471">
      <c r="G19471" s="9">
        <f t="shared" si="0"/>
      </c>
      <c r="L19471">
        <f t="shared" si="1"/>
      </c>
      <c r="M19471">
        <f t="shared" si="2"/>
      </c>
    </row>
    <row r="19472">
      <c r="G19472" s="9">
        <f t="shared" si="0"/>
      </c>
      <c r="L19472">
        <f t="shared" si="1"/>
      </c>
      <c r="M19472">
        <f t="shared" si="2"/>
      </c>
    </row>
    <row r="19473">
      <c r="G19473" s="9">
        <f t="shared" si="0"/>
      </c>
      <c r="L19473">
        <f t="shared" si="1"/>
      </c>
      <c r="M19473">
        <f t="shared" si="2"/>
      </c>
    </row>
    <row r="19474">
      <c r="G19474" s="9">
        <f t="shared" si="0"/>
      </c>
      <c r="L19474">
        <f t="shared" si="1"/>
      </c>
      <c r="M19474">
        <f t="shared" si="2"/>
      </c>
    </row>
    <row r="19475">
      <c r="G19475" s="9">
        <f t="shared" si="0"/>
      </c>
      <c r="L19475">
        <f t="shared" si="1"/>
      </c>
      <c r="M19475">
        <f t="shared" si="2"/>
      </c>
    </row>
    <row r="19476">
      <c r="G19476" s="9">
        <f t="shared" si="0"/>
      </c>
      <c r="L19476">
        <f t="shared" si="1"/>
      </c>
      <c r="M19476">
        <f t="shared" si="2"/>
      </c>
    </row>
    <row r="19477">
      <c r="G19477" s="9">
        <f t="shared" si="0"/>
      </c>
      <c r="L19477">
        <f t="shared" si="1"/>
      </c>
      <c r="M19477">
        <f t="shared" si="2"/>
      </c>
    </row>
    <row r="19478">
      <c r="G19478" s="9">
        <f t="shared" si="0"/>
      </c>
      <c r="L19478">
        <f t="shared" si="1"/>
      </c>
      <c r="M19478">
        <f t="shared" si="2"/>
      </c>
    </row>
    <row r="19479">
      <c r="G19479" s="9">
        <f t="shared" si="0"/>
      </c>
      <c r="L19479">
        <f t="shared" si="1"/>
      </c>
      <c r="M19479">
        <f t="shared" si="2"/>
      </c>
    </row>
    <row r="19480">
      <c r="G19480" s="9">
        <f t="shared" si="0"/>
      </c>
      <c r="L19480">
        <f t="shared" si="1"/>
      </c>
      <c r="M19480">
        <f t="shared" si="2"/>
      </c>
    </row>
    <row r="19481">
      <c r="G19481" s="9">
        <f t="shared" si="0"/>
      </c>
      <c r="L19481">
        <f t="shared" si="1"/>
      </c>
      <c r="M19481">
        <f t="shared" si="2"/>
      </c>
    </row>
    <row r="19482">
      <c r="G19482" s="9">
        <f t="shared" si="0"/>
      </c>
      <c r="L19482">
        <f t="shared" si="1"/>
      </c>
      <c r="M19482">
        <f t="shared" si="2"/>
      </c>
    </row>
    <row r="19483">
      <c r="G19483" s="9">
        <f t="shared" si="0"/>
      </c>
      <c r="L19483">
        <f t="shared" si="1"/>
      </c>
      <c r="M19483">
        <f t="shared" si="2"/>
      </c>
    </row>
    <row r="19484">
      <c r="G19484" s="9">
        <f t="shared" si="0"/>
      </c>
      <c r="L19484">
        <f t="shared" si="1"/>
      </c>
      <c r="M19484">
        <f t="shared" si="2"/>
      </c>
    </row>
    <row r="19485">
      <c r="G19485" s="9">
        <f t="shared" si="0"/>
      </c>
      <c r="L19485">
        <f t="shared" si="1"/>
      </c>
      <c r="M19485">
        <f t="shared" si="2"/>
      </c>
    </row>
    <row r="19486">
      <c r="G19486" s="9">
        <f t="shared" si="0"/>
      </c>
      <c r="L19486">
        <f t="shared" si="1"/>
      </c>
      <c r="M19486">
        <f t="shared" si="2"/>
      </c>
    </row>
    <row r="19487">
      <c r="G19487" s="9">
        <f t="shared" si="0"/>
      </c>
      <c r="L19487">
        <f t="shared" si="1"/>
      </c>
      <c r="M19487">
        <f t="shared" si="2"/>
      </c>
    </row>
    <row r="19488">
      <c r="G19488" s="9">
        <f t="shared" si="0"/>
      </c>
      <c r="L19488">
        <f t="shared" si="1"/>
      </c>
      <c r="M19488">
        <f t="shared" si="2"/>
      </c>
    </row>
    <row r="19489">
      <c r="G19489" s="9">
        <f t="shared" si="0"/>
      </c>
      <c r="L19489">
        <f t="shared" si="1"/>
      </c>
      <c r="M19489">
        <f t="shared" si="2"/>
      </c>
    </row>
    <row r="19490">
      <c r="G19490" s="9">
        <f t="shared" si="0"/>
      </c>
      <c r="L19490">
        <f t="shared" si="1"/>
      </c>
      <c r="M19490">
        <f t="shared" si="2"/>
      </c>
    </row>
    <row r="19491">
      <c r="G19491" s="9">
        <f t="shared" si="0"/>
      </c>
      <c r="L19491">
        <f t="shared" si="1"/>
      </c>
      <c r="M19491">
        <f t="shared" si="2"/>
      </c>
    </row>
    <row r="19492">
      <c r="G19492" s="9">
        <f t="shared" si="0"/>
      </c>
      <c r="L19492">
        <f t="shared" si="1"/>
      </c>
      <c r="M19492">
        <f t="shared" si="2"/>
      </c>
    </row>
    <row r="19493">
      <c r="G19493" s="9">
        <f t="shared" si="0"/>
      </c>
      <c r="L19493">
        <f t="shared" si="1"/>
      </c>
      <c r="M19493">
        <f t="shared" si="2"/>
      </c>
    </row>
    <row r="19494">
      <c r="G19494" s="9">
        <f t="shared" si="0"/>
      </c>
      <c r="L19494">
        <f t="shared" si="1"/>
      </c>
      <c r="M19494">
        <f t="shared" si="2"/>
      </c>
    </row>
    <row r="19495">
      <c r="G19495" s="9">
        <f t="shared" si="0"/>
      </c>
      <c r="L19495">
        <f t="shared" si="1"/>
      </c>
      <c r="M19495">
        <f t="shared" si="2"/>
      </c>
    </row>
    <row r="19496">
      <c r="G19496" s="9">
        <f t="shared" si="0"/>
      </c>
      <c r="L19496">
        <f t="shared" si="1"/>
      </c>
      <c r="M19496">
        <f t="shared" si="2"/>
      </c>
    </row>
    <row r="19497">
      <c r="G19497" s="9">
        <f t="shared" si="0"/>
      </c>
      <c r="L19497">
        <f t="shared" si="1"/>
      </c>
      <c r="M19497">
        <f t="shared" si="2"/>
      </c>
    </row>
    <row r="19498">
      <c r="G19498" s="9">
        <f t="shared" si="0"/>
      </c>
      <c r="L19498">
        <f t="shared" si="1"/>
      </c>
      <c r="M19498">
        <f t="shared" si="2"/>
      </c>
    </row>
    <row r="19499">
      <c r="G19499" s="9">
        <f t="shared" si="0"/>
      </c>
      <c r="L19499">
        <f t="shared" si="1"/>
      </c>
      <c r="M19499">
        <f t="shared" si="2"/>
      </c>
    </row>
    <row r="19500">
      <c r="G19500" s="9">
        <f t="shared" si="0"/>
      </c>
      <c r="L19500">
        <f t="shared" si="1"/>
      </c>
      <c r="M19500">
        <f t="shared" si="2"/>
      </c>
    </row>
    <row r="19501">
      <c r="G19501" s="9">
        <f t="shared" si="0"/>
      </c>
      <c r="L19501">
        <f t="shared" si="1"/>
      </c>
      <c r="M19501">
        <f t="shared" si="2"/>
      </c>
    </row>
    <row r="19502">
      <c r="G19502" s="9">
        <f t="shared" si="0"/>
      </c>
      <c r="L19502">
        <f t="shared" si="1"/>
      </c>
      <c r="M19502">
        <f t="shared" si="2"/>
      </c>
    </row>
    <row r="19503">
      <c r="G19503" s="9">
        <f t="shared" si="0"/>
      </c>
      <c r="L19503">
        <f t="shared" si="1"/>
      </c>
      <c r="M19503">
        <f t="shared" si="2"/>
      </c>
    </row>
    <row r="19504">
      <c r="G19504" s="9">
        <f t="shared" si="0"/>
      </c>
      <c r="L19504">
        <f t="shared" si="1"/>
      </c>
      <c r="M19504">
        <f t="shared" si="2"/>
      </c>
    </row>
    <row r="19505">
      <c r="G19505" s="9">
        <f t="shared" si="0"/>
      </c>
      <c r="L19505">
        <f t="shared" si="1"/>
      </c>
      <c r="M19505">
        <f t="shared" si="2"/>
      </c>
    </row>
    <row r="19506">
      <c r="G19506" s="9">
        <f t="shared" si="0"/>
      </c>
      <c r="L19506">
        <f t="shared" si="1"/>
      </c>
      <c r="M19506">
        <f t="shared" si="2"/>
      </c>
    </row>
    <row r="19507">
      <c r="G19507" s="9">
        <f t="shared" si="0"/>
      </c>
      <c r="L19507">
        <f t="shared" si="1"/>
      </c>
      <c r="M19507">
        <f t="shared" si="2"/>
      </c>
    </row>
    <row r="19508">
      <c r="G19508" s="9">
        <f t="shared" si="0"/>
      </c>
      <c r="L19508">
        <f t="shared" si="1"/>
      </c>
      <c r="M19508">
        <f t="shared" si="2"/>
      </c>
    </row>
    <row r="19509">
      <c r="G19509" s="9">
        <f t="shared" si="0"/>
      </c>
      <c r="L19509">
        <f t="shared" si="1"/>
      </c>
      <c r="M19509">
        <f t="shared" si="2"/>
      </c>
    </row>
    <row r="19510">
      <c r="G19510" s="9">
        <f t="shared" si="0"/>
      </c>
      <c r="L19510">
        <f t="shared" si="1"/>
      </c>
      <c r="M19510">
        <f t="shared" si="2"/>
      </c>
    </row>
    <row r="19511">
      <c r="G19511" s="9">
        <f t="shared" si="0"/>
      </c>
      <c r="L19511">
        <f t="shared" si="1"/>
      </c>
      <c r="M19511">
        <f t="shared" si="2"/>
      </c>
    </row>
    <row r="19512">
      <c r="G19512" s="9">
        <f t="shared" si="0"/>
      </c>
      <c r="L19512">
        <f t="shared" si="1"/>
      </c>
      <c r="M19512">
        <f t="shared" si="2"/>
      </c>
    </row>
    <row r="19513">
      <c r="G19513" s="9">
        <f t="shared" si="0"/>
      </c>
      <c r="L19513">
        <f t="shared" si="1"/>
      </c>
      <c r="M19513">
        <f t="shared" si="2"/>
      </c>
    </row>
    <row r="19514">
      <c r="G19514" s="9">
        <f t="shared" si="0"/>
      </c>
      <c r="L19514">
        <f t="shared" si="1"/>
      </c>
      <c r="M19514">
        <f t="shared" si="2"/>
      </c>
    </row>
    <row r="19515">
      <c r="G19515" s="9">
        <f t="shared" si="0"/>
      </c>
      <c r="L19515">
        <f t="shared" si="1"/>
      </c>
      <c r="M19515">
        <f t="shared" si="2"/>
      </c>
    </row>
    <row r="19516">
      <c r="G19516" s="9">
        <f t="shared" si="0"/>
      </c>
      <c r="L19516">
        <f t="shared" si="1"/>
      </c>
      <c r="M19516">
        <f t="shared" si="2"/>
      </c>
    </row>
    <row r="19517">
      <c r="G19517" s="9">
        <f t="shared" si="0"/>
      </c>
      <c r="L19517">
        <f t="shared" si="1"/>
      </c>
      <c r="M19517">
        <f t="shared" si="2"/>
      </c>
    </row>
    <row r="19518">
      <c r="G19518" s="9">
        <f t="shared" si="0"/>
      </c>
      <c r="L19518">
        <f t="shared" si="1"/>
      </c>
      <c r="M19518">
        <f t="shared" si="2"/>
      </c>
    </row>
    <row r="19519">
      <c r="G19519" s="9">
        <f t="shared" si="0"/>
      </c>
      <c r="L19519">
        <f t="shared" si="1"/>
      </c>
      <c r="M19519">
        <f t="shared" si="2"/>
      </c>
    </row>
    <row r="19520">
      <c r="G19520" s="9">
        <f t="shared" si="0"/>
      </c>
      <c r="L19520">
        <f t="shared" si="1"/>
      </c>
      <c r="M19520">
        <f t="shared" si="2"/>
      </c>
    </row>
    <row r="19521">
      <c r="G19521" s="9">
        <f t="shared" si="0"/>
      </c>
      <c r="L19521">
        <f t="shared" si="1"/>
      </c>
      <c r="M19521">
        <f t="shared" si="2"/>
      </c>
    </row>
    <row r="19522">
      <c r="G19522" s="9">
        <f t="shared" si="0"/>
      </c>
      <c r="L19522">
        <f t="shared" si="1"/>
      </c>
      <c r="M19522">
        <f t="shared" si="2"/>
      </c>
    </row>
    <row r="19523">
      <c r="G19523" s="9">
        <f t="shared" si="0"/>
      </c>
      <c r="L19523">
        <f t="shared" si="1"/>
      </c>
      <c r="M19523">
        <f t="shared" si="2"/>
      </c>
    </row>
    <row r="19524">
      <c r="G19524" s="9">
        <f t="shared" si="0"/>
      </c>
      <c r="L19524">
        <f t="shared" si="1"/>
      </c>
      <c r="M19524">
        <f t="shared" si="2"/>
      </c>
    </row>
    <row r="19525">
      <c r="G19525" s="9">
        <f t="shared" si="0"/>
      </c>
      <c r="L19525">
        <f t="shared" si="1"/>
      </c>
      <c r="M19525">
        <f t="shared" si="2"/>
      </c>
    </row>
    <row r="19526">
      <c r="G19526" s="9">
        <f t="shared" si="0"/>
      </c>
      <c r="L19526">
        <f t="shared" si="1"/>
      </c>
      <c r="M19526">
        <f t="shared" si="2"/>
      </c>
    </row>
    <row r="19527">
      <c r="G19527" s="9">
        <f t="shared" si="0"/>
      </c>
      <c r="L19527">
        <f t="shared" si="1"/>
      </c>
      <c r="M19527">
        <f t="shared" si="2"/>
      </c>
    </row>
    <row r="19528">
      <c r="G19528" s="9">
        <f t="shared" si="0"/>
      </c>
      <c r="L19528">
        <f t="shared" si="1"/>
      </c>
      <c r="M19528">
        <f t="shared" si="2"/>
      </c>
    </row>
    <row r="19529">
      <c r="G19529" s="9">
        <f t="shared" si="0"/>
      </c>
      <c r="L19529">
        <f t="shared" si="1"/>
      </c>
      <c r="M19529">
        <f t="shared" si="2"/>
      </c>
    </row>
    <row r="19530">
      <c r="G19530" s="9">
        <f t="shared" si="0"/>
      </c>
      <c r="L19530">
        <f t="shared" si="1"/>
      </c>
      <c r="M19530">
        <f t="shared" si="2"/>
      </c>
    </row>
    <row r="19531">
      <c r="G19531" s="9">
        <f t="shared" si="0"/>
      </c>
      <c r="L19531">
        <f t="shared" si="1"/>
      </c>
      <c r="M19531">
        <f t="shared" si="2"/>
      </c>
    </row>
    <row r="19532">
      <c r="G19532" s="9">
        <f t="shared" si="0"/>
      </c>
      <c r="L19532">
        <f t="shared" si="1"/>
      </c>
      <c r="M19532">
        <f t="shared" si="2"/>
      </c>
    </row>
    <row r="19533">
      <c r="G19533" s="9">
        <f t="shared" si="0"/>
      </c>
      <c r="L19533">
        <f t="shared" si="1"/>
      </c>
      <c r="M19533">
        <f t="shared" si="2"/>
      </c>
    </row>
    <row r="19534">
      <c r="G19534" s="9">
        <f t="shared" si="0"/>
      </c>
      <c r="L19534">
        <f t="shared" si="1"/>
      </c>
      <c r="M19534">
        <f t="shared" si="2"/>
      </c>
    </row>
    <row r="19535">
      <c r="G19535" s="9">
        <f t="shared" si="0"/>
      </c>
      <c r="L19535">
        <f t="shared" si="1"/>
      </c>
      <c r="M19535">
        <f t="shared" si="2"/>
      </c>
    </row>
    <row r="19536">
      <c r="G19536" s="9">
        <f t="shared" si="0"/>
      </c>
      <c r="L19536">
        <f t="shared" si="1"/>
      </c>
      <c r="M19536">
        <f t="shared" si="2"/>
      </c>
    </row>
    <row r="19537">
      <c r="G19537" s="9">
        <f t="shared" si="0"/>
      </c>
      <c r="L19537">
        <f t="shared" si="1"/>
      </c>
      <c r="M19537">
        <f t="shared" si="2"/>
      </c>
    </row>
    <row r="19538">
      <c r="G19538" s="9">
        <f t="shared" si="0"/>
      </c>
      <c r="L19538">
        <f t="shared" si="1"/>
      </c>
      <c r="M19538">
        <f t="shared" si="2"/>
      </c>
    </row>
    <row r="19539">
      <c r="G19539" s="9">
        <f t="shared" si="0"/>
      </c>
      <c r="L19539">
        <f t="shared" si="1"/>
      </c>
      <c r="M19539">
        <f t="shared" si="2"/>
      </c>
    </row>
    <row r="19540">
      <c r="G19540" s="9">
        <f t="shared" si="0"/>
      </c>
      <c r="L19540">
        <f t="shared" si="1"/>
      </c>
      <c r="M19540">
        <f t="shared" si="2"/>
      </c>
    </row>
    <row r="19541">
      <c r="G19541" s="9">
        <f t="shared" si="0"/>
      </c>
      <c r="L19541">
        <f t="shared" si="1"/>
      </c>
      <c r="M19541">
        <f t="shared" si="2"/>
      </c>
    </row>
    <row r="19542">
      <c r="G19542" s="9">
        <f t="shared" si="0"/>
      </c>
      <c r="L19542">
        <f t="shared" si="1"/>
      </c>
      <c r="M19542">
        <f t="shared" si="2"/>
      </c>
    </row>
    <row r="19543">
      <c r="G19543" s="9">
        <f t="shared" si="0"/>
      </c>
      <c r="L19543">
        <f t="shared" si="1"/>
      </c>
      <c r="M19543">
        <f t="shared" si="2"/>
      </c>
    </row>
    <row r="19544">
      <c r="G19544" s="9">
        <f t="shared" si="0"/>
      </c>
      <c r="L19544">
        <f t="shared" si="1"/>
      </c>
      <c r="M19544">
        <f t="shared" si="2"/>
      </c>
    </row>
    <row r="19545">
      <c r="G19545" s="9">
        <f t="shared" si="0"/>
      </c>
      <c r="L19545">
        <f t="shared" si="1"/>
      </c>
      <c r="M19545">
        <f t="shared" si="2"/>
      </c>
    </row>
    <row r="19546">
      <c r="G19546" s="9">
        <f t="shared" si="0"/>
      </c>
      <c r="L19546">
        <f t="shared" si="1"/>
      </c>
      <c r="M19546">
        <f t="shared" si="2"/>
      </c>
    </row>
    <row r="19547">
      <c r="G19547" s="9">
        <f t="shared" si="0"/>
      </c>
      <c r="L19547">
        <f t="shared" si="1"/>
      </c>
      <c r="M19547">
        <f t="shared" si="2"/>
      </c>
    </row>
    <row r="19548">
      <c r="G19548" s="9">
        <f t="shared" si="0"/>
      </c>
      <c r="L19548">
        <f t="shared" si="1"/>
      </c>
      <c r="M19548">
        <f t="shared" si="2"/>
      </c>
    </row>
    <row r="19549">
      <c r="G19549" s="9">
        <f t="shared" si="0"/>
      </c>
      <c r="L19549">
        <f t="shared" si="1"/>
      </c>
      <c r="M19549">
        <f t="shared" si="2"/>
      </c>
    </row>
    <row r="19550">
      <c r="G19550" s="9">
        <f t="shared" si="0"/>
      </c>
      <c r="L19550">
        <f t="shared" si="1"/>
      </c>
      <c r="M19550">
        <f t="shared" si="2"/>
      </c>
    </row>
    <row r="19551">
      <c r="G19551" s="9">
        <f t="shared" si="0"/>
      </c>
      <c r="L19551">
        <f t="shared" si="1"/>
      </c>
      <c r="M19551">
        <f t="shared" si="2"/>
      </c>
    </row>
    <row r="19552">
      <c r="G19552" s="9">
        <f t="shared" si="0"/>
      </c>
      <c r="L19552">
        <f t="shared" si="1"/>
      </c>
      <c r="M19552">
        <f t="shared" si="2"/>
      </c>
    </row>
    <row r="19553">
      <c r="G19553" s="9">
        <f t="shared" si="0"/>
      </c>
      <c r="L19553">
        <f t="shared" si="1"/>
      </c>
      <c r="M19553">
        <f t="shared" si="2"/>
      </c>
    </row>
    <row r="19554">
      <c r="G19554" s="9">
        <f t="shared" si="0"/>
      </c>
      <c r="L19554">
        <f t="shared" si="1"/>
      </c>
      <c r="M19554">
        <f t="shared" si="2"/>
      </c>
    </row>
    <row r="19555">
      <c r="G19555" s="9">
        <f t="shared" si="0"/>
      </c>
      <c r="L19555">
        <f t="shared" si="1"/>
      </c>
      <c r="M19555">
        <f t="shared" si="2"/>
      </c>
    </row>
    <row r="19556">
      <c r="G19556" s="9">
        <f t="shared" si="0"/>
      </c>
      <c r="L19556">
        <f t="shared" si="1"/>
      </c>
      <c r="M19556">
        <f t="shared" si="2"/>
      </c>
    </row>
    <row r="19557">
      <c r="G19557" s="9">
        <f t="shared" si="0"/>
      </c>
      <c r="L19557">
        <f t="shared" si="1"/>
      </c>
      <c r="M19557">
        <f t="shared" si="2"/>
      </c>
    </row>
    <row r="19558">
      <c r="G19558" s="9">
        <f t="shared" si="0"/>
      </c>
      <c r="L19558">
        <f t="shared" si="1"/>
      </c>
      <c r="M19558">
        <f t="shared" si="2"/>
      </c>
    </row>
    <row r="19559">
      <c r="G19559" s="9">
        <f t="shared" si="0"/>
      </c>
      <c r="L19559">
        <f t="shared" si="1"/>
      </c>
      <c r="M19559">
        <f t="shared" si="2"/>
      </c>
    </row>
    <row r="19560">
      <c r="G19560" s="9">
        <f t="shared" si="0"/>
      </c>
      <c r="L19560">
        <f t="shared" si="1"/>
      </c>
      <c r="M19560">
        <f t="shared" si="2"/>
      </c>
    </row>
    <row r="19561">
      <c r="G19561" s="9">
        <f t="shared" si="0"/>
      </c>
      <c r="L19561">
        <f t="shared" si="1"/>
      </c>
      <c r="M19561">
        <f t="shared" si="2"/>
      </c>
    </row>
    <row r="19562">
      <c r="G19562" s="9">
        <f t="shared" si="0"/>
      </c>
      <c r="L19562">
        <f t="shared" si="1"/>
      </c>
      <c r="M19562">
        <f t="shared" si="2"/>
      </c>
    </row>
    <row r="19563">
      <c r="G19563" s="9">
        <f t="shared" si="0"/>
      </c>
      <c r="L19563">
        <f t="shared" si="1"/>
      </c>
      <c r="M19563">
        <f t="shared" si="2"/>
      </c>
    </row>
    <row r="19564">
      <c r="G19564" s="9">
        <f t="shared" si="0"/>
      </c>
      <c r="L19564">
        <f t="shared" si="1"/>
      </c>
      <c r="M19564">
        <f t="shared" si="2"/>
      </c>
    </row>
    <row r="19565">
      <c r="G19565" s="9">
        <f t="shared" si="0"/>
      </c>
      <c r="L19565">
        <f t="shared" si="1"/>
      </c>
      <c r="M19565">
        <f t="shared" si="2"/>
      </c>
    </row>
    <row r="19566">
      <c r="G19566" s="9">
        <f t="shared" si="0"/>
      </c>
      <c r="L19566">
        <f t="shared" si="1"/>
      </c>
      <c r="M19566">
        <f t="shared" si="2"/>
      </c>
    </row>
    <row r="19567">
      <c r="G19567" s="9">
        <f t="shared" si="0"/>
      </c>
      <c r="L19567">
        <f t="shared" si="1"/>
      </c>
      <c r="M19567">
        <f t="shared" si="2"/>
      </c>
    </row>
    <row r="19568">
      <c r="G19568" s="9">
        <f t="shared" si="0"/>
      </c>
      <c r="L19568">
        <f t="shared" si="1"/>
      </c>
      <c r="M19568">
        <f t="shared" si="2"/>
      </c>
    </row>
    <row r="19569">
      <c r="G19569" s="9">
        <f t="shared" si="0"/>
      </c>
      <c r="L19569">
        <f t="shared" si="1"/>
      </c>
      <c r="M19569">
        <f t="shared" si="2"/>
      </c>
    </row>
    <row r="19570">
      <c r="G19570" s="9">
        <f t="shared" si="0"/>
      </c>
      <c r="L19570">
        <f t="shared" si="1"/>
      </c>
      <c r="M19570">
        <f t="shared" si="2"/>
      </c>
    </row>
    <row r="19571">
      <c r="G19571" s="9">
        <f t="shared" si="0"/>
      </c>
      <c r="L19571">
        <f t="shared" si="1"/>
      </c>
      <c r="M19571">
        <f t="shared" si="2"/>
      </c>
    </row>
    <row r="19572">
      <c r="G19572" s="9">
        <f t="shared" si="0"/>
      </c>
      <c r="L19572">
        <f t="shared" si="1"/>
      </c>
      <c r="M19572">
        <f t="shared" si="2"/>
      </c>
    </row>
    <row r="19573">
      <c r="G19573" s="9">
        <f t="shared" si="0"/>
      </c>
      <c r="L19573">
        <f t="shared" si="1"/>
      </c>
      <c r="M19573">
        <f t="shared" si="2"/>
      </c>
    </row>
    <row r="19574">
      <c r="G19574" s="9">
        <f t="shared" si="0"/>
      </c>
      <c r="L19574">
        <f t="shared" si="1"/>
      </c>
      <c r="M19574">
        <f t="shared" si="2"/>
      </c>
    </row>
    <row r="19575">
      <c r="G19575" s="9">
        <f t="shared" si="0"/>
      </c>
      <c r="L19575">
        <f t="shared" si="1"/>
      </c>
      <c r="M19575">
        <f t="shared" si="2"/>
      </c>
    </row>
    <row r="19576">
      <c r="G19576" s="9">
        <f t="shared" si="0"/>
      </c>
      <c r="L19576">
        <f t="shared" si="1"/>
      </c>
      <c r="M19576">
        <f t="shared" si="2"/>
      </c>
    </row>
    <row r="19577">
      <c r="G19577" s="9">
        <f t="shared" si="0"/>
      </c>
      <c r="L19577">
        <f t="shared" si="1"/>
      </c>
      <c r="M19577">
        <f t="shared" si="2"/>
      </c>
    </row>
    <row r="19578">
      <c r="G19578" s="9">
        <f t="shared" si="0"/>
      </c>
      <c r="L19578">
        <f t="shared" si="1"/>
      </c>
      <c r="M19578">
        <f t="shared" si="2"/>
      </c>
    </row>
    <row r="19579">
      <c r="G19579" s="9">
        <f t="shared" si="0"/>
      </c>
      <c r="L19579">
        <f t="shared" si="1"/>
      </c>
      <c r="M19579">
        <f t="shared" si="2"/>
      </c>
    </row>
    <row r="19580">
      <c r="G19580" s="9">
        <f t="shared" si="0"/>
      </c>
      <c r="L19580">
        <f t="shared" si="1"/>
      </c>
      <c r="M19580">
        <f t="shared" si="2"/>
      </c>
    </row>
    <row r="19581">
      <c r="G19581" s="9">
        <f t="shared" si="0"/>
      </c>
      <c r="L19581">
        <f t="shared" si="1"/>
      </c>
      <c r="M19581">
        <f t="shared" si="2"/>
      </c>
    </row>
    <row r="19582">
      <c r="G19582" s="9">
        <f t="shared" si="0"/>
      </c>
      <c r="L19582">
        <f t="shared" si="1"/>
      </c>
      <c r="M19582">
        <f t="shared" si="2"/>
      </c>
    </row>
    <row r="19583">
      <c r="G19583" s="9">
        <f t="shared" si="0"/>
      </c>
      <c r="L19583">
        <f t="shared" si="1"/>
      </c>
      <c r="M19583">
        <f t="shared" si="2"/>
      </c>
    </row>
    <row r="19584">
      <c r="G19584" s="9">
        <f t="shared" si="0"/>
      </c>
      <c r="L19584">
        <f t="shared" si="1"/>
      </c>
      <c r="M19584">
        <f t="shared" si="2"/>
      </c>
    </row>
    <row r="19585">
      <c r="G19585" s="9">
        <f t="shared" si="0"/>
      </c>
      <c r="L19585">
        <f t="shared" si="1"/>
      </c>
      <c r="M19585">
        <f t="shared" si="2"/>
      </c>
    </row>
    <row r="19586">
      <c r="G19586" s="9">
        <f t="shared" si="0"/>
      </c>
      <c r="L19586">
        <f t="shared" si="1"/>
      </c>
      <c r="M19586">
        <f t="shared" si="2"/>
      </c>
    </row>
    <row r="19587">
      <c r="G19587" s="9">
        <f t="shared" si="0"/>
      </c>
      <c r="L19587">
        <f t="shared" si="1"/>
      </c>
      <c r="M19587">
        <f t="shared" si="2"/>
      </c>
    </row>
    <row r="19588">
      <c r="G19588" s="9">
        <f t="shared" si="0"/>
      </c>
      <c r="L19588">
        <f t="shared" si="1"/>
      </c>
      <c r="M19588">
        <f t="shared" si="2"/>
      </c>
    </row>
    <row r="19589">
      <c r="G19589" s="9">
        <f t="shared" si="0"/>
      </c>
      <c r="L19589">
        <f t="shared" si="1"/>
      </c>
      <c r="M19589">
        <f t="shared" si="2"/>
      </c>
    </row>
    <row r="19590">
      <c r="G19590" s="9">
        <f t="shared" si="0"/>
      </c>
      <c r="L19590">
        <f t="shared" si="1"/>
      </c>
      <c r="M19590">
        <f t="shared" si="2"/>
      </c>
    </row>
    <row r="19591">
      <c r="G19591" s="9">
        <f t="shared" si="0"/>
      </c>
      <c r="L19591">
        <f t="shared" si="1"/>
      </c>
      <c r="M19591">
        <f t="shared" si="2"/>
      </c>
    </row>
    <row r="19592">
      <c r="G19592" s="9">
        <f t="shared" si="0"/>
      </c>
      <c r="L19592">
        <f t="shared" si="1"/>
      </c>
      <c r="M19592">
        <f t="shared" si="2"/>
      </c>
    </row>
    <row r="19593">
      <c r="G19593" s="9">
        <f t="shared" si="0"/>
      </c>
      <c r="L19593">
        <f t="shared" si="1"/>
      </c>
      <c r="M19593">
        <f t="shared" si="2"/>
      </c>
    </row>
    <row r="19594">
      <c r="G19594" s="9">
        <f t="shared" si="0"/>
      </c>
      <c r="L19594">
        <f t="shared" si="1"/>
      </c>
      <c r="M19594">
        <f t="shared" si="2"/>
      </c>
    </row>
    <row r="19595">
      <c r="G19595" s="9">
        <f t="shared" si="0"/>
      </c>
      <c r="L19595">
        <f t="shared" si="1"/>
      </c>
      <c r="M19595">
        <f t="shared" si="2"/>
      </c>
    </row>
    <row r="19596">
      <c r="G19596" s="9">
        <f t="shared" si="0"/>
      </c>
      <c r="L19596">
        <f t="shared" si="1"/>
      </c>
      <c r="M19596">
        <f t="shared" si="2"/>
      </c>
    </row>
    <row r="19597">
      <c r="G19597" s="9">
        <f t="shared" si="0"/>
      </c>
      <c r="L19597">
        <f t="shared" si="1"/>
      </c>
      <c r="M19597">
        <f t="shared" si="2"/>
      </c>
    </row>
    <row r="19598">
      <c r="G19598" s="9">
        <f t="shared" si="0"/>
      </c>
      <c r="L19598">
        <f t="shared" si="1"/>
      </c>
      <c r="M19598">
        <f t="shared" si="2"/>
      </c>
    </row>
    <row r="19599">
      <c r="G19599" s="9">
        <f t="shared" si="0"/>
      </c>
      <c r="L19599">
        <f t="shared" si="1"/>
      </c>
      <c r="M19599">
        <f t="shared" si="2"/>
      </c>
    </row>
    <row r="19600">
      <c r="G19600" s="9">
        <f t="shared" si="0"/>
      </c>
      <c r="L19600">
        <f t="shared" si="1"/>
      </c>
      <c r="M19600">
        <f t="shared" si="2"/>
      </c>
    </row>
    <row r="19601">
      <c r="G19601" s="9">
        <f t="shared" si="0"/>
      </c>
      <c r="L19601">
        <f t="shared" si="1"/>
      </c>
      <c r="M19601">
        <f t="shared" si="2"/>
      </c>
    </row>
    <row r="19602">
      <c r="G19602" s="9">
        <f t="shared" si="0"/>
      </c>
      <c r="L19602">
        <f t="shared" si="1"/>
      </c>
      <c r="M19602">
        <f t="shared" si="2"/>
      </c>
    </row>
    <row r="19603">
      <c r="G19603" s="9">
        <f t="shared" si="0"/>
      </c>
      <c r="L19603">
        <f t="shared" si="1"/>
      </c>
      <c r="M19603">
        <f t="shared" si="2"/>
      </c>
    </row>
    <row r="19604">
      <c r="G19604" s="9">
        <f t="shared" si="0"/>
      </c>
      <c r="L19604">
        <f t="shared" si="1"/>
      </c>
      <c r="M19604">
        <f t="shared" si="2"/>
      </c>
    </row>
    <row r="19605">
      <c r="G19605" s="9">
        <f t="shared" si="0"/>
      </c>
      <c r="L19605">
        <f t="shared" si="1"/>
      </c>
      <c r="M19605">
        <f t="shared" si="2"/>
      </c>
    </row>
    <row r="19606">
      <c r="G19606" s="9">
        <f t="shared" si="0"/>
      </c>
      <c r="L19606">
        <f t="shared" si="1"/>
      </c>
      <c r="M19606">
        <f t="shared" si="2"/>
      </c>
    </row>
    <row r="19607">
      <c r="G19607" s="9">
        <f t="shared" si="0"/>
      </c>
      <c r="L19607">
        <f t="shared" si="1"/>
      </c>
      <c r="M19607">
        <f t="shared" si="2"/>
      </c>
    </row>
    <row r="19608">
      <c r="G19608" s="9">
        <f t="shared" si="0"/>
      </c>
      <c r="L19608">
        <f t="shared" si="1"/>
      </c>
      <c r="M19608">
        <f t="shared" si="2"/>
      </c>
    </row>
    <row r="19609">
      <c r="G19609" s="9">
        <f t="shared" si="0"/>
      </c>
      <c r="L19609">
        <f t="shared" si="1"/>
      </c>
      <c r="M19609">
        <f t="shared" si="2"/>
      </c>
    </row>
    <row r="19610">
      <c r="G19610" s="9">
        <f t="shared" si="0"/>
      </c>
      <c r="L19610">
        <f t="shared" si="1"/>
      </c>
      <c r="M19610">
        <f t="shared" si="2"/>
      </c>
    </row>
    <row r="19611">
      <c r="G19611" s="9">
        <f t="shared" si="0"/>
      </c>
      <c r="L19611">
        <f t="shared" si="1"/>
      </c>
      <c r="M19611">
        <f t="shared" si="2"/>
      </c>
    </row>
    <row r="19612">
      <c r="G19612" s="9">
        <f t="shared" si="0"/>
      </c>
      <c r="L19612">
        <f t="shared" si="1"/>
      </c>
      <c r="M19612">
        <f t="shared" si="2"/>
      </c>
    </row>
    <row r="19613">
      <c r="G19613" s="9">
        <f t="shared" si="0"/>
      </c>
      <c r="L19613">
        <f t="shared" si="1"/>
      </c>
      <c r="M19613">
        <f t="shared" si="2"/>
      </c>
    </row>
    <row r="19614">
      <c r="G19614" s="9">
        <f t="shared" si="0"/>
      </c>
      <c r="L19614">
        <f t="shared" si="1"/>
      </c>
      <c r="M19614">
        <f t="shared" si="2"/>
      </c>
    </row>
    <row r="19615">
      <c r="G19615" s="9">
        <f t="shared" si="0"/>
      </c>
      <c r="L19615">
        <f t="shared" si="1"/>
      </c>
      <c r="M19615">
        <f t="shared" si="2"/>
      </c>
    </row>
    <row r="19616">
      <c r="G19616" s="9">
        <f t="shared" si="0"/>
      </c>
      <c r="L19616">
        <f t="shared" si="1"/>
      </c>
      <c r="M19616">
        <f t="shared" si="2"/>
      </c>
    </row>
    <row r="19617">
      <c r="G19617" s="9">
        <f t="shared" si="0"/>
      </c>
      <c r="L19617">
        <f t="shared" si="1"/>
      </c>
      <c r="M19617">
        <f t="shared" si="2"/>
      </c>
    </row>
    <row r="19618">
      <c r="G19618" s="9">
        <f t="shared" si="0"/>
      </c>
      <c r="L19618">
        <f t="shared" si="1"/>
      </c>
      <c r="M19618">
        <f t="shared" si="2"/>
      </c>
    </row>
    <row r="19619">
      <c r="G19619" s="9">
        <f t="shared" si="0"/>
      </c>
      <c r="L19619">
        <f t="shared" si="1"/>
      </c>
      <c r="M19619">
        <f t="shared" si="2"/>
      </c>
    </row>
    <row r="19620">
      <c r="G19620" s="9">
        <f t="shared" si="0"/>
      </c>
      <c r="L19620">
        <f t="shared" si="1"/>
      </c>
      <c r="M19620">
        <f t="shared" si="2"/>
      </c>
    </row>
    <row r="19621">
      <c r="G19621" s="9">
        <f t="shared" si="0"/>
      </c>
      <c r="L19621">
        <f t="shared" si="1"/>
      </c>
      <c r="M19621">
        <f t="shared" si="2"/>
      </c>
    </row>
    <row r="19622">
      <c r="G19622" s="9">
        <f t="shared" si="0"/>
      </c>
      <c r="L19622">
        <f t="shared" si="1"/>
      </c>
      <c r="M19622">
        <f t="shared" si="2"/>
      </c>
    </row>
    <row r="19623">
      <c r="G19623" s="9">
        <f t="shared" si="0"/>
      </c>
      <c r="L19623">
        <f t="shared" si="1"/>
      </c>
      <c r="M19623">
        <f t="shared" si="2"/>
      </c>
    </row>
    <row r="19624">
      <c r="G19624" s="9">
        <f t="shared" si="0"/>
      </c>
      <c r="L19624">
        <f t="shared" si="1"/>
      </c>
      <c r="M19624">
        <f t="shared" si="2"/>
      </c>
    </row>
    <row r="19625">
      <c r="G19625" s="9">
        <f t="shared" si="0"/>
      </c>
      <c r="L19625">
        <f t="shared" si="1"/>
      </c>
      <c r="M19625">
        <f t="shared" si="2"/>
      </c>
    </row>
    <row r="19626">
      <c r="G19626" s="9">
        <f t="shared" si="0"/>
      </c>
      <c r="L19626">
        <f t="shared" si="1"/>
      </c>
      <c r="M19626">
        <f t="shared" si="2"/>
      </c>
    </row>
    <row r="19627">
      <c r="G19627" s="9">
        <f t="shared" si="0"/>
      </c>
      <c r="L19627">
        <f t="shared" si="1"/>
      </c>
      <c r="M19627">
        <f t="shared" si="2"/>
      </c>
    </row>
    <row r="19628">
      <c r="G19628" s="9">
        <f t="shared" si="0"/>
      </c>
      <c r="L19628">
        <f t="shared" si="1"/>
      </c>
      <c r="M19628">
        <f t="shared" si="2"/>
      </c>
    </row>
    <row r="19629">
      <c r="G19629" s="9">
        <f t="shared" si="0"/>
      </c>
      <c r="L19629">
        <f t="shared" si="1"/>
      </c>
      <c r="M19629">
        <f t="shared" si="2"/>
      </c>
    </row>
    <row r="19630">
      <c r="G19630" s="9">
        <f t="shared" si="0"/>
      </c>
      <c r="L19630">
        <f t="shared" si="1"/>
      </c>
      <c r="M19630">
        <f t="shared" si="2"/>
      </c>
    </row>
    <row r="19631">
      <c r="G19631" s="9">
        <f t="shared" si="0"/>
      </c>
      <c r="L19631">
        <f t="shared" si="1"/>
      </c>
      <c r="M19631">
        <f t="shared" si="2"/>
      </c>
    </row>
    <row r="19632">
      <c r="G19632" s="9">
        <f t="shared" si="0"/>
      </c>
      <c r="L19632">
        <f t="shared" si="1"/>
      </c>
      <c r="M19632">
        <f t="shared" si="2"/>
      </c>
    </row>
    <row r="19633">
      <c r="G19633" s="9">
        <f t="shared" si="0"/>
      </c>
      <c r="L19633">
        <f t="shared" si="1"/>
      </c>
      <c r="M19633">
        <f t="shared" si="2"/>
      </c>
    </row>
    <row r="19634">
      <c r="G19634" s="9">
        <f t="shared" si="0"/>
      </c>
      <c r="L19634">
        <f t="shared" si="1"/>
      </c>
      <c r="M19634">
        <f t="shared" si="2"/>
      </c>
    </row>
    <row r="19635">
      <c r="G19635" s="9">
        <f t="shared" si="0"/>
      </c>
      <c r="L19635">
        <f t="shared" si="1"/>
      </c>
      <c r="M19635">
        <f t="shared" si="2"/>
      </c>
    </row>
    <row r="19636">
      <c r="G19636" s="9">
        <f t="shared" si="0"/>
      </c>
      <c r="L19636">
        <f t="shared" si="1"/>
      </c>
      <c r="M19636">
        <f t="shared" si="2"/>
      </c>
    </row>
    <row r="19637">
      <c r="G19637" s="9">
        <f t="shared" si="0"/>
      </c>
      <c r="L19637">
        <f t="shared" si="1"/>
      </c>
      <c r="M19637">
        <f t="shared" si="2"/>
      </c>
    </row>
    <row r="19638">
      <c r="G19638" s="9">
        <f t="shared" si="0"/>
      </c>
      <c r="L19638">
        <f t="shared" si="1"/>
      </c>
      <c r="M19638">
        <f t="shared" si="2"/>
      </c>
    </row>
    <row r="19639">
      <c r="G19639" s="9">
        <f t="shared" si="0"/>
      </c>
      <c r="L19639">
        <f t="shared" si="1"/>
      </c>
      <c r="M19639">
        <f t="shared" si="2"/>
      </c>
    </row>
    <row r="19640">
      <c r="G19640" s="9">
        <f t="shared" si="0"/>
      </c>
      <c r="L19640">
        <f t="shared" si="1"/>
      </c>
      <c r="M19640">
        <f t="shared" si="2"/>
      </c>
    </row>
    <row r="19641">
      <c r="G19641" s="9">
        <f t="shared" si="0"/>
      </c>
      <c r="L19641">
        <f t="shared" si="1"/>
      </c>
      <c r="M19641">
        <f t="shared" si="2"/>
      </c>
    </row>
    <row r="19642">
      <c r="G19642" s="9">
        <f t="shared" si="0"/>
      </c>
      <c r="L19642">
        <f t="shared" si="1"/>
      </c>
      <c r="M19642">
        <f t="shared" si="2"/>
      </c>
    </row>
    <row r="19643">
      <c r="G19643" s="9">
        <f t="shared" si="0"/>
      </c>
      <c r="L19643">
        <f t="shared" si="1"/>
      </c>
      <c r="M19643">
        <f t="shared" si="2"/>
      </c>
    </row>
    <row r="19644">
      <c r="G19644" s="9">
        <f t="shared" si="0"/>
      </c>
      <c r="L19644">
        <f t="shared" si="1"/>
      </c>
      <c r="M19644">
        <f t="shared" si="2"/>
      </c>
    </row>
    <row r="19645">
      <c r="G19645" s="9">
        <f t="shared" si="0"/>
      </c>
      <c r="L19645">
        <f t="shared" si="1"/>
      </c>
      <c r="M19645">
        <f t="shared" si="2"/>
      </c>
    </row>
    <row r="19646">
      <c r="G19646" s="9">
        <f t="shared" si="0"/>
      </c>
      <c r="L19646">
        <f t="shared" si="1"/>
      </c>
      <c r="M19646">
        <f t="shared" si="2"/>
      </c>
    </row>
    <row r="19647">
      <c r="G19647" s="9">
        <f t="shared" si="0"/>
      </c>
      <c r="L19647">
        <f t="shared" si="1"/>
      </c>
      <c r="M19647">
        <f t="shared" si="2"/>
      </c>
    </row>
    <row r="19648">
      <c r="G19648" s="9">
        <f t="shared" si="0"/>
      </c>
      <c r="L19648">
        <f t="shared" si="1"/>
      </c>
      <c r="M19648">
        <f t="shared" si="2"/>
      </c>
    </row>
    <row r="19649">
      <c r="G19649" s="9">
        <f t="shared" si="0"/>
      </c>
      <c r="L19649">
        <f t="shared" si="1"/>
      </c>
      <c r="M19649">
        <f t="shared" si="2"/>
      </c>
    </row>
    <row r="19650">
      <c r="G19650" s="9">
        <f t="shared" si="0"/>
      </c>
      <c r="L19650">
        <f t="shared" si="1"/>
      </c>
      <c r="M19650">
        <f t="shared" si="2"/>
      </c>
    </row>
    <row r="19651">
      <c r="G19651" s="9">
        <f t="shared" si="0"/>
      </c>
      <c r="L19651">
        <f t="shared" si="1"/>
      </c>
      <c r="M19651">
        <f t="shared" si="2"/>
      </c>
    </row>
    <row r="19652">
      <c r="G19652" s="9">
        <f t="shared" si="0"/>
      </c>
      <c r="L19652">
        <f t="shared" si="1"/>
      </c>
      <c r="M19652">
        <f t="shared" si="2"/>
      </c>
    </row>
    <row r="19653">
      <c r="G19653" s="9">
        <f t="shared" si="0"/>
      </c>
      <c r="L19653">
        <f t="shared" si="1"/>
      </c>
      <c r="M19653">
        <f t="shared" si="2"/>
      </c>
    </row>
    <row r="19654">
      <c r="G19654" s="9">
        <f t="shared" si="0"/>
      </c>
      <c r="L19654">
        <f t="shared" si="1"/>
      </c>
      <c r="M19654">
        <f t="shared" si="2"/>
      </c>
    </row>
    <row r="19655">
      <c r="G19655" s="9">
        <f t="shared" si="0"/>
      </c>
      <c r="L19655">
        <f t="shared" si="1"/>
      </c>
      <c r="M19655">
        <f t="shared" si="2"/>
      </c>
    </row>
    <row r="19656">
      <c r="G19656" s="9">
        <f t="shared" si="0"/>
      </c>
      <c r="L19656">
        <f t="shared" si="1"/>
      </c>
      <c r="M19656">
        <f t="shared" si="2"/>
      </c>
    </row>
    <row r="19657">
      <c r="G19657" s="9">
        <f t="shared" si="0"/>
      </c>
      <c r="L19657">
        <f t="shared" si="1"/>
      </c>
      <c r="M19657">
        <f t="shared" si="2"/>
      </c>
    </row>
    <row r="19658">
      <c r="G19658" s="9">
        <f t="shared" si="0"/>
      </c>
      <c r="L19658">
        <f t="shared" si="1"/>
      </c>
      <c r="M19658">
        <f t="shared" si="2"/>
      </c>
    </row>
    <row r="19659">
      <c r="G19659" s="9">
        <f t="shared" si="0"/>
      </c>
      <c r="L19659">
        <f t="shared" si="1"/>
      </c>
      <c r="M19659">
        <f t="shared" si="2"/>
      </c>
    </row>
    <row r="19660">
      <c r="G19660" s="9">
        <f t="shared" si="0"/>
      </c>
      <c r="L19660">
        <f t="shared" si="1"/>
      </c>
      <c r="M19660">
        <f t="shared" si="2"/>
      </c>
    </row>
    <row r="19661">
      <c r="G19661" s="9">
        <f t="shared" si="0"/>
      </c>
      <c r="L19661">
        <f t="shared" si="1"/>
      </c>
      <c r="M19661">
        <f t="shared" si="2"/>
      </c>
    </row>
    <row r="19662">
      <c r="G19662" s="9">
        <f t="shared" si="0"/>
      </c>
      <c r="L19662">
        <f t="shared" si="1"/>
      </c>
      <c r="M19662">
        <f t="shared" si="2"/>
      </c>
    </row>
    <row r="19663">
      <c r="G19663" s="9">
        <f t="shared" si="0"/>
      </c>
      <c r="L19663">
        <f t="shared" si="1"/>
      </c>
      <c r="M19663">
        <f t="shared" si="2"/>
      </c>
    </row>
    <row r="19664">
      <c r="G19664" s="9">
        <f t="shared" si="0"/>
      </c>
      <c r="L19664">
        <f t="shared" si="1"/>
      </c>
      <c r="M19664">
        <f t="shared" si="2"/>
      </c>
    </row>
    <row r="19665">
      <c r="G19665" s="9">
        <f t="shared" si="0"/>
      </c>
      <c r="L19665">
        <f t="shared" si="1"/>
      </c>
      <c r="M19665">
        <f t="shared" si="2"/>
      </c>
    </row>
    <row r="19666">
      <c r="G19666" s="9">
        <f t="shared" si="0"/>
      </c>
      <c r="L19666">
        <f t="shared" si="1"/>
      </c>
      <c r="M19666">
        <f t="shared" si="2"/>
      </c>
    </row>
    <row r="19667">
      <c r="G19667" s="9">
        <f t="shared" si="0"/>
      </c>
      <c r="L19667">
        <f t="shared" si="1"/>
      </c>
      <c r="M19667">
        <f t="shared" si="2"/>
      </c>
    </row>
    <row r="19668">
      <c r="G19668" s="9">
        <f t="shared" si="0"/>
      </c>
      <c r="L19668">
        <f t="shared" si="1"/>
      </c>
      <c r="M19668">
        <f t="shared" si="2"/>
      </c>
    </row>
    <row r="19669">
      <c r="G19669" s="9">
        <f t="shared" si="0"/>
      </c>
      <c r="L19669">
        <f t="shared" si="1"/>
      </c>
      <c r="M19669">
        <f t="shared" si="2"/>
      </c>
    </row>
    <row r="19670">
      <c r="G19670" s="9">
        <f t="shared" si="0"/>
      </c>
      <c r="L19670">
        <f t="shared" si="1"/>
      </c>
      <c r="M19670">
        <f t="shared" si="2"/>
      </c>
    </row>
    <row r="19671">
      <c r="G19671" s="9">
        <f t="shared" si="0"/>
      </c>
      <c r="L19671">
        <f t="shared" si="1"/>
      </c>
      <c r="M19671">
        <f t="shared" si="2"/>
      </c>
    </row>
    <row r="19672">
      <c r="G19672" s="9">
        <f t="shared" si="0"/>
      </c>
      <c r="L19672">
        <f t="shared" si="1"/>
      </c>
      <c r="M19672">
        <f t="shared" si="2"/>
      </c>
    </row>
    <row r="19673">
      <c r="G19673" s="9">
        <f t="shared" si="0"/>
      </c>
      <c r="L19673">
        <f t="shared" si="1"/>
      </c>
      <c r="M19673">
        <f t="shared" si="2"/>
      </c>
    </row>
    <row r="19674">
      <c r="G19674" s="9">
        <f t="shared" si="0"/>
      </c>
      <c r="L19674">
        <f t="shared" si="1"/>
      </c>
      <c r="M19674">
        <f t="shared" si="2"/>
      </c>
    </row>
    <row r="19675">
      <c r="G19675" s="9">
        <f t="shared" si="0"/>
      </c>
      <c r="L19675">
        <f t="shared" si="1"/>
      </c>
      <c r="M19675">
        <f t="shared" si="2"/>
      </c>
    </row>
    <row r="19676">
      <c r="G19676" s="9">
        <f t="shared" si="0"/>
      </c>
      <c r="L19676">
        <f t="shared" si="1"/>
      </c>
      <c r="M19676">
        <f t="shared" si="2"/>
      </c>
    </row>
    <row r="19677">
      <c r="G19677" s="9">
        <f t="shared" si="0"/>
      </c>
      <c r="L19677">
        <f t="shared" si="1"/>
      </c>
      <c r="M19677">
        <f t="shared" si="2"/>
      </c>
    </row>
    <row r="19678">
      <c r="G19678" s="9">
        <f t="shared" si="0"/>
      </c>
      <c r="L19678">
        <f t="shared" si="1"/>
      </c>
      <c r="M19678">
        <f t="shared" si="2"/>
      </c>
    </row>
    <row r="19679">
      <c r="G19679" s="9">
        <f t="shared" si="0"/>
      </c>
      <c r="L19679">
        <f t="shared" si="1"/>
      </c>
      <c r="M19679">
        <f t="shared" si="2"/>
      </c>
    </row>
    <row r="19680">
      <c r="G19680" s="9">
        <f t="shared" si="0"/>
      </c>
      <c r="L19680">
        <f t="shared" si="1"/>
      </c>
      <c r="M19680">
        <f t="shared" si="2"/>
      </c>
    </row>
    <row r="19681">
      <c r="G19681" s="9">
        <f t="shared" si="0"/>
      </c>
      <c r="L19681">
        <f t="shared" si="1"/>
      </c>
      <c r="M19681">
        <f t="shared" si="2"/>
      </c>
    </row>
    <row r="19682">
      <c r="G19682" s="9">
        <f t="shared" si="0"/>
      </c>
      <c r="L19682">
        <f t="shared" si="1"/>
      </c>
      <c r="M19682">
        <f t="shared" si="2"/>
      </c>
    </row>
    <row r="19683">
      <c r="G19683" s="9">
        <f t="shared" si="0"/>
      </c>
      <c r="L19683">
        <f t="shared" si="1"/>
      </c>
      <c r="M19683">
        <f t="shared" si="2"/>
      </c>
    </row>
    <row r="19684">
      <c r="G19684" s="9">
        <f t="shared" si="0"/>
      </c>
      <c r="L19684">
        <f t="shared" si="1"/>
      </c>
      <c r="M19684">
        <f t="shared" si="2"/>
      </c>
    </row>
    <row r="19685">
      <c r="G19685" s="9">
        <f t="shared" si="0"/>
      </c>
      <c r="L19685">
        <f t="shared" si="1"/>
      </c>
      <c r="M19685">
        <f t="shared" si="2"/>
      </c>
    </row>
    <row r="19686">
      <c r="G19686" s="9">
        <f t="shared" si="0"/>
      </c>
      <c r="L19686">
        <f t="shared" si="1"/>
      </c>
      <c r="M19686">
        <f t="shared" si="2"/>
      </c>
    </row>
    <row r="19687">
      <c r="G19687" s="9">
        <f t="shared" si="0"/>
      </c>
      <c r="L19687">
        <f t="shared" si="1"/>
      </c>
      <c r="M19687">
        <f t="shared" si="2"/>
      </c>
    </row>
    <row r="19688">
      <c r="G19688" s="9">
        <f t="shared" si="0"/>
      </c>
      <c r="L19688">
        <f t="shared" si="1"/>
      </c>
      <c r="M19688">
        <f t="shared" si="2"/>
      </c>
    </row>
    <row r="19689">
      <c r="G19689" s="9">
        <f t="shared" si="0"/>
      </c>
      <c r="L19689">
        <f t="shared" si="1"/>
      </c>
      <c r="M19689">
        <f t="shared" si="2"/>
      </c>
    </row>
    <row r="19690">
      <c r="G19690" s="9">
        <f t="shared" si="0"/>
      </c>
      <c r="L19690">
        <f t="shared" si="1"/>
      </c>
      <c r="M19690">
        <f t="shared" si="2"/>
      </c>
    </row>
    <row r="19691">
      <c r="G19691" s="9">
        <f t="shared" si="0"/>
      </c>
      <c r="L19691">
        <f t="shared" si="1"/>
      </c>
      <c r="M19691">
        <f t="shared" si="2"/>
      </c>
    </row>
    <row r="19692">
      <c r="G19692" s="9">
        <f t="shared" si="0"/>
      </c>
      <c r="L19692">
        <f t="shared" si="1"/>
      </c>
      <c r="M19692">
        <f t="shared" si="2"/>
      </c>
    </row>
    <row r="19693">
      <c r="G19693" s="9">
        <f t="shared" si="0"/>
      </c>
      <c r="L19693">
        <f t="shared" si="1"/>
      </c>
      <c r="M19693">
        <f t="shared" si="2"/>
      </c>
    </row>
    <row r="19694">
      <c r="G19694" s="9">
        <f t="shared" si="0"/>
      </c>
      <c r="L19694">
        <f t="shared" si="1"/>
      </c>
      <c r="M19694">
        <f t="shared" si="2"/>
      </c>
    </row>
    <row r="19695">
      <c r="G19695" s="9">
        <f t="shared" si="0"/>
      </c>
      <c r="L19695">
        <f t="shared" si="1"/>
      </c>
      <c r="M19695">
        <f t="shared" si="2"/>
      </c>
    </row>
    <row r="19696">
      <c r="G19696" s="9">
        <f t="shared" si="0"/>
      </c>
      <c r="L19696">
        <f t="shared" si="1"/>
      </c>
      <c r="M19696">
        <f t="shared" si="2"/>
      </c>
    </row>
    <row r="19697">
      <c r="G19697" s="9">
        <f t="shared" si="0"/>
      </c>
      <c r="L19697">
        <f t="shared" si="1"/>
      </c>
      <c r="M19697">
        <f t="shared" si="2"/>
      </c>
    </row>
    <row r="19698">
      <c r="G19698" s="9">
        <f t="shared" si="0"/>
      </c>
      <c r="L19698">
        <f t="shared" si="1"/>
      </c>
      <c r="M19698">
        <f t="shared" si="2"/>
      </c>
    </row>
    <row r="19699">
      <c r="G19699" s="9">
        <f t="shared" si="0"/>
      </c>
      <c r="L19699">
        <f t="shared" si="1"/>
      </c>
      <c r="M19699">
        <f t="shared" si="2"/>
      </c>
    </row>
    <row r="19700">
      <c r="G19700" s="9">
        <f t="shared" si="0"/>
      </c>
      <c r="L19700">
        <f t="shared" si="1"/>
      </c>
      <c r="M19700">
        <f t="shared" si="2"/>
      </c>
    </row>
    <row r="19701">
      <c r="G19701" s="9">
        <f t="shared" si="0"/>
      </c>
      <c r="L19701">
        <f t="shared" si="1"/>
      </c>
      <c r="M19701">
        <f t="shared" si="2"/>
      </c>
    </row>
    <row r="19702">
      <c r="G19702" s="9">
        <f t="shared" si="0"/>
      </c>
      <c r="L19702">
        <f t="shared" si="1"/>
      </c>
      <c r="M19702">
        <f t="shared" si="2"/>
      </c>
    </row>
    <row r="19703">
      <c r="G19703" s="9">
        <f t="shared" si="0"/>
      </c>
      <c r="L19703">
        <f t="shared" si="1"/>
      </c>
      <c r="M19703">
        <f t="shared" si="2"/>
      </c>
    </row>
    <row r="19704">
      <c r="G19704" s="9">
        <f t="shared" si="0"/>
      </c>
      <c r="L19704">
        <f t="shared" si="1"/>
      </c>
      <c r="M19704">
        <f t="shared" si="2"/>
      </c>
    </row>
    <row r="19705">
      <c r="G19705" s="9">
        <f t="shared" si="0"/>
      </c>
      <c r="L19705">
        <f t="shared" si="1"/>
      </c>
      <c r="M19705">
        <f t="shared" si="2"/>
      </c>
    </row>
    <row r="19706">
      <c r="G19706" s="9">
        <f t="shared" si="0"/>
      </c>
      <c r="L19706">
        <f t="shared" si="1"/>
      </c>
      <c r="M19706">
        <f t="shared" si="2"/>
      </c>
    </row>
    <row r="19707">
      <c r="G19707" s="9">
        <f t="shared" si="0"/>
      </c>
      <c r="L19707">
        <f t="shared" si="1"/>
      </c>
      <c r="M19707">
        <f t="shared" si="2"/>
      </c>
    </row>
    <row r="19708">
      <c r="G19708" s="9">
        <f t="shared" si="0"/>
      </c>
      <c r="L19708">
        <f t="shared" si="1"/>
      </c>
      <c r="M19708">
        <f t="shared" si="2"/>
      </c>
    </row>
    <row r="19709">
      <c r="G19709" s="9">
        <f t="shared" si="0"/>
      </c>
      <c r="L19709">
        <f t="shared" si="1"/>
      </c>
      <c r="M19709">
        <f t="shared" si="2"/>
      </c>
    </row>
    <row r="19710">
      <c r="G19710" s="9">
        <f t="shared" si="0"/>
      </c>
      <c r="L19710">
        <f t="shared" si="1"/>
      </c>
      <c r="M19710">
        <f t="shared" si="2"/>
      </c>
    </row>
    <row r="19711">
      <c r="G19711" s="9">
        <f t="shared" si="0"/>
      </c>
      <c r="L19711">
        <f t="shared" si="1"/>
      </c>
      <c r="M19711">
        <f t="shared" si="2"/>
      </c>
    </row>
    <row r="19712">
      <c r="G19712" s="9">
        <f t="shared" si="0"/>
      </c>
      <c r="L19712">
        <f t="shared" si="1"/>
      </c>
      <c r="M19712">
        <f t="shared" si="2"/>
      </c>
    </row>
    <row r="19713">
      <c r="G19713" s="9">
        <f t="shared" si="0"/>
      </c>
      <c r="L19713">
        <f t="shared" si="1"/>
      </c>
      <c r="M19713">
        <f t="shared" si="2"/>
      </c>
    </row>
    <row r="19714">
      <c r="G19714" s="9">
        <f t="shared" si="0"/>
      </c>
      <c r="L19714">
        <f t="shared" si="1"/>
      </c>
      <c r="M19714">
        <f t="shared" si="2"/>
      </c>
    </row>
    <row r="19715">
      <c r="G19715" s="9">
        <f t="shared" si="0"/>
      </c>
      <c r="L19715">
        <f t="shared" si="1"/>
      </c>
      <c r="M19715">
        <f t="shared" si="2"/>
      </c>
    </row>
    <row r="19716">
      <c r="G19716" s="9">
        <f t="shared" si="0"/>
      </c>
      <c r="L19716">
        <f t="shared" si="1"/>
      </c>
      <c r="M19716">
        <f t="shared" si="2"/>
      </c>
    </row>
    <row r="19717">
      <c r="G19717" s="9">
        <f t="shared" si="0"/>
      </c>
      <c r="L19717">
        <f t="shared" si="1"/>
      </c>
      <c r="M19717">
        <f t="shared" si="2"/>
      </c>
    </row>
    <row r="19718">
      <c r="G19718" s="9">
        <f t="shared" si="0"/>
      </c>
      <c r="L19718">
        <f t="shared" si="1"/>
      </c>
      <c r="M19718">
        <f t="shared" si="2"/>
      </c>
    </row>
    <row r="19719">
      <c r="G19719" s="9">
        <f t="shared" si="0"/>
      </c>
      <c r="L19719">
        <f t="shared" si="1"/>
      </c>
      <c r="M19719">
        <f t="shared" si="2"/>
      </c>
    </row>
    <row r="19720">
      <c r="G19720" s="9">
        <f t="shared" si="0"/>
      </c>
      <c r="L19720">
        <f t="shared" si="1"/>
      </c>
      <c r="M19720">
        <f t="shared" si="2"/>
      </c>
    </row>
    <row r="19721">
      <c r="G19721" s="9">
        <f t="shared" si="0"/>
      </c>
      <c r="L19721">
        <f t="shared" si="1"/>
      </c>
      <c r="M19721">
        <f t="shared" si="2"/>
      </c>
    </row>
    <row r="19722">
      <c r="G19722" s="9">
        <f t="shared" si="0"/>
      </c>
      <c r="L19722">
        <f t="shared" si="1"/>
      </c>
      <c r="M19722">
        <f t="shared" si="2"/>
      </c>
    </row>
    <row r="19723">
      <c r="G19723" s="9">
        <f t="shared" si="0"/>
      </c>
      <c r="L19723">
        <f t="shared" si="1"/>
      </c>
      <c r="M19723">
        <f t="shared" si="2"/>
      </c>
    </row>
    <row r="19724">
      <c r="G19724" s="9">
        <f t="shared" si="0"/>
      </c>
      <c r="L19724">
        <f t="shared" si="1"/>
      </c>
      <c r="M19724">
        <f t="shared" si="2"/>
      </c>
    </row>
    <row r="19725">
      <c r="G19725" s="9">
        <f t="shared" si="0"/>
      </c>
      <c r="L19725">
        <f t="shared" si="1"/>
      </c>
      <c r="M19725">
        <f t="shared" si="2"/>
      </c>
    </row>
    <row r="19726">
      <c r="G19726" s="9">
        <f t="shared" si="0"/>
      </c>
      <c r="L19726">
        <f t="shared" si="1"/>
      </c>
      <c r="M19726">
        <f t="shared" si="2"/>
      </c>
    </row>
    <row r="19727">
      <c r="G19727" s="9">
        <f t="shared" si="0"/>
      </c>
      <c r="L19727">
        <f t="shared" si="1"/>
      </c>
      <c r="M19727">
        <f t="shared" si="2"/>
      </c>
    </row>
    <row r="19728">
      <c r="G19728" s="9">
        <f t="shared" si="0"/>
      </c>
      <c r="L19728">
        <f t="shared" si="1"/>
      </c>
      <c r="M19728">
        <f t="shared" si="2"/>
      </c>
    </row>
    <row r="19729">
      <c r="G19729" s="9">
        <f t="shared" si="0"/>
      </c>
      <c r="L19729">
        <f t="shared" si="1"/>
      </c>
      <c r="M19729">
        <f t="shared" si="2"/>
      </c>
    </row>
    <row r="19730">
      <c r="G19730" s="9">
        <f t="shared" si="0"/>
      </c>
      <c r="L19730">
        <f t="shared" si="1"/>
      </c>
      <c r="M19730">
        <f t="shared" si="2"/>
      </c>
    </row>
    <row r="19731">
      <c r="G19731" s="9">
        <f t="shared" si="0"/>
      </c>
      <c r="L19731">
        <f t="shared" si="1"/>
      </c>
      <c r="M19731">
        <f t="shared" si="2"/>
      </c>
    </row>
    <row r="19732">
      <c r="G19732" s="9">
        <f t="shared" si="0"/>
      </c>
      <c r="L19732">
        <f t="shared" si="1"/>
      </c>
      <c r="M19732">
        <f t="shared" si="2"/>
      </c>
    </row>
    <row r="19733">
      <c r="G19733" s="9">
        <f t="shared" si="0"/>
      </c>
      <c r="L19733">
        <f t="shared" si="1"/>
      </c>
      <c r="M19733">
        <f t="shared" si="2"/>
      </c>
    </row>
    <row r="19734">
      <c r="G19734" s="9">
        <f t="shared" si="0"/>
      </c>
      <c r="L19734">
        <f t="shared" si="1"/>
      </c>
      <c r="M19734">
        <f t="shared" si="2"/>
      </c>
    </row>
    <row r="19735">
      <c r="G19735" s="9">
        <f t="shared" si="0"/>
      </c>
      <c r="L19735">
        <f t="shared" si="1"/>
      </c>
      <c r="M19735">
        <f t="shared" si="2"/>
      </c>
    </row>
    <row r="19736">
      <c r="G19736" s="9">
        <f t="shared" si="0"/>
      </c>
      <c r="L19736">
        <f t="shared" si="1"/>
      </c>
      <c r="M19736">
        <f t="shared" si="2"/>
      </c>
    </row>
    <row r="19737">
      <c r="G19737" s="9">
        <f t="shared" si="0"/>
      </c>
      <c r="L19737">
        <f t="shared" si="1"/>
      </c>
      <c r="M19737">
        <f t="shared" si="2"/>
      </c>
    </row>
    <row r="19738">
      <c r="G19738" s="9">
        <f t="shared" si="0"/>
      </c>
      <c r="L19738">
        <f t="shared" si="1"/>
      </c>
      <c r="M19738">
        <f t="shared" si="2"/>
      </c>
    </row>
    <row r="19739">
      <c r="G19739" s="9">
        <f t="shared" si="0"/>
      </c>
      <c r="L19739">
        <f t="shared" si="1"/>
      </c>
      <c r="M19739">
        <f t="shared" si="2"/>
      </c>
    </row>
    <row r="19740">
      <c r="G19740" s="9">
        <f t="shared" si="0"/>
      </c>
      <c r="L19740">
        <f t="shared" si="1"/>
      </c>
      <c r="M19740">
        <f t="shared" si="2"/>
      </c>
    </row>
    <row r="19741">
      <c r="G19741" s="9">
        <f t="shared" si="0"/>
      </c>
      <c r="L19741">
        <f t="shared" si="1"/>
      </c>
      <c r="M19741">
        <f t="shared" si="2"/>
      </c>
    </row>
    <row r="19742">
      <c r="G19742" s="9">
        <f t="shared" si="0"/>
      </c>
      <c r="L19742">
        <f t="shared" si="1"/>
      </c>
      <c r="M19742">
        <f t="shared" si="2"/>
      </c>
    </row>
    <row r="19743">
      <c r="G19743" s="9">
        <f t="shared" si="0"/>
      </c>
      <c r="L19743">
        <f t="shared" si="1"/>
      </c>
      <c r="M19743">
        <f t="shared" si="2"/>
      </c>
    </row>
    <row r="19744">
      <c r="G19744" s="9">
        <f t="shared" si="0"/>
      </c>
      <c r="L19744">
        <f t="shared" si="1"/>
      </c>
      <c r="M19744">
        <f t="shared" si="2"/>
      </c>
    </row>
    <row r="19745">
      <c r="G19745" s="9">
        <f t="shared" si="0"/>
      </c>
      <c r="L19745">
        <f t="shared" si="1"/>
      </c>
      <c r="M19745">
        <f t="shared" si="2"/>
      </c>
    </row>
    <row r="19746">
      <c r="G19746" s="9">
        <f t="shared" si="0"/>
      </c>
      <c r="L19746">
        <f t="shared" si="1"/>
      </c>
      <c r="M19746">
        <f t="shared" si="2"/>
      </c>
    </row>
    <row r="19747">
      <c r="G19747" s="9">
        <f t="shared" si="0"/>
      </c>
      <c r="L19747">
        <f t="shared" si="1"/>
      </c>
      <c r="M19747">
        <f t="shared" si="2"/>
      </c>
    </row>
    <row r="19748">
      <c r="G19748" s="9">
        <f t="shared" si="0"/>
      </c>
      <c r="L19748">
        <f t="shared" si="1"/>
      </c>
      <c r="M19748">
        <f t="shared" si="2"/>
      </c>
    </row>
    <row r="19749">
      <c r="G19749" s="9">
        <f t="shared" si="0"/>
      </c>
      <c r="L19749">
        <f t="shared" si="1"/>
      </c>
      <c r="M19749">
        <f t="shared" si="2"/>
      </c>
    </row>
    <row r="19750">
      <c r="G19750" s="9">
        <f t="shared" si="0"/>
      </c>
      <c r="L19750">
        <f t="shared" si="1"/>
      </c>
      <c r="M19750">
        <f t="shared" si="2"/>
      </c>
    </row>
    <row r="19751">
      <c r="G19751" s="9">
        <f t="shared" si="0"/>
      </c>
      <c r="L19751">
        <f t="shared" si="1"/>
      </c>
      <c r="M19751">
        <f t="shared" si="2"/>
      </c>
    </row>
    <row r="19752">
      <c r="G19752" s="9">
        <f t="shared" si="0"/>
      </c>
      <c r="L19752">
        <f t="shared" si="1"/>
      </c>
      <c r="M19752">
        <f t="shared" si="2"/>
      </c>
    </row>
    <row r="19753">
      <c r="G19753" s="9">
        <f t="shared" si="0"/>
      </c>
      <c r="L19753">
        <f t="shared" si="1"/>
      </c>
      <c r="M19753">
        <f t="shared" si="2"/>
      </c>
    </row>
    <row r="19754">
      <c r="G19754" s="9">
        <f t="shared" si="0"/>
      </c>
      <c r="L19754">
        <f t="shared" si="1"/>
      </c>
      <c r="M19754">
        <f t="shared" si="2"/>
      </c>
    </row>
    <row r="19755">
      <c r="G19755" s="9">
        <f t="shared" si="0"/>
      </c>
      <c r="L19755">
        <f t="shared" si="1"/>
      </c>
      <c r="M19755">
        <f t="shared" si="2"/>
      </c>
    </row>
    <row r="19756">
      <c r="G19756" s="9">
        <f t="shared" si="0"/>
      </c>
      <c r="L19756">
        <f t="shared" si="1"/>
      </c>
      <c r="M19756">
        <f t="shared" si="2"/>
      </c>
    </row>
    <row r="19757">
      <c r="G19757" s="9">
        <f t="shared" si="0"/>
      </c>
      <c r="L19757">
        <f t="shared" si="1"/>
      </c>
      <c r="M19757">
        <f t="shared" si="2"/>
      </c>
    </row>
    <row r="19758">
      <c r="G19758" s="9">
        <f t="shared" si="0"/>
      </c>
      <c r="L19758">
        <f t="shared" si="1"/>
      </c>
      <c r="M19758">
        <f t="shared" si="2"/>
      </c>
    </row>
    <row r="19759">
      <c r="G19759" s="9">
        <f t="shared" si="0"/>
      </c>
      <c r="L19759">
        <f t="shared" si="1"/>
      </c>
      <c r="M19759">
        <f t="shared" si="2"/>
      </c>
    </row>
    <row r="19760">
      <c r="G19760" s="9">
        <f t="shared" si="0"/>
      </c>
      <c r="L19760">
        <f t="shared" si="1"/>
      </c>
      <c r="M19760">
        <f t="shared" si="2"/>
      </c>
    </row>
    <row r="19761">
      <c r="G19761" s="9">
        <f t="shared" si="0"/>
      </c>
      <c r="L19761">
        <f t="shared" si="1"/>
      </c>
      <c r="M19761">
        <f t="shared" si="2"/>
      </c>
    </row>
    <row r="19762">
      <c r="G19762" s="9">
        <f t="shared" si="0"/>
      </c>
      <c r="L19762">
        <f t="shared" si="1"/>
      </c>
      <c r="M19762">
        <f t="shared" si="2"/>
      </c>
    </row>
    <row r="19763">
      <c r="G19763" s="9">
        <f t="shared" si="0"/>
      </c>
      <c r="L19763">
        <f t="shared" si="1"/>
      </c>
      <c r="M19763">
        <f t="shared" si="2"/>
      </c>
    </row>
    <row r="19764">
      <c r="G19764" s="9">
        <f t="shared" si="0"/>
      </c>
      <c r="L19764">
        <f t="shared" si="1"/>
      </c>
      <c r="M19764">
        <f t="shared" si="2"/>
      </c>
    </row>
    <row r="19765">
      <c r="G19765" s="9">
        <f t="shared" si="0"/>
      </c>
      <c r="L19765">
        <f t="shared" si="1"/>
      </c>
      <c r="M19765">
        <f t="shared" si="2"/>
      </c>
    </row>
    <row r="19766">
      <c r="G19766" s="9">
        <f t="shared" si="0"/>
      </c>
      <c r="L19766">
        <f t="shared" si="1"/>
      </c>
      <c r="M19766">
        <f t="shared" si="2"/>
      </c>
    </row>
    <row r="19767">
      <c r="G19767" s="9">
        <f t="shared" si="0"/>
      </c>
      <c r="L19767">
        <f t="shared" si="1"/>
      </c>
      <c r="M19767">
        <f t="shared" si="2"/>
      </c>
    </row>
    <row r="19768">
      <c r="G19768" s="9">
        <f t="shared" si="0"/>
      </c>
      <c r="L19768">
        <f t="shared" si="1"/>
      </c>
      <c r="M19768">
        <f t="shared" si="2"/>
      </c>
    </row>
    <row r="19769">
      <c r="G19769" s="9">
        <f t="shared" si="0"/>
      </c>
      <c r="L19769">
        <f t="shared" si="1"/>
      </c>
      <c r="M19769">
        <f t="shared" si="2"/>
      </c>
    </row>
    <row r="19770">
      <c r="G19770" s="9">
        <f t="shared" si="0"/>
      </c>
      <c r="L19770">
        <f t="shared" si="1"/>
      </c>
      <c r="M19770">
        <f t="shared" si="2"/>
      </c>
    </row>
    <row r="19771">
      <c r="G19771" s="9">
        <f t="shared" si="0"/>
      </c>
      <c r="L19771">
        <f t="shared" si="1"/>
      </c>
      <c r="M19771">
        <f t="shared" si="2"/>
      </c>
    </row>
    <row r="19772">
      <c r="G19772" s="9">
        <f t="shared" si="0"/>
      </c>
      <c r="L19772">
        <f t="shared" si="1"/>
      </c>
      <c r="M19772">
        <f t="shared" si="2"/>
      </c>
    </row>
    <row r="19773">
      <c r="G19773" s="9">
        <f t="shared" si="0"/>
      </c>
      <c r="L19773">
        <f t="shared" si="1"/>
      </c>
      <c r="M19773">
        <f t="shared" si="2"/>
      </c>
    </row>
    <row r="19774">
      <c r="G19774" s="9">
        <f t="shared" si="0"/>
      </c>
      <c r="L19774">
        <f t="shared" si="1"/>
      </c>
      <c r="M19774">
        <f t="shared" si="2"/>
      </c>
    </row>
    <row r="19775">
      <c r="G19775" s="9">
        <f t="shared" si="0"/>
      </c>
      <c r="L19775">
        <f t="shared" si="1"/>
      </c>
      <c r="M19775">
        <f t="shared" si="2"/>
      </c>
    </row>
    <row r="19776">
      <c r="G19776" s="9">
        <f t="shared" si="0"/>
      </c>
      <c r="L19776">
        <f t="shared" si="1"/>
      </c>
      <c r="M19776">
        <f t="shared" si="2"/>
      </c>
    </row>
    <row r="19777">
      <c r="G19777" s="9">
        <f t="shared" si="0"/>
      </c>
      <c r="L19777">
        <f t="shared" si="1"/>
      </c>
      <c r="M19777">
        <f t="shared" si="2"/>
      </c>
    </row>
    <row r="19778">
      <c r="G19778" s="9">
        <f t="shared" si="0"/>
      </c>
      <c r="L19778">
        <f t="shared" si="1"/>
      </c>
      <c r="M19778">
        <f t="shared" si="2"/>
      </c>
    </row>
    <row r="19779">
      <c r="G19779" s="9">
        <f t="shared" si="0"/>
      </c>
      <c r="L19779">
        <f t="shared" si="1"/>
      </c>
      <c r="M19779">
        <f t="shared" si="2"/>
      </c>
    </row>
    <row r="19780">
      <c r="G19780" s="9">
        <f t="shared" si="0"/>
      </c>
      <c r="L19780">
        <f t="shared" si="1"/>
      </c>
      <c r="M19780">
        <f t="shared" si="2"/>
      </c>
    </row>
    <row r="19781">
      <c r="G19781" s="9">
        <f t="shared" si="0"/>
      </c>
      <c r="L19781">
        <f t="shared" si="1"/>
      </c>
      <c r="M19781">
        <f t="shared" si="2"/>
      </c>
    </row>
    <row r="19782">
      <c r="G19782" s="9">
        <f t="shared" si="0"/>
      </c>
      <c r="L19782">
        <f t="shared" si="1"/>
      </c>
      <c r="M19782">
        <f t="shared" si="2"/>
      </c>
    </row>
    <row r="19783">
      <c r="G19783" s="9">
        <f t="shared" si="0"/>
      </c>
      <c r="L19783">
        <f t="shared" si="1"/>
      </c>
      <c r="M19783">
        <f t="shared" si="2"/>
      </c>
    </row>
    <row r="19784">
      <c r="G19784" s="9">
        <f t="shared" si="0"/>
      </c>
      <c r="L19784">
        <f t="shared" si="1"/>
      </c>
      <c r="M19784">
        <f t="shared" si="2"/>
      </c>
    </row>
    <row r="19785">
      <c r="G19785" s="9">
        <f t="shared" si="0"/>
      </c>
      <c r="L19785">
        <f t="shared" si="1"/>
      </c>
      <c r="M19785">
        <f t="shared" si="2"/>
      </c>
    </row>
    <row r="19786">
      <c r="G19786" s="9">
        <f t="shared" si="0"/>
      </c>
      <c r="L19786">
        <f t="shared" si="1"/>
      </c>
      <c r="M19786">
        <f t="shared" si="2"/>
      </c>
    </row>
    <row r="19787">
      <c r="G19787" s="9">
        <f t="shared" si="0"/>
      </c>
      <c r="L19787">
        <f t="shared" si="1"/>
      </c>
      <c r="M19787">
        <f t="shared" si="2"/>
      </c>
    </row>
    <row r="19788">
      <c r="G19788" s="9">
        <f t="shared" si="0"/>
      </c>
      <c r="L19788">
        <f t="shared" si="1"/>
      </c>
      <c r="M19788">
        <f t="shared" si="2"/>
      </c>
    </row>
    <row r="19789">
      <c r="G19789" s="9">
        <f t="shared" si="0"/>
      </c>
      <c r="L19789">
        <f t="shared" si="1"/>
      </c>
      <c r="M19789">
        <f t="shared" si="2"/>
      </c>
    </row>
    <row r="19790">
      <c r="G19790" s="9">
        <f t="shared" si="0"/>
      </c>
      <c r="L19790">
        <f t="shared" si="1"/>
      </c>
      <c r="M19790">
        <f t="shared" si="2"/>
      </c>
    </row>
    <row r="19791">
      <c r="G19791" s="9">
        <f t="shared" si="0"/>
      </c>
      <c r="L19791">
        <f t="shared" si="1"/>
      </c>
      <c r="M19791">
        <f t="shared" si="2"/>
      </c>
    </row>
    <row r="19792">
      <c r="G19792" s="9">
        <f t="shared" si="0"/>
      </c>
      <c r="L19792">
        <f t="shared" si="1"/>
      </c>
      <c r="M19792">
        <f t="shared" si="2"/>
      </c>
    </row>
    <row r="19793">
      <c r="G19793" s="9">
        <f t="shared" si="0"/>
      </c>
      <c r="L19793">
        <f t="shared" si="1"/>
      </c>
      <c r="M19793">
        <f t="shared" si="2"/>
      </c>
    </row>
    <row r="19794">
      <c r="G19794" s="9">
        <f t="shared" si="0"/>
      </c>
      <c r="L19794">
        <f t="shared" si="1"/>
      </c>
      <c r="M19794">
        <f t="shared" si="2"/>
      </c>
    </row>
    <row r="19795">
      <c r="G19795" s="9">
        <f t="shared" si="0"/>
      </c>
      <c r="L19795">
        <f t="shared" si="1"/>
      </c>
      <c r="M19795">
        <f t="shared" si="2"/>
      </c>
    </row>
    <row r="19796">
      <c r="G19796" s="9">
        <f t="shared" si="0"/>
      </c>
      <c r="L19796">
        <f t="shared" si="1"/>
      </c>
      <c r="M19796">
        <f t="shared" si="2"/>
      </c>
    </row>
    <row r="19797">
      <c r="G19797" s="9">
        <f t="shared" si="0"/>
      </c>
      <c r="L19797">
        <f t="shared" si="1"/>
      </c>
      <c r="M19797">
        <f t="shared" si="2"/>
      </c>
    </row>
    <row r="19798">
      <c r="G19798" s="9">
        <f t="shared" si="0"/>
      </c>
      <c r="L19798">
        <f t="shared" si="1"/>
      </c>
      <c r="M19798">
        <f t="shared" si="2"/>
      </c>
    </row>
    <row r="19799">
      <c r="G19799" s="9">
        <f t="shared" si="0"/>
      </c>
      <c r="L19799">
        <f t="shared" si="1"/>
      </c>
      <c r="M19799">
        <f t="shared" si="2"/>
      </c>
    </row>
    <row r="19800">
      <c r="G19800" s="9">
        <f t="shared" si="0"/>
      </c>
      <c r="L19800">
        <f t="shared" si="1"/>
      </c>
      <c r="M19800">
        <f t="shared" si="2"/>
      </c>
    </row>
    <row r="19801">
      <c r="G19801" s="9">
        <f t="shared" si="0"/>
      </c>
      <c r="L19801">
        <f t="shared" si="1"/>
      </c>
      <c r="M19801">
        <f t="shared" si="2"/>
      </c>
    </row>
    <row r="19802">
      <c r="G19802" s="9">
        <f t="shared" si="0"/>
      </c>
      <c r="L19802">
        <f t="shared" si="1"/>
      </c>
      <c r="M19802">
        <f t="shared" si="2"/>
      </c>
    </row>
    <row r="19803">
      <c r="G19803" s="9">
        <f t="shared" si="0"/>
      </c>
      <c r="L19803">
        <f t="shared" si="1"/>
      </c>
      <c r="M19803">
        <f t="shared" si="2"/>
      </c>
    </row>
    <row r="19804">
      <c r="G19804" s="9">
        <f t="shared" si="0"/>
      </c>
      <c r="L19804">
        <f t="shared" si="1"/>
      </c>
      <c r="M19804">
        <f t="shared" si="2"/>
      </c>
    </row>
    <row r="19805">
      <c r="G19805" s="9">
        <f t="shared" si="0"/>
      </c>
      <c r="L19805">
        <f t="shared" si="1"/>
      </c>
      <c r="M19805">
        <f t="shared" si="2"/>
      </c>
    </row>
    <row r="19806">
      <c r="G19806" s="9">
        <f t="shared" si="0"/>
      </c>
      <c r="L19806">
        <f t="shared" si="1"/>
      </c>
      <c r="M19806">
        <f t="shared" si="2"/>
      </c>
    </row>
    <row r="19807">
      <c r="G19807" s="9">
        <f t="shared" si="0"/>
      </c>
      <c r="L19807">
        <f t="shared" si="1"/>
      </c>
      <c r="M19807">
        <f t="shared" si="2"/>
      </c>
    </row>
    <row r="19808">
      <c r="G19808" s="9">
        <f t="shared" si="0"/>
      </c>
      <c r="L19808">
        <f t="shared" si="1"/>
      </c>
      <c r="M19808">
        <f t="shared" si="2"/>
      </c>
    </row>
    <row r="19809">
      <c r="G19809" s="9">
        <f t="shared" si="0"/>
      </c>
      <c r="L19809">
        <f t="shared" si="1"/>
      </c>
      <c r="M19809">
        <f t="shared" si="2"/>
      </c>
    </row>
    <row r="19810">
      <c r="G19810" s="9">
        <f t="shared" si="0"/>
      </c>
      <c r="L19810">
        <f t="shared" si="1"/>
      </c>
      <c r="M19810">
        <f t="shared" si="2"/>
      </c>
    </row>
    <row r="19811">
      <c r="G19811" s="9">
        <f t="shared" si="0"/>
      </c>
      <c r="L19811">
        <f t="shared" si="1"/>
      </c>
      <c r="M19811">
        <f t="shared" si="2"/>
      </c>
    </row>
    <row r="19812">
      <c r="G19812" s="9">
        <f t="shared" si="0"/>
      </c>
      <c r="L19812">
        <f t="shared" si="1"/>
      </c>
      <c r="M19812">
        <f t="shared" si="2"/>
      </c>
    </row>
    <row r="19813">
      <c r="G19813" s="9">
        <f t="shared" si="0"/>
      </c>
      <c r="L19813">
        <f t="shared" si="1"/>
      </c>
      <c r="M19813">
        <f t="shared" si="2"/>
      </c>
    </row>
    <row r="19814">
      <c r="G19814" s="9">
        <f t="shared" si="0"/>
      </c>
      <c r="L19814">
        <f t="shared" si="1"/>
      </c>
      <c r="M19814">
        <f t="shared" si="2"/>
      </c>
    </row>
    <row r="19815">
      <c r="G19815" s="9">
        <f t="shared" si="0"/>
      </c>
      <c r="L19815">
        <f t="shared" si="1"/>
      </c>
      <c r="M19815">
        <f t="shared" si="2"/>
      </c>
    </row>
    <row r="19816">
      <c r="G19816" s="9">
        <f t="shared" si="0"/>
      </c>
      <c r="L19816">
        <f t="shared" si="1"/>
      </c>
      <c r="M19816">
        <f t="shared" si="2"/>
      </c>
    </row>
    <row r="19817">
      <c r="G19817" s="9">
        <f t="shared" si="0"/>
      </c>
      <c r="L19817">
        <f t="shared" si="1"/>
      </c>
      <c r="M19817">
        <f t="shared" si="2"/>
      </c>
    </row>
    <row r="19818">
      <c r="G19818" s="9">
        <f t="shared" si="0"/>
      </c>
      <c r="L19818">
        <f t="shared" si="1"/>
      </c>
      <c r="M19818">
        <f t="shared" si="2"/>
      </c>
    </row>
    <row r="19819">
      <c r="G19819" s="9">
        <f t="shared" si="0"/>
      </c>
      <c r="L19819">
        <f t="shared" si="1"/>
      </c>
      <c r="M19819">
        <f t="shared" si="2"/>
      </c>
    </row>
    <row r="19820">
      <c r="G19820" s="9">
        <f t="shared" si="0"/>
      </c>
      <c r="L19820">
        <f t="shared" si="1"/>
      </c>
      <c r="M19820">
        <f t="shared" si="2"/>
      </c>
    </row>
    <row r="19821">
      <c r="G19821" s="9">
        <f t="shared" si="0"/>
      </c>
      <c r="L19821">
        <f t="shared" si="1"/>
      </c>
      <c r="M19821">
        <f t="shared" si="2"/>
      </c>
    </row>
    <row r="19822">
      <c r="G19822" s="9">
        <f t="shared" si="0"/>
      </c>
      <c r="L19822">
        <f t="shared" si="1"/>
      </c>
      <c r="M19822">
        <f t="shared" si="2"/>
      </c>
    </row>
    <row r="19823">
      <c r="G19823" s="9">
        <f t="shared" si="0"/>
      </c>
      <c r="L19823">
        <f t="shared" si="1"/>
      </c>
      <c r="M19823">
        <f t="shared" si="2"/>
      </c>
    </row>
    <row r="19824">
      <c r="G19824" s="9">
        <f t="shared" si="0"/>
      </c>
      <c r="L19824">
        <f t="shared" si="1"/>
      </c>
      <c r="M19824">
        <f t="shared" si="2"/>
      </c>
    </row>
    <row r="19825">
      <c r="G19825" s="9">
        <f t="shared" si="0"/>
      </c>
      <c r="L19825">
        <f t="shared" si="1"/>
      </c>
      <c r="M19825">
        <f t="shared" si="2"/>
      </c>
    </row>
    <row r="19826">
      <c r="G19826" s="9">
        <f t="shared" si="0"/>
      </c>
      <c r="L19826">
        <f t="shared" si="1"/>
      </c>
      <c r="M19826">
        <f t="shared" si="2"/>
      </c>
    </row>
    <row r="19827">
      <c r="G19827" s="9">
        <f t="shared" si="0"/>
      </c>
      <c r="L19827">
        <f t="shared" si="1"/>
      </c>
      <c r="M19827">
        <f t="shared" si="2"/>
      </c>
    </row>
    <row r="19828">
      <c r="G19828" s="9">
        <f t="shared" si="0"/>
      </c>
      <c r="L19828">
        <f t="shared" si="1"/>
      </c>
      <c r="M19828">
        <f t="shared" si="2"/>
      </c>
    </row>
    <row r="19829">
      <c r="G19829" s="9">
        <f t="shared" si="0"/>
      </c>
      <c r="L19829">
        <f t="shared" si="1"/>
      </c>
      <c r="M19829">
        <f t="shared" si="2"/>
      </c>
    </row>
    <row r="19830">
      <c r="G19830" s="9">
        <f t="shared" si="0"/>
      </c>
      <c r="L19830">
        <f t="shared" si="1"/>
      </c>
      <c r="M19830">
        <f t="shared" si="2"/>
      </c>
    </row>
    <row r="19831">
      <c r="G19831" s="9">
        <f t="shared" si="0"/>
      </c>
      <c r="L19831">
        <f t="shared" si="1"/>
      </c>
      <c r="M19831">
        <f t="shared" si="2"/>
      </c>
    </row>
    <row r="19832">
      <c r="G19832" s="9">
        <f t="shared" si="0"/>
      </c>
      <c r="L19832">
        <f t="shared" si="1"/>
      </c>
      <c r="M19832">
        <f t="shared" si="2"/>
      </c>
    </row>
    <row r="19833">
      <c r="G19833" s="9">
        <f t="shared" si="0"/>
      </c>
      <c r="L19833">
        <f t="shared" si="1"/>
      </c>
      <c r="M19833">
        <f t="shared" si="2"/>
      </c>
    </row>
    <row r="19834">
      <c r="G19834" s="9">
        <f t="shared" si="0"/>
      </c>
      <c r="L19834">
        <f t="shared" si="1"/>
      </c>
      <c r="M19834">
        <f t="shared" si="2"/>
      </c>
    </row>
    <row r="19835">
      <c r="G19835" s="9">
        <f t="shared" si="0"/>
      </c>
      <c r="L19835">
        <f t="shared" si="1"/>
      </c>
      <c r="M19835">
        <f t="shared" si="2"/>
      </c>
    </row>
    <row r="19836">
      <c r="G19836" s="9">
        <f t="shared" si="0"/>
      </c>
      <c r="L19836">
        <f t="shared" si="1"/>
      </c>
      <c r="M19836">
        <f t="shared" si="2"/>
      </c>
    </row>
    <row r="19837">
      <c r="G19837" s="9">
        <f t="shared" si="0"/>
      </c>
      <c r="L19837">
        <f t="shared" si="1"/>
      </c>
      <c r="M19837">
        <f t="shared" si="2"/>
      </c>
    </row>
    <row r="19838">
      <c r="G19838" s="9">
        <f t="shared" si="0"/>
      </c>
      <c r="L19838">
        <f t="shared" si="1"/>
      </c>
      <c r="M19838">
        <f t="shared" si="2"/>
      </c>
    </row>
    <row r="19839">
      <c r="G19839" s="9">
        <f t="shared" si="0"/>
      </c>
      <c r="L19839">
        <f t="shared" si="1"/>
      </c>
      <c r="M19839">
        <f t="shared" si="2"/>
      </c>
    </row>
    <row r="19840">
      <c r="G19840" s="9">
        <f t="shared" si="0"/>
      </c>
      <c r="L19840">
        <f t="shared" si="1"/>
      </c>
      <c r="M19840">
        <f t="shared" si="2"/>
      </c>
    </row>
    <row r="19841">
      <c r="G19841" s="9">
        <f t="shared" si="0"/>
      </c>
      <c r="L19841">
        <f t="shared" si="1"/>
      </c>
      <c r="M19841">
        <f t="shared" si="2"/>
      </c>
    </row>
    <row r="19842">
      <c r="G19842" s="9">
        <f t="shared" si="0"/>
      </c>
      <c r="L19842">
        <f t="shared" si="1"/>
      </c>
      <c r="M19842">
        <f t="shared" si="2"/>
      </c>
    </row>
    <row r="19843">
      <c r="G19843" s="9">
        <f t="shared" si="0"/>
      </c>
      <c r="L19843">
        <f t="shared" si="1"/>
      </c>
      <c r="M19843">
        <f t="shared" si="2"/>
      </c>
    </row>
    <row r="19844">
      <c r="G19844" s="9">
        <f t="shared" si="0"/>
      </c>
      <c r="L19844">
        <f t="shared" si="1"/>
      </c>
      <c r="M19844">
        <f t="shared" si="2"/>
      </c>
    </row>
    <row r="19845">
      <c r="G19845" s="9">
        <f t="shared" si="0"/>
      </c>
      <c r="L19845">
        <f t="shared" si="1"/>
      </c>
      <c r="M19845">
        <f t="shared" si="2"/>
      </c>
    </row>
    <row r="19846">
      <c r="G19846" s="9">
        <f t="shared" si="0"/>
      </c>
      <c r="L19846">
        <f t="shared" si="1"/>
      </c>
      <c r="M19846">
        <f t="shared" si="2"/>
      </c>
    </row>
    <row r="19847">
      <c r="G19847" s="9">
        <f t="shared" si="0"/>
      </c>
      <c r="L19847">
        <f t="shared" si="1"/>
      </c>
      <c r="M19847">
        <f t="shared" si="2"/>
      </c>
    </row>
    <row r="19848">
      <c r="G19848" s="9">
        <f t="shared" si="0"/>
      </c>
      <c r="L19848">
        <f t="shared" si="1"/>
      </c>
      <c r="M19848">
        <f t="shared" si="2"/>
      </c>
    </row>
    <row r="19849">
      <c r="G19849" s="9">
        <f t="shared" si="0"/>
      </c>
      <c r="L19849">
        <f t="shared" si="1"/>
      </c>
      <c r="M19849">
        <f t="shared" si="2"/>
      </c>
    </row>
    <row r="19850">
      <c r="G19850" s="9">
        <f t="shared" si="0"/>
      </c>
      <c r="L19850">
        <f t="shared" si="1"/>
      </c>
      <c r="M19850">
        <f t="shared" si="2"/>
      </c>
    </row>
    <row r="19851">
      <c r="G19851" s="9">
        <f t="shared" si="0"/>
      </c>
      <c r="L19851">
        <f t="shared" si="1"/>
      </c>
      <c r="M19851">
        <f t="shared" si="2"/>
      </c>
    </row>
    <row r="19852">
      <c r="G19852" s="9">
        <f t="shared" si="0"/>
      </c>
      <c r="L19852">
        <f t="shared" si="1"/>
      </c>
      <c r="M19852">
        <f t="shared" si="2"/>
      </c>
    </row>
    <row r="19853">
      <c r="G19853" s="9">
        <f t="shared" si="0"/>
      </c>
      <c r="L19853">
        <f t="shared" si="1"/>
      </c>
      <c r="M19853">
        <f t="shared" si="2"/>
      </c>
    </row>
    <row r="19854">
      <c r="G19854" s="9">
        <f t="shared" si="0"/>
      </c>
      <c r="L19854">
        <f t="shared" si="1"/>
      </c>
      <c r="M19854">
        <f t="shared" si="2"/>
      </c>
    </row>
    <row r="19855">
      <c r="G19855" s="9">
        <f t="shared" si="0"/>
      </c>
      <c r="L19855">
        <f t="shared" si="1"/>
      </c>
      <c r="M19855">
        <f t="shared" si="2"/>
      </c>
    </row>
    <row r="19856">
      <c r="G19856" s="9">
        <f t="shared" si="0"/>
      </c>
      <c r="L19856">
        <f t="shared" si="1"/>
      </c>
      <c r="M19856">
        <f t="shared" si="2"/>
      </c>
    </row>
    <row r="19857">
      <c r="G19857" s="9">
        <f t="shared" si="0"/>
      </c>
      <c r="L19857">
        <f t="shared" si="1"/>
      </c>
      <c r="M19857">
        <f t="shared" si="2"/>
      </c>
    </row>
    <row r="19858">
      <c r="G19858" s="9">
        <f t="shared" si="0"/>
      </c>
      <c r="L19858">
        <f t="shared" si="1"/>
      </c>
      <c r="M19858">
        <f t="shared" si="2"/>
      </c>
    </row>
    <row r="19859">
      <c r="G19859" s="9">
        <f t="shared" si="0"/>
      </c>
      <c r="L19859">
        <f t="shared" si="1"/>
      </c>
      <c r="M19859">
        <f t="shared" si="2"/>
      </c>
    </row>
    <row r="19860">
      <c r="G19860" s="9">
        <f t="shared" si="0"/>
      </c>
      <c r="L19860">
        <f t="shared" si="1"/>
      </c>
      <c r="M19860">
        <f t="shared" si="2"/>
      </c>
    </row>
    <row r="19861">
      <c r="G19861" s="9">
        <f t="shared" si="0"/>
      </c>
      <c r="L19861">
        <f t="shared" si="1"/>
      </c>
      <c r="M19861">
        <f t="shared" si="2"/>
      </c>
    </row>
    <row r="19862">
      <c r="G19862" s="9">
        <f t="shared" si="0"/>
      </c>
      <c r="L19862">
        <f t="shared" si="1"/>
      </c>
      <c r="M19862">
        <f t="shared" si="2"/>
      </c>
    </row>
    <row r="19863">
      <c r="G19863" s="9">
        <f t="shared" si="0"/>
      </c>
      <c r="L19863">
        <f t="shared" si="1"/>
      </c>
      <c r="M19863">
        <f t="shared" si="2"/>
      </c>
    </row>
    <row r="19864">
      <c r="G19864" s="9">
        <f t="shared" si="0"/>
      </c>
      <c r="L19864">
        <f t="shared" si="1"/>
      </c>
      <c r="M19864">
        <f t="shared" si="2"/>
      </c>
    </row>
    <row r="19865">
      <c r="G19865" s="9">
        <f t="shared" si="0"/>
      </c>
      <c r="L19865">
        <f t="shared" si="1"/>
      </c>
      <c r="M19865">
        <f t="shared" si="2"/>
      </c>
    </row>
    <row r="19866">
      <c r="G19866" s="9">
        <f t="shared" si="0"/>
      </c>
      <c r="L19866">
        <f t="shared" si="1"/>
      </c>
      <c r="M19866">
        <f t="shared" si="2"/>
      </c>
    </row>
    <row r="19867">
      <c r="G19867" s="9">
        <f t="shared" si="0"/>
      </c>
      <c r="L19867">
        <f t="shared" si="1"/>
      </c>
      <c r="M19867">
        <f t="shared" si="2"/>
      </c>
    </row>
    <row r="19868">
      <c r="G19868" s="9">
        <f t="shared" si="0"/>
      </c>
      <c r="L19868">
        <f t="shared" si="1"/>
      </c>
      <c r="M19868">
        <f t="shared" si="2"/>
      </c>
    </row>
    <row r="19869">
      <c r="G19869" s="9">
        <f t="shared" si="0"/>
      </c>
      <c r="L19869">
        <f t="shared" si="1"/>
      </c>
      <c r="M19869">
        <f t="shared" si="2"/>
      </c>
    </row>
    <row r="19870">
      <c r="G19870" s="9">
        <f t="shared" si="0"/>
      </c>
      <c r="L19870">
        <f t="shared" si="1"/>
      </c>
      <c r="M19870">
        <f t="shared" si="2"/>
      </c>
    </row>
    <row r="19871">
      <c r="G19871" s="9">
        <f t="shared" si="0"/>
      </c>
      <c r="L19871">
        <f t="shared" si="1"/>
      </c>
      <c r="M19871">
        <f t="shared" si="2"/>
      </c>
    </row>
    <row r="19872">
      <c r="G19872" s="9">
        <f t="shared" si="0"/>
      </c>
      <c r="L19872">
        <f t="shared" si="1"/>
      </c>
      <c r="M19872">
        <f t="shared" si="2"/>
      </c>
    </row>
    <row r="19873">
      <c r="G19873" s="9">
        <f t="shared" si="0"/>
      </c>
      <c r="L19873">
        <f t="shared" si="1"/>
      </c>
      <c r="M19873">
        <f t="shared" si="2"/>
      </c>
    </row>
    <row r="19874">
      <c r="G19874" s="9">
        <f t="shared" si="0"/>
      </c>
      <c r="L19874">
        <f t="shared" si="1"/>
      </c>
      <c r="M19874">
        <f t="shared" si="2"/>
      </c>
    </row>
    <row r="19875">
      <c r="G19875" s="9">
        <f t="shared" si="0"/>
      </c>
      <c r="L19875">
        <f t="shared" si="1"/>
      </c>
      <c r="M19875">
        <f t="shared" si="2"/>
      </c>
    </row>
    <row r="19876">
      <c r="G19876" s="9">
        <f t="shared" si="0"/>
      </c>
      <c r="L19876">
        <f t="shared" si="1"/>
      </c>
      <c r="M19876">
        <f t="shared" si="2"/>
      </c>
    </row>
    <row r="19877">
      <c r="G19877" s="9">
        <f t="shared" si="0"/>
      </c>
      <c r="L19877">
        <f t="shared" si="1"/>
      </c>
      <c r="M19877">
        <f t="shared" si="2"/>
      </c>
    </row>
    <row r="19878">
      <c r="G19878" s="9">
        <f t="shared" si="0"/>
      </c>
      <c r="L19878">
        <f t="shared" si="1"/>
      </c>
      <c r="M19878">
        <f t="shared" si="2"/>
      </c>
    </row>
    <row r="19879">
      <c r="G19879" s="9">
        <f t="shared" si="0"/>
      </c>
      <c r="L19879">
        <f t="shared" si="1"/>
      </c>
      <c r="M19879">
        <f t="shared" si="2"/>
      </c>
    </row>
    <row r="19880">
      <c r="G19880" s="9">
        <f t="shared" si="0"/>
      </c>
      <c r="L19880">
        <f t="shared" si="1"/>
      </c>
      <c r="M19880">
        <f t="shared" si="2"/>
      </c>
    </row>
    <row r="19881">
      <c r="G19881" s="9">
        <f t="shared" si="0"/>
      </c>
      <c r="L19881">
        <f t="shared" si="1"/>
      </c>
      <c r="M19881">
        <f t="shared" si="2"/>
      </c>
    </row>
    <row r="19882">
      <c r="G19882" s="9">
        <f t="shared" si="0"/>
      </c>
      <c r="L19882">
        <f t="shared" si="1"/>
      </c>
      <c r="M19882">
        <f t="shared" si="2"/>
      </c>
    </row>
    <row r="19883">
      <c r="G19883" s="9">
        <f t="shared" si="0"/>
      </c>
      <c r="L19883">
        <f t="shared" si="1"/>
      </c>
      <c r="M19883">
        <f t="shared" si="2"/>
      </c>
    </row>
    <row r="19884">
      <c r="G19884" s="9">
        <f t="shared" si="0"/>
      </c>
      <c r="L19884">
        <f t="shared" si="1"/>
      </c>
      <c r="M19884">
        <f t="shared" si="2"/>
      </c>
    </row>
    <row r="19885">
      <c r="G19885" s="9">
        <f t="shared" si="0"/>
      </c>
      <c r="L19885">
        <f t="shared" si="1"/>
      </c>
      <c r="M19885">
        <f t="shared" si="2"/>
      </c>
    </row>
    <row r="19886">
      <c r="G19886" s="9">
        <f t="shared" si="0"/>
      </c>
      <c r="L19886">
        <f t="shared" si="1"/>
      </c>
      <c r="M19886">
        <f t="shared" si="2"/>
      </c>
    </row>
    <row r="19887">
      <c r="G19887" s="9">
        <f t="shared" si="0"/>
      </c>
      <c r="L19887">
        <f t="shared" si="1"/>
      </c>
      <c r="M19887">
        <f t="shared" si="2"/>
      </c>
    </row>
    <row r="19888">
      <c r="G19888" s="9">
        <f t="shared" si="0"/>
      </c>
      <c r="L19888">
        <f t="shared" si="1"/>
      </c>
      <c r="M19888">
        <f t="shared" si="2"/>
      </c>
    </row>
    <row r="19889">
      <c r="G19889" s="9">
        <f t="shared" si="0"/>
      </c>
      <c r="L19889">
        <f t="shared" si="1"/>
      </c>
      <c r="M19889">
        <f t="shared" si="2"/>
      </c>
    </row>
    <row r="19890">
      <c r="G19890" s="9">
        <f t="shared" si="0"/>
      </c>
      <c r="L19890">
        <f t="shared" si="1"/>
      </c>
      <c r="M19890">
        <f t="shared" si="2"/>
      </c>
    </row>
    <row r="19891">
      <c r="G19891" s="9">
        <f t="shared" si="0"/>
      </c>
      <c r="L19891">
        <f t="shared" si="1"/>
      </c>
      <c r="M19891">
        <f t="shared" si="2"/>
      </c>
    </row>
    <row r="19892">
      <c r="G19892" s="9">
        <f t="shared" si="0"/>
      </c>
      <c r="L19892">
        <f t="shared" si="1"/>
      </c>
      <c r="M19892">
        <f t="shared" si="2"/>
      </c>
    </row>
    <row r="19893">
      <c r="G19893" s="9">
        <f t="shared" si="0"/>
      </c>
      <c r="L19893">
        <f t="shared" si="1"/>
      </c>
      <c r="M19893">
        <f t="shared" si="2"/>
      </c>
    </row>
    <row r="19894">
      <c r="G19894" s="9">
        <f t="shared" si="0"/>
      </c>
      <c r="L19894">
        <f t="shared" si="1"/>
      </c>
      <c r="M19894">
        <f t="shared" si="2"/>
      </c>
    </row>
    <row r="19895">
      <c r="G19895" s="9">
        <f t="shared" si="0"/>
      </c>
      <c r="L19895">
        <f t="shared" si="1"/>
      </c>
      <c r="M19895">
        <f t="shared" si="2"/>
      </c>
    </row>
    <row r="19896">
      <c r="G19896" s="9">
        <f t="shared" si="0"/>
      </c>
      <c r="L19896">
        <f t="shared" si="1"/>
      </c>
      <c r="M19896">
        <f t="shared" si="2"/>
      </c>
    </row>
    <row r="19897">
      <c r="G19897" s="9">
        <f t="shared" si="0"/>
      </c>
      <c r="L19897">
        <f t="shared" si="1"/>
      </c>
      <c r="M19897">
        <f t="shared" si="2"/>
      </c>
    </row>
    <row r="19898">
      <c r="G19898" s="9">
        <f t="shared" si="0"/>
      </c>
      <c r="L19898">
        <f t="shared" si="1"/>
      </c>
      <c r="M19898">
        <f t="shared" si="2"/>
      </c>
    </row>
    <row r="19899">
      <c r="G19899" s="9">
        <f t="shared" si="0"/>
      </c>
      <c r="L19899">
        <f t="shared" si="1"/>
      </c>
      <c r="M19899">
        <f t="shared" si="2"/>
      </c>
    </row>
    <row r="19900">
      <c r="G19900" s="9">
        <f t="shared" si="0"/>
      </c>
      <c r="L19900">
        <f t="shared" si="1"/>
      </c>
      <c r="M19900">
        <f t="shared" si="2"/>
      </c>
    </row>
    <row r="19901">
      <c r="G19901" s="9">
        <f t="shared" si="0"/>
      </c>
      <c r="L19901">
        <f t="shared" si="1"/>
      </c>
      <c r="M19901">
        <f t="shared" si="2"/>
      </c>
    </row>
    <row r="19902">
      <c r="G19902" s="9">
        <f t="shared" si="0"/>
      </c>
      <c r="L19902">
        <f t="shared" si="1"/>
      </c>
      <c r="M19902">
        <f t="shared" si="2"/>
      </c>
    </row>
    <row r="19903">
      <c r="G19903" s="9">
        <f t="shared" si="0"/>
      </c>
      <c r="L19903">
        <f t="shared" si="1"/>
      </c>
      <c r="M19903">
        <f t="shared" si="2"/>
      </c>
    </row>
    <row r="19904">
      <c r="G19904" s="9">
        <f t="shared" si="0"/>
      </c>
      <c r="L19904">
        <f t="shared" si="1"/>
      </c>
      <c r="M19904">
        <f t="shared" si="2"/>
      </c>
    </row>
    <row r="19905">
      <c r="G19905" s="9">
        <f t="shared" si="0"/>
      </c>
      <c r="L19905">
        <f t="shared" si="1"/>
      </c>
      <c r="M19905">
        <f t="shared" si="2"/>
      </c>
    </row>
    <row r="19906">
      <c r="G19906" s="9">
        <f t="shared" si="0"/>
      </c>
      <c r="L19906">
        <f t="shared" si="1"/>
      </c>
      <c r="M19906">
        <f t="shared" si="2"/>
      </c>
    </row>
    <row r="19907">
      <c r="G19907" s="9">
        <f t="shared" si="0"/>
      </c>
      <c r="L19907">
        <f t="shared" si="1"/>
      </c>
      <c r="M19907">
        <f t="shared" si="2"/>
      </c>
    </row>
    <row r="19908">
      <c r="G19908" s="9">
        <f t="shared" si="0"/>
      </c>
      <c r="L19908">
        <f t="shared" si="1"/>
      </c>
      <c r="M19908">
        <f t="shared" si="2"/>
      </c>
    </row>
    <row r="19909">
      <c r="G19909" s="9">
        <f t="shared" si="0"/>
      </c>
      <c r="L19909">
        <f t="shared" si="1"/>
      </c>
      <c r="M19909">
        <f t="shared" si="2"/>
      </c>
    </row>
    <row r="19910">
      <c r="G19910" s="9">
        <f t="shared" si="0"/>
      </c>
      <c r="L19910">
        <f t="shared" si="1"/>
      </c>
      <c r="M19910">
        <f t="shared" si="2"/>
      </c>
    </row>
    <row r="19911">
      <c r="G19911" s="9">
        <f t="shared" si="0"/>
      </c>
      <c r="L19911">
        <f t="shared" si="1"/>
      </c>
      <c r="M19911">
        <f t="shared" si="2"/>
      </c>
    </row>
    <row r="19912">
      <c r="G19912" s="9">
        <f t="shared" si="0"/>
      </c>
      <c r="L19912">
        <f t="shared" si="1"/>
      </c>
      <c r="M19912">
        <f t="shared" si="2"/>
      </c>
    </row>
    <row r="19913">
      <c r="G19913" s="9">
        <f t="shared" si="0"/>
      </c>
      <c r="L19913">
        <f t="shared" si="1"/>
      </c>
      <c r="M19913">
        <f t="shared" si="2"/>
      </c>
    </row>
    <row r="19914">
      <c r="G19914" s="9">
        <f t="shared" si="0"/>
      </c>
      <c r="L19914">
        <f t="shared" si="1"/>
      </c>
      <c r="M19914">
        <f t="shared" si="2"/>
      </c>
    </row>
    <row r="19915">
      <c r="G19915" s="9">
        <f t="shared" si="0"/>
      </c>
      <c r="L19915">
        <f t="shared" si="1"/>
      </c>
      <c r="M19915">
        <f t="shared" si="2"/>
      </c>
    </row>
    <row r="19916">
      <c r="G19916" s="9">
        <f t="shared" si="0"/>
      </c>
      <c r="L19916">
        <f t="shared" si="1"/>
      </c>
      <c r="M19916">
        <f t="shared" si="2"/>
      </c>
    </row>
    <row r="19917">
      <c r="G19917" s="9">
        <f t="shared" si="0"/>
      </c>
      <c r="L19917">
        <f t="shared" si="1"/>
      </c>
      <c r="M19917">
        <f t="shared" si="2"/>
      </c>
    </row>
    <row r="19918">
      <c r="G19918" s="9">
        <f t="shared" si="0"/>
      </c>
      <c r="L19918">
        <f t="shared" si="1"/>
      </c>
      <c r="M19918">
        <f t="shared" si="2"/>
      </c>
    </row>
    <row r="19919">
      <c r="G19919" s="9">
        <f t="shared" si="0"/>
      </c>
      <c r="L19919">
        <f t="shared" si="1"/>
      </c>
      <c r="M19919">
        <f t="shared" si="2"/>
      </c>
    </row>
    <row r="19920">
      <c r="G19920" s="9">
        <f t="shared" si="0"/>
      </c>
      <c r="L19920">
        <f t="shared" si="1"/>
      </c>
      <c r="M19920">
        <f t="shared" si="2"/>
      </c>
    </row>
    <row r="19921">
      <c r="G19921" s="9">
        <f t="shared" si="0"/>
      </c>
      <c r="L19921">
        <f t="shared" si="1"/>
      </c>
      <c r="M19921">
        <f t="shared" si="2"/>
      </c>
    </row>
    <row r="19922">
      <c r="G19922" s="9">
        <f t="shared" si="0"/>
      </c>
      <c r="L19922">
        <f t="shared" si="1"/>
      </c>
      <c r="M19922">
        <f t="shared" si="2"/>
      </c>
    </row>
    <row r="19923">
      <c r="G19923" s="9">
        <f t="shared" si="0"/>
      </c>
      <c r="L19923">
        <f t="shared" si="1"/>
      </c>
      <c r="M19923">
        <f t="shared" si="2"/>
      </c>
    </row>
    <row r="19924">
      <c r="G19924" s="9">
        <f t="shared" si="0"/>
      </c>
      <c r="L19924">
        <f t="shared" si="1"/>
      </c>
      <c r="M19924">
        <f t="shared" si="2"/>
      </c>
    </row>
    <row r="19925">
      <c r="G19925" s="9">
        <f t="shared" si="0"/>
      </c>
      <c r="L19925">
        <f t="shared" si="1"/>
      </c>
      <c r="M19925">
        <f t="shared" si="2"/>
      </c>
    </row>
    <row r="19926">
      <c r="G19926" s="9">
        <f t="shared" si="0"/>
      </c>
      <c r="L19926">
        <f t="shared" si="1"/>
      </c>
      <c r="M19926">
        <f t="shared" si="2"/>
      </c>
    </row>
    <row r="19927">
      <c r="G19927" s="9">
        <f t="shared" si="0"/>
      </c>
      <c r="L19927">
        <f t="shared" si="1"/>
      </c>
      <c r="M19927">
        <f t="shared" si="2"/>
      </c>
    </row>
    <row r="19928">
      <c r="G19928" s="9">
        <f t="shared" si="0"/>
      </c>
      <c r="L19928">
        <f t="shared" si="1"/>
      </c>
      <c r="M19928">
        <f t="shared" si="2"/>
      </c>
    </row>
    <row r="19929">
      <c r="G19929" s="9">
        <f t="shared" si="0"/>
      </c>
      <c r="L19929">
        <f t="shared" si="1"/>
      </c>
      <c r="M19929">
        <f t="shared" si="2"/>
      </c>
    </row>
    <row r="19930">
      <c r="G19930" s="9">
        <f t="shared" si="0"/>
      </c>
      <c r="L19930">
        <f t="shared" si="1"/>
      </c>
      <c r="M19930">
        <f t="shared" si="2"/>
      </c>
    </row>
    <row r="19931">
      <c r="G19931" s="9">
        <f t="shared" si="0"/>
      </c>
      <c r="L19931">
        <f t="shared" si="1"/>
      </c>
      <c r="M19931">
        <f t="shared" si="2"/>
      </c>
    </row>
    <row r="19932">
      <c r="G19932" s="9">
        <f t="shared" si="0"/>
      </c>
      <c r="L19932">
        <f t="shared" si="1"/>
      </c>
      <c r="M19932">
        <f t="shared" si="2"/>
      </c>
    </row>
    <row r="19933">
      <c r="G19933" s="9">
        <f t="shared" si="0"/>
      </c>
      <c r="L19933">
        <f t="shared" si="1"/>
      </c>
      <c r="M19933">
        <f t="shared" si="2"/>
      </c>
    </row>
    <row r="19934">
      <c r="G19934" s="9">
        <f t="shared" si="0"/>
      </c>
      <c r="L19934">
        <f t="shared" si="1"/>
      </c>
      <c r="M19934">
        <f t="shared" si="2"/>
      </c>
    </row>
    <row r="19935">
      <c r="G19935" s="9">
        <f t="shared" si="0"/>
      </c>
      <c r="L19935">
        <f t="shared" si="1"/>
      </c>
      <c r="M19935">
        <f t="shared" si="2"/>
      </c>
    </row>
    <row r="19936">
      <c r="G19936" s="9">
        <f t="shared" si="0"/>
      </c>
      <c r="L19936">
        <f t="shared" si="1"/>
      </c>
      <c r="M19936">
        <f t="shared" si="2"/>
      </c>
    </row>
    <row r="19937">
      <c r="G19937" s="9">
        <f t="shared" si="0"/>
      </c>
      <c r="L19937">
        <f t="shared" si="1"/>
      </c>
      <c r="M19937">
        <f t="shared" si="2"/>
      </c>
    </row>
    <row r="19938">
      <c r="G19938" s="9">
        <f t="shared" si="0"/>
      </c>
      <c r="L19938">
        <f t="shared" si="1"/>
      </c>
      <c r="M19938">
        <f t="shared" si="2"/>
      </c>
    </row>
    <row r="19939">
      <c r="G19939" s="9">
        <f t="shared" si="0"/>
      </c>
      <c r="L19939">
        <f t="shared" si="1"/>
      </c>
      <c r="M19939">
        <f t="shared" si="2"/>
      </c>
    </row>
    <row r="19940">
      <c r="G19940" s="9">
        <f t="shared" si="0"/>
      </c>
      <c r="L19940">
        <f t="shared" si="1"/>
      </c>
      <c r="M19940">
        <f t="shared" si="2"/>
      </c>
    </row>
    <row r="19941">
      <c r="G19941" s="9">
        <f t="shared" si="0"/>
      </c>
      <c r="L19941">
        <f t="shared" si="1"/>
      </c>
      <c r="M19941">
        <f t="shared" si="2"/>
      </c>
    </row>
    <row r="19942">
      <c r="G19942" s="9">
        <f t="shared" si="0"/>
      </c>
      <c r="L19942">
        <f t="shared" si="1"/>
      </c>
      <c r="M19942">
        <f t="shared" si="2"/>
      </c>
    </row>
    <row r="19943">
      <c r="G19943" s="9">
        <f t="shared" si="0"/>
      </c>
      <c r="L19943">
        <f t="shared" si="1"/>
      </c>
      <c r="M19943">
        <f t="shared" si="2"/>
      </c>
    </row>
    <row r="19944">
      <c r="G19944" s="9">
        <f t="shared" si="0"/>
      </c>
      <c r="L19944">
        <f t="shared" si="1"/>
      </c>
      <c r="M19944">
        <f t="shared" si="2"/>
      </c>
    </row>
    <row r="19945">
      <c r="G19945" s="9">
        <f t="shared" si="0"/>
      </c>
      <c r="L19945">
        <f t="shared" si="1"/>
      </c>
      <c r="M19945">
        <f t="shared" si="2"/>
      </c>
    </row>
    <row r="19946">
      <c r="G19946" s="9">
        <f t="shared" si="0"/>
      </c>
      <c r="L19946">
        <f t="shared" si="1"/>
      </c>
      <c r="M19946">
        <f t="shared" si="2"/>
      </c>
    </row>
    <row r="19947">
      <c r="G19947" s="9">
        <f t="shared" si="0"/>
      </c>
      <c r="L19947">
        <f t="shared" si="1"/>
      </c>
      <c r="M19947">
        <f t="shared" si="2"/>
      </c>
    </row>
    <row r="19948">
      <c r="G19948" s="9">
        <f t="shared" si="0"/>
      </c>
      <c r="L19948">
        <f t="shared" si="1"/>
      </c>
      <c r="M19948">
        <f t="shared" si="2"/>
      </c>
    </row>
    <row r="19949">
      <c r="G19949" s="9">
        <f t="shared" si="0"/>
      </c>
      <c r="L19949">
        <f t="shared" si="1"/>
      </c>
      <c r="M19949">
        <f t="shared" si="2"/>
      </c>
    </row>
    <row r="19950">
      <c r="G19950" s="9">
        <f t="shared" si="0"/>
      </c>
      <c r="L19950">
        <f t="shared" si="1"/>
      </c>
      <c r="M19950">
        <f t="shared" si="2"/>
      </c>
    </row>
    <row r="19951">
      <c r="G19951" s="9">
        <f t="shared" si="0"/>
      </c>
      <c r="L19951">
        <f t="shared" si="1"/>
      </c>
      <c r="M19951">
        <f t="shared" si="2"/>
      </c>
    </row>
    <row r="19952">
      <c r="G19952" s="9">
        <f t="shared" si="0"/>
      </c>
      <c r="L19952">
        <f t="shared" si="1"/>
      </c>
      <c r="M19952">
        <f t="shared" si="2"/>
      </c>
    </row>
    <row r="19953">
      <c r="G19953" s="9">
        <f t="shared" si="0"/>
      </c>
      <c r="L19953">
        <f t="shared" si="1"/>
      </c>
      <c r="M19953">
        <f t="shared" si="2"/>
      </c>
    </row>
    <row r="19954">
      <c r="G19954" s="9">
        <f t="shared" si="0"/>
      </c>
      <c r="L19954">
        <f t="shared" si="1"/>
      </c>
      <c r="M19954">
        <f t="shared" si="2"/>
      </c>
    </row>
    <row r="19955">
      <c r="G19955" s="9">
        <f t="shared" si="0"/>
      </c>
      <c r="L19955">
        <f t="shared" si="1"/>
      </c>
      <c r="M19955">
        <f t="shared" si="2"/>
      </c>
    </row>
    <row r="19956">
      <c r="G19956" s="9">
        <f t="shared" si="0"/>
      </c>
      <c r="L19956">
        <f t="shared" si="1"/>
      </c>
      <c r="M19956">
        <f t="shared" si="2"/>
      </c>
    </row>
    <row r="19957">
      <c r="G19957" s="9">
        <f t="shared" si="0"/>
      </c>
      <c r="L19957">
        <f t="shared" si="1"/>
      </c>
      <c r="M19957">
        <f t="shared" si="2"/>
      </c>
    </row>
    <row r="19958">
      <c r="G19958" s="9">
        <f t="shared" si="0"/>
      </c>
      <c r="L19958">
        <f t="shared" si="1"/>
      </c>
      <c r="M19958">
        <f t="shared" si="2"/>
      </c>
    </row>
    <row r="19959">
      <c r="G19959" s="9">
        <f t="shared" si="0"/>
      </c>
      <c r="L19959">
        <f t="shared" si="1"/>
      </c>
      <c r="M19959">
        <f t="shared" si="2"/>
      </c>
    </row>
    <row r="19960">
      <c r="G19960" s="9">
        <f t="shared" si="0"/>
      </c>
      <c r="L19960">
        <f t="shared" si="1"/>
      </c>
      <c r="M19960">
        <f t="shared" si="2"/>
      </c>
    </row>
    <row r="19961">
      <c r="G19961" s="9">
        <f t="shared" si="0"/>
      </c>
      <c r="L19961">
        <f t="shared" si="1"/>
      </c>
      <c r="M19961">
        <f t="shared" si="2"/>
      </c>
    </row>
    <row r="19962">
      <c r="G19962" s="9">
        <f t="shared" si="0"/>
      </c>
      <c r="L19962">
        <f t="shared" si="1"/>
      </c>
      <c r="M19962">
        <f t="shared" si="2"/>
      </c>
    </row>
    <row r="19963">
      <c r="G19963" s="9">
        <f t="shared" si="0"/>
      </c>
      <c r="L19963">
        <f t="shared" si="1"/>
      </c>
      <c r="M19963">
        <f t="shared" si="2"/>
      </c>
    </row>
    <row r="19964">
      <c r="G19964" s="9">
        <f t="shared" si="0"/>
      </c>
      <c r="L19964">
        <f t="shared" si="1"/>
      </c>
      <c r="M19964">
        <f t="shared" si="2"/>
      </c>
    </row>
    <row r="19965">
      <c r="G19965" s="9">
        <f t="shared" si="0"/>
      </c>
      <c r="L19965">
        <f t="shared" si="1"/>
      </c>
      <c r="M19965">
        <f t="shared" si="2"/>
      </c>
    </row>
    <row r="19966">
      <c r="G19966" s="9">
        <f t="shared" si="0"/>
      </c>
      <c r="L19966">
        <f t="shared" si="1"/>
      </c>
      <c r="M19966">
        <f t="shared" si="2"/>
      </c>
    </row>
    <row r="19967">
      <c r="G19967" s="9">
        <f t="shared" si="0"/>
      </c>
      <c r="L19967">
        <f t="shared" si="1"/>
      </c>
      <c r="M19967">
        <f t="shared" si="2"/>
      </c>
    </row>
    <row r="19968">
      <c r="G19968" s="9">
        <f t="shared" si="0"/>
      </c>
      <c r="L19968">
        <f t="shared" si="1"/>
      </c>
      <c r="M19968">
        <f t="shared" si="2"/>
      </c>
    </row>
    <row r="19969">
      <c r="G19969" s="9">
        <f t="shared" si="0"/>
      </c>
      <c r="L19969">
        <f t="shared" si="1"/>
      </c>
      <c r="M19969">
        <f t="shared" si="2"/>
      </c>
    </row>
    <row r="19970">
      <c r="G19970" s="9">
        <f t="shared" si="0"/>
      </c>
      <c r="L19970">
        <f t="shared" si="1"/>
      </c>
      <c r="M19970">
        <f t="shared" si="2"/>
      </c>
    </row>
    <row r="19971">
      <c r="G19971" s="9">
        <f t="shared" si="0"/>
      </c>
      <c r="L19971">
        <f t="shared" si="1"/>
      </c>
      <c r="M19971">
        <f t="shared" si="2"/>
      </c>
    </row>
    <row r="19972">
      <c r="G19972" s="9">
        <f t="shared" si="0"/>
      </c>
      <c r="L19972">
        <f t="shared" si="1"/>
      </c>
      <c r="M19972">
        <f t="shared" si="2"/>
      </c>
    </row>
    <row r="19973">
      <c r="G19973" s="9">
        <f t="shared" si="0"/>
      </c>
      <c r="L19973">
        <f t="shared" si="1"/>
      </c>
      <c r="M19973">
        <f t="shared" si="2"/>
      </c>
    </row>
    <row r="19974">
      <c r="G19974" s="9">
        <f t="shared" si="0"/>
      </c>
      <c r="L19974">
        <f t="shared" si="1"/>
      </c>
      <c r="M19974">
        <f t="shared" si="2"/>
      </c>
    </row>
    <row r="19975">
      <c r="G19975" s="9">
        <f t="shared" si="0"/>
      </c>
      <c r="L19975">
        <f t="shared" si="1"/>
      </c>
      <c r="M19975">
        <f t="shared" si="2"/>
      </c>
    </row>
    <row r="19976">
      <c r="G19976" s="9">
        <f t="shared" si="0"/>
      </c>
      <c r="L19976">
        <f t="shared" si="1"/>
      </c>
      <c r="M19976">
        <f t="shared" si="2"/>
      </c>
    </row>
    <row r="19977">
      <c r="G19977" s="9">
        <f t="shared" si="0"/>
      </c>
      <c r="L19977">
        <f t="shared" si="1"/>
      </c>
      <c r="M19977">
        <f t="shared" si="2"/>
      </c>
    </row>
    <row r="19978">
      <c r="G19978" s="9">
        <f t="shared" si="0"/>
      </c>
      <c r="L19978">
        <f t="shared" si="1"/>
      </c>
      <c r="M19978">
        <f t="shared" si="2"/>
      </c>
    </row>
    <row r="19979">
      <c r="G19979" s="9">
        <f t="shared" si="0"/>
      </c>
      <c r="L19979">
        <f t="shared" si="1"/>
      </c>
      <c r="M19979">
        <f t="shared" si="2"/>
      </c>
    </row>
    <row r="19980">
      <c r="G19980" s="9">
        <f t="shared" si="0"/>
      </c>
      <c r="L19980">
        <f t="shared" si="1"/>
      </c>
      <c r="M19980">
        <f t="shared" si="2"/>
      </c>
    </row>
    <row r="19981">
      <c r="G19981" s="9">
        <f t="shared" si="0"/>
      </c>
      <c r="L19981">
        <f t="shared" si="1"/>
      </c>
      <c r="M19981">
        <f t="shared" si="2"/>
      </c>
    </row>
    <row r="19982">
      <c r="G19982" s="9">
        <f t="shared" si="0"/>
      </c>
      <c r="L19982">
        <f t="shared" si="1"/>
      </c>
      <c r="M19982">
        <f t="shared" si="2"/>
      </c>
    </row>
    <row r="19983">
      <c r="G19983" s="9">
        <f t="shared" si="0"/>
      </c>
      <c r="L19983">
        <f t="shared" si="1"/>
      </c>
      <c r="M19983">
        <f t="shared" si="2"/>
      </c>
    </row>
    <row r="19984">
      <c r="G19984" s="9">
        <f t="shared" si="0"/>
      </c>
      <c r="L19984">
        <f t="shared" si="1"/>
      </c>
      <c r="M19984">
        <f t="shared" si="2"/>
      </c>
    </row>
    <row r="19985">
      <c r="G19985" s="9">
        <f t="shared" si="0"/>
      </c>
      <c r="L19985">
        <f t="shared" si="1"/>
      </c>
      <c r="M19985">
        <f t="shared" si="2"/>
      </c>
    </row>
    <row r="19986">
      <c r="G19986" s="9">
        <f t="shared" si="0"/>
      </c>
      <c r="L19986">
        <f t="shared" si="1"/>
      </c>
      <c r="M19986">
        <f t="shared" si="2"/>
      </c>
    </row>
    <row r="19987">
      <c r="G19987" s="9">
        <f t="shared" si="0"/>
      </c>
      <c r="L19987">
        <f t="shared" si="1"/>
      </c>
      <c r="M19987">
        <f t="shared" si="2"/>
      </c>
    </row>
    <row r="19988">
      <c r="G19988" s="9">
        <f t="shared" si="0"/>
      </c>
      <c r="L19988">
        <f t="shared" si="1"/>
      </c>
      <c r="M19988">
        <f t="shared" si="2"/>
      </c>
    </row>
    <row r="19989">
      <c r="G19989" s="9">
        <f t="shared" si="0"/>
      </c>
      <c r="L19989">
        <f t="shared" si="1"/>
      </c>
      <c r="M19989">
        <f t="shared" si="2"/>
      </c>
    </row>
    <row r="19990">
      <c r="G19990" s="9">
        <f t="shared" si="0"/>
      </c>
      <c r="L19990">
        <f t="shared" si="1"/>
      </c>
      <c r="M19990">
        <f t="shared" si="2"/>
      </c>
    </row>
    <row r="19991">
      <c r="G19991" s="9">
        <f t="shared" si="0"/>
      </c>
      <c r="L19991">
        <f t="shared" si="1"/>
      </c>
      <c r="M19991">
        <f t="shared" si="2"/>
      </c>
    </row>
    <row r="19992">
      <c r="G19992" s="9">
        <f t="shared" si="0"/>
      </c>
      <c r="L19992">
        <f t="shared" si="1"/>
      </c>
      <c r="M19992">
        <f t="shared" si="2"/>
      </c>
    </row>
    <row r="19993">
      <c r="G19993" s="9">
        <f t="shared" si="0"/>
      </c>
      <c r="L19993">
        <f t="shared" si="1"/>
      </c>
      <c r="M19993">
        <f t="shared" si="2"/>
      </c>
    </row>
    <row r="19994">
      <c r="G19994" s="9">
        <f t="shared" si="0"/>
      </c>
      <c r="L19994">
        <f t="shared" si="1"/>
      </c>
      <c r="M19994">
        <f t="shared" si="2"/>
      </c>
    </row>
    <row r="19995">
      <c r="G19995" s="9">
        <f t="shared" si="0"/>
      </c>
      <c r="L19995">
        <f t="shared" si="1"/>
      </c>
      <c r="M19995">
        <f t="shared" si="2"/>
      </c>
    </row>
    <row r="19996">
      <c r="G19996" s="9">
        <f t="shared" si="0"/>
      </c>
      <c r="L19996">
        <f t="shared" si="1"/>
      </c>
      <c r="M19996">
        <f t="shared" si="2"/>
      </c>
    </row>
    <row r="19997">
      <c r="G19997" s="9">
        <f t="shared" si="0"/>
      </c>
      <c r="L19997">
        <f t="shared" si="1"/>
      </c>
      <c r="M19997">
        <f t="shared" si="2"/>
      </c>
    </row>
    <row r="19998">
      <c r="G19998" s="9">
        <f t="shared" si="0"/>
      </c>
      <c r="L19998">
        <f t="shared" si="1"/>
      </c>
      <c r="M19998">
        <f t="shared" si="2"/>
      </c>
    </row>
    <row r="19999">
      <c r="G19999" s="9">
        <f t="shared" si="0"/>
      </c>
      <c r="L19999">
        <f t="shared" si="1"/>
      </c>
      <c r="M19999">
        <f t="shared" si="2"/>
      </c>
    </row>
    <row r="20000">
      <c r="G20000" s="9">
        <f t="shared" si="0"/>
      </c>
      <c r="L20000">
        <f t="shared" si="1"/>
      </c>
      <c r="M20000">
        <f t="shared" si="2"/>
      </c>
    </row>
  </sheetData>
  <sheetProtection sheet="1" objects="1" scenarios="1" formatColumns="0" formatRows="0"/>
  <autoFilter ref="A1:M20000"/>
  <dataValidations count="4">
    <dataValidation sqref="A2:A20000" showDropDown="0" showInputMessage="0" showErrorMessage="0" allowBlank="0" type="list">
      <formula1>"মাতবাখ,মাদরাসা,তামিরাত,সাধারণ"</formula1>
    </dataValidation>
    <dataValidation sqref="F2:F20000" showDropDown="0" showInputMessage="0" showErrorMessage="0" allowBlank="1" type="list">
      <formula1>"কেজি,গ্রাম,লিটার,মিলি,পিস,প্যাকেট,বস্তা,ডজন,ফুট,মিটার"</formula1>
    </dataValidation>
    <dataValidation sqref="K2:K20000" showDropDown="0" showInputMessage="0" showErrorMessage="0" allowBlank="1" type="list">
      <formula1>"নগদ,বাকি"</formula1>
    </dataValidation>
    <dataValidation sqref="I2:I20000" showDropDown="0" showInputMessage="0" showErrorMessage="0" allowBlank="1" errorTitle="সরবরাহকারী" error="বকেয়া শীটের তালিকা থেকে বেছে নিন, বা আগে সেখানে নাম যোগ করুন" promptTitle="সরবরাহকারী" prompt="বকেয়া শীটের তালিকা" type="list">
      <formula1>=SupplierList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style="31" width="16" customWidth="1" min="1" max="1"/>
    <col style="31" width="14" customWidth="1" min="2" max="2"/>
    <col style="31" width="40" customWidth="1" min="3" max="3"/>
  </cols>
  <sheetData>
    <row r="1" ht="30" customHeight="1">
      <c r="A1" s="4" t="inlineStr">
        <is>
          <t>তারিখ *</t>
        </is>
      </c>
      <c r="B1" s="4" t="inlineStr">
        <is>
          <t>টাকা *</t>
        </is>
      </c>
      <c r="C1" s="4" t="inlineStr">
        <is>
          <t>উৎস / বিবরণ</t>
        </is>
      </c>
    </row>
    <row r="2">
      <c r="A2" s="32" t="n">
        <v>46101</v>
      </c>
      <c r="B2" s="33" t="n">
        <v>50000</v>
      </c>
      <c r="C2" s="33" t="inlineStr">
        <is>
          <t>বিকাশ অনুদান</t>
        </is>
      </c>
    </row>
    <row r="3">
      <c r="A3" s="32" t="n">
        <v>46105</v>
      </c>
      <c r="B3" s="33" t="n">
        <v>12000</v>
      </c>
      <c r="C3" s="33" t="inlineStr">
        <is>
          <t>ওয়াযিফা আদায় — শাওয়াল</t>
        </is>
      </c>
    </row>
    <row r="4">
      <c r="A4" s="32" t="n">
        <v>46213</v>
      </c>
      <c r="B4" s="33" t="n">
        <v>3000</v>
      </c>
      <c r="C4" s="33" t="inlineStr">
        <is>
          <t>নগদ দান</t>
        </is>
      </c>
    </row>
    <row r="5">
      <c r="A5" s="30" t="n"/>
    </row>
    <row r="6">
      <c r="A6" s="30" t="n"/>
    </row>
    <row r="7">
      <c r="A7" s="30" t="n"/>
    </row>
    <row r="8">
      <c r="A8" s="30" t="n"/>
    </row>
    <row r="9">
      <c r="A9" s="30" t="n"/>
    </row>
    <row r="10">
      <c r="A10" s="30" t="n"/>
    </row>
    <row r="11">
      <c r="A11" s="30" t="n"/>
    </row>
    <row r="12">
      <c r="A12" s="30" t="n"/>
    </row>
    <row r="13">
      <c r="A13" s="30" t="n"/>
    </row>
    <row r="14">
      <c r="A14" s="30" t="n"/>
    </row>
    <row r="15">
      <c r="A15" s="30" t="n"/>
    </row>
    <row r="16">
      <c r="A16" s="30" t="n"/>
    </row>
    <row r="17">
      <c r="A17" s="30" t="n"/>
    </row>
    <row r="18">
      <c r="A18" s="30" t="n"/>
    </row>
    <row r="19">
      <c r="A19" s="30" t="n"/>
    </row>
    <row r="20">
      <c r="A20" s="30" t="n"/>
    </row>
    <row r="21">
      <c r="A21" s="30" t="n"/>
    </row>
    <row r="22">
      <c r="A22" s="30" t="n"/>
    </row>
    <row r="23">
      <c r="A23" s="30" t="n"/>
    </row>
    <row r="24">
      <c r="A24" s="30" t="n"/>
    </row>
    <row r="25">
      <c r="A25" s="30" t="n"/>
    </row>
    <row r="26">
      <c r="A26" s="30" t="n"/>
    </row>
    <row r="27">
      <c r="A27" s="30" t="n"/>
    </row>
    <row r="28">
      <c r="A28" s="30" t="n"/>
    </row>
    <row r="29">
      <c r="A29" s="30" t="n"/>
    </row>
    <row r="30">
      <c r="A30" s="30" t="n"/>
    </row>
    <row r="31">
      <c r="A31" s="30" t="n"/>
    </row>
    <row r="32">
      <c r="A32" s="30" t="n"/>
    </row>
    <row r="33">
      <c r="A33" s="30" t="n"/>
    </row>
    <row r="34">
      <c r="A34" s="30" t="n"/>
    </row>
    <row r="35">
      <c r="A35" s="30" t="n"/>
    </row>
    <row r="36">
      <c r="A36" s="30" t="n"/>
    </row>
    <row r="37">
      <c r="A37" s="30" t="n"/>
    </row>
    <row r="38">
      <c r="A38" s="30" t="n"/>
    </row>
    <row r="39">
      <c r="A39" s="30" t="n"/>
    </row>
    <row r="40">
      <c r="A40" s="30" t="n"/>
    </row>
    <row r="41">
      <c r="A41" s="30" t="n"/>
    </row>
    <row r="42">
      <c r="A42" s="30" t="n"/>
    </row>
    <row r="43">
      <c r="A43" s="30" t="n"/>
    </row>
    <row r="44">
      <c r="A44" s="30" t="n"/>
    </row>
    <row r="45">
      <c r="A45" s="30" t="n"/>
    </row>
    <row r="46">
      <c r="A46" s="30" t="n"/>
    </row>
    <row r="47">
      <c r="A47" s="30" t="n"/>
    </row>
    <row r="48">
      <c r="A48" s="30" t="n"/>
    </row>
    <row r="49">
      <c r="A49" s="30" t="n"/>
    </row>
    <row r="50">
      <c r="A50" s="30" t="n"/>
    </row>
    <row r="51">
      <c r="A51" s="30" t="n"/>
    </row>
    <row r="52">
      <c r="A52" s="30" t="n"/>
    </row>
    <row r="53">
      <c r="A53" s="30" t="n"/>
    </row>
    <row r="54">
      <c r="A54" s="30" t="n"/>
    </row>
    <row r="55">
      <c r="A55" s="30" t="n"/>
    </row>
    <row r="56">
      <c r="A56" s="30" t="n"/>
    </row>
    <row r="57">
      <c r="A57" s="30" t="n"/>
    </row>
    <row r="58">
      <c r="A58" s="30" t="n"/>
    </row>
    <row r="59">
      <c r="A59" s="30" t="n"/>
    </row>
    <row r="60">
      <c r="A60" s="30" t="n"/>
    </row>
    <row r="61">
      <c r="A61" s="30" t="n"/>
    </row>
    <row r="62">
      <c r="A62" s="30" t="n"/>
    </row>
    <row r="63">
      <c r="A63" s="30" t="n"/>
    </row>
    <row r="64">
      <c r="A64" s="30" t="n"/>
    </row>
    <row r="65">
      <c r="A65" s="30" t="n"/>
    </row>
    <row r="66">
      <c r="A66" s="30" t="n"/>
    </row>
    <row r="67">
      <c r="A67" s="30" t="n"/>
    </row>
    <row r="68">
      <c r="A68" s="30" t="n"/>
    </row>
    <row r="69">
      <c r="A69" s="30" t="n"/>
    </row>
    <row r="70">
      <c r="A70" s="30" t="n"/>
    </row>
    <row r="71">
      <c r="A71" s="30" t="n"/>
    </row>
    <row r="72">
      <c r="A72" s="30" t="n"/>
    </row>
    <row r="73">
      <c r="A73" s="30" t="n"/>
    </row>
    <row r="74">
      <c r="A74" s="30" t="n"/>
    </row>
    <row r="75">
      <c r="A75" s="30" t="n"/>
    </row>
    <row r="76">
      <c r="A76" s="30" t="n"/>
    </row>
    <row r="77">
      <c r="A77" s="30" t="n"/>
    </row>
    <row r="78">
      <c r="A78" s="30" t="n"/>
    </row>
    <row r="79">
      <c r="A79" s="30" t="n"/>
    </row>
    <row r="80">
      <c r="A80" s="30" t="n"/>
    </row>
    <row r="81">
      <c r="A81" s="30" t="n"/>
    </row>
    <row r="82">
      <c r="A82" s="30" t="n"/>
    </row>
    <row r="83">
      <c r="A83" s="30" t="n"/>
    </row>
    <row r="84">
      <c r="A84" s="30" t="n"/>
    </row>
    <row r="85">
      <c r="A85" s="30" t="n"/>
    </row>
    <row r="86">
      <c r="A86" s="30" t="n"/>
    </row>
    <row r="87">
      <c r="A87" s="30" t="n"/>
    </row>
    <row r="88">
      <c r="A88" s="30" t="n"/>
    </row>
    <row r="89">
      <c r="A89" s="30" t="n"/>
    </row>
    <row r="90">
      <c r="A90" s="30" t="n"/>
    </row>
    <row r="91">
      <c r="A91" s="30" t="n"/>
    </row>
    <row r="92">
      <c r="A92" s="30" t="n"/>
    </row>
    <row r="93">
      <c r="A93" s="30" t="n"/>
    </row>
    <row r="94">
      <c r="A94" s="30" t="n"/>
    </row>
    <row r="95">
      <c r="A95" s="30" t="n"/>
    </row>
    <row r="96">
      <c r="A96" s="30" t="n"/>
    </row>
    <row r="97">
      <c r="A97" s="30" t="n"/>
    </row>
    <row r="98">
      <c r="A98" s="30" t="n"/>
    </row>
    <row r="99">
      <c r="A99" s="30" t="n"/>
    </row>
    <row r="100">
      <c r="A100" s="30" t="n"/>
    </row>
    <row r="101">
      <c r="A101" s="30" t="n"/>
    </row>
    <row r="102">
      <c r="A102" s="30" t="n"/>
    </row>
    <row r="103">
      <c r="A103" s="30" t="n"/>
    </row>
    <row r="104">
      <c r="A104" s="30" t="n"/>
    </row>
    <row r="105">
      <c r="A105" s="30" t="n"/>
    </row>
    <row r="106">
      <c r="A106" s="30" t="n"/>
    </row>
    <row r="107">
      <c r="A107" s="30" t="n"/>
    </row>
    <row r="108">
      <c r="A108" s="30" t="n"/>
    </row>
    <row r="109">
      <c r="A109" s="30" t="n"/>
    </row>
    <row r="110">
      <c r="A110" s="30" t="n"/>
    </row>
    <row r="111">
      <c r="A111" s="30" t="n"/>
    </row>
    <row r="112">
      <c r="A112" s="30" t="n"/>
    </row>
    <row r="113">
      <c r="A113" s="30" t="n"/>
    </row>
    <row r="114">
      <c r="A114" s="30" t="n"/>
    </row>
    <row r="115">
      <c r="A115" s="30" t="n"/>
    </row>
    <row r="116">
      <c r="A116" s="30" t="n"/>
    </row>
    <row r="117">
      <c r="A117" s="30" t="n"/>
    </row>
    <row r="118">
      <c r="A118" s="30" t="n"/>
    </row>
    <row r="119">
      <c r="A119" s="30" t="n"/>
    </row>
    <row r="120">
      <c r="A120" s="30" t="n"/>
    </row>
    <row r="121">
      <c r="A121" s="30" t="n"/>
    </row>
    <row r="122">
      <c r="A122" s="30" t="n"/>
    </row>
    <row r="123">
      <c r="A123" s="30" t="n"/>
    </row>
    <row r="124">
      <c r="A124" s="30" t="n"/>
    </row>
    <row r="125">
      <c r="A125" s="30" t="n"/>
    </row>
    <row r="126">
      <c r="A126" s="30" t="n"/>
    </row>
    <row r="127">
      <c r="A127" s="30" t="n"/>
    </row>
    <row r="128">
      <c r="A128" s="30" t="n"/>
    </row>
    <row r="129">
      <c r="A129" s="30" t="n"/>
    </row>
    <row r="130">
      <c r="A130" s="30" t="n"/>
    </row>
    <row r="131">
      <c r="A131" s="30" t="n"/>
    </row>
    <row r="132">
      <c r="A132" s="30" t="n"/>
    </row>
    <row r="133">
      <c r="A133" s="30" t="n"/>
    </row>
    <row r="134">
      <c r="A134" s="30" t="n"/>
    </row>
    <row r="135">
      <c r="A135" s="30" t="n"/>
    </row>
    <row r="136">
      <c r="A136" s="30" t="n"/>
    </row>
    <row r="137">
      <c r="A137" s="30" t="n"/>
    </row>
    <row r="138">
      <c r="A138" s="30" t="n"/>
    </row>
    <row r="139">
      <c r="A139" s="30" t="n"/>
    </row>
    <row r="140">
      <c r="A140" s="30" t="n"/>
    </row>
    <row r="141">
      <c r="A141" s="30" t="n"/>
    </row>
    <row r="142">
      <c r="A142" s="30" t="n"/>
    </row>
    <row r="143">
      <c r="A143" s="30" t="n"/>
    </row>
    <row r="144">
      <c r="A144" s="30" t="n"/>
    </row>
    <row r="145">
      <c r="A145" s="30" t="n"/>
    </row>
    <row r="146">
      <c r="A146" s="30" t="n"/>
    </row>
    <row r="147">
      <c r="A147" s="30" t="n"/>
    </row>
    <row r="148">
      <c r="A148" s="30" t="n"/>
    </row>
    <row r="149">
      <c r="A149" s="30" t="n"/>
    </row>
    <row r="150">
      <c r="A150" s="30" t="n"/>
    </row>
    <row r="151">
      <c r="A151" s="30" t="n"/>
    </row>
    <row r="152">
      <c r="A152" s="30" t="n"/>
    </row>
    <row r="153">
      <c r="A153" s="30" t="n"/>
    </row>
    <row r="154">
      <c r="A154" s="30" t="n"/>
    </row>
    <row r="155">
      <c r="A155" s="30" t="n"/>
    </row>
    <row r="156">
      <c r="A156" s="30" t="n"/>
    </row>
    <row r="157">
      <c r="A157" s="30" t="n"/>
    </row>
    <row r="158">
      <c r="A158" s="30" t="n"/>
    </row>
    <row r="159">
      <c r="A159" s="30" t="n"/>
    </row>
    <row r="160">
      <c r="A160" s="30" t="n"/>
    </row>
    <row r="161">
      <c r="A161" s="30" t="n"/>
    </row>
    <row r="162">
      <c r="A162" s="30" t="n"/>
    </row>
    <row r="163">
      <c r="A163" s="30" t="n"/>
    </row>
    <row r="164">
      <c r="A164" s="30" t="n"/>
    </row>
    <row r="165">
      <c r="A165" s="30" t="n"/>
    </row>
    <row r="166">
      <c r="A166" s="30" t="n"/>
    </row>
    <row r="167">
      <c r="A167" s="30" t="n"/>
    </row>
    <row r="168">
      <c r="A168" s="30" t="n"/>
    </row>
    <row r="169">
      <c r="A169" s="30" t="n"/>
    </row>
    <row r="170">
      <c r="A170" s="30" t="n"/>
    </row>
    <row r="171">
      <c r="A171" s="30" t="n"/>
    </row>
    <row r="172">
      <c r="A172" s="30" t="n"/>
    </row>
    <row r="173">
      <c r="A173" s="30" t="n"/>
    </row>
    <row r="174">
      <c r="A174" s="30" t="n"/>
    </row>
    <row r="175">
      <c r="A175" s="30" t="n"/>
    </row>
    <row r="176">
      <c r="A176" s="30" t="n"/>
    </row>
    <row r="177">
      <c r="A177" s="30" t="n"/>
    </row>
    <row r="178">
      <c r="A178" s="30" t="n"/>
    </row>
    <row r="179">
      <c r="A179" s="30" t="n"/>
    </row>
    <row r="180">
      <c r="A180" s="30" t="n"/>
    </row>
    <row r="181">
      <c r="A181" s="30" t="n"/>
    </row>
    <row r="182">
      <c r="A182" s="30" t="n"/>
    </row>
    <row r="183">
      <c r="A183" s="30" t="n"/>
    </row>
    <row r="184">
      <c r="A184" s="30" t="n"/>
    </row>
    <row r="185">
      <c r="A185" s="30" t="n"/>
    </row>
    <row r="186">
      <c r="A186" s="30" t="n"/>
    </row>
    <row r="187">
      <c r="A187" s="30" t="n"/>
    </row>
    <row r="188">
      <c r="A188" s="30" t="n"/>
    </row>
    <row r="189">
      <c r="A189" s="30" t="n"/>
    </row>
    <row r="190">
      <c r="A190" s="30" t="n"/>
    </row>
    <row r="191">
      <c r="A191" s="30" t="n"/>
    </row>
    <row r="192">
      <c r="A192" s="30" t="n"/>
    </row>
    <row r="193">
      <c r="A193" s="30" t="n"/>
    </row>
    <row r="194">
      <c r="A194" s="30" t="n"/>
    </row>
    <row r="195">
      <c r="A195" s="30" t="n"/>
    </row>
    <row r="196">
      <c r="A196" s="30" t="n"/>
    </row>
    <row r="197">
      <c r="A197" s="30" t="n"/>
    </row>
    <row r="198">
      <c r="A198" s="30" t="n"/>
    </row>
    <row r="199">
      <c r="A199" s="30" t="n"/>
    </row>
    <row r="200">
      <c r="A200" s="30" t="n"/>
    </row>
    <row r="201">
      <c r="A201" s="30" t="n"/>
    </row>
    <row r="202">
      <c r="A202" s="30" t="n"/>
    </row>
    <row r="203">
      <c r="A203" s="30" t="n"/>
    </row>
    <row r="204">
      <c r="A204" s="30" t="n"/>
    </row>
    <row r="205">
      <c r="A205" s="30" t="n"/>
    </row>
    <row r="206">
      <c r="A206" s="30" t="n"/>
    </row>
    <row r="207">
      <c r="A207" s="30" t="n"/>
    </row>
    <row r="208">
      <c r="A208" s="30" t="n"/>
    </row>
    <row r="209">
      <c r="A209" s="30" t="n"/>
    </row>
    <row r="210">
      <c r="A210" s="30" t="n"/>
    </row>
    <row r="211">
      <c r="A211" s="30" t="n"/>
    </row>
    <row r="212">
      <c r="A212" s="30" t="n"/>
    </row>
    <row r="213">
      <c r="A213" s="30" t="n"/>
    </row>
    <row r="214">
      <c r="A214" s="30" t="n"/>
    </row>
    <row r="215">
      <c r="A215" s="30" t="n"/>
    </row>
    <row r="216">
      <c r="A216" s="30" t="n"/>
    </row>
    <row r="217">
      <c r="A217" s="30" t="n"/>
    </row>
    <row r="218">
      <c r="A218" s="30" t="n"/>
    </row>
    <row r="219">
      <c r="A219" s="30" t="n"/>
    </row>
    <row r="220">
      <c r="A220" s="30" t="n"/>
    </row>
    <row r="221">
      <c r="A221" s="30" t="n"/>
    </row>
    <row r="222">
      <c r="A222" s="30" t="n"/>
    </row>
    <row r="223">
      <c r="A223" s="30" t="n"/>
    </row>
    <row r="224">
      <c r="A224" s="30" t="n"/>
    </row>
    <row r="225">
      <c r="A225" s="30" t="n"/>
    </row>
    <row r="226">
      <c r="A226" s="30" t="n"/>
    </row>
    <row r="227">
      <c r="A227" s="30" t="n"/>
    </row>
    <row r="228">
      <c r="A228" s="30" t="n"/>
    </row>
    <row r="229">
      <c r="A229" s="30" t="n"/>
    </row>
    <row r="230">
      <c r="A230" s="30" t="n"/>
    </row>
    <row r="231">
      <c r="A231" s="30" t="n"/>
    </row>
    <row r="232">
      <c r="A232" s="30" t="n"/>
    </row>
    <row r="233">
      <c r="A233" s="30" t="n"/>
    </row>
    <row r="234">
      <c r="A234" s="30" t="n"/>
    </row>
    <row r="235">
      <c r="A235" s="30" t="n"/>
    </row>
    <row r="236">
      <c r="A236" s="30" t="n"/>
    </row>
    <row r="237">
      <c r="A237" s="30" t="n"/>
    </row>
    <row r="238">
      <c r="A238" s="30" t="n"/>
    </row>
    <row r="239">
      <c r="A239" s="30" t="n"/>
    </row>
    <row r="240">
      <c r="A240" s="30" t="n"/>
    </row>
    <row r="241">
      <c r="A241" s="30" t="n"/>
    </row>
    <row r="242">
      <c r="A242" s="30" t="n"/>
    </row>
    <row r="243">
      <c r="A243" s="30" t="n"/>
    </row>
    <row r="244">
      <c r="A244" s="30" t="n"/>
    </row>
    <row r="245">
      <c r="A245" s="30" t="n"/>
    </row>
    <row r="246">
      <c r="A246" s="30" t="n"/>
    </row>
    <row r="247">
      <c r="A247" s="30" t="n"/>
    </row>
    <row r="248">
      <c r="A248" s="30" t="n"/>
    </row>
    <row r="249">
      <c r="A249" s="30" t="n"/>
    </row>
    <row r="250">
      <c r="A250" s="30" t="n"/>
    </row>
    <row r="251">
      <c r="A251" s="30" t="n"/>
    </row>
    <row r="252">
      <c r="A252" s="30" t="n"/>
    </row>
    <row r="253">
      <c r="A253" s="30" t="n"/>
    </row>
    <row r="254">
      <c r="A254" s="30" t="n"/>
    </row>
    <row r="255">
      <c r="A255" s="30" t="n"/>
    </row>
    <row r="256">
      <c r="A256" s="30" t="n"/>
    </row>
    <row r="257">
      <c r="A257" s="30" t="n"/>
    </row>
    <row r="258">
      <c r="A258" s="30" t="n"/>
    </row>
    <row r="259">
      <c r="A259" s="30" t="n"/>
    </row>
    <row r="260">
      <c r="A260" s="30" t="n"/>
    </row>
    <row r="261">
      <c r="A261" s="30" t="n"/>
    </row>
    <row r="262">
      <c r="A262" s="30" t="n"/>
    </row>
    <row r="263">
      <c r="A263" s="30" t="n"/>
    </row>
    <row r="264">
      <c r="A264" s="30" t="n"/>
    </row>
    <row r="265">
      <c r="A265" s="30" t="n"/>
    </row>
    <row r="266">
      <c r="A266" s="30" t="n"/>
    </row>
    <row r="267">
      <c r="A267" s="30" t="n"/>
    </row>
    <row r="268">
      <c r="A268" s="30" t="n"/>
    </row>
    <row r="269">
      <c r="A269" s="30" t="n"/>
    </row>
    <row r="270">
      <c r="A270" s="30" t="n"/>
    </row>
    <row r="271">
      <c r="A271" s="30" t="n"/>
    </row>
    <row r="272">
      <c r="A272" s="30" t="n"/>
    </row>
    <row r="273">
      <c r="A273" s="30" t="n"/>
    </row>
    <row r="274">
      <c r="A274" s="30" t="n"/>
    </row>
    <row r="275">
      <c r="A275" s="30" t="n"/>
    </row>
    <row r="276">
      <c r="A276" s="30" t="n"/>
    </row>
    <row r="277">
      <c r="A277" s="30" t="n"/>
    </row>
    <row r="278">
      <c r="A278" s="30" t="n"/>
    </row>
    <row r="279">
      <c r="A279" s="30" t="n"/>
    </row>
    <row r="280">
      <c r="A280" s="30" t="n"/>
    </row>
    <row r="281">
      <c r="A281" s="30" t="n"/>
    </row>
    <row r="282">
      <c r="A282" s="30" t="n"/>
    </row>
    <row r="283">
      <c r="A283" s="30" t="n"/>
    </row>
    <row r="284">
      <c r="A284" s="30" t="n"/>
    </row>
    <row r="285">
      <c r="A285" s="30" t="n"/>
    </row>
    <row r="286">
      <c r="A286" s="30" t="n"/>
    </row>
    <row r="287">
      <c r="A287" s="30" t="n"/>
    </row>
    <row r="288">
      <c r="A288" s="30" t="n"/>
    </row>
    <row r="289">
      <c r="A289" s="30" t="n"/>
    </row>
    <row r="290">
      <c r="A290" s="30" t="n"/>
    </row>
    <row r="291">
      <c r="A291" s="30" t="n"/>
    </row>
    <row r="292">
      <c r="A292" s="30" t="n"/>
    </row>
    <row r="293">
      <c r="A293" s="30" t="n"/>
    </row>
    <row r="294">
      <c r="A294" s="30" t="n"/>
    </row>
    <row r="295">
      <c r="A295" s="30" t="n"/>
    </row>
    <row r="296">
      <c r="A296" s="30" t="n"/>
    </row>
    <row r="297">
      <c r="A297" s="30" t="n"/>
    </row>
    <row r="298">
      <c r="A298" s="30" t="n"/>
    </row>
    <row r="299">
      <c r="A299" s="30" t="n"/>
    </row>
    <row r="300">
      <c r="A300" s="30" t="n"/>
    </row>
    <row r="301">
      <c r="A301" s="30" t="n"/>
    </row>
    <row r="302">
      <c r="A302" s="30" t="n"/>
    </row>
    <row r="303">
      <c r="A303" s="30" t="n"/>
    </row>
    <row r="304">
      <c r="A304" s="30" t="n"/>
    </row>
    <row r="305">
      <c r="A305" s="30" t="n"/>
    </row>
    <row r="306">
      <c r="A306" s="30" t="n"/>
    </row>
    <row r="307">
      <c r="A307" s="30" t="n"/>
    </row>
    <row r="308">
      <c r="A308" s="30" t="n"/>
    </row>
    <row r="309">
      <c r="A309" s="30" t="n"/>
    </row>
    <row r="310">
      <c r="A310" s="30" t="n"/>
    </row>
    <row r="311">
      <c r="A311" s="30" t="n"/>
    </row>
    <row r="312">
      <c r="A312" s="30" t="n"/>
    </row>
    <row r="313">
      <c r="A313" s="30" t="n"/>
    </row>
    <row r="314">
      <c r="A314" s="30" t="n"/>
    </row>
    <row r="315">
      <c r="A315" s="30" t="n"/>
    </row>
    <row r="316">
      <c r="A316" s="30" t="n"/>
    </row>
    <row r="317">
      <c r="A317" s="30" t="n"/>
    </row>
    <row r="318">
      <c r="A318" s="30" t="n"/>
    </row>
    <row r="319">
      <c r="A319" s="30" t="n"/>
    </row>
    <row r="320">
      <c r="A320" s="30" t="n"/>
    </row>
    <row r="321">
      <c r="A321" s="30" t="n"/>
    </row>
    <row r="322">
      <c r="A322" s="30" t="n"/>
    </row>
    <row r="323">
      <c r="A323" s="30" t="n"/>
    </row>
    <row r="324">
      <c r="A324" s="30" t="n"/>
    </row>
    <row r="325">
      <c r="A325" s="30" t="n"/>
    </row>
    <row r="326">
      <c r="A326" s="30" t="n"/>
    </row>
    <row r="327">
      <c r="A327" s="30" t="n"/>
    </row>
    <row r="328">
      <c r="A328" s="30" t="n"/>
    </row>
    <row r="329">
      <c r="A329" s="30" t="n"/>
    </row>
    <row r="330">
      <c r="A330" s="30" t="n"/>
    </row>
    <row r="331">
      <c r="A331" s="30" t="n"/>
    </row>
    <row r="332">
      <c r="A332" s="30" t="n"/>
    </row>
    <row r="333">
      <c r="A333" s="30" t="n"/>
    </row>
    <row r="334">
      <c r="A334" s="30" t="n"/>
    </row>
    <row r="335">
      <c r="A335" s="30" t="n"/>
    </row>
    <row r="336">
      <c r="A336" s="30" t="n"/>
    </row>
    <row r="337">
      <c r="A337" s="30" t="n"/>
    </row>
    <row r="338">
      <c r="A338" s="30" t="n"/>
    </row>
    <row r="339">
      <c r="A339" s="30" t="n"/>
    </row>
    <row r="340">
      <c r="A340" s="30" t="n"/>
    </row>
    <row r="341">
      <c r="A341" s="30" t="n"/>
    </row>
    <row r="342">
      <c r="A342" s="30" t="n"/>
    </row>
    <row r="343">
      <c r="A343" s="30" t="n"/>
    </row>
    <row r="344">
      <c r="A344" s="30" t="n"/>
    </row>
    <row r="345">
      <c r="A345" s="30" t="n"/>
    </row>
    <row r="346">
      <c r="A346" s="30" t="n"/>
    </row>
    <row r="347">
      <c r="A347" s="30" t="n"/>
    </row>
    <row r="348">
      <c r="A348" s="30" t="n"/>
    </row>
    <row r="349">
      <c r="A349" s="30" t="n"/>
    </row>
    <row r="350">
      <c r="A350" s="30" t="n"/>
    </row>
    <row r="351">
      <c r="A351" s="30" t="n"/>
    </row>
    <row r="352">
      <c r="A352" s="30" t="n"/>
    </row>
    <row r="353">
      <c r="A353" s="30" t="n"/>
    </row>
    <row r="354">
      <c r="A354" s="30" t="n"/>
    </row>
    <row r="355">
      <c r="A355" s="30" t="n"/>
    </row>
    <row r="356">
      <c r="A356" s="30" t="n"/>
    </row>
    <row r="357">
      <c r="A357" s="30" t="n"/>
    </row>
    <row r="358">
      <c r="A358" s="30" t="n"/>
    </row>
    <row r="359">
      <c r="A359" s="30" t="n"/>
    </row>
    <row r="360">
      <c r="A360" s="30" t="n"/>
    </row>
    <row r="361">
      <c r="A361" s="30" t="n"/>
    </row>
    <row r="362">
      <c r="A362" s="30" t="n"/>
    </row>
    <row r="363">
      <c r="A363" s="30" t="n"/>
    </row>
    <row r="364">
      <c r="A364" s="30" t="n"/>
    </row>
    <row r="365">
      <c r="A365" s="30" t="n"/>
    </row>
    <row r="366">
      <c r="A366" s="30" t="n"/>
    </row>
    <row r="367">
      <c r="A367" s="30" t="n"/>
    </row>
    <row r="368">
      <c r="A368" s="30" t="n"/>
    </row>
    <row r="369">
      <c r="A369" s="30" t="n"/>
    </row>
    <row r="370">
      <c r="A370" s="30" t="n"/>
    </row>
    <row r="371">
      <c r="A371" s="30" t="n"/>
    </row>
    <row r="372">
      <c r="A372" s="30" t="n"/>
    </row>
    <row r="373">
      <c r="A373" s="30" t="n"/>
    </row>
    <row r="374">
      <c r="A374" s="30" t="n"/>
    </row>
    <row r="375">
      <c r="A375" s="30" t="n"/>
    </row>
    <row r="376">
      <c r="A376" s="30" t="n"/>
    </row>
    <row r="377">
      <c r="A377" s="30" t="n"/>
    </row>
    <row r="378">
      <c r="A378" s="30" t="n"/>
    </row>
    <row r="379">
      <c r="A379" s="30" t="n"/>
    </row>
    <row r="380">
      <c r="A380" s="30" t="n"/>
    </row>
    <row r="381">
      <c r="A381" s="30" t="n"/>
    </row>
    <row r="382">
      <c r="A382" s="30" t="n"/>
    </row>
    <row r="383">
      <c r="A383" s="30" t="n"/>
    </row>
    <row r="384">
      <c r="A384" s="30" t="n"/>
    </row>
    <row r="385">
      <c r="A385" s="30" t="n"/>
    </row>
    <row r="386">
      <c r="A386" s="30" t="n"/>
    </row>
    <row r="387">
      <c r="A387" s="30" t="n"/>
    </row>
    <row r="388">
      <c r="A388" s="30" t="n"/>
    </row>
    <row r="389">
      <c r="A389" s="30" t="n"/>
    </row>
    <row r="390">
      <c r="A390" s="30" t="n"/>
    </row>
    <row r="391">
      <c r="A391" s="30" t="n"/>
    </row>
    <row r="392">
      <c r="A392" s="30" t="n"/>
    </row>
    <row r="393">
      <c r="A393" s="30" t="n"/>
    </row>
    <row r="394">
      <c r="A394" s="30" t="n"/>
    </row>
    <row r="395">
      <c r="A395" s="30" t="n"/>
    </row>
    <row r="396">
      <c r="A396" s="30" t="n"/>
    </row>
    <row r="397">
      <c r="A397" s="30" t="n"/>
    </row>
    <row r="398">
      <c r="A398" s="30" t="n"/>
    </row>
    <row r="399">
      <c r="A399" s="30" t="n"/>
    </row>
    <row r="400">
      <c r="A400" s="30" t="n"/>
    </row>
    <row r="401">
      <c r="A401" s="30" t="n"/>
    </row>
    <row r="402">
      <c r="A402" s="30" t="n"/>
    </row>
    <row r="403">
      <c r="A403" s="30" t="n"/>
    </row>
    <row r="404">
      <c r="A404" s="30" t="n"/>
    </row>
    <row r="405">
      <c r="A405" s="30" t="n"/>
    </row>
    <row r="406">
      <c r="A406" s="30" t="n"/>
    </row>
    <row r="407">
      <c r="A407" s="30" t="n"/>
    </row>
    <row r="408">
      <c r="A408" s="30" t="n"/>
    </row>
    <row r="409">
      <c r="A409" s="30" t="n"/>
    </row>
    <row r="410">
      <c r="A410" s="30" t="n"/>
    </row>
    <row r="411">
      <c r="A411" s="30" t="n"/>
    </row>
    <row r="412">
      <c r="A412" s="30" t="n"/>
    </row>
    <row r="413">
      <c r="A413" s="30" t="n"/>
    </row>
    <row r="414">
      <c r="A414" s="30" t="n"/>
    </row>
    <row r="415">
      <c r="A415" s="30" t="n"/>
    </row>
    <row r="416">
      <c r="A416" s="30" t="n"/>
    </row>
    <row r="417">
      <c r="A417" s="30" t="n"/>
    </row>
    <row r="418">
      <c r="A418" s="30" t="n"/>
    </row>
    <row r="419">
      <c r="A419" s="30" t="n"/>
    </row>
    <row r="420">
      <c r="A420" s="30" t="n"/>
    </row>
    <row r="421">
      <c r="A421" s="30" t="n"/>
    </row>
    <row r="422">
      <c r="A422" s="30" t="n"/>
    </row>
    <row r="423">
      <c r="A423" s="30" t="n"/>
    </row>
    <row r="424">
      <c r="A424" s="30" t="n"/>
    </row>
    <row r="425">
      <c r="A425" s="30" t="n"/>
    </row>
    <row r="426">
      <c r="A426" s="30" t="n"/>
    </row>
    <row r="427">
      <c r="A427" s="30" t="n"/>
    </row>
    <row r="428">
      <c r="A428" s="30" t="n"/>
    </row>
    <row r="429">
      <c r="A429" s="30" t="n"/>
    </row>
    <row r="430">
      <c r="A430" s="30" t="n"/>
    </row>
    <row r="431">
      <c r="A431" s="30" t="n"/>
    </row>
    <row r="432">
      <c r="A432" s="30" t="n"/>
    </row>
    <row r="433">
      <c r="A433" s="30" t="n"/>
    </row>
    <row r="434">
      <c r="A434" s="30" t="n"/>
    </row>
    <row r="435">
      <c r="A435" s="30" t="n"/>
    </row>
    <row r="436">
      <c r="A436" s="30" t="n"/>
    </row>
    <row r="437">
      <c r="A437" s="30" t="n"/>
    </row>
    <row r="438">
      <c r="A438" s="30" t="n"/>
    </row>
    <row r="439">
      <c r="A439" s="30" t="n"/>
    </row>
    <row r="440">
      <c r="A440" s="30" t="n"/>
    </row>
    <row r="441">
      <c r="A441" s="30" t="n"/>
    </row>
    <row r="442">
      <c r="A442" s="30" t="n"/>
    </row>
    <row r="443">
      <c r="A443" s="30" t="n"/>
    </row>
    <row r="444">
      <c r="A444" s="30" t="n"/>
    </row>
    <row r="445">
      <c r="A445" s="30" t="n"/>
    </row>
    <row r="446">
      <c r="A446" s="30" t="n"/>
    </row>
    <row r="447">
      <c r="A447" s="30" t="n"/>
    </row>
    <row r="448">
      <c r="A448" s="30" t="n"/>
    </row>
    <row r="449">
      <c r="A449" s="30" t="n"/>
    </row>
    <row r="450">
      <c r="A450" s="30" t="n"/>
    </row>
    <row r="451">
      <c r="A451" s="30" t="n"/>
    </row>
    <row r="452">
      <c r="A452" s="30" t="n"/>
    </row>
    <row r="453">
      <c r="A453" s="30" t="n"/>
    </row>
    <row r="454">
      <c r="A454" s="30" t="n"/>
    </row>
    <row r="455">
      <c r="A455" s="30" t="n"/>
    </row>
    <row r="456">
      <c r="A456" s="30" t="n"/>
    </row>
    <row r="457">
      <c r="A457" s="30" t="n"/>
    </row>
    <row r="458">
      <c r="A458" s="30" t="n"/>
    </row>
    <row r="459">
      <c r="A459" s="30" t="n"/>
    </row>
    <row r="460">
      <c r="A460" s="30" t="n"/>
    </row>
    <row r="461">
      <c r="A461" s="30" t="n"/>
    </row>
    <row r="462">
      <c r="A462" s="30" t="n"/>
    </row>
    <row r="463">
      <c r="A463" s="30" t="n"/>
    </row>
    <row r="464">
      <c r="A464" s="30" t="n"/>
    </row>
    <row r="465">
      <c r="A465" s="30" t="n"/>
    </row>
    <row r="466">
      <c r="A466" s="30" t="n"/>
    </row>
    <row r="467">
      <c r="A467" s="30" t="n"/>
    </row>
    <row r="468">
      <c r="A468" s="30" t="n"/>
    </row>
    <row r="469">
      <c r="A469" s="30" t="n"/>
    </row>
    <row r="470">
      <c r="A470" s="30" t="n"/>
    </row>
    <row r="471">
      <c r="A471" s="30" t="n"/>
    </row>
    <row r="472">
      <c r="A472" s="30" t="n"/>
    </row>
    <row r="473">
      <c r="A473" s="30" t="n"/>
    </row>
    <row r="474">
      <c r="A474" s="30" t="n"/>
    </row>
    <row r="475">
      <c r="A475" s="30" t="n"/>
    </row>
    <row r="476">
      <c r="A476" s="30" t="n"/>
    </row>
    <row r="477">
      <c r="A477" s="30" t="n"/>
    </row>
    <row r="478">
      <c r="A478" s="30" t="n"/>
    </row>
    <row r="479">
      <c r="A479" s="30" t="n"/>
    </row>
    <row r="480">
      <c r="A480" s="30" t="n"/>
    </row>
    <row r="481">
      <c r="A481" s="30" t="n"/>
    </row>
    <row r="482">
      <c r="A482" s="30" t="n"/>
    </row>
    <row r="483">
      <c r="A483" s="30" t="n"/>
    </row>
    <row r="484">
      <c r="A484" s="30" t="n"/>
    </row>
    <row r="485">
      <c r="A485" s="30" t="n"/>
    </row>
    <row r="486">
      <c r="A486" s="30" t="n"/>
    </row>
    <row r="487">
      <c r="A487" s="30" t="n"/>
    </row>
    <row r="488">
      <c r="A488" s="30" t="n"/>
    </row>
    <row r="489">
      <c r="A489" s="30" t="n"/>
    </row>
    <row r="490">
      <c r="A490" s="30" t="n"/>
    </row>
    <row r="491">
      <c r="A491" s="30" t="n"/>
    </row>
    <row r="492">
      <c r="A492" s="30" t="n"/>
    </row>
    <row r="493">
      <c r="A493" s="30" t="n"/>
    </row>
    <row r="494">
      <c r="A494" s="30" t="n"/>
    </row>
    <row r="495">
      <c r="A495" s="30" t="n"/>
    </row>
    <row r="496">
      <c r="A496" s="30" t="n"/>
    </row>
    <row r="497">
      <c r="A497" s="30" t="n"/>
    </row>
    <row r="498">
      <c r="A498" s="30" t="n"/>
    </row>
    <row r="499">
      <c r="A499" s="30" t="n"/>
    </row>
    <row r="500">
      <c r="A500" s="30" t="n"/>
    </row>
    <row r="501">
      <c r="A501" s="30" t="n"/>
    </row>
    <row r="502">
      <c r="A502" s="30" t="n"/>
    </row>
    <row r="503">
      <c r="A503" s="30" t="n"/>
    </row>
    <row r="504">
      <c r="A504" s="30" t="n"/>
    </row>
    <row r="505">
      <c r="A505" s="30" t="n"/>
    </row>
    <row r="506">
      <c r="A506" s="30" t="n"/>
    </row>
    <row r="507">
      <c r="A507" s="30" t="n"/>
    </row>
    <row r="508">
      <c r="A508" s="30" t="n"/>
    </row>
    <row r="509">
      <c r="A509" s="30" t="n"/>
    </row>
    <row r="510">
      <c r="A510" s="30" t="n"/>
    </row>
    <row r="511">
      <c r="A511" s="30" t="n"/>
    </row>
    <row r="512">
      <c r="A512" s="30" t="n"/>
    </row>
    <row r="513">
      <c r="A513" s="30" t="n"/>
    </row>
    <row r="514">
      <c r="A514" s="30" t="n"/>
    </row>
    <row r="515">
      <c r="A515" s="30" t="n"/>
    </row>
    <row r="516">
      <c r="A516" s="30" t="n"/>
    </row>
    <row r="517">
      <c r="A517" s="30" t="n"/>
    </row>
    <row r="518">
      <c r="A518" s="30" t="n"/>
    </row>
    <row r="519">
      <c r="A519" s="30" t="n"/>
    </row>
    <row r="520">
      <c r="A520" s="30" t="n"/>
    </row>
    <row r="521">
      <c r="A521" s="30" t="n"/>
    </row>
    <row r="522">
      <c r="A522" s="30" t="n"/>
    </row>
    <row r="523">
      <c r="A523" s="30" t="n"/>
    </row>
    <row r="524">
      <c r="A524" s="30" t="n"/>
    </row>
    <row r="525">
      <c r="A525" s="30" t="n"/>
    </row>
    <row r="526">
      <c r="A526" s="30" t="n"/>
    </row>
    <row r="527">
      <c r="A527" s="30" t="n"/>
    </row>
    <row r="528">
      <c r="A528" s="30" t="n"/>
    </row>
    <row r="529">
      <c r="A529" s="30" t="n"/>
    </row>
    <row r="530">
      <c r="A530" s="30" t="n"/>
    </row>
    <row r="531">
      <c r="A531" s="30" t="n"/>
    </row>
    <row r="532">
      <c r="A532" s="30" t="n"/>
    </row>
    <row r="533">
      <c r="A533" s="30" t="n"/>
    </row>
    <row r="534">
      <c r="A534" s="30" t="n"/>
    </row>
    <row r="535">
      <c r="A535" s="30" t="n"/>
    </row>
    <row r="536">
      <c r="A536" s="30" t="n"/>
    </row>
    <row r="537">
      <c r="A537" s="30" t="n"/>
    </row>
    <row r="538">
      <c r="A538" s="30" t="n"/>
    </row>
    <row r="539">
      <c r="A539" s="30" t="n"/>
    </row>
    <row r="540">
      <c r="A540" s="30" t="n"/>
    </row>
    <row r="541">
      <c r="A541" s="30" t="n"/>
    </row>
    <row r="542">
      <c r="A542" s="30" t="n"/>
    </row>
    <row r="543">
      <c r="A543" s="30" t="n"/>
    </row>
    <row r="544">
      <c r="A544" s="30" t="n"/>
    </row>
    <row r="545">
      <c r="A545" s="30" t="n"/>
    </row>
    <row r="546">
      <c r="A546" s="30" t="n"/>
    </row>
    <row r="547">
      <c r="A547" s="30" t="n"/>
    </row>
    <row r="548">
      <c r="A548" s="30" t="n"/>
    </row>
    <row r="549">
      <c r="A549" s="30" t="n"/>
    </row>
    <row r="550">
      <c r="A550" s="30" t="n"/>
    </row>
    <row r="551">
      <c r="A551" s="30" t="n"/>
    </row>
    <row r="552">
      <c r="A552" s="30" t="n"/>
    </row>
    <row r="553">
      <c r="A553" s="30" t="n"/>
    </row>
    <row r="554">
      <c r="A554" s="30" t="n"/>
    </row>
    <row r="555">
      <c r="A555" s="30" t="n"/>
    </row>
    <row r="556">
      <c r="A556" s="30" t="n"/>
    </row>
    <row r="557">
      <c r="A557" s="30" t="n"/>
    </row>
    <row r="558">
      <c r="A558" s="30" t="n"/>
    </row>
    <row r="559">
      <c r="A559" s="30" t="n"/>
    </row>
    <row r="560">
      <c r="A560" s="30" t="n"/>
    </row>
    <row r="561">
      <c r="A561" s="30" t="n"/>
    </row>
    <row r="562">
      <c r="A562" s="30" t="n"/>
    </row>
    <row r="563">
      <c r="A563" s="30" t="n"/>
    </row>
    <row r="564">
      <c r="A564" s="30" t="n"/>
    </row>
    <row r="565">
      <c r="A565" s="30" t="n"/>
    </row>
    <row r="566">
      <c r="A566" s="30" t="n"/>
    </row>
    <row r="567">
      <c r="A567" s="30" t="n"/>
    </row>
    <row r="568">
      <c r="A568" s="30" t="n"/>
    </row>
    <row r="569">
      <c r="A569" s="30" t="n"/>
    </row>
    <row r="570">
      <c r="A570" s="30" t="n"/>
    </row>
    <row r="571">
      <c r="A571" s="30" t="n"/>
    </row>
    <row r="572">
      <c r="A572" s="30" t="n"/>
    </row>
    <row r="573">
      <c r="A573" s="30" t="n"/>
    </row>
    <row r="574">
      <c r="A574" s="30" t="n"/>
    </row>
    <row r="575">
      <c r="A575" s="30" t="n"/>
    </row>
    <row r="576">
      <c r="A576" s="30" t="n"/>
    </row>
    <row r="577">
      <c r="A577" s="30" t="n"/>
    </row>
    <row r="578">
      <c r="A578" s="30" t="n"/>
    </row>
    <row r="579">
      <c r="A579" s="30" t="n"/>
    </row>
    <row r="580">
      <c r="A580" s="30" t="n"/>
    </row>
    <row r="581">
      <c r="A581" s="30" t="n"/>
    </row>
    <row r="582">
      <c r="A582" s="30" t="n"/>
    </row>
    <row r="583">
      <c r="A583" s="30" t="n"/>
    </row>
    <row r="584">
      <c r="A584" s="30" t="n"/>
    </row>
    <row r="585">
      <c r="A585" s="30" t="n"/>
    </row>
    <row r="586">
      <c r="A586" s="30" t="n"/>
    </row>
    <row r="587">
      <c r="A587" s="30" t="n"/>
    </row>
    <row r="588">
      <c r="A588" s="30" t="n"/>
    </row>
    <row r="589">
      <c r="A589" s="30" t="n"/>
    </row>
    <row r="590">
      <c r="A590" s="30" t="n"/>
    </row>
    <row r="591">
      <c r="A591" s="30" t="n"/>
    </row>
    <row r="592">
      <c r="A592" s="30" t="n"/>
    </row>
    <row r="593">
      <c r="A593" s="30" t="n"/>
    </row>
    <row r="594">
      <c r="A594" s="30" t="n"/>
    </row>
    <row r="595">
      <c r="A595" s="30" t="n"/>
    </row>
    <row r="596">
      <c r="A596" s="30" t="n"/>
    </row>
    <row r="597">
      <c r="A597" s="30" t="n"/>
    </row>
    <row r="598">
      <c r="A598" s="30" t="n"/>
    </row>
    <row r="599">
      <c r="A599" s="30" t="n"/>
    </row>
    <row r="600">
      <c r="A600" s="30" t="n"/>
    </row>
    <row r="601">
      <c r="A601" s="30" t="n"/>
    </row>
    <row r="602">
      <c r="A602" s="30" t="n"/>
    </row>
    <row r="603">
      <c r="A603" s="30" t="n"/>
    </row>
    <row r="604">
      <c r="A604" s="30" t="n"/>
    </row>
    <row r="605">
      <c r="A605" s="30" t="n"/>
    </row>
    <row r="606">
      <c r="A606" s="30" t="n"/>
    </row>
    <row r="607">
      <c r="A607" s="30" t="n"/>
    </row>
    <row r="608">
      <c r="A608" s="30" t="n"/>
    </row>
    <row r="609">
      <c r="A609" s="30" t="n"/>
    </row>
    <row r="610">
      <c r="A610" s="30" t="n"/>
    </row>
    <row r="611">
      <c r="A611" s="30" t="n"/>
    </row>
    <row r="612">
      <c r="A612" s="30" t="n"/>
    </row>
    <row r="613">
      <c r="A613" s="30" t="n"/>
    </row>
    <row r="614">
      <c r="A614" s="30" t="n"/>
    </row>
    <row r="615">
      <c r="A615" s="30" t="n"/>
    </row>
    <row r="616">
      <c r="A616" s="30" t="n"/>
    </row>
    <row r="617">
      <c r="A617" s="30" t="n"/>
    </row>
    <row r="618">
      <c r="A618" s="30" t="n"/>
    </row>
    <row r="619">
      <c r="A619" s="30" t="n"/>
    </row>
    <row r="620">
      <c r="A620" s="30" t="n"/>
    </row>
    <row r="621">
      <c r="A621" s="30" t="n"/>
    </row>
    <row r="622">
      <c r="A622" s="30" t="n"/>
    </row>
    <row r="623">
      <c r="A623" s="30" t="n"/>
    </row>
    <row r="624">
      <c r="A624" s="30" t="n"/>
    </row>
    <row r="625">
      <c r="A625" s="30" t="n"/>
    </row>
    <row r="626">
      <c r="A626" s="30" t="n"/>
    </row>
    <row r="627">
      <c r="A627" s="30" t="n"/>
    </row>
    <row r="628">
      <c r="A628" s="30" t="n"/>
    </row>
    <row r="629">
      <c r="A629" s="30" t="n"/>
    </row>
    <row r="630">
      <c r="A630" s="30" t="n"/>
    </row>
    <row r="631">
      <c r="A631" s="30" t="n"/>
    </row>
    <row r="632">
      <c r="A632" s="30" t="n"/>
    </row>
    <row r="633">
      <c r="A633" s="30" t="n"/>
    </row>
    <row r="634">
      <c r="A634" s="30" t="n"/>
    </row>
    <row r="635">
      <c r="A635" s="30" t="n"/>
    </row>
    <row r="636">
      <c r="A636" s="30" t="n"/>
    </row>
    <row r="637">
      <c r="A637" s="30" t="n"/>
    </row>
    <row r="638">
      <c r="A638" s="30" t="n"/>
    </row>
    <row r="639">
      <c r="A639" s="30" t="n"/>
    </row>
    <row r="640">
      <c r="A640" s="30" t="n"/>
    </row>
    <row r="641">
      <c r="A641" s="30" t="n"/>
    </row>
    <row r="642">
      <c r="A642" s="30" t="n"/>
    </row>
    <row r="643">
      <c r="A643" s="30" t="n"/>
    </row>
    <row r="644">
      <c r="A644" s="30" t="n"/>
    </row>
    <row r="645">
      <c r="A645" s="30" t="n"/>
    </row>
    <row r="646">
      <c r="A646" s="30" t="n"/>
    </row>
    <row r="647">
      <c r="A647" s="30" t="n"/>
    </row>
    <row r="648">
      <c r="A648" s="30" t="n"/>
    </row>
    <row r="649">
      <c r="A649" s="30" t="n"/>
    </row>
    <row r="650">
      <c r="A650" s="30" t="n"/>
    </row>
    <row r="651">
      <c r="A651" s="30" t="n"/>
    </row>
    <row r="652">
      <c r="A652" s="30" t="n"/>
    </row>
    <row r="653">
      <c r="A653" s="30" t="n"/>
    </row>
    <row r="654">
      <c r="A654" s="30" t="n"/>
    </row>
    <row r="655">
      <c r="A655" s="30" t="n"/>
    </row>
    <row r="656">
      <c r="A656" s="30" t="n"/>
    </row>
    <row r="657">
      <c r="A657" s="30" t="n"/>
    </row>
    <row r="658">
      <c r="A658" s="30" t="n"/>
    </row>
    <row r="659">
      <c r="A659" s="30" t="n"/>
    </row>
    <row r="660">
      <c r="A660" s="30" t="n"/>
    </row>
    <row r="661">
      <c r="A661" s="30" t="n"/>
    </row>
    <row r="662">
      <c r="A662" s="30" t="n"/>
    </row>
    <row r="663">
      <c r="A663" s="30" t="n"/>
    </row>
    <row r="664">
      <c r="A664" s="30" t="n"/>
    </row>
    <row r="665">
      <c r="A665" s="30" t="n"/>
    </row>
    <row r="666">
      <c r="A666" s="30" t="n"/>
    </row>
    <row r="667">
      <c r="A667" s="30" t="n"/>
    </row>
    <row r="668">
      <c r="A668" s="30" t="n"/>
    </row>
    <row r="669">
      <c r="A669" s="30" t="n"/>
    </row>
    <row r="670">
      <c r="A670" s="30" t="n"/>
    </row>
    <row r="671">
      <c r="A671" s="30" t="n"/>
    </row>
    <row r="672">
      <c r="A672" s="30" t="n"/>
    </row>
    <row r="673">
      <c r="A673" s="30" t="n"/>
    </row>
    <row r="674">
      <c r="A674" s="30" t="n"/>
    </row>
    <row r="675">
      <c r="A675" s="30" t="n"/>
    </row>
    <row r="676">
      <c r="A676" s="30" t="n"/>
    </row>
    <row r="677">
      <c r="A677" s="30" t="n"/>
    </row>
    <row r="678">
      <c r="A678" s="30" t="n"/>
    </row>
    <row r="679">
      <c r="A679" s="30" t="n"/>
    </row>
    <row r="680">
      <c r="A680" s="30" t="n"/>
    </row>
    <row r="681">
      <c r="A681" s="30" t="n"/>
    </row>
    <row r="682">
      <c r="A682" s="30" t="n"/>
    </row>
    <row r="683">
      <c r="A683" s="30" t="n"/>
    </row>
    <row r="684">
      <c r="A684" s="30" t="n"/>
    </row>
    <row r="685">
      <c r="A685" s="30" t="n"/>
    </row>
    <row r="686">
      <c r="A686" s="30" t="n"/>
    </row>
    <row r="687">
      <c r="A687" s="30" t="n"/>
    </row>
    <row r="688">
      <c r="A688" s="30" t="n"/>
    </row>
    <row r="689">
      <c r="A689" s="30" t="n"/>
    </row>
    <row r="690">
      <c r="A690" s="30" t="n"/>
    </row>
    <row r="691">
      <c r="A691" s="30" t="n"/>
    </row>
    <row r="692">
      <c r="A692" s="30" t="n"/>
    </row>
    <row r="693">
      <c r="A693" s="30" t="n"/>
    </row>
    <row r="694">
      <c r="A694" s="30" t="n"/>
    </row>
    <row r="695">
      <c r="A695" s="30" t="n"/>
    </row>
    <row r="696">
      <c r="A696" s="30" t="n"/>
    </row>
    <row r="697">
      <c r="A697" s="30" t="n"/>
    </row>
    <row r="698">
      <c r="A698" s="30" t="n"/>
    </row>
    <row r="699">
      <c r="A699" s="30" t="n"/>
    </row>
    <row r="700">
      <c r="A700" s="30" t="n"/>
    </row>
    <row r="701">
      <c r="A701" s="30" t="n"/>
    </row>
    <row r="702">
      <c r="A702" s="30" t="n"/>
    </row>
    <row r="703">
      <c r="A703" s="30" t="n"/>
    </row>
    <row r="704">
      <c r="A704" s="30" t="n"/>
    </row>
    <row r="705">
      <c r="A705" s="30" t="n"/>
    </row>
    <row r="706">
      <c r="A706" s="30" t="n"/>
    </row>
    <row r="707">
      <c r="A707" s="30" t="n"/>
    </row>
    <row r="708">
      <c r="A708" s="30" t="n"/>
    </row>
    <row r="709">
      <c r="A709" s="30" t="n"/>
    </row>
    <row r="710">
      <c r="A710" s="30" t="n"/>
    </row>
    <row r="711">
      <c r="A711" s="30" t="n"/>
    </row>
    <row r="712">
      <c r="A712" s="30" t="n"/>
    </row>
    <row r="713">
      <c r="A713" s="30" t="n"/>
    </row>
    <row r="714">
      <c r="A714" s="30" t="n"/>
    </row>
    <row r="715">
      <c r="A715" s="30" t="n"/>
    </row>
    <row r="716">
      <c r="A716" s="30" t="n"/>
    </row>
    <row r="717">
      <c r="A717" s="30" t="n"/>
    </row>
    <row r="718">
      <c r="A718" s="30" t="n"/>
    </row>
    <row r="719">
      <c r="A719" s="30" t="n"/>
    </row>
    <row r="720">
      <c r="A720" s="30" t="n"/>
    </row>
    <row r="721">
      <c r="A721" s="30" t="n"/>
    </row>
    <row r="722">
      <c r="A722" s="30" t="n"/>
    </row>
    <row r="723">
      <c r="A723" s="30" t="n"/>
    </row>
    <row r="724">
      <c r="A724" s="30" t="n"/>
    </row>
    <row r="725">
      <c r="A725" s="30" t="n"/>
    </row>
    <row r="726">
      <c r="A726" s="30" t="n"/>
    </row>
    <row r="727">
      <c r="A727" s="30" t="n"/>
    </row>
    <row r="728">
      <c r="A728" s="30" t="n"/>
    </row>
    <row r="729">
      <c r="A729" s="30" t="n"/>
    </row>
    <row r="730">
      <c r="A730" s="30" t="n"/>
    </row>
    <row r="731">
      <c r="A731" s="30" t="n"/>
    </row>
    <row r="732">
      <c r="A732" s="30" t="n"/>
    </row>
    <row r="733">
      <c r="A733" s="30" t="n"/>
    </row>
    <row r="734">
      <c r="A734" s="30" t="n"/>
    </row>
    <row r="735">
      <c r="A735" s="30" t="n"/>
    </row>
    <row r="736">
      <c r="A736" s="30" t="n"/>
    </row>
    <row r="737">
      <c r="A737" s="30" t="n"/>
    </row>
    <row r="738">
      <c r="A738" s="30" t="n"/>
    </row>
    <row r="739">
      <c r="A739" s="30" t="n"/>
    </row>
    <row r="740">
      <c r="A740" s="30" t="n"/>
    </row>
    <row r="741">
      <c r="A741" s="30" t="n"/>
    </row>
    <row r="742">
      <c r="A742" s="30" t="n"/>
    </row>
    <row r="743">
      <c r="A743" s="30" t="n"/>
    </row>
    <row r="744">
      <c r="A744" s="30" t="n"/>
    </row>
    <row r="745">
      <c r="A745" s="30" t="n"/>
    </row>
    <row r="746">
      <c r="A746" s="30" t="n"/>
    </row>
    <row r="747">
      <c r="A747" s="30" t="n"/>
    </row>
    <row r="748">
      <c r="A748" s="30" t="n"/>
    </row>
    <row r="749">
      <c r="A749" s="30" t="n"/>
    </row>
    <row r="750">
      <c r="A750" s="30" t="n"/>
    </row>
    <row r="751">
      <c r="A751" s="30" t="n"/>
    </row>
    <row r="752">
      <c r="A752" s="30" t="n"/>
    </row>
    <row r="753">
      <c r="A753" s="30" t="n"/>
    </row>
    <row r="754">
      <c r="A754" s="30" t="n"/>
    </row>
    <row r="755">
      <c r="A755" s="30" t="n"/>
    </row>
    <row r="756">
      <c r="A756" s="30" t="n"/>
    </row>
    <row r="757">
      <c r="A757" s="30" t="n"/>
    </row>
    <row r="758">
      <c r="A758" s="30" t="n"/>
    </row>
    <row r="759">
      <c r="A759" s="30" t="n"/>
    </row>
    <row r="760">
      <c r="A760" s="30" t="n"/>
    </row>
    <row r="761">
      <c r="A761" s="30" t="n"/>
    </row>
    <row r="762">
      <c r="A762" s="30" t="n"/>
    </row>
    <row r="763">
      <c r="A763" s="30" t="n"/>
    </row>
    <row r="764">
      <c r="A764" s="30" t="n"/>
    </row>
    <row r="765">
      <c r="A765" s="30" t="n"/>
    </row>
    <row r="766">
      <c r="A766" s="30" t="n"/>
    </row>
    <row r="767">
      <c r="A767" s="30" t="n"/>
    </row>
    <row r="768">
      <c r="A768" s="30" t="n"/>
    </row>
    <row r="769">
      <c r="A769" s="30" t="n"/>
    </row>
    <row r="770">
      <c r="A770" s="30" t="n"/>
    </row>
    <row r="771">
      <c r="A771" s="30" t="n"/>
    </row>
    <row r="772">
      <c r="A772" s="30" t="n"/>
    </row>
    <row r="773">
      <c r="A773" s="30" t="n"/>
    </row>
    <row r="774">
      <c r="A774" s="30" t="n"/>
    </row>
    <row r="775">
      <c r="A775" s="30" t="n"/>
    </row>
    <row r="776">
      <c r="A776" s="30" t="n"/>
    </row>
    <row r="777">
      <c r="A777" s="30" t="n"/>
    </row>
    <row r="778">
      <c r="A778" s="30" t="n"/>
    </row>
    <row r="779">
      <c r="A779" s="30" t="n"/>
    </row>
    <row r="780">
      <c r="A780" s="30" t="n"/>
    </row>
    <row r="781">
      <c r="A781" s="30" t="n"/>
    </row>
    <row r="782">
      <c r="A782" s="30" t="n"/>
    </row>
    <row r="783">
      <c r="A783" s="30" t="n"/>
    </row>
    <row r="784">
      <c r="A784" s="30" t="n"/>
    </row>
    <row r="785">
      <c r="A785" s="30" t="n"/>
    </row>
    <row r="786">
      <c r="A786" s="30" t="n"/>
    </row>
    <row r="787">
      <c r="A787" s="30" t="n"/>
    </row>
    <row r="788">
      <c r="A788" s="30" t="n"/>
    </row>
    <row r="789">
      <c r="A789" s="30" t="n"/>
    </row>
    <row r="790">
      <c r="A790" s="30" t="n"/>
    </row>
    <row r="791">
      <c r="A791" s="30" t="n"/>
    </row>
    <row r="792">
      <c r="A792" s="30" t="n"/>
    </row>
    <row r="793">
      <c r="A793" s="30" t="n"/>
    </row>
    <row r="794">
      <c r="A794" s="30" t="n"/>
    </row>
    <row r="795">
      <c r="A795" s="30" t="n"/>
    </row>
    <row r="796">
      <c r="A796" s="30" t="n"/>
    </row>
    <row r="797">
      <c r="A797" s="30" t="n"/>
    </row>
    <row r="798">
      <c r="A798" s="30" t="n"/>
    </row>
    <row r="799">
      <c r="A799" s="30" t="n"/>
    </row>
    <row r="800">
      <c r="A800" s="30" t="n"/>
    </row>
    <row r="801">
      <c r="A801" s="30" t="n"/>
    </row>
    <row r="802">
      <c r="A802" s="30" t="n"/>
    </row>
    <row r="803">
      <c r="A803" s="30" t="n"/>
    </row>
    <row r="804">
      <c r="A804" s="30" t="n"/>
    </row>
    <row r="805">
      <c r="A805" s="30" t="n"/>
    </row>
    <row r="806">
      <c r="A806" s="30" t="n"/>
    </row>
    <row r="807">
      <c r="A807" s="30" t="n"/>
    </row>
    <row r="808">
      <c r="A808" s="30" t="n"/>
    </row>
    <row r="809">
      <c r="A809" s="30" t="n"/>
    </row>
    <row r="810">
      <c r="A810" s="30" t="n"/>
    </row>
    <row r="811">
      <c r="A811" s="30" t="n"/>
    </row>
    <row r="812">
      <c r="A812" s="30" t="n"/>
    </row>
    <row r="813">
      <c r="A813" s="30" t="n"/>
    </row>
    <row r="814">
      <c r="A814" s="30" t="n"/>
    </row>
    <row r="815">
      <c r="A815" s="30" t="n"/>
    </row>
    <row r="816">
      <c r="A816" s="30" t="n"/>
    </row>
    <row r="817">
      <c r="A817" s="30" t="n"/>
    </row>
    <row r="818">
      <c r="A818" s="30" t="n"/>
    </row>
    <row r="819">
      <c r="A819" s="30" t="n"/>
    </row>
    <row r="820">
      <c r="A820" s="30" t="n"/>
    </row>
    <row r="821">
      <c r="A821" s="30" t="n"/>
    </row>
    <row r="822">
      <c r="A822" s="30" t="n"/>
    </row>
    <row r="823">
      <c r="A823" s="30" t="n"/>
    </row>
    <row r="824">
      <c r="A824" s="30" t="n"/>
    </row>
    <row r="825">
      <c r="A825" s="30" t="n"/>
    </row>
    <row r="826">
      <c r="A826" s="30" t="n"/>
    </row>
    <row r="827">
      <c r="A827" s="30" t="n"/>
    </row>
    <row r="828">
      <c r="A828" s="30" t="n"/>
    </row>
    <row r="829">
      <c r="A829" s="30" t="n"/>
    </row>
    <row r="830">
      <c r="A830" s="30" t="n"/>
    </row>
    <row r="831">
      <c r="A831" s="30" t="n"/>
    </row>
    <row r="832">
      <c r="A832" s="30" t="n"/>
    </row>
    <row r="833">
      <c r="A833" s="30" t="n"/>
    </row>
    <row r="834">
      <c r="A834" s="30" t="n"/>
    </row>
    <row r="835">
      <c r="A835" s="30" t="n"/>
    </row>
    <row r="836">
      <c r="A836" s="30" t="n"/>
    </row>
    <row r="837">
      <c r="A837" s="30" t="n"/>
    </row>
    <row r="838">
      <c r="A838" s="30" t="n"/>
    </row>
    <row r="839">
      <c r="A839" s="30" t="n"/>
    </row>
    <row r="840">
      <c r="A840" s="30" t="n"/>
    </row>
    <row r="841">
      <c r="A841" s="30" t="n"/>
    </row>
    <row r="842">
      <c r="A842" s="30" t="n"/>
    </row>
    <row r="843">
      <c r="A843" s="30" t="n"/>
    </row>
    <row r="844">
      <c r="A844" s="30" t="n"/>
    </row>
    <row r="845">
      <c r="A845" s="30" t="n"/>
    </row>
    <row r="846">
      <c r="A846" s="30" t="n"/>
    </row>
    <row r="847">
      <c r="A847" s="30" t="n"/>
    </row>
    <row r="848">
      <c r="A848" s="30" t="n"/>
    </row>
    <row r="849">
      <c r="A849" s="30" t="n"/>
    </row>
    <row r="850">
      <c r="A850" s="30" t="n"/>
    </row>
    <row r="851">
      <c r="A851" s="30" t="n"/>
    </row>
    <row r="852">
      <c r="A852" s="30" t="n"/>
    </row>
    <row r="853">
      <c r="A853" s="30" t="n"/>
    </row>
    <row r="854">
      <c r="A854" s="30" t="n"/>
    </row>
    <row r="855">
      <c r="A855" s="30" t="n"/>
    </row>
    <row r="856">
      <c r="A856" s="30" t="n"/>
    </row>
    <row r="857">
      <c r="A857" s="30" t="n"/>
    </row>
    <row r="858">
      <c r="A858" s="30" t="n"/>
    </row>
    <row r="859">
      <c r="A859" s="30" t="n"/>
    </row>
    <row r="860">
      <c r="A860" s="30" t="n"/>
    </row>
    <row r="861">
      <c r="A861" s="30" t="n"/>
    </row>
    <row r="862">
      <c r="A862" s="30" t="n"/>
    </row>
    <row r="863">
      <c r="A863" s="30" t="n"/>
    </row>
    <row r="864">
      <c r="A864" s="30" t="n"/>
    </row>
    <row r="865">
      <c r="A865" s="30" t="n"/>
    </row>
    <row r="866">
      <c r="A866" s="30" t="n"/>
    </row>
    <row r="867">
      <c r="A867" s="30" t="n"/>
    </row>
    <row r="868">
      <c r="A868" s="30" t="n"/>
    </row>
    <row r="869">
      <c r="A869" s="30" t="n"/>
    </row>
    <row r="870">
      <c r="A870" s="30" t="n"/>
    </row>
    <row r="871">
      <c r="A871" s="30" t="n"/>
    </row>
    <row r="872">
      <c r="A872" s="30" t="n"/>
    </row>
    <row r="873">
      <c r="A873" s="30" t="n"/>
    </row>
    <row r="874">
      <c r="A874" s="30" t="n"/>
    </row>
    <row r="875">
      <c r="A875" s="30" t="n"/>
    </row>
    <row r="876">
      <c r="A876" s="30" t="n"/>
    </row>
    <row r="877">
      <c r="A877" s="30" t="n"/>
    </row>
    <row r="878">
      <c r="A878" s="30" t="n"/>
    </row>
    <row r="879">
      <c r="A879" s="30" t="n"/>
    </row>
    <row r="880">
      <c r="A880" s="30" t="n"/>
    </row>
    <row r="881">
      <c r="A881" s="30" t="n"/>
    </row>
    <row r="882">
      <c r="A882" s="30" t="n"/>
    </row>
    <row r="883">
      <c r="A883" s="30" t="n"/>
    </row>
    <row r="884">
      <c r="A884" s="30" t="n"/>
    </row>
    <row r="885">
      <c r="A885" s="30" t="n"/>
    </row>
    <row r="886">
      <c r="A886" s="30" t="n"/>
    </row>
    <row r="887">
      <c r="A887" s="30" t="n"/>
    </row>
    <row r="888">
      <c r="A888" s="30" t="n"/>
    </row>
    <row r="889">
      <c r="A889" s="30" t="n"/>
    </row>
    <row r="890">
      <c r="A890" s="30" t="n"/>
    </row>
    <row r="891">
      <c r="A891" s="30" t="n"/>
    </row>
    <row r="892">
      <c r="A892" s="30" t="n"/>
    </row>
    <row r="893">
      <c r="A893" s="30" t="n"/>
    </row>
    <row r="894">
      <c r="A894" s="30" t="n"/>
    </row>
    <row r="895">
      <c r="A895" s="30" t="n"/>
    </row>
    <row r="896">
      <c r="A896" s="30" t="n"/>
    </row>
    <row r="897">
      <c r="A897" s="30" t="n"/>
    </row>
    <row r="898">
      <c r="A898" s="30" t="n"/>
    </row>
    <row r="899">
      <c r="A899" s="30" t="n"/>
    </row>
    <row r="900">
      <c r="A900" s="30" t="n"/>
    </row>
    <row r="901">
      <c r="A901" s="30" t="n"/>
    </row>
    <row r="902">
      <c r="A902" s="30" t="n"/>
    </row>
    <row r="903">
      <c r="A903" s="30" t="n"/>
    </row>
    <row r="904">
      <c r="A904" s="30" t="n"/>
    </row>
    <row r="905">
      <c r="A905" s="30" t="n"/>
    </row>
    <row r="906">
      <c r="A906" s="30" t="n"/>
    </row>
    <row r="907">
      <c r="A907" s="30" t="n"/>
    </row>
    <row r="908">
      <c r="A908" s="30" t="n"/>
    </row>
    <row r="909">
      <c r="A909" s="30" t="n"/>
    </row>
    <row r="910">
      <c r="A910" s="30" t="n"/>
    </row>
    <row r="911">
      <c r="A911" s="30" t="n"/>
    </row>
    <row r="912">
      <c r="A912" s="30" t="n"/>
    </row>
    <row r="913">
      <c r="A913" s="30" t="n"/>
    </row>
    <row r="914">
      <c r="A914" s="30" t="n"/>
    </row>
    <row r="915">
      <c r="A915" s="30" t="n"/>
    </row>
    <row r="916">
      <c r="A916" s="30" t="n"/>
    </row>
    <row r="917">
      <c r="A917" s="30" t="n"/>
    </row>
    <row r="918">
      <c r="A918" s="30" t="n"/>
    </row>
    <row r="919">
      <c r="A919" s="30" t="n"/>
    </row>
    <row r="920">
      <c r="A920" s="30" t="n"/>
    </row>
    <row r="921">
      <c r="A921" s="30" t="n"/>
    </row>
    <row r="922">
      <c r="A922" s="30" t="n"/>
    </row>
    <row r="923">
      <c r="A923" s="30" t="n"/>
    </row>
    <row r="924">
      <c r="A924" s="30" t="n"/>
    </row>
    <row r="925">
      <c r="A925" s="30" t="n"/>
    </row>
    <row r="926">
      <c r="A926" s="30" t="n"/>
    </row>
    <row r="927">
      <c r="A927" s="30" t="n"/>
    </row>
    <row r="928">
      <c r="A928" s="30" t="n"/>
    </row>
    <row r="929">
      <c r="A929" s="30" t="n"/>
    </row>
    <row r="930">
      <c r="A930" s="30" t="n"/>
    </row>
    <row r="931">
      <c r="A931" s="30" t="n"/>
    </row>
    <row r="932">
      <c r="A932" s="30" t="n"/>
    </row>
    <row r="933">
      <c r="A933" s="30" t="n"/>
    </row>
    <row r="934">
      <c r="A934" s="30" t="n"/>
    </row>
    <row r="935">
      <c r="A935" s="30" t="n"/>
    </row>
    <row r="936">
      <c r="A936" s="30" t="n"/>
    </row>
    <row r="937">
      <c r="A937" s="30" t="n"/>
    </row>
    <row r="938">
      <c r="A938" s="30" t="n"/>
    </row>
    <row r="939">
      <c r="A939" s="30" t="n"/>
    </row>
    <row r="940">
      <c r="A940" s="30" t="n"/>
    </row>
    <row r="941">
      <c r="A941" s="30" t="n"/>
    </row>
    <row r="942">
      <c r="A942" s="30" t="n"/>
    </row>
    <row r="943">
      <c r="A943" s="30" t="n"/>
    </row>
    <row r="944">
      <c r="A944" s="30" t="n"/>
    </row>
    <row r="945">
      <c r="A945" s="30" t="n"/>
    </row>
    <row r="946">
      <c r="A946" s="30" t="n"/>
    </row>
    <row r="947">
      <c r="A947" s="30" t="n"/>
    </row>
    <row r="948">
      <c r="A948" s="30" t="n"/>
    </row>
    <row r="949">
      <c r="A949" s="30" t="n"/>
    </row>
    <row r="950">
      <c r="A950" s="30" t="n"/>
    </row>
    <row r="951">
      <c r="A951" s="30" t="n"/>
    </row>
    <row r="952">
      <c r="A952" s="30" t="n"/>
    </row>
    <row r="953">
      <c r="A953" s="30" t="n"/>
    </row>
    <row r="954">
      <c r="A954" s="30" t="n"/>
    </row>
    <row r="955">
      <c r="A955" s="30" t="n"/>
    </row>
    <row r="956">
      <c r="A956" s="30" t="n"/>
    </row>
    <row r="957">
      <c r="A957" s="30" t="n"/>
    </row>
    <row r="958">
      <c r="A958" s="30" t="n"/>
    </row>
    <row r="959">
      <c r="A959" s="30" t="n"/>
    </row>
    <row r="960">
      <c r="A960" s="30" t="n"/>
    </row>
    <row r="961">
      <c r="A961" s="30" t="n"/>
    </row>
    <row r="962">
      <c r="A962" s="30" t="n"/>
    </row>
    <row r="963">
      <c r="A963" s="30" t="n"/>
    </row>
    <row r="964">
      <c r="A964" s="30" t="n"/>
    </row>
    <row r="965">
      <c r="A965" s="30" t="n"/>
    </row>
    <row r="966">
      <c r="A966" s="30" t="n"/>
    </row>
    <row r="967">
      <c r="A967" s="30" t="n"/>
    </row>
    <row r="968">
      <c r="A968" s="30" t="n"/>
    </row>
    <row r="969">
      <c r="A969" s="30" t="n"/>
    </row>
    <row r="970">
      <c r="A970" s="30" t="n"/>
    </row>
    <row r="971">
      <c r="A971" s="30" t="n"/>
    </row>
    <row r="972">
      <c r="A972" s="30" t="n"/>
    </row>
    <row r="973">
      <c r="A973" s="30" t="n"/>
    </row>
    <row r="974">
      <c r="A974" s="30" t="n"/>
    </row>
    <row r="975">
      <c r="A975" s="30" t="n"/>
    </row>
    <row r="976">
      <c r="A976" s="30" t="n"/>
    </row>
    <row r="977">
      <c r="A977" s="30" t="n"/>
    </row>
    <row r="978">
      <c r="A978" s="30" t="n"/>
    </row>
    <row r="979">
      <c r="A979" s="30" t="n"/>
    </row>
    <row r="980">
      <c r="A980" s="30" t="n"/>
    </row>
    <row r="981">
      <c r="A981" s="30" t="n"/>
    </row>
    <row r="982">
      <c r="A982" s="30" t="n"/>
    </row>
    <row r="983">
      <c r="A983" s="30" t="n"/>
    </row>
    <row r="984">
      <c r="A984" s="30" t="n"/>
    </row>
    <row r="985">
      <c r="A985" s="30" t="n"/>
    </row>
    <row r="986">
      <c r="A986" s="30" t="n"/>
    </row>
    <row r="987">
      <c r="A987" s="30" t="n"/>
    </row>
    <row r="988">
      <c r="A988" s="30" t="n"/>
    </row>
    <row r="989">
      <c r="A989" s="30" t="n"/>
    </row>
    <row r="990">
      <c r="A990" s="30" t="n"/>
    </row>
    <row r="991">
      <c r="A991" s="30" t="n"/>
    </row>
    <row r="992">
      <c r="A992" s="30" t="n"/>
    </row>
    <row r="993">
      <c r="A993" s="30" t="n"/>
    </row>
    <row r="994">
      <c r="A994" s="30" t="n"/>
    </row>
    <row r="995">
      <c r="A995" s="30" t="n"/>
    </row>
    <row r="996">
      <c r="A996" s="30" t="n"/>
    </row>
    <row r="997">
      <c r="A997" s="30" t="n"/>
    </row>
    <row r="998">
      <c r="A998" s="30" t="n"/>
    </row>
    <row r="999">
      <c r="A999" s="30" t="n"/>
    </row>
    <row r="1000">
      <c r="A1000" s="30" t="n"/>
    </row>
    <row r="1001">
      <c r="A1001" s="30" t="n"/>
    </row>
    <row r="1002">
      <c r="A1002" s="30" t="n"/>
    </row>
    <row r="1003">
      <c r="A1003" s="30" t="n"/>
    </row>
    <row r="1004">
      <c r="A1004" s="30" t="n"/>
    </row>
    <row r="1005">
      <c r="A1005" s="30" t="n"/>
    </row>
    <row r="1006">
      <c r="A1006" s="30" t="n"/>
    </row>
    <row r="1007">
      <c r="A1007" s="30" t="n"/>
    </row>
    <row r="1008">
      <c r="A1008" s="30" t="n"/>
    </row>
    <row r="1009">
      <c r="A1009" s="30" t="n"/>
    </row>
    <row r="1010">
      <c r="A1010" s="30" t="n"/>
    </row>
    <row r="1011">
      <c r="A1011" s="30" t="n"/>
    </row>
    <row r="1012">
      <c r="A1012" s="30" t="n"/>
    </row>
    <row r="1013">
      <c r="A1013" s="30" t="n"/>
    </row>
    <row r="1014">
      <c r="A1014" s="30" t="n"/>
    </row>
    <row r="1015">
      <c r="A1015" s="30" t="n"/>
    </row>
    <row r="1016">
      <c r="A1016" s="30" t="n"/>
    </row>
    <row r="1017">
      <c r="A1017" s="30" t="n"/>
    </row>
    <row r="1018">
      <c r="A1018" s="30" t="n"/>
    </row>
    <row r="1019">
      <c r="A1019" s="30" t="n"/>
    </row>
    <row r="1020">
      <c r="A1020" s="30" t="n"/>
    </row>
    <row r="1021">
      <c r="A1021" s="30" t="n"/>
    </row>
    <row r="1022">
      <c r="A1022" s="30" t="n"/>
    </row>
    <row r="1023">
      <c r="A1023" s="30" t="n"/>
    </row>
    <row r="1024">
      <c r="A1024" s="30" t="n"/>
    </row>
    <row r="1025">
      <c r="A1025" s="30" t="n"/>
    </row>
    <row r="1026">
      <c r="A1026" s="30" t="n"/>
    </row>
    <row r="1027">
      <c r="A1027" s="30" t="n"/>
    </row>
    <row r="1028">
      <c r="A1028" s="30" t="n"/>
    </row>
    <row r="1029">
      <c r="A1029" s="30" t="n"/>
    </row>
    <row r="1030">
      <c r="A1030" s="30" t="n"/>
    </row>
    <row r="1031">
      <c r="A1031" s="30" t="n"/>
    </row>
    <row r="1032">
      <c r="A1032" s="30" t="n"/>
    </row>
    <row r="1033">
      <c r="A1033" s="30" t="n"/>
    </row>
    <row r="1034">
      <c r="A1034" s="30" t="n"/>
    </row>
    <row r="1035">
      <c r="A1035" s="30" t="n"/>
    </row>
    <row r="1036">
      <c r="A1036" s="30" t="n"/>
    </row>
    <row r="1037">
      <c r="A1037" s="30" t="n"/>
    </row>
    <row r="1038">
      <c r="A1038" s="30" t="n"/>
    </row>
    <row r="1039">
      <c r="A1039" s="30" t="n"/>
    </row>
    <row r="1040">
      <c r="A1040" s="30" t="n"/>
    </row>
    <row r="1041">
      <c r="A1041" s="30" t="n"/>
    </row>
    <row r="1042">
      <c r="A1042" s="30" t="n"/>
    </row>
    <row r="1043">
      <c r="A1043" s="30" t="n"/>
    </row>
    <row r="1044">
      <c r="A1044" s="30" t="n"/>
    </row>
    <row r="1045">
      <c r="A1045" s="30" t="n"/>
    </row>
    <row r="1046">
      <c r="A1046" s="30" t="n"/>
    </row>
    <row r="1047">
      <c r="A1047" s="30" t="n"/>
    </row>
    <row r="1048">
      <c r="A1048" s="30" t="n"/>
    </row>
    <row r="1049">
      <c r="A1049" s="30" t="n"/>
    </row>
    <row r="1050">
      <c r="A1050" s="30" t="n"/>
    </row>
    <row r="1051">
      <c r="A1051" s="30" t="n"/>
    </row>
    <row r="1052">
      <c r="A1052" s="30" t="n"/>
    </row>
    <row r="1053">
      <c r="A1053" s="30" t="n"/>
    </row>
    <row r="1054">
      <c r="A1054" s="30" t="n"/>
    </row>
    <row r="1055">
      <c r="A1055" s="30" t="n"/>
    </row>
    <row r="1056">
      <c r="A1056" s="30" t="n"/>
    </row>
    <row r="1057">
      <c r="A1057" s="30" t="n"/>
    </row>
    <row r="1058">
      <c r="A1058" s="30" t="n"/>
    </row>
    <row r="1059">
      <c r="A1059" s="30" t="n"/>
    </row>
    <row r="1060">
      <c r="A1060" s="30" t="n"/>
    </row>
    <row r="1061">
      <c r="A1061" s="30" t="n"/>
    </row>
    <row r="1062">
      <c r="A1062" s="30" t="n"/>
    </row>
    <row r="1063">
      <c r="A1063" s="30" t="n"/>
    </row>
    <row r="1064">
      <c r="A1064" s="30" t="n"/>
    </row>
    <row r="1065">
      <c r="A1065" s="30" t="n"/>
    </row>
    <row r="1066">
      <c r="A1066" s="30" t="n"/>
    </row>
    <row r="1067">
      <c r="A1067" s="30" t="n"/>
    </row>
    <row r="1068">
      <c r="A1068" s="30" t="n"/>
    </row>
    <row r="1069">
      <c r="A1069" s="30" t="n"/>
    </row>
    <row r="1070">
      <c r="A1070" s="30" t="n"/>
    </row>
    <row r="1071">
      <c r="A1071" s="30" t="n"/>
    </row>
    <row r="1072">
      <c r="A1072" s="30" t="n"/>
    </row>
    <row r="1073">
      <c r="A1073" s="30" t="n"/>
    </row>
    <row r="1074">
      <c r="A1074" s="30" t="n"/>
    </row>
    <row r="1075">
      <c r="A1075" s="30" t="n"/>
    </row>
    <row r="1076">
      <c r="A1076" s="30" t="n"/>
    </row>
    <row r="1077">
      <c r="A1077" s="30" t="n"/>
    </row>
    <row r="1078">
      <c r="A1078" s="30" t="n"/>
    </row>
    <row r="1079">
      <c r="A1079" s="30" t="n"/>
    </row>
    <row r="1080">
      <c r="A1080" s="30" t="n"/>
    </row>
    <row r="1081">
      <c r="A1081" s="30" t="n"/>
    </row>
    <row r="1082">
      <c r="A1082" s="30" t="n"/>
    </row>
    <row r="1083">
      <c r="A1083" s="30" t="n"/>
    </row>
    <row r="1084">
      <c r="A1084" s="30" t="n"/>
    </row>
    <row r="1085">
      <c r="A1085" s="30" t="n"/>
    </row>
    <row r="1086">
      <c r="A1086" s="30" t="n"/>
    </row>
    <row r="1087">
      <c r="A1087" s="30" t="n"/>
    </row>
    <row r="1088">
      <c r="A1088" s="30" t="n"/>
    </row>
    <row r="1089">
      <c r="A1089" s="30" t="n"/>
    </row>
    <row r="1090">
      <c r="A1090" s="30" t="n"/>
    </row>
    <row r="1091">
      <c r="A1091" s="30" t="n"/>
    </row>
    <row r="1092">
      <c r="A1092" s="30" t="n"/>
    </row>
    <row r="1093">
      <c r="A1093" s="30" t="n"/>
    </row>
    <row r="1094">
      <c r="A1094" s="30" t="n"/>
    </row>
    <row r="1095">
      <c r="A1095" s="30" t="n"/>
    </row>
    <row r="1096">
      <c r="A1096" s="30" t="n"/>
    </row>
    <row r="1097">
      <c r="A1097" s="30" t="n"/>
    </row>
    <row r="1098">
      <c r="A1098" s="30" t="n"/>
    </row>
    <row r="1099">
      <c r="A1099" s="30" t="n"/>
    </row>
    <row r="1100">
      <c r="A1100" s="30" t="n"/>
    </row>
    <row r="1101">
      <c r="A1101" s="30" t="n"/>
    </row>
    <row r="1102">
      <c r="A1102" s="30" t="n"/>
    </row>
    <row r="1103">
      <c r="A1103" s="30" t="n"/>
    </row>
    <row r="1104">
      <c r="A1104" s="30" t="n"/>
    </row>
    <row r="1105">
      <c r="A1105" s="30" t="n"/>
    </row>
    <row r="1106">
      <c r="A1106" s="30" t="n"/>
    </row>
    <row r="1107">
      <c r="A1107" s="30" t="n"/>
    </row>
    <row r="1108">
      <c r="A1108" s="30" t="n"/>
    </row>
    <row r="1109">
      <c r="A1109" s="30" t="n"/>
    </row>
    <row r="1110">
      <c r="A1110" s="30" t="n"/>
    </row>
    <row r="1111">
      <c r="A1111" s="30" t="n"/>
    </row>
    <row r="1112">
      <c r="A1112" s="30" t="n"/>
    </row>
    <row r="1113">
      <c r="A1113" s="30" t="n"/>
    </row>
    <row r="1114">
      <c r="A1114" s="30" t="n"/>
    </row>
    <row r="1115">
      <c r="A1115" s="30" t="n"/>
    </row>
    <row r="1116">
      <c r="A1116" s="30" t="n"/>
    </row>
    <row r="1117">
      <c r="A1117" s="30" t="n"/>
    </row>
    <row r="1118">
      <c r="A1118" s="30" t="n"/>
    </row>
    <row r="1119">
      <c r="A1119" s="30" t="n"/>
    </row>
    <row r="1120">
      <c r="A1120" s="30" t="n"/>
    </row>
    <row r="1121">
      <c r="A1121" s="30" t="n"/>
    </row>
    <row r="1122">
      <c r="A1122" s="30" t="n"/>
    </row>
    <row r="1123">
      <c r="A1123" s="30" t="n"/>
    </row>
    <row r="1124">
      <c r="A1124" s="30" t="n"/>
    </row>
    <row r="1125">
      <c r="A1125" s="30" t="n"/>
    </row>
    <row r="1126">
      <c r="A1126" s="30" t="n"/>
    </row>
    <row r="1127">
      <c r="A1127" s="30" t="n"/>
    </row>
    <row r="1128">
      <c r="A1128" s="30" t="n"/>
    </row>
    <row r="1129">
      <c r="A1129" s="30" t="n"/>
    </row>
    <row r="1130">
      <c r="A1130" s="30" t="n"/>
    </row>
    <row r="1131">
      <c r="A1131" s="30" t="n"/>
    </row>
    <row r="1132">
      <c r="A1132" s="30" t="n"/>
    </row>
    <row r="1133">
      <c r="A1133" s="30" t="n"/>
    </row>
    <row r="1134">
      <c r="A1134" s="30" t="n"/>
    </row>
    <row r="1135">
      <c r="A1135" s="30" t="n"/>
    </row>
    <row r="1136">
      <c r="A1136" s="30" t="n"/>
    </row>
    <row r="1137">
      <c r="A1137" s="30" t="n"/>
    </row>
    <row r="1138">
      <c r="A1138" s="30" t="n"/>
    </row>
    <row r="1139">
      <c r="A1139" s="30" t="n"/>
    </row>
    <row r="1140">
      <c r="A1140" s="30" t="n"/>
    </row>
    <row r="1141">
      <c r="A1141" s="30" t="n"/>
    </row>
    <row r="1142">
      <c r="A1142" s="30" t="n"/>
    </row>
    <row r="1143">
      <c r="A1143" s="30" t="n"/>
    </row>
    <row r="1144">
      <c r="A1144" s="30" t="n"/>
    </row>
    <row r="1145">
      <c r="A1145" s="30" t="n"/>
    </row>
    <row r="1146">
      <c r="A1146" s="30" t="n"/>
    </row>
    <row r="1147">
      <c r="A1147" s="30" t="n"/>
    </row>
    <row r="1148">
      <c r="A1148" s="30" t="n"/>
    </row>
    <row r="1149">
      <c r="A1149" s="30" t="n"/>
    </row>
    <row r="1150">
      <c r="A1150" s="30" t="n"/>
    </row>
    <row r="1151">
      <c r="A1151" s="30" t="n"/>
    </row>
    <row r="1152">
      <c r="A1152" s="30" t="n"/>
    </row>
    <row r="1153">
      <c r="A1153" s="30" t="n"/>
    </row>
    <row r="1154">
      <c r="A1154" s="30" t="n"/>
    </row>
    <row r="1155">
      <c r="A1155" s="30" t="n"/>
    </row>
    <row r="1156">
      <c r="A1156" s="30" t="n"/>
    </row>
    <row r="1157">
      <c r="A1157" s="30" t="n"/>
    </row>
    <row r="1158">
      <c r="A1158" s="30" t="n"/>
    </row>
    <row r="1159">
      <c r="A1159" s="30" t="n"/>
    </row>
    <row r="1160">
      <c r="A1160" s="30" t="n"/>
    </row>
    <row r="1161">
      <c r="A1161" s="30" t="n"/>
    </row>
    <row r="1162">
      <c r="A1162" s="30" t="n"/>
    </row>
    <row r="1163">
      <c r="A1163" s="30" t="n"/>
    </row>
    <row r="1164">
      <c r="A1164" s="30" t="n"/>
    </row>
    <row r="1165">
      <c r="A1165" s="30" t="n"/>
    </row>
    <row r="1166">
      <c r="A1166" s="30" t="n"/>
    </row>
    <row r="1167">
      <c r="A1167" s="30" t="n"/>
    </row>
    <row r="1168">
      <c r="A1168" s="30" t="n"/>
    </row>
    <row r="1169">
      <c r="A1169" s="30" t="n"/>
    </row>
    <row r="1170">
      <c r="A1170" s="30" t="n"/>
    </row>
    <row r="1171">
      <c r="A1171" s="30" t="n"/>
    </row>
    <row r="1172">
      <c r="A1172" s="30" t="n"/>
    </row>
    <row r="1173">
      <c r="A1173" s="30" t="n"/>
    </row>
    <row r="1174">
      <c r="A1174" s="30" t="n"/>
    </row>
    <row r="1175">
      <c r="A1175" s="30" t="n"/>
    </row>
    <row r="1176">
      <c r="A1176" s="30" t="n"/>
    </row>
    <row r="1177">
      <c r="A1177" s="30" t="n"/>
    </row>
    <row r="1178">
      <c r="A1178" s="30" t="n"/>
    </row>
    <row r="1179">
      <c r="A1179" s="30" t="n"/>
    </row>
    <row r="1180">
      <c r="A1180" s="30" t="n"/>
    </row>
    <row r="1181">
      <c r="A1181" s="30" t="n"/>
    </row>
    <row r="1182">
      <c r="A1182" s="30" t="n"/>
    </row>
    <row r="1183">
      <c r="A1183" s="30" t="n"/>
    </row>
    <row r="1184">
      <c r="A1184" s="30" t="n"/>
    </row>
    <row r="1185">
      <c r="A1185" s="30" t="n"/>
    </row>
    <row r="1186">
      <c r="A1186" s="30" t="n"/>
    </row>
    <row r="1187">
      <c r="A1187" s="30" t="n"/>
    </row>
    <row r="1188">
      <c r="A1188" s="30" t="n"/>
    </row>
    <row r="1189">
      <c r="A1189" s="30" t="n"/>
    </row>
    <row r="1190">
      <c r="A1190" s="30" t="n"/>
    </row>
    <row r="1191">
      <c r="A1191" s="30" t="n"/>
    </row>
    <row r="1192">
      <c r="A1192" s="30" t="n"/>
    </row>
    <row r="1193">
      <c r="A1193" s="30" t="n"/>
    </row>
    <row r="1194">
      <c r="A1194" s="30" t="n"/>
    </row>
    <row r="1195">
      <c r="A1195" s="30" t="n"/>
    </row>
    <row r="1196">
      <c r="A1196" s="30" t="n"/>
    </row>
    <row r="1197">
      <c r="A1197" s="30" t="n"/>
    </row>
    <row r="1198">
      <c r="A1198" s="30" t="n"/>
    </row>
    <row r="1199">
      <c r="A1199" s="30" t="n"/>
    </row>
    <row r="1200">
      <c r="A1200" s="30" t="n"/>
    </row>
    <row r="1201">
      <c r="A1201" s="30" t="n"/>
    </row>
    <row r="1202">
      <c r="A1202" s="30" t="n"/>
    </row>
    <row r="1203">
      <c r="A1203" s="30" t="n"/>
    </row>
    <row r="1204">
      <c r="A1204" s="30" t="n"/>
    </row>
    <row r="1205">
      <c r="A1205" s="30" t="n"/>
    </row>
    <row r="1206">
      <c r="A1206" s="30" t="n"/>
    </row>
    <row r="1207">
      <c r="A1207" s="30" t="n"/>
    </row>
    <row r="1208">
      <c r="A1208" s="30" t="n"/>
    </row>
    <row r="1209">
      <c r="A1209" s="30" t="n"/>
    </row>
    <row r="1210">
      <c r="A1210" s="30" t="n"/>
    </row>
    <row r="1211">
      <c r="A1211" s="30" t="n"/>
    </row>
    <row r="1212">
      <c r="A1212" s="30" t="n"/>
    </row>
    <row r="1213">
      <c r="A1213" s="30" t="n"/>
    </row>
    <row r="1214">
      <c r="A1214" s="30" t="n"/>
    </row>
    <row r="1215">
      <c r="A1215" s="30" t="n"/>
    </row>
    <row r="1216">
      <c r="A1216" s="30" t="n"/>
    </row>
    <row r="1217">
      <c r="A1217" s="30" t="n"/>
    </row>
    <row r="1218">
      <c r="A1218" s="30" t="n"/>
    </row>
    <row r="1219">
      <c r="A1219" s="30" t="n"/>
    </row>
    <row r="1220">
      <c r="A1220" s="30" t="n"/>
    </row>
    <row r="1221">
      <c r="A1221" s="30" t="n"/>
    </row>
    <row r="1222">
      <c r="A1222" s="30" t="n"/>
    </row>
    <row r="1223">
      <c r="A1223" s="30" t="n"/>
    </row>
    <row r="1224">
      <c r="A1224" s="30" t="n"/>
    </row>
    <row r="1225">
      <c r="A1225" s="30" t="n"/>
    </row>
    <row r="1226">
      <c r="A1226" s="30" t="n"/>
    </row>
    <row r="1227">
      <c r="A1227" s="30" t="n"/>
    </row>
    <row r="1228">
      <c r="A1228" s="30" t="n"/>
    </row>
    <row r="1229">
      <c r="A1229" s="30" t="n"/>
    </row>
    <row r="1230">
      <c r="A1230" s="30" t="n"/>
    </row>
    <row r="1231">
      <c r="A1231" s="30" t="n"/>
    </row>
    <row r="1232">
      <c r="A1232" s="30" t="n"/>
    </row>
    <row r="1233">
      <c r="A1233" s="30" t="n"/>
    </row>
    <row r="1234">
      <c r="A1234" s="30" t="n"/>
    </row>
    <row r="1235">
      <c r="A1235" s="30" t="n"/>
    </row>
    <row r="1236">
      <c r="A1236" s="30" t="n"/>
    </row>
    <row r="1237">
      <c r="A1237" s="30" t="n"/>
    </row>
    <row r="1238">
      <c r="A1238" s="30" t="n"/>
    </row>
    <row r="1239">
      <c r="A1239" s="30" t="n"/>
    </row>
    <row r="1240">
      <c r="A1240" s="30" t="n"/>
    </row>
    <row r="1241">
      <c r="A1241" s="30" t="n"/>
    </row>
    <row r="1242">
      <c r="A1242" s="30" t="n"/>
    </row>
    <row r="1243">
      <c r="A1243" s="30" t="n"/>
    </row>
    <row r="1244">
      <c r="A1244" s="30" t="n"/>
    </row>
    <row r="1245">
      <c r="A1245" s="30" t="n"/>
    </row>
    <row r="1246">
      <c r="A1246" s="30" t="n"/>
    </row>
    <row r="1247">
      <c r="A1247" s="30" t="n"/>
    </row>
    <row r="1248">
      <c r="A1248" s="30" t="n"/>
    </row>
    <row r="1249">
      <c r="A1249" s="30" t="n"/>
    </row>
    <row r="1250">
      <c r="A1250" s="30" t="n"/>
    </row>
    <row r="1251">
      <c r="A1251" s="30" t="n"/>
    </row>
    <row r="1252">
      <c r="A1252" s="30" t="n"/>
    </row>
    <row r="1253">
      <c r="A1253" s="30" t="n"/>
    </row>
    <row r="1254">
      <c r="A1254" s="30" t="n"/>
    </row>
    <row r="1255">
      <c r="A1255" s="30" t="n"/>
    </row>
    <row r="1256">
      <c r="A1256" s="30" t="n"/>
    </row>
    <row r="1257">
      <c r="A1257" s="30" t="n"/>
    </row>
    <row r="1258">
      <c r="A1258" s="30" t="n"/>
    </row>
    <row r="1259">
      <c r="A1259" s="30" t="n"/>
    </row>
    <row r="1260">
      <c r="A1260" s="30" t="n"/>
    </row>
    <row r="1261">
      <c r="A1261" s="30" t="n"/>
    </row>
    <row r="1262">
      <c r="A1262" s="30" t="n"/>
    </row>
    <row r="1263">
      <c r="A1263" s="30" t="n"/>
    </row>
    <row r="1264">
      <c r="A1264" s="30" t="n"/>
    </row>
    <row r="1265">
      <c r="A1265" s="30" t="n"/>
    </row>
    <row r="1266">
      <c r="A1266" s="30" t="n"/>
    </row>
    <row r="1267">
      <c r="A1267" s="30" t="n"/>
    </row>
    <row r="1268">
      <c r="A1268" s="30" t="n"/>
    </row>
    <row r="1269">
      <c r="A1269" s="30" t="n"/>
    </row>
    <row r="1270">
      <c r="A1270" s="30" t="n"/>
    </row>
    <row r="1271">
      <c r="A1271" s="30" t="n"/>
    </row>
    <row r="1272">
      <c r="A1272" s="30" t="n"/>
    </row>
    <row r="1273">
      <c r="A1273" s="30" t="n"/>
    </row>
    <row r="1274">
      <c r="A1274" s="30" t="n"/>
    </row>
    <row r="1275">
      <c r="A1275" s="30" t="n"/>
    </row>
    <row r="1276">
      <c r="A1276" s="30" t="n"/>
    </row>
    <row r="1277">
      <c r="A1277" s="30" t="n"/>
    </row>
    <row r="1278">
      <c r="A1278" s="30" t="n"/>
    </row>
    <row r="1279">
      <c r="A1279" s="30" t="n"/>
    </row>
    <row r="1280">
      <c r="A1280" s="30" t="n"/>
    </row>
    <row r="1281">
      <c r="A1281" s="30" t="n"/>
    </row>
    <row r="1282">
      <c r="A1282" s="30" t="n"/>
    </row>
    <row r="1283">
      <c r="A1283" s="30" t="n"/>
    </row>
    <row r="1284">
      <c r="A1284" s="30" t="n"/>
    </row>
    <row r="1285">
      <c r="A1285" s="30" t="n"/>
    </row>
    <row r="1286">
      <c r="A1286" s="30" t="n"/>
    </row>
    <row r="1287">
      <c r="A1287" s="30" t="n"/>
    </row>
    <row r="1288">
      <c r="A1288" s="30" t="n"/>
    </row>
    <row r="1289">
      <c r="A1289" s="30" t="n"/>
    </row>
    <row r="1290">
      <c r="A1290" s="30" t="n"/>
    </row>
    <row r="1291">
      <c r="A1291" s="30" t="n"/>
    </row>
    <row r="1292">
      <c r="A1292" s="30" t="n"/>
    </row>
    <row r="1293">
      <c r="A1293" s="30" t="n"/>
    </row>
    <row r="1294">
      <c r="A1294" s="30" t="n"/>
    </row>
    <row r="1295">
      <c r="A1295" s="30" t="n"/>
    </row>
    <row r="1296">
      <c r="A1296" s="30" t="n"/>
    </row>
    <row r="1297">
      <c r="A1297" s="30" t="n"/>
    </row>
    <row r="1298">
      <c r="A1298" s="30" t="n"/>
    </row>
    <row r="1299">
      <c r="A1299" s="30" t="n"/>
    </row>
    <row r="1300">
      <c r="A1300" s="30" t="n"/>
    </row>
    <row r="1301">
      <c r="A1301" s="30" t="n"/>
    </row>
    <row r="1302">
      <c r="A1302" s="30" t="n"/>
    </row>
    <row r="1303">
      <c r="A1303" s="30" t="n"/>
    </row>
    <row r="1304">
      <c r="A1304" s="30" t="n"/>
    </row>
    <row r="1305">
      <c r="A1305" s="30" t="n"/>
    </row>
    <row r="1306">
      <c r="A1306" s="30" t="n"/>
    </row>
    <row r="1307">
      <c r="A1307" s="30" t="n"/>
    </row>
    <row r="1308">
      <c r="A1308" s="30" t="n"/>
    </row>
    <row r="1309">
      <c r="A1309" s="30" t="n"/>
    </row>
    <row r="1310">
      <c r="A1310" s="30" t="n"/>
    </row>
    <row r="1311">
      <c r="A1311" s="30" t="n"/>
    </row>
    <row r="1312">
      <c r="A1312" s="30" t="n"/>
    </row>
    <row r="1313">
      <c r="A1313" s="30" t="n"/>
    </row>
    <row r="1314">
      <c r="A1314" s="30" t="n"/>
    </row>
    <row r="1315">
      <c r="A1315" s="30" t="n"/>
    </row>
    <row r="1316">
      <c r="A1316" s="30" t="n"/>
    </row>
    <row r="1317">
      <c r="A1317" s="30" t="n"/>
    </row>
    <row r="1318">
      <c r="A1318" s="30" t="n"/>
    </row>
    <row r="1319">
      <c r="A1319" s="30" t="n"/>
    </row>
    <row r="1320">
      <c r="A1320" s="30" t="n"/>
    </row>
    <row r="1321">
      <c r="A1321" s="30" t="n"/>
    </row>
    <row r="1322">
      <c r="A1322" s="30" t="n"/>
    </row>
    <row r="1323">
      <c r="A1323" s="30" t="n"/>
    </row>
    <row r="1324">
      <c r="A1324" s="30" t="n"/>
    </row>
    <row r="1325">
      <c r="A1325" s="30" t="n"/>
    </row>
    <row r="1326">
      <c r="A1326" s="30" t="n"/>
    </row>
    <row r="1327">
      <c r="A1327" s="30" t="n"/>
    </row>
    <row r="1328">
      <c r="A1328" s="30" t="n"/>
    </row>
    <row r="1329">
      <c r="A1329" s="30" t="n"/>
    </row>
    <row r="1330">
      <c r="A1330" s="30" t="n"/>
    </row>
    <row r="1331">
      <c r="A1331" s="30" t="n"/>
    </row>
    <row r="1332">
      <c r="A1332" s="30" t="n"/>
    </row>
    <row r="1333">
      <c r="A1333" s="30" t="n"/>
    </row>
    <row r="1334">
      <c r="A1334" s="30" t="n"/>
    </row>
    <row r="1335">
      <c r="A1335" s="30" t="n"/>
    </row>
    <row r="1336">
      <c r="A1336" s="30" t="n"/>
    </row>
    <row r="1337">
      <c r="A1337" s="30" t="n"/>
    </row>
    <row r="1338">
      <c r="A1338" s="30" t="n"/>
    </row>
    <row r="1339">
      <c r="A1339" s="30" t="n"/>
    </row>
    <row r="1340">
      <c r="A1340" s="30" t="n"/>
    </row>
    <row r="1341">
      <c r="A1341" s="30" t="n"/>
    </row>
    <row r="1342">
      <c r="A1342" s="30" t="n"/>
    </row>
    <row r="1343">
      <c r="A1343" s="30" t="n"/>
    </row>
    <row r="1344">
      <c r="A1344" s="30" t="n"/>
    </row>
    <row r="1345">
      <c r="A1345" s="30" t="n"/>
    </row>
    <row r="1346">
      <c r="A1346" s="30" t="n"/>
    </row>
    <row r="1347">
      <c r="A1347" s="30" t="n"/>
    </row>
    <row r="1348">
      <c r="A1348" s="30" t="n"/>
    </row>
    <row r="1349">
      <c r="A1349" s="30" t="n"/>
    </row>
    <row r="1350">
      <c r="A1350" s="30" t="n"/>
    </row>
    <row r="1351">
      <c r="A1351" s="30" t="n"/>
    </row>
    <row r="1352">
      <c r="A1352" s="30" t="n"/>
    </row>
    <row r="1353">
      <c r="A1353" s="30" t="n"/>
    </row>
    <row r="1354">
      <c r="A1354" s="30" t="n"/>
    </row>
    <row r="1355">
      <c r="A1355" s="30" t="n"/>
    </row>
    <row r="1356">
      <c r="A1356" s="30" t="n"/>
    </row>
    <row r="1357">
      <c r="A1357" s="30" t="n"/>
    </row>
    <row r="1358">
      <c r="A1358" s="30" t="n"/>
    </row>
    <row r="1359">
      <c r="A1359" s="30" t="n"/>
    </row>
    <row r="1360">
      <c r="A1360" s="30" t="n"/>
    </row>
    <row r="1361">
      <c r="A1361" s="30" t="n"/>
    </row>
    <row r="1362">
      <c r="A1362" s="30" t="n"/>
    </row>
    <row r="1363">
      <c r="A1363" s="30" t="n"/>
    </row>
    <row r="1364">
      <c r="A1364" s="30" t="n"/>
    </row>
    <row r="1365">
      <c r="A1365" s="30" t="n"/>
    </row>
    <row r="1366">
      <c r="A1366" s="30" t="n"/>
    </row>
    <row r="1367">
      <c r="A1367" s="30" t="n"/>
    </row>
    <row r="1368">
      <c r="A1368" s="30" t="n"/>
    </row>
    <row r="1369">
      <c r="A1369" s="30" t="n"/>
    </row>
    <row r="1370">
      <c r="A1370" s="30" t="n"/>
    </row>
    <row r="1371">
      <c r="A1371" s="30" t="n"/>
    </row>
    <row r="1372">
      <c r="A1372" s="30" t="n"/>
    </row>
    <row r="1373">
      <c r="A1373" s="30" t="n"/>
    </row>
    <row r="1374">
      <c r="A1374" s="30" t="n"/>
    </row>
    <row r="1375">
      <c r="A1375" s="30" t="n"/>
    </row>
    <row r="1376">
      <c r="A1376" s="30" t="n"/>
    </row>
    <row r="1377">
      <c r="A1377" s="30" t="n"/>
    </row>
    <row r="1378">
      <c r="A1378" s="30" t="n"/>
    </row>
    <row r="1379">
      <c r="A1379" s="30" t="n"/>
    </row>
    <row r="1380">
      <c r="A1380" s="30" t="n"/>
    </row>
    <row r="1381">
      <c r="A1381" s="30" t="n"/>
    </row>
    <row r="1382">
      <c r="A1382" s="30" t="n"/>
    </row>
    <row r="1383">
      <c r="A1383" s="30" t="n"/>
    </row>
    <row r="1384">
      <c r="A1384" s="30" t="n"/>
    </row>
    <row r="1385">
      <c r="A1385" s="30" t="n"/>
    </row>
    <row r="1386">
      <c r="A1386" s="30" t="n"/>
    </row>
    <row r="1387">
      <c r="A1387" s="30" t="n"/>
    </row>
    <row r="1388">
      <c r="A1388" s="30" t="n"/>
    </row>
    <row r="1389">
      <c r="A1389" s="30" t="n"/>
    </row>
    <row r="1390">
      <c r="A1390" s="30" t="n"/>
    </row>
    <row r="1391">
      <c r="A1391" s="30" t="n"/>
    </row>
    <row r="1392">
      <c r="A1392" s="30" t="n"/>
    </row>
    <row r="1393">
      <c r="A1393" s="30" t="n"/>
    </row>
    <row r="1394">
      <c r="A1394" s="30" t="n"/>
    </row>
    <row r="1395">
      <c r="A1395" s="30" t="n"/>
    </row>
    <row r="1396">
      <c r="A1396" s="30" t="n"/>
    </row>
    <row r="1397">
      <c r="A1397" s="30" t="n"/>
    </row>
    <row r="1398">
      <c r="A1398" s="30" t="n"/>
    </row>
    <row r="1399">
      <c r="A1399" s="30" t="n"/>
    </row>
    <row r="1400">
      <c r="A1400" s="30" t="n"/>
    </row>
    <row r="1401">
      <c r="A1401" s="30" t="n"/>
    </row>
    <row r="1402">
      <c r="A1402" s="30" t="n"/>
    </row>
    <row r="1403">
      <c r="A1403" s="30" t="n"/>
    </row>
    <row r="1404">
      <c r="A1404" s="30" t="n"/>
    </row>
    <row r="1405">
      <c r="A1405" s="30" t="n"/>
    </row>
    <row r="1406">
      <c r="A1406" s="30" t="n"/>
    </row>
    <row r="1407">
      <c r="A1407" s="30" t="n"/>
    </row>
    <row r="1408">
      <c r="A1408" s="30" t="n"/>
    </row>
    <row r="1409">
      <c r="A1409" s="30" t="n"/>
    </row>
    <row r="1410">
      <c r="A1410" s="30" t="n"/>
    </row>
    <row r="1411">
      <c r="A1411" s="30" t="n"/>
    </row>
    <row r="1412">
      <c r="A1412" s="30" t="n"/>
    </row>
    <row r="1413">
      <c r="A1413" s="30" t="n"/>
    </row>
    <row r="1414">
      <c r="A1414" s="30" t="n"/>
    </row>
    <row r="1415">
      <c r="A1415" s="30" t="n"/>
    </row>
    <row r="1416">
      <c r="A1416" s="30" t="n"/>
    </row>
    <row r="1417">
      <c r="A1417" s="30" t="n"/>
    </row>
    <row r="1418">
      <c r="A1418" s="30" t="n"/>
    </row>
    <row r="1419">
      <c r="A1419" s="30" t="n"/>
    </row>
    <row r="1420">
      <c r="A1420" s="30" t="n"/>
    </row>
    <row r="1421">
      <c r="A1421" s="30" t="n"/>
    </row>
    <row r="1422">
      <c r="A1422" s="30" t="n"/>
    </row>
    <row r="1423">
      <c r="A1423" s="30" t="n"/>
    </row>
    <row r="1424">
      <c r="A1424" s="30" t="n"/>
    </row>
    <row r="1425">
      <c r="A1425" s="30" t="n"/>
    </row>
    <row r="1426">
      <c r="A1426" s="30" t="n"/>
    </row>
    <row r="1427">
      <c r="A1427" s="30" t="n"/>
    </row>
    <row r="1428">
      <c r="A1428" s="30" t="n"/>
    </row>
    <row r="1429">
      <c r="A1429" s="30" t="n"/>
    </row>
    <row r="1430">
      <c r="A1430" s="30" t="n"/>
    </row>
    <row r="1431">
      <c r="A1431" s="30" t="n"/>
    </row>
    <row r="1432">
      <c r="A1432" s="30" t="n"/>
    </row>
    <row r="1433">
      <c r="A1433" s="30" t="n"/>
    </row>
    <row r="1434">
      <c r="A1434" s="30" t="n"/>
    </row>
    <row r="1435">
      <c r="A1435" s="30" t="n"/>
    </row>
    <row r="1436">
      <c r="A1436" s="30" t="n"/>
    </row>
    <row r="1437">
      <c r="A1437" s="30" t="n"/>
    </row>
    <row r="1438">
      <c r="A1438" s="30" t="n"/>
    </row>
    <row r="1439">
      <c r="A1439" s="30" t="n"/>
    </row>
    <row r="1440">
      <c r="A1440" s="30" t="n"/>
    </row>
    <row r="1441">
      <c r="A1441" s="30" t="n"/>
    </row>
    <row r="1442">
      <c r="A1442" s="30" t="n"/>
    </row>
    <row r="1443">
      <c r="A1443" s="30" t="n"/>
    </row>
    <row r="1444">
      <c r="A1444" s="30" t="n"/>
    </row>
    <row r="1445">
      <c r="A1445" s="30" t="n"/>
    </row>
    <row r="1446">
      <c r="A1446" s="30" t="n"/>
    </row>
    <row r="1447">
      <c r="A1447" s="30" t="n"/>
    </row>
    <row r="1448">
      <c r="A1448" s="30" t="n"/>
    </row>
    <row r="1449">
      <c r="A1449" s="30" t="n"/>
    </row>
    <row r="1450">
      <c r="A1450" s="30" t="n"/>
    </row>
    <row r="1451">
      <c r="A1451" s="30" t="n"/>
    </row>
    <row r="1452">
      <c r="A1452" s="30" t="n"/>
    </row>
    <row r="1453">
      <c r="A1453" s="30" t="n"/>
    </row>
    <row r="1454">
      <c r="A1454" s="30" t="n"/>
    </row>
    <row r="1455">
      <c r="A1455" s="30" t="n"/>
    </row>
    <row r="1456">
      <c r="A1456" s="30" t="n"/>
    </row>
    <row r="1457">
      <c r="A1457" s="30" t="n"/>
    </row>
    <row r="1458">
      <c r="A1458" s="30" t="n"/>
    </row>
    <row r="1459">
      <c r="A1459" s="30" t="n"/>
    </row>
    <row r="1460">
      <c r="A1460" s="30" t="n"/>
    </row>
    <row r="1461">
      <c r="A1461" s="30" t="n"/>
    </row>
    <row r="1462">
      <c r="A1462" s="30" t="n"/>
    </row>
    <row r="1463">
      <c r="A1463" s="30" t="n"/>
    </row>
    <row r="1464">
      <c r="A1464" s="30" t="n"/>
    </row>
    <row r="1465">
      <c r="A1465" s="30" t="n"/>
    </row>
    <row r="1466">
      <c r="A1466" s="30" t="n"/>
    </row>
    <row r="1467">
      <c r="A1467" s="30" t="n"/>
    </row>
    <row r="1468">
      <c r="A1468" s="30" t="n"/>
    </row>
    <row r="1469">
      <c r="A1469" s="30" t="n"/>
    </row>
    <row r="1470">
      <c r="A1470" s="30" t="n"/>
    </row>
    <row r="1471">
      <c r="A1471" s="30" t="n"/>
    </row>
    <row r="1472">
      <c r="A1472" s="30" t="n"/>
    </row>
    <row r="1473">
      <c r="A1473" s="30" t="n"/>
    </row>
    <row r="1474">
      <c r="A1474" s="30" t="n"/>
    </row>
    <row r="1475">
      <c r="A1475" s="30" t="n"/>
    </row>
    <row r="1476">
      <c r="A1476" s="30" t="n"/>
    </row>
    <row r="1477">
      <c r="A1477" s="30" t="n"/>
    </row>
    <row r="1478">
      <c r="A1478" s="30" t="n"/>
    </row>
    <row r="1479">
      <c r="A1479" s="30" t="n"/>
    </row>
    <row r="1480">
      <c r="A1480" s="30" t="n"/>
    </row>
    <row r="1481">
      <c r="A1481" s="30" t="n"/>
    </row>
    <row r="1482">
      <c r="A1482" s="30" t="n"/>
    </row>
    <row r="1483">
      <c r="A1483" s="30" t="n"/>
    </row>
    <row r="1484">
      <c r="A1484" s="30" t="n"/>
    </row>
    <row r="1485">
      <c r="A1485" s="30" t="n"/>
    </row>
    <row r="1486">
      <c r="A1486" s="30" t="n"/>
    </row>
    <row r="1487">
      <c r="A1487" s="30" t="n"/>
    </row>
    <row r="1488">
      <c r="A1488" s="30" t="n"/>
    </row>
    <row r="1489">
      <c r="A1489" s="30" t="n"/>
    </row>
    <row r="1490">
      <c r="A1490" s="30" t="n"/>
    </row>
    <row r="1491">
      <c r="A1491" s="30" t="n"/>
    </row>
    <row r="1492">
      <c r="A1492" s="30" t="n"/>
    </row>
    <row r="1493">
      <c r="A1493" s="30" t="n"/>
    </row>
    <row r="1494">
      <c r="A1494" s="30" t="n"/>
    </row>
    <row r="1495">
      <c r="A1495" s="30" t="n"/>
    </row>
    <row r="1496">
      <c r="A1496" s="30" t="n"/>
    </row>
    <row r="1497">
      <c r="A1497" s="30" t="n"/>
    </row>
    <row r="1498">
      <c r="A1498" s="30" t="n"/>
    </row>
    <row r="1499">
      <c r="A1499" s="30" t="n"/>
    </row>
    <row r="1500">
      <c r="A1500" s="30" t="n"/>
    </row>
    <row r="1501">
      <c r="A1501" s="30" t="n"/>
    </row>
    <row r="1502">
      <c r="A1502" s="30" t="n"/>
    </row>
    <row r="1503">
      <c r="A1503" s="30" t="n"/>
    </row>
    <row r="1504">
      <c r="A1504" s="30" t="n"/>
    </row>
    <row r="1505">
      <c r="A1505" s="30" t="n"/>
    </row>
    <row r="1506">
      <c r="A1506" s="30" t="n"/>
    </row>
    <row r="1507">
      <c r="A1507" s="30" t="n"/>
    </row>
    <row r="1508">
      <c r="A1508" s="30" t="n"/>
    </row>
    <row r="1509">
      <c r="A1509" s="30" t="n"/>
    </row>
    <row r="1510">
      <c r="A1510" s="30" t="n"/>
    </row>
    <row r="1511">
      <c r="A1511" s="30" t="n"/>
    </row>
    <row r="1512">
      <c r="A1512" s="30" t="n"/>
    </row>
    <row r="1513">
      <c r="A1513" s="30" t="n"/>
    </row>
    <row r="1514">
      <c r="A1514" s="30" t="n"/>
    </row>
    <row r="1515">
      <c r="A1515" s="30" t="n"/>
    </row>
    <row r="1516">
      <c r="A1516" s="30" t="n"/>
    </row>
    <row r="1517">
      <c r="A1517" s="30" t="n"/>
    </row>
    <row r="1518">
      <c r="A1518" s="30" t="n"/>
    </row>
    <row r="1519">
      <c r="A1519" s="30" t="n"/>
    </row>
    <row r="1520">
      <c r="A1520" s="30" t="n"/>
    </row>
    <row r="1521">
      <c r="A1521" s="30" t="n"/>
    </row>
    <row r="1522">
      <c r="A1522" s="30" t="n"/>
    </row>
    <row r="1523">
      <c r="A1523" s="30" t="n"/>
    </row>
    <row r="1524">
      <c r="A1524" s="30" t="n"/>
    </row>
    <row r="1525">
      <c r="A1525" s="30" t="n"/>
    </row>
    <row r="1526">
      <c r="A1526" s="30" t="n"/>
    </row>
    <row r="1527">
      <c r="A1527" s="30" t="n"/>
    </row>
    <row r="1528">
      <c r="A1528" s="30" t="n"/>
    </row>
    <row r="1529">
      <c r="A1529" s="30" t="n"/>
    </row>
    <row r="1530">
      <c r="A1530" s="30" t="n"/>
    </row>
    <row r="1531">
      <c r="A1531" s="30" t="n"/>
    </row>
    <row r="1532">
      <c r="A1532" s="30" t="n"/>
    </row>
    <row r="1533">
      <c r="A1533" s="30" t="n"/>
    </row>
    <row r="1534">
      <c r="A1534" s="30" t="n"/>
    </row>
    <row r="1535">
      <c r="A1535" s="30" t="n"/>
    </row>
    <row r="1536">
      <c r="A1536" s="30" t="n"/>
    </row>
    <row r="1537">
      <c r="A1537" s="30" t="n"/>
    </row>
    <row r="1538">
      <c r="A1538" s="30" t="n"/>
    </row>
    <row r="1539">
      <c r="A1539" s="30" t="n"/>
    </row>
    <row r="1540">
      <c r="A1540" s="30" t="n"/>
    </row>
    <row r="1541">
      <c r="A1541" s="30" t="n"/>
    </row>
    <row r="1542">
      <c r="A1542" s="30" t="n"/>
    </row>
    <row r="1543">
      <c r="A1543" s="30" t="n"/>
    </row>
    <row r="1544">
      <c r="A1544" s="30" t="n"/>
    </row>
    <row r="1545">
      <c r="A1545" s="30" t="n"/>
    </row>
    <row r="1546">
      <c r="A1546" s="30" t="n"/>
    </row>
    <row r="1547">
      <c r="A1547" s="30" t="n"/>
    </row>
    <row r="1548">
      <c r="A1548" s="30" t="n"/>
    </row>
    <row r="1549">
      <c r="A1549" s="30" t="n"/>
    </row>
    <row r="1550">
      <c r="A1550" s="30" t="n"/>
    </row>
    <row r="1551">
      <c r="A1551" s="30" t="n"/>
    </row>
    <row r="1552">
      <c r="A1552" s="30" t="n"/>
    </row>
    <row r="1553">
      <c r="A1553" s="30" t="n"/>
    </row>
    <row r="1554">
      <c r="A1554" s="30" t="n"/>
    </row>
    <row r="1555">
      <c r="A1555" s="30" t="n"/>
    </row>
    <row r="1556">
      <c r="A1556" s="30" t="n"/>
    </row>
    <row r="1557">
      <c r="A1557" s="30" t="n"/>
    </row>
    <row r="1558">
      <c r="A1558" s="30" t="n"/>
    </row>
    <row r="1559">
      <c r="A1559" s="30" t="n"/>
    </row>
    <row r="1560">
      <c r="A1560" s="30" t="n"/>
    </row>
    <row r="1561">
      <c r="A1561" s="30" t="n"/>
    </row>
    <row r="1562">
      <c r="A1562" s="30" t="n"/>
    </row>
    <row r="1563">
      <c r="A1563" s="30" t="n"/>
    </row>
    <row r="1564">
      <c r="A1564" s="30" t="n"/>
    </row>
    <row r="1565">
      <c r="A1565" s="30" t="n"/>
    </row>
    <row r="1566">
      <c r="A1566" s="30" t="n"/>
    </row>
    <row r="1567">
      <c r="A1567" s="30" t="n"/>
    </row>
    <row r="1568">
      <c r="A1568" s="30" t="n"/>
    </row>
    <row r="1569">
      <c r="A1569" s="30" t="n"/>
    </row>
    <row r="1570">
      <c r="A1570" s="30" t="n"/>
    </row>
    <row r="1571">
      <c r="A1571" s="30" t="n"/>
    </row>
    <row r="1572">
      <c r="A1572" s="30" t="n"/>
    </row>
    <row r="1573">
      <c r="A1573" s="30" t="n"/>
    </row>
    <row r="1574">
      <c r="A1574" s="30" t="n"/>
    </row>
    <row r="1575">
      <c r="A1575" s="30" t="n"/>
    </row>
    <row r="1576">
      <c r="A1576" s="30" t="n"/>
    </row>
    <row r="1577">
      <c r="A1577" s="30" t="n"/>
    </row>
    <row r="1578">
      <c r="A1578" s="30" t="n"/>
    </row>
    <row r="1579">
      <c r="A1579" s="30" t="n"/>
    </row>
    <row r="1580">
      <c r="A1580" s="30" t="n"/>
    </row>
    <row r="1581">
      <c r="A1581" s="30" t="n"/>
    </row>
    <row r="1582">
      <c r="A1582" s="30" t="n"/>
    </row>
    <row r="1583">
      <c r="A1583" s="30" t="n"/>
    </row>
    <row r="1584">
      <c r="A1584" s="30" t="n"/>
    </row>
    <row r="1585">
      <c r="A1585" s="30" t="n"/>
    </row>
    <row r="1586">
      <c r="A1586" s="30" t="n"/>
    </row>
    <row r="1587">
      <c r="A1587" s="30" t="n"/>
    </row>
    <row r="1588">
      <c r="A1588" s="30" t="n"/>
    </row>
    <row r="1589">
      <c r="A1589" s="30" t="n"/>
    </row>
    <row r="1590">
      <c r="A1590" s="30" t="n"/>
    </row>
    <row r="1591">
      <c r="A1591" s="30" t="n"/>
    </row>
    <row r="1592">
      <c r="A1592" s="30" t="n"/>
    </row>
    <row r="1593">
      <c r="A1593" s="30" t="n"/>
    </row>
    <row r="1594">
      <c r="A1594" s="30" t="n"/>
    </row>
    <row r="1595">
      <c r="A1595" s="30" t="n"/>
    </row>
    <row r="1596">
      <c r="A1596" s="30" t="n"/>
    </row>
    <row r="1597">
      <c r="A1597" s="30" t="n"/>
    </row>
    <row r="1598">
      <c r="A1598" s="30" t="n"/>
    </row>
    <row r="1599">
      <c r="A1599" s="30" t="n"/>
    </row>
    <row r="1600">
      <c r="A1600" s="30" t="n"/>
    </row>
    <row r="1601">
      <c r="A1601" s="30" t="n"/>
    </row>
    <row r="1602">
      <c r="A1602" s="30" t="n"/>
    </row>
    <row r="1603">
      <c r="A1603" s="30" t="n"/>
    </row>
    <row r="1604">
      <c r="A1604" s="30" t="n"/>
    </row>
    <row r="1605">
      <c r="A1605" s="30" t="n"/>
    </row>
    <row r="1606">
      <c r="A1606" s="30" t="n"/>
    </row>
    <row r="1607">
      <c r="A1607" s="30" t="n"/>
    </row>
    <row r="1608">
      <c r="A1608" s="30" t="n"/>
    </row>
    <row r="1609">
      <c r="A1609" s="30" t="n"/>
    </row>
    <row r="1610">
      <c r="A1610" s="30" t="n"/>
    </row>
    <row r="1611">
      <c r="A1611" s="30" t="n"/>
    </row>
    <row r="1612">
      <c r="A1612" s="30" t="n"/>
    </row>
    <row r="1613">
      <c r="A1613" s="30" t="n"/>
    </row>
    <row r="1614">
      <c r="A1614" s="30" t="n"/>
    </row>
    <row r="1615">
      <c r="A1615" s="30" t="n"/>
    </row>
    <row r="1616">
      <c r="A1616" s="30" t="n"/>
    </row>
    <row r="1617">
      <c r="A1617" s="30" t="n"/>
    </row>
    <row r="1618">
      <c r="A1618" s="30" t="n"/>
    </row>
    <row r="1619">
      <c r="A1619" s="30" t="n"/>
    </row>
    <row r="1620">
      <c r="A1620" s="30" t="n"/>
    </row>
    <row r="1621">
      <c r="A1621" s="30" t="n"/>
    </row>
    <row r="1622">
      <c r="A1622" s="30" t="n"/>
    </row>
    <row r="1623">
      <c r="A1623" s="30" t="n"/>
    </row>
    <row r="1624">
      <c r="A1624" s="30" t="n"/>
    </row>
    <row r="1625">
      <c r="A1625" s="30" t="n"/>
    </row>
    <row r="1626">
      <c r="A1626" s="30" t="n"/>
    </row>
    <row r="1627">
      <c r="A1627" s="30" t="n"/>
    </row>
    <row r="1628">
      <c r="A1628" s="30" t="n"/>
    </row>
    <row r="1629">
      <c r="A1629" s="30" t="n"/>
    </row>
    <row r="1630">
      <c r="A1630" s="30" t="n"/>
    </row>
    <row r="1631">
      <c r="A1631" s="30" t="n"/>
    </row>
    <row r="1632">
      <c r="A1632" s="30" t="n"/>
    </row>
    <row r="1633">
      <c r="A1633" s="30" t="n"/>
    </row>
    <row r="1634">
      <c r="A1634" s="30" t="n"/>
    </row>
    <row r="1635">
      <c r="A1635" s="30" t="n"/>
    </row>
    <row r="1636">
      <c r="A1636" s="30" t="n"/>
    </row>
    <row r="1637">
      <c r="A1637" s="30" t="n"/>
    </row>
    <row r="1638">
      <c r="A1638" s="30" t="n"/>
    </row>
    <row r="1639">
      <c r="A1639" s="30" t="n"/>
    </row>
    <row r="1640">
      <c r="A1640" s="30" t="n"/>
    </row>
    <row r="1641">
      <c r="A1641" s="30" t="n"/>
    </row>
    <row r="1642">
      <c r="A1642" s="30" t="n"/>
    </row>
    <row r="1643">
      <c r="A1643" s="30" t="n"/>
    </row>
    <row r="1644">
      <c r="A1644" s="30" t="n"/>
    </row>
    <row r="1645">
      <c r="A1645" s="30" t="n"/>
    </row>
    <row r="1646">
      <c r="A1646" s="30" t="n"/>
    </row>
    <row r="1647">
      <c r="A1647" s="30" t="n"/>
    </row>
    <row r="1648">
      <c r="A1648" s="30" t="n"/>
    </row>
    <row r="1649">
      <c r="A1649" s="30" t="n"/>
    </row>
    <row r="1650">
      <c r="A1650" s="30" t="n"/>
    </row>
    <row r="1651">
      <c r="A1651" s="30" t="n"/>
    </row>
    <row r="1652">
      <c r="A1652" s="30" t="n"/>
    </row>
    <row r="1653">
      <c r="A1653" s="30" t="n"/>
    </row>
    <row r="1654">
      <c r="A1654" s="30" t="n"/>
    </row>
    <row r="1655">
      <c r="A1655" s="30" t="n"/>
    </row>
    <row r="1656">
      <c r="A1656" s="30" t="n"/>
    </row>
    <row r="1657">
      <c r="A1657" s="30" t="n"/>
    </row>
    <row r="1658">
      <c r="A1658" s="30" t="n"/>
    </row>
    <row r="1659">
      <c r="A1659" s="30" t="n"/>
    </row>
    <row r="1660">
      <c r="A1660" s="30" t="n"/>
    </row>
    <row r="1661">
      <c r="A1661" s="30" t="n"/>
    </row>
    <row r="1662">
      <c r="A1662" s="30" t="n"/>
    </row>
    <row r="1663">
      <c r="A1663" s="30" t="n"/>
    </row>
    <row r="1664">
      <c r="A1664" s="30" t="n"/>
    </row>
    <row r="1665">
      <c r="A1665" s="30" t="n"/>
    </row>
    <row r="1666">
      <c r="A1666" s="30" t="n"/>
    </row>
    <row r="1667">
      <c r="A1667" s="30" t="n"/>
    </row>
    <row r="1668">
      <c r="A1668" s="30" t="n"/>
    </row>
    <row r="1669">
      <c r="A1669" s="30" t="n"/>
    </row>
    <row r="1670">
      <c r="A1670" s="30" t="n"/>
    </row>
    <row r="1671">
      <c r="A1671" s="30" t="n"/>
    </row>
    <row r="1672">
      <c r="A1672" s="30" t="n"/>
    </row>
    <row r="1673">
      <c r="A1673" s="30" t="n"/>
    </row>
    <row r="1674">
      <c r="A1674" s="30" t="n"/>
    </row>
    <row r="1675">
      <c r="A1675" s="30" t="n"/>
    </row>
    <row r="1676">
      <c r="A1676" s="30" t="n"/>
    </row>
    <row r="1677">
      <c r="A1677" s="30" t="n"/>
    </row>
    <row r="1678">
      <c r="A1678" s="30" t="n"/>
    </row>
    <row r="1679">
      <c r="A1679" s="30" t="n"/>
    </row>
    <row r="1680">
      <c r="A1680" s="30" t="n"/>
    </row>
    <row r="1681">
      <c r="A1681" s="30" t="n"/>
    </row>
    <row r="1682">
      <c r="A1682" s="30" t="n"/>
    </row>
    <row r="1683">
      <c r="A1683" s="30" t="n"/>
    </row>
    <row r="1684">
      <c r="A1684" s="30" t="n"/>
    </row>
    <row r="1685">
      <c r="A1685" s="30" t="n"/>
    </row>
    <row r="1686">
      <c r="A1686" s="30" t="n"/>
    </row>
    <row r="1687">
      <c r="A1687" s="30" t="n"/>
    </row>
    <row r="1688">
      <c r="A1688" s="30" t="n"/>
    </row>
    <row r="1689">
      <c r="A1689" s="30" t="n"/>
    </row>
    <row r="1690">
      <c r="A1690" s="30" t="n"/>
    </row>
    <row r="1691">
      <c r="A1691" s="30" t="n"/>
    </row>
    <row r="1692">
      <c r="A1692" s="30" t="n"/>
    </row>
    <row r="1693">
      <c r="A1693" s="30" t="n"/>
    </row>
    <row r="1694">
      <c r="A1694" s="30" t="n"/>
    </row>
    <row r="1695">
      <c r="A1695" s="30" t="n"/>
    </row>
    <row r="1696">
      <c r="A1696" s="30" t="n"/>
    </row>
    <row r="1697">
      <c r="A1697" s="30" t="n"/>
    </row>
    <row r="1698">
      <c r="A1698" s="30" t="n"/>
    </row>
    <row r="1699">
      <c r="A1699" s="30" t="n"/>
    </row>
    <row r="1700">
      <c r="A1700" s="30" t="n"/>
    </row>
    <row r="1701">
      <c r="A1701" s="30" t="n"/>
    </row>
    <row r="1702">
      <c r="A1702" s="30" t="n"/>
    </row>
    <row r="1703">
      <c r="A1703" s="30" t="n"/>
    </row>
    <row r="1704">
      <c r="A1704" s="30" t="n"/>
    </row>
    <row r="1705">
      <c r="A1705" s="30" t="n"/>
    </row>
    <row r="1706">
      <c r="A1706" s="30" t="n"/>
    </row>
    <row r="1707">
      <c r="A1707" s="30" t="n"/>
    </row>
    <row r="1708">
      <c r="A1708" s="30" t="n"/>
    </row>
    <row r="1709">
      <c r="A1709" s="30" t="n"/>
    </row>
    <row r="1710">
      <c r="A1710" s="30" t="n"/>
    </row>
    <row r="1711">
      <c r="A1711" s="30" t="n"/>
    </row>
    <row r="1712">
      <c r="A1712" s="30" t="n"/>
    </row>
    <row r="1713">
      <c r="A1713" s="30" t="n"/>
    </row>
    <row r="1714">
      <c r="A1714" s="30" t="n"/>
    </row>
    <row r="1715">
      <c r="A1715" s="30" t="n"/>
    </row>
    <row r="1716">
      <c r="A1716" s="30" t="n"/>
    </row>
    <row r="1717">
      <c r="A1717" s="30" t="n"/>
    </row>
    <row r="1718">
      <c r="A1718" s="30" t="n"/>
    </row>
    <row r="1719">
      <c r="A1719" s="30" t="n"/>
    </row>
    <row r="1720">
      <c r="A1720" s="30" t="n"/>
    </row>
    <row r="1721">
      <c r="A1721" s="30" t="n"/>
    </row>
    <row r="1722">
      <c r="A1722" s="30" t="n"/>
    </row>
    <row r="1723">
      <c r="A1723" s="30" t="n"/>
    </row>
    <row r="1724">
      <c r="A1724" s="30" t="n"/>
    </row>
    <row r="1725">
      <c r="A1725" s="30" t="n"/>
    </row>
    <row r="1726">
      <c r="A1726" s="30" t="n"/>
    </row>
    <row r="1727">
      <c r="A1727" s="30" t="n"/>
    </row>
    <row r="1728">
      <c r="A1728" s="30" t="n"/>
    </row>
    <row r="1729">
      <c r="A1729" s="30" t="n"/>
    </row>
    <row r="1730">
      <c r="A1730" s="30" t="n"/>
    </row>
    <row r="1731">
      <c r="A1731" s="30" t="n"/>
    </row>
    <row r="1732">
      <c r="A1732" s="30" t="n"/>
    </row>
    <row r="1733">
      <c r="A1733" s="30" t="n"/>
    </row>
    <row r="1734">
      <c r="A1734" s="30" t="n"/>
    </row>
    <row r="1735">
      <c r="A1735" s="30" t="n"/>
    </row>
    <row r="1736">
      <c r="A1736" s="30" t="n"/>
    </row>
    <row r="1737">
      <c r="A1737" s="30" t="n"/>
    </row>
    <row r="1738">
      <c r="A1738" s="30" t="n"/>
    </row>
    <row r="1739">
      <c r="A1739" s="30" t="n"/>
    </row>
    <row r="1740">
      <c r="A1740" s="30" t="n"/>
    </row>
    <row r="1741">
      <c r="A1741" s="30" t="n"/>
    </row>
    <row r="1742">
      <c r="A1742" s="30" t="n"/>
    </row>
    <row r="1743">
      <c r="A1743" s="30" t="n"/>
    </row>
    <row r="1744">
      <c r="A1744" s="30" t="n"/>
    </row>
    <row r="1745">
      <c r="A1745" s="30" t="n"/>
    </row>
    <row r="1746">
      <c r="A1746" s="30" t="n"/>
    </row>
    <row r="1747">
      <c r="A1747" s="30" t="n"/>
    </row>
    <row r="1748">
      <c r="A1748" s="30" t="n"/>
    </row>
    <row r="1749">
      <c r="A1749" s="30" t="n"/>
    </row>
    <row r="1750">
      <c r="A1750" s="30" t="n"/>
    </row>
    <row r="1751">
      <c r="A1751" s="30" t="n"/>
    </row>
    <row r="1752">
      <c r="A1752" s="30" t="n"/>
    </row>
    <row r="1753">
      <c r="A1753" s="30" t="n"/>
    </row>
    <row r="1754">
      <c r="A1754" s="30" t="n"/>
    </row>
    <row r="1755">
      <c r="A1755" s="30" t="n"/>
    </row>
    <row r="1756">
      <c r="A1756" s="30" t="n"/>
    </row>
    <row r="1757">
      <c r="A1757" s="30" t="n"/>
    </row>
    <row r="1758">
      <c r="A1758" s="30" t="n"/>
    </row>
    <row r="1759">
      <c r="A1759" s="30" t="n"/>
    </row>
    <row r="1760">
      <c r="A1760" s="30" t="n"/>
    </row>
    <row r="1761">
      <c r="A1761" s="30" t="n"/>
    </row>
    <row r="1762">
      <c r="A1762" s="30" t="n"/>
    </row>
    <row r="1763">
      <c r="A1763" s="30" t="n"/>
    </row>
    <row r="1764">
      <c r="A1764" s="30" t="n"/>
    </row>
    <row r="1765">
      <c r="A1765" s="30" t="n"/>
    </row>
    <row r="1766">
      <c r="A1766" s="30" t="n"/>
    </row>
    <row r="1767">
      <c r="A1767" s="30" t="n"/>
    </row>
    <row r="1768">
      <c r="A1768" s="30" t="n"/>
    </row>
    <row r="1769">
      <c r="A1769" s="30" t="n"/>
    </row>
    <row r="1770">
      <c r="A1770" s="30" t="n"/>
    </row>
    <row r="1771">
      <c r="A1771" s="30" t="n"/>
    </row>
    <row r="1772">
      <c r="A1772" s="30" t="n"/>
    </row>
    <row r="1773">
      <c r="A1773" s="30" t="n"/>
    </row>
    <row r="1774">
      <c r="A1774" s="30" t="n"/>
    </row>
    <row r="1775">
      <c r="A1775" s="30" t="n"/>
    </row>
    <row r="1776">
      <c r="A1776" s="30" t="n"/>
    </row>
    <row r="1777">
      <c r="A1777" s="30" t="n"/>
    </row>
    <row r="1778">
      <c r="A1778" s="30" t="n"/>
    </row>
    <row r="1779">
      <c r="A1779" s="30" t="n"/>
    </row>
    <row r="1780">
      <c r="A1780" s="30" t="n"/>
    </row>
    <row r="1781">
      <c r="A1781" s="30" t="n"/>
    </row>
    <row r="1782">
      <c r="A1782" s="30" t="n"/>
    </row>
    <row r="1783">
      <c r="A1783" s="30" t="n"/>
    </row>
    <row r="1784">
      <c r="A1784" s="30" t="n"/>
    </row>
    <row r="1785">
      <c r="A1785" s="30" t="n"/>
    </row>
    <row r="1786">
      <c r="A1786" s="30" t="n"/>
    </row>
    <row r="1787">
      <c r="A1787" s="30" t="n"/>
    </row>
    <row r="1788">
      <c r="A1788" s="30" t="n"/>
    </row>
    <row r="1789">
      <c r="A1789" s="30" t="n"/>
    </row>
    <row r="1790">
      <c r="A1790" s="30" t="n"/>
    </row>
    <row r="1791">
      <c r="A1791" s="30" t="n"/>
    </row>
    <row r="1792">
      <c r="A1792" s="30" t="n"/>
    </row>
    <row r="1793">
      <c r="A1793" s="30" t="n"/>
    </row>
    <row r="1794">
      <c r="A1794" s="30" t="n"/>
    </row>
    <row r="1795">
      <c r="A1795" s="30" t="n"/>
    </row>
    <row r="1796">
      <c r="A1796" s="30" t="n"/>
    </row>
    <row r="1797">
      <c r="A1797" s="30" t="n"/>
    </row>
    <row r="1798">
      <c r="A1798" s="30" t="n"/>
    </row>
    <row r="1799">
      <c r="A1799" s="30" t="n"/>
    </row>
    <row r="1800">
      <c r="A1800" s="30" t="n"/>
    </row>
    <row r="1801">
      <c r="A1801" s="30" t="n"/>
    </row>
    <row r="1802">
      <c r="A1802" s="30" t="n"/>
    </row>
    <row r="1803">
      <c r="A1803" s="30" t="n"/>
    </row>
    <row r="1804">
      <c r="A1804" s="30" t="n"/>
    </row>
    <row r="1805">
      <c r="A1805" s="30" t="n"/>
    </row>
    <row r="1806">
      <c r="A1806" s="30" t="n"/>
    </row>
    <row r="1807">
      <c r="A1807" s="30" t="n"/>
    </row>
    <row r="1808">
      <c r="A1808" s="30" t="n"/>
    </row>
    <row r="1809">
      <c r="A1809" s="30" t="n"/>
    </row>
    <row r="1810">
      <c r="A1810" s="30" t="n"/>
    </row>
    <row r="1811">
      <c r="A1811" s="30" t="n"/>
    </row>
    <row r="1812">
      <c r="A1812" s="30" t="n"/>
    </row>
    <row r="1813">
      <c r="A1813" s="30" t="n"/>
    </row>
    <row r="1814">
      <c r="A1814" s="30" t="n"/>
    </row>
    <row r="1815">
      <c r="A1815" s="30" t="n"/>
    </row>
    <row r="1816">
      <c r="A1816" s="30" t="n"/>
    </row>
    <row r="1817">
      <c r="A1817" s="30" t="n"/>
    </row>
    <row r="1818">
      <c r="A1818" s="30" t="n"/>
    </row>
    <row r="1819">
      <c r="A1819" s="30" t="n"/>
    </row>
    <row r="1820">
      <c r="A1820" s="30" t="n"/>
    </row>
    <row r="1821">
      <c r="A1821" s="30" t="n"/>
    </row>
    <row r="1822">
      <c r="A1822" s="30" t="n"/>
    </row>
    <row r="1823">
      <c r="A1823" s="30" t="n"/>
    </row>
    <row r="1824">
      <c r="A1824" s="30" t="n"/>
    </row>
    <row r="1825">
      <c r="A1825" s="30" t="n"/>
    </row>
    <row r="1826">
      <c r="A1826" s="30" t="n"/>
    </row>
    <row r="1827">
      <c r="A1827" s="30" t="n"/>
    </row>
    <row r="1828">
      <c r="A1828" s="30" t="n"/>
    </row>
    <row r="1829">
      <c r="A1829" s="30" t="n"/>
    </row>
    <row r="1830">
      <c r="A1830" s="30" t="n"/>
    </row>
    <row r="1831">
      <c r="A1831" s="30" t="n"/>
    </row>
    <row r="1832">
      <c r="A1832" s="30" t="n"/>
    </row>
    <row r="1833">
      <c r="A1833" s="30" t="n"/>
    </row>
    <row r="1834">
      <c r="A1834" s="30" t="n"/>
    </row>
    <row r="1835">
      <c r="A1835" s="30" t="n"/>
    </row>
    <row r="1836">
      <c r="A1836" s="30" t="n"/>
    </row>
    <row r="1837">
      <c r="A1837" s="30" t="n"/>
    </row>
    <row r="1838">
      <c r="A1838" s="30" t="n"/>
    </row>
    <row r="1839">
      <c r="A1839" s="30" t="n"/>
    </row>
    <row r="1840">
      <c r="A1840" s="30" t="n"/>
    </row>
    <row r="1841">
      <c r="A1841" s="30" t="n"/>
    </row>
    <row r="1842">
      <c r="A1842" s="30" t="n"/>
    </row>
    <row r="1843">
      <c r="A1843" s="30" t="n"/>
    </row>
    <row r="1844">
      <c r="A1844" s="30" t="n"/>
    </row>
    <row r="1845">
      <c r="A1845" s="30" t="n"/>
    </row>
    <row r="1846">
      <c r="A1846" s="30" t="n"/>
    </row>
    <row r="1847">
      <c r="A1847" s="30" t="n"/>
    </row>
    <row r="1848">
      <c r="A1848" s="30" t="n"/>
    </row>
    <row r="1849">
      <c r="A1849" s="30" t="n"/>
    </row>
    <row r="1850">
      <c r="A1850" s="30" t="n"/>
    </row>
    <row r="1851">
      <c r="A1851" s="30" t="n"/>
    </row>
    <row r="1852">
      <c r="A1852" s="30" t="n"/>
    </row>
    <row r="1853">
      <c r="A1853" s="30" t="n"/>
    </row>
    <row r="1854">
      <c r="A1854" s="30" t="n"/>
    </row>
    <row r="1855">
      <c r="A1855" s="30" t="n"/>
    </row>
    <row r="1856">
      <c r="A1856" s="30" t="n"/>
    </row>
    <row r="1857">
      <c r="A1857" s="30" t="n"/>
    </row>
    <row r="1858">
      <c r="A1858" s="30" t="n"/>
    </row>
    <row r="1859">
      <c r="A1859" s="30" t="n"/>
    </row>
    <row r="1860">
      <c r="A1860" s="30" t="n"/>
    </row>
    <row r="1861">
      <c r="A1861" s="30" t="n"/>
    </row>
    <row r="1862">
      <c r="A1862" s="30" t="n"/>
    </row>
    <row r="1863">
      <c r="A1863" s="30" t="n"/>
    </row>
    <row r="1864">
      <c r="A1864" s="30" t="n"/>
    </row>
    <row r="1865">
      <c r="A1865" s="30" t="n"/>
    </row>
    <row r="1866">
      <c r="A1866" s="30" t="n"/>
    </row>
    <row r="1867">
      <c r="A1867" s="30" t="n"/>
    </row>
    <row r="1868">
      <c r="A1868" s="30" t="n"/>
    </row>
    <row r="1869">
      <c r="A1869" s="30" t="n"/>
    </row>
    <row r="1870">
      <c r="A1870" s="30" t="n"/>
    </row>
    <row r="1871">
      <c r="A1871" s="30" t="n"/>
    </row>
    <row r="1872">
      <c r="A1872" s="30" t="n"/>
    </row>
    <row r="1873">
      <c r="A1873" s="30" t="n"/>
    </row>
    <row r="1874">
      <c r="A1874" s="30" t="n"/>
    </row>
    <row r="1875">
      <c r="A1875" s="30" t="n"/>
    </row>
    <row r="1876">
      <c r="A1876" s="30" t="n"/>
    </row>
    <row r="1877">
      <c r="A1877" s="30" t="n"/>
    </row>
    <row r="1878">
      <c r="A1878" s="30" t="n"/>
    </row>
    <row r="1879">
      <c r="A1879" s="30" t="n"/>
    </row>
    <row r="1880">
      <c r="A1880" s="30" t="n"/>
    </row>
    <row r="1881">
      <c r="A1881" s="30" t="n"/>
    </row>
    <row r="1882">
      <c r="A1882" s="30" t="n"/>
    </row>
    <row r="1883">
      <c r="A1883" s="30" t="n"/>
    </row>
    <row r="1884">
      <c r="A1884" s="30" t="n"/>
    </row>
    <row r="1885">
      <c r="A1885" s="30" t="n"/>
    </row>
    <row r="1886">
      <c r="A1886" s="30" t="n"/>
    </row>
    <row r="1887">
      <c r="A1887" s="30" t="n"/>
    </row>
    <row r="1888">
      <c r="A1888" s="30" t="n"/>
    </row>
    <row r="1889">
      <c r="A1889" s="30" t="n"/>
    </row>
    <row r="1890">
      <c r="A1890" s="30" t="n"/>
    </row>
    <row r="1891">
      <c r="A1891" s="30" t="n"/>
    </row>
    <row r="1892">
      <c r="A1892" s="30" t="n"/>
    </row>
    <row r="1893">
      <c r="A1893" s="30" t="n"/>
    </row>
    <row r="1894">
      <c r="A1894" s="30" t="n"/>
    </row>
    <row r="1895">
      <c r="A1895" s="30" t="n"/>
    </row>
    <row r="1896">
      <c r="A1896" s="30" t="n"/>
    </row>
    <row r="1897">
      <c r="A1897" s="30" t="n"/>
    </row>
    <row r="1898">
      <c r="A1898" s="30" t="n"/>
    </row>
    <row r="1899">
      <c r="A1899" s="30" t="n"/>
    </row>
    <row r="1900">
      <c r="A1900" s="30" t="n"/>
    </row>
    <row r="1901">
      <c r="A1901" s="30" t="n"/>
    </row>
    <row r="1902">
      <c r="A1902" s="30" t="n"/>
    </row>
    <row r="1903">
      <c r="A1903" s="30" t="n"/>
    </row>
    <row r="1904">
      <c r="A1904" s="30" t="n"/>
    </row>
    <row r="1905">
      <c r="A1905" s="30" t="n"/>
    </row>
    <row r="1906">
      <c r="A1906" s="30" t="n"/>
    </row>
    <row r="1907">
      <c r="A1907" s="30" t="n"/>
    </row>
    <row r="1908">
      <c r="A1908" s="30" t="n"/>
    </row>
    <row r="1909">
      <c r="A1909" s="30" t="n"/>
    </row>
    <row r="1910">
      <c r="A1910" s="30" t="n"/>
    </row>
    <row r="1911">
      <c r="A1911" s="30" t="n"/>
    </row>
    <row r="1912">
      <c r="A1912" s="30" t="n"/>
    </row>
    <row r="1913">
      <c r="A1913" s="30" t="n"/>
    </row>
    <row r="1914">
      <c r="A1914" s="30" t="n"/>
    </row>
    <row r="1915">
      <c r="A1915" s="30" t="n"/>
    </row>
    <row r="1916">
      <c r="A1916" s="30" t="n"/>
    </row>
    <row r="1917">
      <c r="A1917" s="30" t="n"/>
    </row>
    <row r="1918">
      <c r="A1918" s="30" t="n"/>
    </row>
    <row r="1919">
      <c r="A1919" s="30" t="n"/>
    </row>
    <row r="1920">
      <c r="A1920" s="30" t="n"/>
    </row>
    <row r="1921">
      <c r="A1921" s="30" t="n"/>
    </row>
    <row r="1922">
      <c r="A1922" s="30" t="n"/>
    </row>
    <row r="1923">
      <c r="A1923" s="30" t="n"/>
    </row>
    <row r="1924">
      <c r="A1924" s="30" t="n"/>
    </row>
    <row r="1925">
      <c r="A1925" s="30" t="n"/>
    </row>
    <row r="1926">
      <c r="A1926" s="30" t="n"/>
    </row>
    <row r="1927">
      <c r="A1927" s="30" t="n"/>
    </row>
    <row r="1928">
      <c r="A1928" s="30" t="n"/>
    </row>
    <row r="1929">
      <c r="A1929" s="30" t="n"/>
    </row>
    <row r="1930">
      <c r="A1930" s="30" t="n"/>
    </row>
    <row r="1931">
      <c r="A1931" s="30" t="n"/>
    </row>
    <row r="1932">
      <c r="A1932" s="30" t="n"/>
    </row>
    <row r="1933">
      <c r="A1933" s="30" t="n"/>
    </row>
    <row r="1934">
      <c r="A1934" s="30" t="n"/>
    </row>
    <row r="1935">
      <c r="A1935" s="30" t="n"/>
    </row>
    <row r="1936">
      <c r="A1936" s="30" t="n"/>
    </row>
    <row r="1937">
      <c r="A1937" s="30" t="n"/>
    </row>
    <row r="1938">
      <c r="A1938" s="30" t="n"/>
    </row>
    <row r="1939">
      <c r="A1939" s="30" t="n"/>
    </row>
    <row r="1940">
      <c r="A1940" s="30" t="n"/>
    </row>
    <row r="1941">
      <c r="A1941" s="30" t="n"/>
    </row>
    <row r="1942">
      <c r="A1942" s="30" t="n"/>
    </row>
    <row r="1943">
      <c r="A1943" s="30" t="n"/>
    </row>
    <row r="1944">
      <c r="A1944" s="30" t="n"/>
    </row>
    <row r="1945">
      <c r="A1945" s="30" t="n"/>
    </row>
    <row r="1946">
      <c r="A1946" s="30" t="n"/>
    </row>
    <row r="1947">
      <c r="A1947" s="30" t="n"/>
    </row>
    <row r="1948">
      <c r="A1948" s="30" t="n"/>
    </row>
    <row r="1949">
      <c r="A1949" s="30" t="n"/>
    </row>
    <row r="1950">
      <c r="A1950" s="30" t="n"/>
    </row>
    <row r="1951">
      <c r="A1951" s="30" t="n"/>
    </row>
    <row r="1952">
      <c r="A1952" s="30" t="n"/>
    </row>
    <row r="1953">
      <c r="A1953" s="30" t="n"/>
    </row>
    <row r="1954">
      <c r="A1954" s="30" t="n"/>
    </row>
    <row r="1955">
      <c r="A1955" s="30" t="n"/>
    </row>
    <row r="1956">
      <c r="A1956" s="30" t="n"/>
    </row>
    <row r="1957">
      <c r="A1957" s="30" t="n"/>
    </row>
    <row r="1958">
      <c r="A1958" s="30" t="n"/>
    </row>
    <row r="1959">
      <c r="A1959" s="30" t="n"/>
    </row>
    <row r="1960">
      <c r="A1960" s="30" t="n"/>
    </row>
    <row r="1961">
      <c r="A1961" s="30" t="n"/>
    </row>
    <row r="1962">
      <c r="A1962" s="30" t="n"/>
    </row>
    <row r="1963">
      <c r="A1963" s="30" t="n"/>
    </row>
    <row r="1964">
      <c r="A1964" s="30" t="n"/>
    </row>
    <row r="1965">
      <c r="A1965" s="30" t="n"/>
    </row>
    <row r="1966">
      <c r="A1966" s="30" t="n"/>
    </row>
    <row r="1967">
      <c r="A1967" s="30" t="n"/>
    </row>
    <row r="1968">
      <c r="A1968" s="30" t="n"/>
    </row>
    <row r="1969">
      <c r="A1969" s="30" t="n"/>
    </row>
    <row r="1970">
      <c r="A1970" s="30" t="n"/>
    </row>
    <row r="1971">
      <c r="A1971" s="30" t="n"/>
    </row>
    <row r="1972">
      <c r="A1972" s="30" t="n"/>
    </row>
    <row r="1973">
      <c r="A1973" s="30" t="n"/>
    </row>
    <row r="1974">
      <c r="A1974" s="30" t="n"/>
    </row>
    <row r="1975">
      <c r="A1975" s="30" t="n"/>
    </row>
    <row r="1976">
      <c r="A1976" s="30" t="n"/>
    </row>
    <row r="1977">
      <c r="A1977" s="30" t="n"/>
    </row>
    <row r="1978">
      <c r="A1978" s="30" t="n"/>
    </row>
    <row r="1979">
      <c r="A1979" s="30" t="n"/>
    </row>
    <row r="1980">
      <c r="A1980" s="30" t="n"/>
    </row>
    <row r="1981">
      <c r="A1981" s="30" t="n"/>
    </row>
    <row r="1982">
      <c r="A1982" s="30" t="n"/>
    </row>
    <row r="1983">
      <c r="A1983" s="30" t="n"/>
    </row>
    <row r="1984">
      <c r="A1984" s="30" t="n"/>
    </row>
    <row r="1985">
      <c r="A1985" s="30" t="n"/>
    </row>
    <row r="1986">
      <c r="A1986" s="30" t="n"/>
    </row>
    <row r="1987">
      <c r="A1987" s="30" t="n"/>
    </row>
    <row r="1988">
      <c r="A1988" s="30" t="n"/>
    </row>
    <row r="1989">
      <c r="A1989" s="30" t="n"/>
    </row>
    <row r="1990">
      <c r="A1990" s="30" t="n"/>
    </row>
    <row r="1991">
      <c r="A1991" s="30" t="n"/>
    </row>
    <row r="1992">
      <c r="A1992" s="30" t="n"/>
    </row>
    <row r="1993">
      <c r="A1993" s="30" t="n"/>
    </row>
    <row r="1994">
      <c r="A1994" s="30" t="n"/>
    </row>
    <row r="1995">
      <c r="A1995" s="30" t="n"/>
    </row>
    <row r="1996">
      <c r="A1996" s="30" t="n"/>
    </row>
    <row r="1997">
      <c r="A1997" s="30" t="n"/>
    </row>
    <row r="1998">
      <c r="A1998" s="30" t="n"/>
    </row>
    <row r="1999">
      <c r="A1999" s="30" t="n"/>
    </row>
    <row r="2000">
      <c r="A2000" s="30" t="n"/>
    </row>
    <row r="2001">
      <c r="A2001" s="30" t="n"/>
    </row>
    <row r="2002">
      <c r="A2002" s="30" t="n"/>
    </row>
    <row r="2003">
      <c r="A2003" s="30" t="n"/>
    </row>
    <row r="2004">
      <c r="A2004" s="30" t="n"/>
    </row>
    <row r="2005">
      <c r="A2005" s="30" t="n"/>
    </row>
    <row r="2006">
      <c r="A2006" s="30" t="n"/>
    </row>
    <row r="2007">
      <c r="A2007" s="30" t="n"/>
    </row>
    <row r="2008">
      <c r="A2008" s="30" t="n"/>
    </row>
    <row r="2009">
      <c r="A2009" s="30" t="n"/>
    </row>
    <row r="2010">
      <c r="A2010" s="30" t="n"/>
    </row>
    <row r="2011">
      <c r="A2011" s="30" t="n"/>
    </row>
    <row r="2012">
      <c r="A2012" s="30" t="n"/>
    </row>
    <row r="2013">
      <c r="A2013" s="30" t="n"/>
    </row>
    <row r="2014">
      <c r="A2014" s="30" t="n"/>
    </row>
    <row r="2015">
      <c r="A2015" s="30" t="n"/>
    </row>
    <row r="2016">
      <c r="A2016" s="30" t="n"/>
    </row>
    <row r="2017">
      <c r="A2017" s="30" t="n"/>
    </row>
    <row r="2018">
      <c r="A2018" s="30" t="n"/>
    </row>
    <row r="2019">
      <c r="A2019" s="30" t="n"/>
    </row>
    <row r="2020">
      <c r="A2020" s="30" t="n"/>
    </row>
    <row r="2021">
      <c r="A2021" s="30" t="n"/>
    </row>
    <row r="2022">
      <c r="A2022" s="30" t="n"/>
    </row>
    <row r="2023">
      <c r="A2023" s="30" t="n"/>
    </row>
    <row r="2024">
      <c r="A2024" s="30" t="n"/>
    </row>
    <row r="2025">
      <c r="A2025" s="30" t="n"/>
    </row>
    <row r="2026">
      <c r="A2026" s="30" t="n"/>
    </row>
    <row r="2027">
      <c r="A2027" s="30" t="n"/>
    </row>
    <row r="2028">
      <c r="A2028" s="30" t="n"/>
    </row>
    <row r="2029">
      <c r="A2029" s="30" t="n"/>
    </row>
    <row r="2030">
      <c r="A2030" s="30" t="n"/>
    </row>
    <row r="2031">
      <c r="A2031" s="30" t="n"/>
    </row>
    <row r="2032">
      <c r="A2032" s="30" t="n"/>
    </row>
    <row r="2033">
      <c r="A2033" s="30" t="n"/>
    </row>
    <row r="2034">
      <c r="A2034" s="30" t="n"/>
    </row>
    <row r="2035">
      <c r="A2035" s="30" t="n"/>
    </row>
    <row r="2036">
      <c r="A2036" s="30" t="n"/>
    </row>
    <row r="2037">
      <c r="A2037" s="30" t="n"/>
    </row>
    <row r="2038">
      <c r="A2038" s="30" t="n"/>
    </row>
    <row r="2039">
      <c r="A2039" s="30" t="n"/>
    </row>
    <row r="2040">
      <c r="A2040" s="30" t="n"/>
    </row>
    <row r="2041">
      <c r="A2041" s="30" t="n"/>
    </row>
    <row r="2042">
      <c r="A2042" s="30" t="n"/>
    </row>
    <row r="2043">
      <c r="A2043" s="30" t="n"/>
    </row>
    <row r="2044">
      <c r="A2044" s="30" t="n"/>
    </row>
    <row r="2045">
      <c r="A2045" s="30" t="n"/>
    </row>
    <row r="2046">
      <c r="A2046" s="30" t="n"/>
    </row>
    <row r="2047">
      <c r="A2047" s="30" t="n"/>
    </row>
    <row r="2048">
      <c r="A2048" s="30" t="n"/>
    </row>
    <row r="2049">
      <c r="A2049" s="30" t="n"/>
    </row>
    <row r="2050">
      <c r="A2050" s="30" t="n"/>
    </row>
    <row r="2051">
      <c r="A2051" s="30" t="n"/>
    </row>
    <row r="2052">
      <c r="A2052" s="30" t="n"/>
    </row>
    <row r="2053">
      <c r="A2053" s="30" t="n"/>
    </row>
    <row r="2054">
      <c r="A2054" s="30" t="n"/>
    </row>
    <row r="2055">
      <c r="A2055" s="30" t="n"/>
    </row>
    <row r="2056">
      <c r="A2056" s="30" t="n"/>
    </row>
    <row r="2057">
      <c r="A2057" s="30" t="n"/>
    </row>
    <row r="2058">
      <c r="A2058" s="30" t="n"/>
    </row>
    <row r="2059">
      <c r="A2059" s="30" t="n"/>
    </row>
    <row r="2060">
      <c r="A2060" s="30" t="n"/>
    </row>
    <row r="2061">
      <c r="A2061" s="30" t="n"/>
    </row>
    <row r="2062">
      <c r="A2062" s="30" t="n"/>
    </row>
    <row r="2063">
      <c r="A2063" s="30" t="n"/>
    </row>
    <row r="2064">
      <c r="A2064" s="30" t="n"/>
    </row>
    <row r="2065">
      <c r="A2065" s="30" t="n"/>
    </row>
    <row r="2066">
      <c r="A2066" s="30" t="n"/>
    </row>
    <row r="2067">
      <c r="A2067" s="30" t="n"/>
    </row>
    <row r="2068">
      <c r="A2068" s="30" t="n"/>
    </row>
    <row r="2069">
      <c r="A2069" s="30" t="n"/>
    </row>
    <row r="2070">
      <c r="A2070" s="30" t="n"/>
    </row>
    <row r="2071">
      <c r="A2071" s="30" t="n"/>
    </row>
    <row r="2072">
      <c r="A2072" s="30" t="n"/>
    </row>
    <row r="2073">
      <c r="A2073" s="30" t="n"/>
    </row>
    <row r="2074">
      <c r="A2074" s="30" t="n"/>
    </row>
    <row r="2075">
      <c r="A2075" s="30" t="n"/>
    </row>
    <row r="2076">
      <c r="A2076" s="30" t="n"/>
    </row>
    <row r="2077">
      <c r="A2077" s="30" t="n"/>
    </row>
    <row r="2078">
      <c r="A2078" s="30" t="n"/>
    </row>
    <row r="2079">
      <c r="A2079" s="30" t="n"/>
    </row>
    <row r="2080">
      <c r="A2080" s="30" t="n"/>
    </row>
    <row r="2081">
      <c r="A2081" s="30" t="n"/>
    </row>
    <row r="2082">
      <c r="A2082" s="30" t="n"/>
    </row>
    <row r="2083">
      <c r="A2083" s="30" t="n"/>
    </row>
    <row r="2084">
      <c r="A2084" s="30" t="n"/>
    </row>
    <row r="2085">
      <c r="A2085" s="30" t="n"/>
    </row>
    <row r="2086">
      <c r="A2086" s="30" t="n"/>
    </row>
    <row r="2087">
      <c r="A2087" s="30" t="n"/>
    </row>
    <row r="2088">
      <c r="A2088" s="30" t="n"/>
    </row>
    <row r="2089">
      <c r="A2089" s="30" t="n"/>
    </row>
    <row r="2090">
      <c r="A2090" s="30" t="n"/>
    </row>
    <row r="2091">
      <c r="A2091" s="30" t="n"/>
    </row>
    <row r="2092">
      <c r="A2092" s="30" t="n"/>
    </row>
    <row r="2093">
      <c r="A2093" s="30" t="n"/>
    </row>
    <row r="2094">
      <c r="A2094" s="30" t="n"/>
    </row>
    <row r="2095">
      <c r="A2095" s="30" t="n"/>
    </row>
    <row r="2096">
      <c r="A2096" s="30" t="n"/>
    </row>
    <row r="2097">
      <c r="A2097" s="30" t="n"/>
    </row>
    <row r="2098">
      <c r="A2098" s="30" t="n"/>
    </row>
    <row r="2099">
      <c r="A2099" s="30" t="n"/>
    </row>
    <row r="2100">
      <c r="A2100" s="30" t="n"/>
    </row>
    <row r="2101">
      <c r="A2101" s="30" t="n"/>
    </row>
    <row r="2102">
      <c r="A2102" s="30" t="n"/>
    </row>
    <row r="2103">
      <c r="A2103" s="30" t="n"/>
    </row>
    <row r="2104">
      <c r="A2104" s="30" t="n"/>
    </row>
    <row r="2105">
      <c r="A2105" s="30" t="n"/>
    </row>
    <row r="2106">
      <c r="A2106" s="30" t="n"/>
    </row>
    <row r="2107">
      <c r="A2107" s="30" t="n"/>
    </row>
    <row r="2108">
      <c r="A2108" s="30" t="n"/>
    </row>
    <row r="2109">
      <c r="A2109" s="30" t="n"/>
    </row>
    <row r="2110">
      <c r="A2110" s="30" t="n"/>
    </row>
    <row r="2111">
      <c r="A2111" s="30" t="n"/>
    </row>
    <row r="2112">
      <c r="A2112" s="30" t="n"/>
    </row>
    <row r="2113">
      <c r="A2113" s="30" t="n"/>
    </row>
    <row r="2114">
      <c r="A2114" s="30" t="n"/>
    </row>
    <row r="2115">
      <c r="A2115" s="30" t="n"/>
    </row>
    <row r="2116">
      <c r="A2116" s="30" t="n"/>
    </row>
    <row r="2117">
      <c r="A2117" s="30" t="n"/>
    </row>
    <row r="2118">
      <c r="A2118" s="30" t="n"/>
    </row>
    <row r="2119">
      <c r="A2119" s="30" t="n"/>
    </row>
    <row r="2120">
      <c r="A2120" s="30" t="n"/>
    </row>
    <row r="2121">
      <c r="A2121" s="30" t="n"/>
    </row>
    <row r="2122">
      <c r="A2122" s="30" t="n"/>
    </row>
    <row r="2123">
      <c r="A2123" s="30" t="n"/>
    </row>
    <row r="2124">
      <c r="A2124" s="30" t="n"/>
    </row>
    <row r="2125">
      <c r="A2125" s="30" t="n"/>
    </row>
    <row r="2126">
      <c r="A2126" s="30" t="n"/>
    </row>
    <row r="2127">
      <c r="A2127" s="30" t="n"/>
    </row>
    <row r="2128">
      <c r="A2128" s="30" t="n"/>
    </row>
    <row r="2129">
      <c r="A2129" s="30" t="n"/>
    </row>
    <row r="2130">
      <c r="A2130" s="30" t="n"/>
    </row>
    <row r="2131">
      <c r="A2131" s="30" t="n"/>
    </row>
    <row r="2132">
      <c r="A2132" s="30" t="n"/>
    </row>
    <row r="2133">
      <c r="A2133" s="30" t="n"/>
    </row>
    <row r="2134">
      <c r="A2134" s="30" t="n"/>
    </row>
    <row r="2135">
      <c r="A2135" s="30" t="n"/>
    </row>
    <row r="2136">
      <c r="A2136" s="30" t="n"/>
    </row>
    <row r="2137">
      <c r="A2137" s="30" t="n"/>
    </row>
    <row r="2138">
      <c r="A2138" s="30" t="n"/>
    </row>
    <row r="2139">
      <c r="A2139" s="30" t="n"/>
    </row>
    <row r="2140">
      <c r="A2140" s="30" t="n"/>
    </row>
    <row r="2141">
      <c r="A2141" s="30" t="n"/>
    </row>
    <row r="2142">
      <c r="A2142" s="30" t="n"/>
    </row>
    <row r="2143">
      <c r="A2143" s="30" t="n"/>
    </row>
    <row r="2144">
      <c r="A2144" s="30" t="n"/>
    </row>
    <row r="2145">
      <c r="A2145" s="30" t="n"/>
    </row>
    <row r="2146">
      <c r="A2146" s="30" t="n"/>
    </row>
    <row r="2147">
      <c r="A2147" s="30" t="n"/>
    </row>
    <row r="2148">
      <c r="A2148" s="30" t="n"/>
    </row>
    <row r="2149">
      <c r="A2149" s="30" t="n"/>
    </row>
    <row r="2150">
      <c r="A2150" s="30" t="n"/>
    </row>
    <row r="2151">
      <c r="A2151" s="30" t="n"/>
    </row>
    <row r="2152">
      <c r="A2152" s="30" t="n"/>
    </row>
    <row r="2153">
      <c r="A2153" s="30" t="n"/>
    </row>
    <row r="2154">
      <c r="A2154" s="30" t="n"/>
    </row>
    <row r="2155">
      <c r="A2155" s="30" t="n"/>
    </row>
    <row r="2156">
      <c r="A2156" s="30" t="n"/>
    </row>
    <row r="2157">
      <c r="A2157" s="30" t="n"/>
    </row>
    <row r="2158">
      <c r="A2158" s="30" t="n"/>
    </row>
    <row r="2159">
      <c r="A2159" s="30" t="n"/>
    </row>
    <row r="2160">
      <c r="A2160" s="30" t="n"/>
    </row>
    <row r="2161">
      <c r="A2161" s="30" t="n"/>
    </row>
    <row r="2162">
      <c r="A2162" s="30" t="n"/>
    </row>
    <row r="2163">
      <c r="A2163" s="30" t="n"/>
    </row>
    <row r="2164">
      <c r="A2164" s="30" t="n"/>
    </row>
    <row r="2165">
      <c r="A2165" s="30" t="n"/>
    </row>
    <row r="2166">
      <c r="A2166" s="30" t="n"/>
    </row>
    <row r="2167">
      <c r="A2167" s="30" t="n"/>
    </row>
    <row r="2168">
      <c r="A2168" s="30" t="n"/>
    </row>
    <row r="2169">
      <c r="A2169" s="30" t="n"/>
    </row>
    <row r="2170">
      <c r="A2170" s="30" t="n"/>
    </row>
    <row r="2171">
      <c r="A2171" s="30" t="n"/>
    </row>
    <row r="2172">
      <c r="A2172" s="30" t="n"/>
    </row>
    <row r="2173">
      <c r="A2173" s="30" t="n"/>
    </row>
    <row r="2174">
      <c r="A2174" s="30" t="n"/>
    </row>
    <row r="2175">
      <c r="A2175" s="30" t="n"/>
    </row>
    <row r="2176">
      <c r="A2176" s="30" t="n"/>
    </row>
    <row r="2177">
      <c r="A2177" s="30" t="n"/>
    </row>
    <row r="2178">
      <c r="A2178" s="30" t="n"/>
    </row>
    <row r="2179">
      <c r="A2179" s="30" t="n"/>
    </row>
    <row r="2180">
      <c r="A2180" s="30" t="n"/>
    </row>
    <row r="2181">
      <c r="A2181" s="30" t="n"/>
    </row>
    <row r="2182">
      <c r="A2182" s="30" t="n"/>
    </row>
    <row r="2183">
      <c r="A2183" s="30" t="n"/>
    </row>
    <row r="2184">
      <c r="A2184" s="30" t="n"/>
    </row>
    <row r="2185">
      <c r="A2185" s="30" t="n"/>
    </row>
    <row r="2186">
      <c r="A2186" s="30" t="n"/>
    </row>
    <row r="2187">
      <c r="A2187" s="30" t="n"/>
    </row>
    <row r="2188">
      <c r="A2188" s="30" t="n"/>
    </row>
    <row r="2189">
      <c r="A2189" s="30" t="n"/>
    </row>
    <row r="2190">
      <c r="A2190" s="30" t="n"/>
    </row>
    <row r="2191">
      <c r="A2191" s="30" t="n"/>
    </row>
    <row r="2192">
      <c r="A2192" s="30" t="n"/>
    </row>
    <row r="2193">
      <c r="A2193" s="30" t="n"/>
    </row>
    <row r="2194">
      <c r="A2194" s="30" t="n"/>
    </row>
    <row r="2195">
      <c r="A2195" s="30" t="n"/>
    </row>
    <row r="2196">
      <c r="A2196" s="30" t="n"/>
    </row>
    <row r="2197">
      <c r="A2197" s="30" t="n"/>
    </row>
    <row r="2198">
      <c r="A2198" s="30" t="n"/>
    </row>
    <row r="2199">
      <c r="A2199" s="30" t="n"/>
    </row>
    <row r="2200">
      <c r="A2200" s="30" t="n"/>
    </row>
    <row r="2201">
      <c r="A2201" s="30" t="n"/>
    </row>
    <row r="2202">
      <c r="A2202" s="30" t="n"/>
    </row>
    <row r="2203">
      <c r="A2203" s="30" t="n"/>
    </row>
    <row r="2204">
      <c r="A2204" s="30" t="n"/>
    </row>
    <row r="2205">
      <c r="A2205" s="30" t="n"/>
    </row>
    <row r="2206">
      <c r="A2206" s="30" t="n"/>
    </row>
    <row r="2207">
      <c r="A2207" s="30" t="n"/>
    </row>
    <row r="2208">
      <c r="A2208" s="30" t="n"/>
    </row>
    <row r="2209">
      <c r="A2209" s="30" t="n"/>
    </row>
    <row r="2210">
      <c r="A2210" s="30" t="n"/>
    </row>
    <row r="2211">
      <c r="A2211" s="30" t="n"/>
    </row>
    <row r="2212">
      <c r="A2212" s="30" t="n"/>
    </row>
    <row r="2213">
      <c r="A2213" s="30" t="n"/>
    </row>
    <row r="2214">
      <c r="A2214" s="30" t="n"/>
    </row>
    <row r="2215">
      <c r="A2215" s="30" t="n"/>
    </row>
    <row r="2216">
      <c r="A2216" s="30" t="n"/>
    </row>
    <row r="2217">
      <c r="A2217" s="30" t="n"/>
    </row>
    <row r="2218">
      <c r="A2218" s="30" t="n"/>
    </row>
    <row r="2219">
      <c r="A2219" s="30" t="n"/>
    </row>
    <row r="2220">
      <c r="A2220" s="30" t="n"/>
    </row>
    <row r="2221">
      <c r="A2221" s="30" t="n"/>
    </row>
    <row r="2222">
      <c r="A2222" s="30" t="n"/>
    </row>
    <row r="2223">
      <c r="A2223" s="30" t="n"/>
    </row>
    <row r="2224">
      <c r="A2224" s="30" t="n"/>
    </row>
    <row r="2225">
      <c r="A2225" s="30" t="n"/>
    </row>
    <row r="2226">
      <c r="A2226" s="30" t="n"/>
    </row>
    <row r="2227">
      <c r="A2227" s="30" t="n"/>
    </row>
    <row r="2228">
      <c r="A2228" s="30" t="n"/>
    </row>
    <row r="2229">
      <c r="A2229" s="30" t="n"/>
    </row>
    <row r="2230">
      <c r="A2230" s="30" t="n"/>
    </row>
    <row r="2231">
      <c r="A2231" s="30" t="n"/>
    </row>
    <row r="2232">
      <c r="A2232" s="30" t="n"/>
    </row>
    <row r="2233">
      <c r="A2233" s="30" t="n"/>
    </row>
    <row r="2234">
      <c r="A2234" s="30" t="n"/>
    </row>
    <row r="2235">
      <c r="A2235" s="30" t="n"/>
    </row>
    <row r="2236">
      <c r="A2236" s="30" t="n"/>
    </row>
    <row r="2237">
      <c r="A2237" s="30" t="n"/>
    </row>
    <row r="2238">
      <c r="A2238" s="30" t="n"/>
    </row>
    <row r="2239">
      <c r="A2239" s="30" t="n"/>
    </row>
    <row r="2240">
      <c r="A2240" s="30" t="n"/>
    </row>
    <row r="2241">
      <c r="A2241" s="30" t="n"/>
    </row>
    <row r="2242">
      <c r="A2242" s="30" t="n"/>
    </row>
    <row r="2243">
      <c r="A2243" s="30" t="n"/>
    </row>
    <row r="2244">
      <c r="A2244" s="30" t="n"/>
    </row>
    <row r="2245">
      <c r="A2245" s="30" t="n"/>
    </row>
    <row r="2246">
      <c r="A2246" s="30" t="n"/>
    </row>
    <row r="2247">
      <c r="A2247" s="30" t="n"/>
    </row>
    <row r="2248">
      <c r="A2248" s="30" t="n"/>
    </row>
    <row r="2249">
      <c r="A2249" s="30" t="n"/>
    </row>
    <row r="2250">
      <c r="A2250" s="30" t="n"/>
    </row>
    <row r="2251">
      <c r="A2251" s="30" t="n"/>
    </row>
    <row r="2252">
      <c r="A2252" s="30" t="n"/>
    </row>
    <row r="2253">
      <c r="A2253" s="30" t="n"/>
    </row>
    <row r="2254">
      <c r="A2254" s="30" t="n"/>
    </row>
    <row r="2255">
      <c r="A2255" s="30" t="n"/>
    </row>
    <row r="2256">
      <c r="A2256" s="30" t="n"/>
    </row>
    <row r="2257">
      <c r="A2257" s="30" t="n"/>
    </row>
    <row r="2258">
      <c r="A2258" s="30" t="n"/>
    </row>
    <row r="2259">
      <c r="A2259" s="30" t="n"/>
    </row>
    <row r="2260">
      <c r="A2260" s="30" t="n"/>
    </row>
    <row r="2261">
      <c r="A2261" s="30" t="n"/>
    </row>
    <row r="2262">
      <c r="A2262" s="30" t="n"/>
    </row>
    <row r="2263">
      <c r="A2263" s="30" t="n"/>
    </row>
    <row r="2264">
      <c r="A2264" s="30" t="n"/>
    </row>
    <row r="2265">
      <c r="A2265" s="30" t="n"/>
    </row>
    <row r="2266">
      <c r="A2266" s="30" t="n"/>
    </row>
    <row r="2267">
      <c r="A2267" s="30" t="n"/>
    </row>
    <row r="2268">
      <c r="A2268" s="30" t="n"/>
    </row>
    <row r="2269">
      <c r="A2269" s="30" t="n"/>
    </row>
    <row r="2270">
      <c r="A2270" s="30" t="n"/>
    </row>
    <row r="2271">
      <c r="A2271" s="30" t="n"/>
    </row>
    <row r="2272">
      <c r="A2272" s="30" t="n"/>
    </row>
    <row r="2273">
      <c r="A2273" s="30" t="n"/>
    </row>
    <row r="2274">
      <c r="A2274" s="30" t="n"/>
    </row>
    <row r="2275">
      <c r="A2275" s="30" t="n"/>
    </row>
    <row r="2276">
      <c r="A2276" s="30" t="n"/>
    </row>
    <row r="2277">
      <c r="A2277" s="30" t="n"/>
    </row>
    <row r="2278">
      <c r="A2278" s="30" t="n"/>
    </row>
    <row r="2279">
      <c r="A2279" s="30" t="n"/>
    </row>
    <row r="2280">
      <c r="A2280" s="30" t="n"/>
    </row>
    <row r="2281">
      <c r="A2281" s="30" t="n"/>
    </row>
    <row r="2282">
      <c r="A2282" s="30" t="n"/>
    </row>
    <row r="2283">
      <c r="A2283" s="30" t="n"/>
    </row>
    <row r="2284">
      <c r="A2284" s="30" t="n"/>
    </row>
    <row r="2285">
      <c r="A2285" s="30" t="n"/>
    </row>
    <row r="2286">
      <c r="A2286" s="30" t="n"/>
    </row>
    <row r="2287">
      <c r="A2287" s="30" t="n"/>
    </row>
    <row r="2288">
      <c r="A2288" s="30" t="n"/>
    </row>
    <row r="2289">
      <c r="A2289" s="30" t="n"/>
    </row>
    <row r="2290">
      <c r="A2290" s="30" t="n"/>
    </row>
    <row r="2291">
      <c r="A2291" s="30" t="n"/>
    </row>
    <row r="2292">
      <c r="A2292" s="30" t="n"/>
    </row>
    <row r="2293">
      <c r="A2293" s="30" t="n"/>
    </row>
    <row r="2294">
      <c r="A2294" s="30" t="n"/>
    </row>
    <row r="2295">
      <c r="A2295" s="30" t="n"/>
    </row>
    <row r="2296">
      <c r="A2296" s="30" t="n"/>
    </row>
    <row r="2297">
      <c r="A2297" s="30" t="n"/>
    </row>
    <row r="2298">
      <c r="A2298" s="30" t="n"/>
    </row>
    <row r="2299">
      <c r="A2299" s="30" t="n"/>
    </row>
    <row r="2300">
      <c r="A2300" s="30" t="n"/>
    </row>
    <row r="2301">
      <c r="A2301" s="30" t="n"/>
    </row>
    <row r="2302">
      <c r="A2302" s="30" t="n"/>
    </row>
    <row r="2303">
      <c r="A2303" s="30" t="n"/>
    </row>
    <row r="2304">
      <c r="A2304" s="30" t="n"/>
    </row>
    <row r="2305">
      <c r="A2305" s="30" t="n"/>
    </row>
    <row r="2306">
      <c r="A2306" s="30" t="n"/>
    </row>
    <row r="2307">
      <c r="A2307" s="30" t="n"/>
    </row>
    <row r="2308">
      <c r="A2308" s="30" t="n"/>
    </row>
    <row r="2309">
      <c r="A2309" s="30" t="n"/>
    </row>
    <row r="2310">
      <c r="A2310" s="30" t="n"/>
    </row>
    <row r="2311">
      <c r="A2311" s="30" t="n"/>
    </row>
    <row r="2312">
      <c r="A2312" s="30" t="n"/>
    </row>
    <row r="2313">
      <c r="A2313" s="30" t="n"/>
    </row>
    <row r="2314">
      <c r="A2314" s="30" t="n"/>
    </row>
    <row r="2315">
      <c r="A2315" s="30" t="n"/>
    </row>
    <row r="2316">
      <c r="A2316" s="30" t="n"/>
    </row>
    <row r="2317">
      <c r="A2317" s="30" t="n"/>
    </row>
    <row r="2318">
      <c r="A2318" s="30" t="n"/>
    </row>
    <row r="2319">
      <c r="A2319" s="30" t="n"/>
    </row>
    <row r="2320">
      <c r="A2320" s="30" t="n"/>
    </row>
    <row r="2321">
      <c r="A2321" s="30" t="n"/>
    </row>
    <row r="2322">
      <c r="A2322" s="30" t="n"/>
    </row>
    <row r="2323">
      <c r="A2323" s="30" t="n"/>
    </row>
    <row r="2324">
      <c r="A2324" s="30" t="n"/>
    </row>
    <row r="2325">
      <c r="A2325" s="30" t="n"/>
    </row>
    <row r="2326">
      <c r="A2326" s="30" t="n"/>
    </row>
    <row r="2327">
      <c r="A2327" s="30" t="n"/>
    </row>
    <row r="2328">
      <c r="A2328" s="30" t="n"/>
    </row>
    <row r="2329">
      <c r="A2329" s="30" t="n"/>
    </row>
    <row r="2330">
      <c r="A2330" s="30" t="n"/>
    </row>
    <row r="2331">
      <c r="A2331" s="30" t="n"/>
    </row>
    <row r="2332">
      <c r="A2332" s="30" t="n"/>
    </row>
    <row r="2333">
      <c r="A2333" s="30" t="n"/>
    </row>
    <row r="2334">
      <c r="A2334" s="30" t="n"/>
    </row>
    <row r="2335">
      <c r="A2335" s="30" t="n"/>
    </row>
    <row r="2336">
      <c r="A2336" s="30" t="n"/>
    </row>
    <row r="2337">
      <c r="A2337" s="30" t="n"/>
    </row>
    <row r="2338">
      <c r="A2338" s="30" t="n"/>
    </row>
    <row r="2339">
      <c r="A2339" s="30" t="n"/>
    </row>
    <row r="2340">
      <c r="A2340" s="30" t="n"/>
    </row>
    <row r="2341">
      <c r="A2341" s="30" t="n"/>
    </row>
    <row r="2342">
      <c r="A2342" s="30" t="n"/>
    </row>
    <row r="2343">
      <c r="A2343" s="30" t="n"/>
    </row>
    <row r="2344">
      <c r="A2344" s="30" t="n"/>
    </row>
    <row r="2345">
      <c r="A2345" s="30" t="n"/>
    </row>
    <row r="2346">
      <c r="A2346" s="30" t="n"/>
    </row>
    <row r="2347">
      <c r="A2347" s="30" t="n"/>
    </row>
    <row r="2348">
      <c r="A2348" s="30" t="n"/>
    </row>
    <row r="2349">
      <c r="A2349" s="30" t="n"/>
    </row>
    <row r="2350">
      <c r="A2350" s="30" t="n"/>
    </row>
    <row r="2351">
      <c r="A2351" s="30" t="n"/>
    </row>
    <row r="2352">
      <c r="A2352" s="30" t="n"/>
    </row>
    <row r="2353">
      <c r="A2353" s="30" t="n"/>
    </row>
    <row r="2354">
      <c r="A2354" s="30" t="n"/>
    </row>
    <row r="2355">
      <c r="A2355" s="30" t="n"/>
    </row>
    <row r="2356">
      <c r="A2356" s="30" t="n"/>
    </row>
    <row r="2357">
      <c r="A2357" s="30" t="n"/>
    </row>
    <row r="2358">
      <c r="A2358" s="30" t="n"/>
    </row>
    <row r="2359">
      <c r="A2359" s="30" t="n"/>
    </row>
    <row r="2360">
      <c r="A2360" s="30" t="n"/>
    </row>
    <row r="2361">
      <c r="A2361" s="30" t="n"/>
    </row>
    <row r="2362">
      <c r="A2362" s="30" t="n"/>
    </row>
    <row r="2363">
      <c r="A2363" s="30" t="n"/>
    </row>
    <row r="2364">
      <c r="A2364" s="30" t="n"/>
    </row>
    <row r="2365">
      <c r="A2365" s="30" t="n"/>
    </row>
    <row r="2366">
      <c r="A2366" s="30" t="n"/>
    </row>
    <row r="2367">
      <c r="A2367" s="30" t="n"/>
    </row>
    <row r="2368">
      <c r="A2368" s="30" t="n"/>
    </row>
    <row r="2369">
      <c r="A2369" s="30" t="n"/>
    </row>
    <row r="2370">
      <c r="A2370" s="30" t="n"/>
    </row>
    <row r="2371">
      <c r="A2371" s="30" t="n"/>
    </row>
    <row r="2372">
      <c r="A2372" s="30" t="n"/>
    </row>
    <row r="2373">
      <c r="A2373" s="30" t="n"/>
    </row>
    <row r="2374">
      <c r="A2374" s="30" t="n"/>
    </row>
    <row r="2375">
      <c r="A2375" s="30" t="n"/>
    </row>
    <row r="2376">
      <c r="A2376" s="30" t="n"/>
    </row>
    <row r="2377">
      <c r="A2377" s="30" t="n"/>
    </row>
    <row r="2378">
      <c r="A2378" s="30" t="n"/>
    </row>
    <row r="2379">
      <c r="A2379" s="30" t="n"/>
    </row>
    <row r="2380">
      <c r="A2380" s="30" t="n"/>
    </row>
    <row r="2381">
      <c r="A2381" s="30" t="n"/>
    </row>
    <row r="2382">
      <c r="A2382" s="30" t="n"/>
    </row>
    <row r="2383">
      <c r="A2383" s="30" t="n"/>
    </row>
    <row r="2384">
      <c r="A2384" s="30" t="n"/>
    </row>
    <row r="2385">
      <c r="A2385" s="30" t="n"/>
    </row>
    <row r="2386">
      <c r="A2386" s="30" t="n"/>
    </row>
    <row r="2387">
      <c r="A2387" s="30" t="n"/>
    </row>
    <row r="2388">
      <c r="A2388" s="30" t="n"/>
    </row>
    <row r="2389">
      <c r="A2389" s="30" t="n"/>
    </row>
    <row r="2390">
      <c r="A2390" s="30" t="n"/>
    </row>
    <row r="2391">
      <c r="A2391" s="30" t="n"/>
    </row>
    <row r="2392">
      <c r="A2392" s="30" t="n"/>
    </row>
    <row r="2393">
      <c r="A2393" s="30" t="n"/>
    </row>
    <row r="2394">
      <c r="A2394" s="30" t="n"/>
    </row>
    <row r="2395">
      <c r="A2395" s="30" t="n"/>
    </row>
    <row r="2396">
      <c r="A2396" s="30" t="n"/>
    </row>
    <row r="2397">
      <c r="A2397" s="30" t="n"/>
    </row>
    <row r="2398">
      <c r="A2398" s="30" t="n"/>
    </row>
    <row r="2399">
      <c r="A2399" s="30" t="n"/>
    </row>
    <row r="2400">
      <c r="A2400" s="30" t="n"/>
    </row>
    <row r="2401">
      <c r="A2401" s="30" t="n"/>
    </row>
    <row r="2402">
      <c r="A2402" s="30" t="n"/>
    </row>
    <row r="2403">
      <c r="A2403" s="30" t="n"/>
    </row>
    <row r="2404">
      <c r="A2404" s="30" t="n"/>
    </row>
    <row r="2405">
      <c r="A2405" s="30" t="n"/>
    </row>
    <row r="2406">
      <c r="A2406" s="30" t="n"/>
    </row>
    <row r="2407">
      <c r="A2407" s="30" t="n"/>
    </row>
    <row r="2408">
      <c r="A2408" s="30" t="n"/>
    </row>
    <row r="2409">
      <c r="A2409" s="30" t="n"/>
    </row>
    <row r="2410">
      <c r="A2410" s="30" t="n"/>
    </row>
    <row r="2411">
      <c r="A2411" s="30" t="n"/>
    </row>
    <row r="2412">
      <c r="A2412" s="30" t="n"/>
    </row>
    <row r="2413">
      <c r="A2413" s="30" t="n"/>
    </row>
    <row r="2414">
      <c r="A2414" s="30" t="n"/>
    </row>
    <row r="2415">
      <c r="A2415" s="30" t="n"/>
    </row>
    <row r="2416">
      <c r="A2416" s="30" t="n"/>
    </row>
    <row r="2417">
      <c r="A2417" s="30" t="n"/>
    </row>
    <row r="2418">
      <c r="A2418" s="30" t="n"/>
    </row>
    <row r="2419">
      <c r="A2419" s="30" t="n"/>
    </row>
    <row r="2420">
      <c r="A2420" s="30" t="n"/>
    </row>
    <row r="2421">
      <c r="A2421" s="30" t="n"/>
    </row>
    <row r="2422">
      <c r="A2422" s="30" t="n"/>
    </row>
    <row r="2423">
      <c r="A2423" s="30" t="n"/>
    </row>
    <row r="2424">
      <c r="A2424" s="30" t="n"/>
    </row>
    <row r="2425">
      <c r="A2425" s="30" t="n"/>
    </row>
    <row r="2426">
      <c r="A2426" s="30" t="n"/>
    </row>
    <row r="2427">
      <c r="A2427" s="30" t="n"/>
    </row>
    <row r="2428">
      <c r="A2428" s="30" t="n"/>
    </row>
    <row r="2429">
      <c r="A2429" s="30" t="n"/>
    </row>
    <row r="2430">
      <c r="A2430" s="30" t="n"/>
    </row>
    <row r="2431">
      <c r="A2431" s="30" t="n"/>
    </row>
    <row r="2432">
      <c r="A2432" s="30" t="n"/>
    </row>
    <row r="2433">
      <c r="A2433" s="30" t="n"/>
    </row>
    <row r="2434">
      <c r="A2434" s="30" t="n"/>
    </row>
    <row r="2435">
      <c r="A2435" s="30" t="n"/>
    </row>
    <row r="2436">
      <c r="A2436" s="30" t="n"/>
    </row>
    <row r="2437">
      <c r="A2437" s="30" t="n"/>
    </row>
    <row r="2438">
      <c r="A2438" s="30" t="n"/>
    </row>
    <row r="2439">
      <c r="A2439" s="30" t="n"/>
    </row>
    <row r="2440">
      <c r="A2440" s="30" t="n"/>
    </row>
    <row r="2441">
      <c r="A2441" s="30" t="n"/>
    </row>
    <row r="2442">
      <c r="A2442" s="30" t="n"/>
    </row>
    <row r="2443">
      <c r="A2443" s="30" t="n"/>
    </row>
    <row r="2444">
      <c r="A2444" s="30" t="n"/>
    </row>
    <row r="2445">
      <c r="A2445" s="30" t="n"/>
    </row>
    <row r="2446">
      <c r="A2446" s="30" t="n"/>
    </row>
    <row r="2447">
      <c r="A2447" s="30" t="n"/>
    </row>
    <row r="2448">
      <c r="A2448" s="30" t="n"/>
    </row>
    <row r="2449">
      <c r="A2449" s="30" t="n"/>
    </row>
    <row r="2450">
      <c r="A2450" s="30" t="n"/>
    </row>
    <row r="2451">
      <c r="A2451" s="30" t="n"/>
    </row>
    <row r="2452">
      <c r="A2452" s="30" t="n"/>
    </row>
    <row r="2453">
      <c r="A2453" s="30" t="n"/>
    </row>
    <row r="2454">
      <c r="A2454" s="30" t="n"/>
    </row>
    <row r="2455">
      <c r="A2455" s="30" t="n"/>
    </row>
    <row r="2456">
      <c r="A2456" s="30" t="n"/>
    </row>
    <row r="2457">
      <c r="A2457" s="30" t="n"/>
    </row>
    <row r="2458">
      <c r="A2458" s="30" t="n"/>
    </row>
    <row r="2459">
      <c r="A2459" s="30" t="n"/>
    </row>
    <row r="2460">
      <c r="A2460" s="30" t="n"/>
    </row>
    <row r="2461">
      <c r="A2461" s="30" t="n"/>
    </row>
    <row r="2462">
      <c r="A2462" s="30" t="n"/>
    </row>
    <row r="2463">
      <c r="A2463" s="30" t="n"/>
    </row>
    <row r="2464">
      <c r="A2464" s="30" t="n"/>
    </row>
    <row r="2465">
      <c r="A2465" s="30" t="n"/>
    </row>
    <row r="2466">
      <c r="A2466" s="30" t="n"/>
    </row>
    <row r="2467">
      <c r="A2467" s="30" t="n"/>
    </row>
    <row r="2468">
      <c r="A2468" s="30" t="n"/>
    </row>
    <row r="2469">
      <c r="A2469" s="30" t="n"/>
    </row>
    <row r="2470">
      <c r="A2470" s="30" t="n"/>
    </row>
    <row r="2471">
      <c r="A2471" s="30" t="n"/>
    </row>
    <row r="2472">
      <c r="A2472" s="30" t="n"/>
    </row>
    <row r="2473">
      <c r="A2473" s="30" t="n"/>
    </row>
    <row r="2474">
      <c r="A2474" s="30" t="n"/>
    </row>
    <row r="2475">
      <c r="A2475" s="30" t="n"/>
    </row>
    <row r="2476">
      <c r="A2476" s="30" t="n"/>
    </row>
    <row r="2477">
      <c r="A2477" s="30" t="n"/>
    </row>
    <row r="2478">
      <c r="A2478" s="30" t="n"/>
    </row>
    <row r="2479">
      <c r="A2479" s="30" t="n"/>
    </row>
    <row r="2480">
      <c r="A2480" s="30" t="n"/>
    </row>
    <row r="2481">
      <c r="A2481" s="30" t="n"/>
    </row>
    <row r="2482">
      <c r="A2482" s="30" t="n"/>
    </row>
    <row r="2483">
      <c r="A2483" s="30" t="n"/>
    </row>
    <row r="2484">
      <c r="A2484" s="30" t="n"/>
    </row>
    <row r="2485">
      <c r="A2485" s="30" t="n"/>
    </row>
    <row r="2486">
      <c r="A2486" s="30" t="n"/>
    </row>
    <row r="2487">
      <c r="A2487" s="30" t="n"/>
    </row>
    <row r="2488">
      <c r="A2488" s="30" t="n"/>
    </row>
    <row r="2489">
      <c r="A2489" s="30" t="n"/>
    </row>
    <row r="2490">
      <c r="A2490" s="30" t="n"/>
    </row>
    <row r="2491">
      <c r="A2491" s="30" t="n"/>
    </row>
    <row r="2492">
      <c r="A2492" s="30" t="n"/>
    </row>
    <row r="2493">
      <c r="A2493" s="30" t="n"/>
    </row>
    <row r="2494">
      <c r="A2494" s="30" t="n"/>
    </row>
    <row r="2495">
      <c r="A2495" s="30" t="n"/>
    </row>
    <row r="2496">
      <c r="A2496" s="30" t="n"/>
    </row>
    <row r="2497">
      <c r="A2497" s="30" t="n"/>
    </row>
    <row r="2498">
      <c r="A2498" s="30" t="n"/>
    </row>
    <row r="2499">
      <c r="A2499" s="30" t="n"/>
    </row>
    <row r="2500">
      <c r="A2500" s="30" t="n"/>
    </row>
    <row r="2501">
      <c r="A2501" s="30" t="n"/>
    </row>
    <row r="2502">
      <c r="A2502" s="30" t="n"/>
    </row>
    <row r="2503">
      <c r="A2503" s="30" t="n"/>
    </row>
    <row r="2504">
      <c r="A2504" s="30" t="n"/>
    </row>
    <row r="2505">
      <c r="A2505" s="30" t="n"/>
    </row>
    <row r="2506">
      <c r="A2506" s="30" t="n"/>
    </row>
    <row r="2507">
      <c r="A2507" s="30" t="n"/>
    </row>
    <row r="2508">
      <c r="A2508" s="30" t="n"/>
    </row>
    <row r="2509">
      <c r="A2509" s="30" t="n"/>
    </row>
    <row r="2510">
      <c r="A2510" s="30" t="n"/>
    </row>
    <row r="2511">
      <c r="A2511" s="30" t="n"/>
    </row>
    <row r="2512">
      <c r="A2512" s="30" t="n"/>
    </row>
    <row r="2513">
      <c r="A2513" s="30" t="n"/>
    </row>
    <row r="2514">
      <c r="A2514" s="30" t="n"/>
    </row>
    <row r="2515">
      <c r="A2515" s="30" t="n"/>
    </row>
    <row r="2516">
      <c r="A2516" s="30" t="n"/>
    </row>
    <row r="2517">
      <c r="A2517" s="30" t="n"/>
    </row>
    <row r="2518">
      <c r="A2518" s="30" t="n"/>
    </row>
    <row r="2519">
      <c r="A2519" s="30" t="n"/>
    </row>
    <row r="2520">
      <c r="A2520" s="30" t="n"/>
    </row>
    <row r="2521">
      <c r="A2521" s="30" t="n"/>
    </row>
    <row r="2522">
      <c r="A2522" s="30" t="n"/>
    </row>
    <row r="2523">
      <c r="A2523" s="30" t="n"/>
    </row>
    <row r="2524">
      <c r="A2524" s="30" t="n"/>
    </row>
    <row r="2525">
      <c r="A2525" s="30" t="n"/>
    </row>
    <row r="2526">
      <c r="A2526" s="30" t="n"/>
    </row>
    <row r="2527">
      <c r="A2527" s="30" t="n"/>
    </row>
    <row r="2528">
      <c r="A2528" s="30" t="n"/>
    </row>
    <row r="2529">
      <c r="A2529" s="30" t="n"/>
    </row>
    <row r="2530">
      <c r="A2530" s="30" t="n"/>
    </row>
    <row r="2531">
      <c r="A2531" s="30" t="n"/>
    </row>
    <row r="2532">
      <c r="A2532" s="30" t="n"/>
    </row>
    <row r="2533">
      <c r="A2533" s="30" t="n"/>
    </row>
    <row r="2534">
      <c r="A2534" s="30" t="n"/>
    </row>
    <row r="2535">
      <c r="A2535" s="30" t="n"/>
    </row>
    <row r="2536">
      <c r="A2536" s="30" t="n"/>
    </row>
    <row r="2537">
      <c r="A2537" s="30" t="n"/>
    </row>
    <row r="2538">
      <c r="A2538" s="30" t="n"/>
    </row>
    <row r="2539">
      <c r="A2539" s="30" t="n"/>
    </row>
    <row r="2540">
      <c r="A2540" s="30" t="n"/>
    </row>
    <row r="2541">
      <c r="A2541" s="30" t="n"/>
    </row>
    <row r="2542">
      <c r="A2542" s="30" t="n"/>
    </row>
    <row r="2543">
      <c r="A2543" s="30" t="n"/>
    </row>
    <row r="2544">
      <c r="A2544" s="30" t="n"/>
    </row>
    <row r="2545">
      <c r="A2545" s="30" t="n"/>
    </row>
    <row r="2546">
      <c r="A2546" s="30" t="n"/>
    </row>
    <row r="2547">
      <c r="A2547" s="30" t="n"/>
    </row>
    <row r="2548">
      <c r="A2548" s="30" t="n"/>
    </row>
    <row r="2549">
      <c r="A2549" s="30" t="n"/>
    </row>
    <row r="2550">
      <c r="A2550" s="30" t="n"/>
    </row>
    <row r="2551">
      <c r="A2551" s="30" t="n"/>
    </row>
    <row r="2552">
      <c r="A2552" s="30" t="n"/>
    </row>
    <row r="2553">
      <c r="A2553" s="30" t="n"/>
    </row>
    <row r="2554">
      <c r="A2554" s="30" t="n"/>
    </row>
    <row r="2555">
      <c r="A2555" s="30" t="n"/>
    </row>
    <row r="2556">
      <c r="A2556" s="30" t="n"/>
    </row>
    <row r="2557">
      <c r="A2557" s="30" t="n"/>
    </row>
    <row r="2558">
      <c r="A2558" s="30" t="n"/>
    </row>
    <row r="2559">
      <c r="A2559" s="30" t="n"/>
    </row>
    <row r="2560">
      <c r="A2560" s="30" t="n"/>
    </row>
    <row r="2561">
      <c r="A2561" s="30" t="n"/>
    </row>
    <row r="2562">
      <c r="A2562" s="30" t="n"/>
    </row>
    <row r="2563">
      <c r="A2563" s="30" t="n"/>
    </row>
    <row r="2564">
      <c r="A2564" s="30" t="n"/>
    </row>
    <row r="2565">
      <c r="A2565" s="30" t="n"/>
    </row>
    <row r="2566">
      <c r="A2566" s="30" t="n"/>
    </row>
    <row r="2567">
      <c r="A2567" s="30" t="n"/>
    </row>
    <row r="2568">
      <c r="A2568" s="30" t="n"/>
    </row>
    <row r="2569">
      <c r="A2569" s="30" t="n"/>
    </row>
    <row r="2570">
      <c r="A2570" s="30" t="n"/>
    </row>
    <row r="2571">
      <c r="A2571" s="30" t="n"/>
    </row>
    <row r="2572">
      <c r="A2572" s="30" t="n"/>
    </row>
    <row r="2573">
      <c r="A2573" s="30" t="n"/>
    </row>
    <row r="2574">
      <c r="A2574" s="30" t="n"/>
    </row>
    <row r="2575">
      <c r="A2575" s="30" t="n"/>
    </row>
    <row r="2576">
      <c r="A2576" s="30" t="n"/>
    </row>
    <row r="2577">
      <c r="A2577" s="30" t="n"/>
    </row>
    <row r="2578">
      <c r="A2578" s="30" t="n"/>
    </row>
    <row r="2579">
      <c r="A2579" s="30" t="n"/>
    </row>
    <row r="2580">
      <c r="A2580" s="30" t="n"/>
    </row>
    <row r="2581">
      <c r="A2581" s="30" t="n"/>
    </row>
    <row r="2582">
      <c r="A2582" s="30" t="n"/>
    </row>
    <row r="2583">
      <c r="A2583" s="30" t="n"/>
    </row>
    <row r="2584">
      <c r="A2584" s="30" t="n"/>
    </row>
    <row r="2585">
      <c r="A2585" s="30" t="n"/>
    </row>
    <row r="2586">
      <c r="A2586" s="30" t="n"/>
    </row>
    <row r="2587">
      <c r="A2587" s="30" t="n"/>
    </row>
    <row r="2588">
      <c r="A2588" s="30" t="n"/>
    </row>
    <row r="2589">
      <c r="A2589" s="30" t="n"/>
    </row>
    <row r="2590">
      <c r="A2590" s="30" t="n"/>
    </row>
    <row r="2591">
      <c r="A2591" s="30" t="n"/>
    </row>
    <row r="2592">
      <c r="A2592" s="30" t="n"/>
    </row>
    <row r="2593">
      <c r="A2593" s="30" t="n"/>
    </row>
    <row r="2594">
      <c r="A2594" s="30" t="n"/>
    </row>
    <row r="2595">
      <c r="A2595" s="30" t="n"/>
    </row>
    <row r="2596">
      <c r="A2596" s="30" t="n"/>
    </row>
    <row r="2597">
      <c r="A2597" s="30" t="n"/>
    </row>
    <row r="2598">
      <c r="A2598" s="30" t="n"/>
    </row>
    <row r="2599">
      <c r="A2599" s="30" t="n"/>
    </row>
    <row r="2600">
      <c r="A2600" s="30" t="n"/>
    </row>
    <row r="2601">
      <c r="A2601" s="30" t="n"/>
    </row>
    <row r="2602">
      <c r="A2602" s="30" t="n"/>
    </row>
    <row r="2603">
      <c r="A2603" s="30" t="n"/>
    </row>
    <row r="2604">
      <c r="A2604" s="30" t="n"/>
    </row>
    <row r="2605">
      <c r="A2605" s="30" t="n"/>
    </row>
    <row r="2606">
      <c r="A2606" s="30" t="n"/>
    </row>
    <row r="2607">
      <c r="A2607" s="30" t="n"/>
    </row>
    <row r="2608">
      <c r="A2608" s="30" t="n"/>
    </row>
    <row r="2609">
      <c r="A2609" s="30" t="n"/>
    </row>
    <row r="2610">
      <c r="A2610" s="30" t="n"/>
    </row>
    <row r="2611">
      <c r="A2611" s="30" t="n"/>
    </row>
    <row r="2612">
      <c r="A2612" s="30" t="n"/>
    </row>
    <row r="2613">
      <c r="A2613" s="30" t="n"/>
    </row>
    <row r="2614">
      <c r="A2614" s="30" t="n"/>
    </row>
    <row r="2615">
      <c r="A2615" s="30" t="n"/>
    </row>
    <row r="2616">
      <c r="A2616" s="30" t="n"/>
    </row>
    <row r="2617">
      <c r="A2617" s="30" t="n"/>
    </row>
    <row r="2618">
      <c r="A2618" s="30" t="n"/>
    </row>
    <row r="2619">
      <c r="A2619" s="30" t="n"/>
    </row>
    <row r="2620">
      <c r="A2620" s="30" t="n"/>
    </row>
    <row r="2621">
      <c r="A2621" s="30" t="n"/>
    </row>
    <row r="2622">
      <c r="A2622" s="30" t="n"/>
    </row>
    <row r="2623">
      <c r="A2623" s="30" t="n"/>
    </row>
    <row r="2624">
      <c r="A2624" s="30" t="n"/>
    </row>
    <row r="2625">
      <c r="A2625" s="30" t="n"/>
    </row>
    <row r="2626">
      <c r="A2626" s="30" t="n"/>
    </row>
    <row r="2627">
      <c r="A2627" s="30" t="n"/>
    </row>
    <row r="2628">
      <c r="A2628" s="30" t="n"/>
    </row>
    <row r="2629">
      <c r="A2629" s="30" t="n"/>
    </row>
    <row r="2630">
      <c r="A2630" s="30" t="n"/>
    </row>
    <row r="2631">
      <c r="A2631" s="30" t="n"/>
    </row>
    <row r="2632">
      <c r="A2632" s="30" t="n"/>
    </row>
    <row r="2633">
      <c r="A2633" s="30" t="n"/>
    </row>
    <row r="2634">
      <c r="A2634" s="30" t="n"/>
    </row>
    <row r="2635">
      <c r="A2635" s="30" t="n"/>
    </row>
    <row r="2636">
      <c r="A2636" s="30" t="n"/>
    </row>
    <row r="2637">
      <c r="A2637" s="30" t="n"/>
    </row>
    <row r="2638">
      <c r="A2638" s="30" t="n"/>
    </row>
    <row r="2639">
      <c r="A2639" s="30" t="n"/>
    </row>
    <row r="2640">
      <c r="A2640" s="30" t="n"/>
    </row>
    <row r="2641">
      <c r="A2641" s="30" t="n"/>
    </row>
    <row r="2642">
      <c r="A2642" s="30" t="n"/>
    </row>
    <row r="2643">
      <c r="A2643" s="30" t="n"/>
    </row>
    <row r="2644">
      <c r="A2644" s="30" t="n"/>
    </row>
    <row r="2645">
      <c r="A2645" s="30" t="n"/>
    </row>
    <row r="2646">
      <c r="A2646" s="30" t="n"/>
    </row>
    <row r="2647">
      <c r="A2647" s="30" t="n"/>
    </row>
    <row r="2648">
      <c r="A2648" s="30" t="n"/>
    </row>
    <row r="2649">
      <c r="A2649" s="30" t="n"/>
    </row>
    <row r="2650">
      <c r="A2650" s="30" t="n"/>
    </row>
    <row r="2651">
      <c r="A2651" s="30" t="n"/>
    </row>
    <row r="2652">
      <c r="A2652" s="30" t="n"/>
    </row>
    <row r="2653">
      <c r="A2653" s="30" t="n"/>
    </row>
    <row r="2654">
      <c r="A2654" s="30" t="n"/>
    </row>
    <row r="2655">
      <c r="A2655" s="30" t="n"/>
    </row>
    <row r="2656">
      <c r="A2656" s="30" t="n"/>
    </row>
    <row r="2657">
      <c r="A2657" s="30" t="n"/>
    </row>
    <row r="2658">
      <c r="A2658" s="30" t="n"/>
    </row>
    <row r="2659">
      <c r="A2659" s="30" t="n"/>
    </row>
    <row r="2660">
      <c r="A2660" s="30" t="n"/>
    </row>
    <row r="2661">
      <c r="A2661" s="30" t="n"/>
    </row>
    <row r="2662">
      <c r="A2662" s="30" t="n"/>
    </row>
    <row r="2663">
      <c r="A2663" s="30" t="n"/>
    </row>
    <row r="2664">
      <c r="A2664" s="30" t="n"/>
    </row>
    <row r="2665">
      <c r="A2665" s="30" t="n"/>
    </row>
    <row r="2666">
      <c r="A2666" s="30" t="n"/>
    </row>
    <row r="2667">
      <c r="A2667" s="30" t="n"/>
    </row>
    <row r="2668">
      <c r="A2668" s="30" t="n"/>
    </row>
    <row r="2669">
      <c r="A2669" s="30" t="n"/>
    </row>
    <row r="2670">
      <c r="A2670" s="30" t="n"/>
    </row>
    <row r="2671">
      <c r="A2671" s="30" t="n"/>
    </row>
    <row r="2672">
      <c r="A2672" s="30" t="n"/>
    </row>
    <row r="2673">
      <c r="A2673" s="30" t="n"/>
    </row>
    <row r="2674">
      <c r="A2674" s="30" t="n"/>
    </row>
    <row r="2675">
      <c r="A2675" s="30" t="n"/>
    </row>
    <row r="2676">
      <c r="A2676" s="30" t="n"/>
    </row>
    <row r="2677">
      <c r="A2677" s="30" t="n"/>
    </row>
    <row r="2678">
      <c r="A2678" s="30" t="n"/>
    </row>
    <row r="2679">
      <c r="A2679" s="30" t="n"/>
    </row>
    <row r="2680">
      <c r="A2680" s="30" t="n"/>
    </row>
    <row r="2681">
      <c r="A2681" s="30" t="n"/>
    </row>
    <row r="2682">
      <c r="A2682" s="30" t="n"/>
    </row>
    <row r="2683">
      <c r="A2683" s="30" t="n"/>
    </row>
    <row r="2684">
      <c r="A2684" s="30" t="n"/>
    </row>
    <row r="2685">
      <c r="A2685" s="30" t="n"/>
    </row>
    <row r="2686">
      <c r="A2686" s="30" t="n"/>
    </row>
    <row r="2687">
      <c r="A2687" s="30" t="n"/>
    </row>
    <row r="2688">
      <c r="A2688" s="30" t="n"/>
    </row>
    <row r="2689">
      <c r="A2689" s="30" t="n"/>
    </row>
    <row r="2690">
      <c r="A2690" s="30" t="n"/>
    </row>
    <row r="2691">
      <c r="A2691" s="30" t="n"/>
    </row>
    <row r="2692">
      <c r="A2692" s="30" t="n"/>
    </row>
    <row r="2693">
      <c r="A2693" s="30" t="n"/>
    </row>
    <row r="2694">
      <c r="A2694" s="30" t="n"/>
    </row>
    <row r="2695">
      <c r="A2695" s="30" t="n"/>
    </row>
    <row r="2696">
      <c r="A2696" s="30" t="n"/>
    </row>
    <row r="2697">
      <c r="A2697" s="30" t="n"/>
    </row>
    <row r="2698">
      <c r="A2698" s="30" t="n"/>
    </row>
    <row r="2699">
      <c r="A2699" s="30" t="n"/>
    </row>
    <row r="2700">
      <c r="A2700" s="30" t="n"/>
    </row>
    <row r="2701">
      <c r="A2701" s="30" t="n"/>
    </row>
    <row r="2702">
      <c r="A2702" s="30" t="n"/>
    </row>
    <row r="2703">
      <c r="A2703" s="30" t="n"/>
    </row>
    <row r="2704">
      <c r="A2704" s="30" t="n"/>
    </row>
    <row r="2705">
      <c r="A2705" s="30" t="n"/>
    </row>
    <row r="2706">
      <c r="A2706" s="30" t="n"/>
    </row>
    <row r="2707">
      <c r="A2707" s="30" t="n"/>
    </row>
    <row r="2708">
      <c r="A2708" s="30" t="n"/>
    </row>
    <row r="2709">
      <c r="A2709" s="30" t="n"/>
    </row>
    <row r="2710">
      <c r="A2710" s="30" t="n"/>
    </row>
    <row r="2711">
      <c r="A2711" s="30" t="n"/>
    </row>
    <row r="2712">
      <c r="A2712" s="30" t="n"/>
    </row>
    <row r="2713">
      <c r="A2713" s="30" t="n"/>
    </row>
    <row r="2714">
      <c r="A2714" s="30" t="n"/>
    </row>
    <row r="2715">
      <c r="A2715" s="30" t="n"/>
    </row>
    <row r="2716">
      <c r="A2716" s="30" t="n"/>
    </row>
    <row r="2717">
      <c r="A2717" s="30" t="n"/>
    </row>
    <row r="2718">
      <c r="A2718" s="30" t="n"/>
    </row>
    <row r="2719">
      <c r="A2719" s="30" t="n"/>
    </row>
    <row r="2720">
      <c r="A2720" s="30" t="n"/>
    </row>
    <row r="2721">
      <c r="A2721" s="30" t="n"/>
    </row>
    <row r="2722">
      <c r="A2722" s="30" t="n"/>
    </row>
    <row r="2723">
      <c r="A2723" s="30" t="n"/>
    </row>
    <row r="2724">
      <c r="A2724" s="30" t="n"/>
    </row>
    <row r="2725">
      <c r="A2725" s="30" t="n"/>
    </row>
    <row r="2726">
      <c r="A2726" s="30" t="n"/>
    </row>
    <row r="2727">
      <c r="A2727" s="30" t="n"/>
    </row>
    <row r="2728">
      <c r="A2728" s="30" t="n"/>
    </row>
    <row r="2729">
      <c r="A2729" s="30" t="n"/>
    </row>
    <row r="2730">
      <c r="A2730" s="30" t="n"/>
    </row>
    <row r="2731">
      <c r="A2731" s="30" t="n"/>
    </row>
    <row r="2732">
      <c r="A2732" s="30" t="n"/>
    </row>
    <row r="2733">
      <c r="A2733" s="30" t="n"/>
    </row>
    <row r="2734">
      <c r="A2734" s="30" t="n"/>
    </row>
    <row r="2735">
      <c r="A2735" s="30" t="n"/>
    </row>
    <row r="2736">
      <c r="A2736" s="30" t="n"/>
    </row>
    <row r="2737">
      <c r="A2737" s="30" t="n"/>
    </row>
    <row r="2738">
      <c r="A2738" s="30" t="n"/>
    </row>
    <row r="2739">
      <c r="A2739" s="30" t="n"/>
    </row>
    <row r="2740">
      <c r="A2740" s="30" t="n"/>
    </row>
    <row r="2741">
      <c r="A2741" s="30" t="n"/>
    </row>
    <row r="2742">
      <c r="A2742" s="30" t="n"/>
    </row>
    <row r="2743">
      <c r="A2743" s="30" t="n"/>
    </row>
    <row r="2744">
      <c r="A2744" s="30" t="n"/>
    </row>
    <row r="2745">
      <c r="A2745" s="30" t="n"/>
    </row>
    <row r="2746">
      <c r="A2746" s="30" t="n"/>
    </row>
    <row r="2747">
      <c r="A2747" s="30" t="n"/>
    </row>
    <row r="2748">
      <c r="A2748" s="30" t="n"/>
    </row>
    <row r="2749">
      <c r="A2749" s="30" t="n"/>
    </row>
    <row r="2750">
      <c r="A2750" s="30" t="n"/>
    </row>
    <row r="2751">
      <c r="A2751" s="30" t="n"/>
    </row>
    <row r="2752">
      <c r="A2752" s="30" t="n"/>
    </row>
    <row r="2753">
      <c r="A2753" s="30" t="n"/>
    </row>
    <row r="2754">
      <c r="A2754" s="30" t="n"/>
    </row>
    <row r="2755">
      <c r="A2755" s="30" t="n"/>
    </row>
    <row r="2756">
      <c r="A2756" s="30" t="n"/>
    </row>
    <row r="2757">
      <c r="A2757" s="30" t="n"/>
    </row>
    <row r="2758">
      <c r="A2758" s="30" t="n"/>
    </row>
    <row r="2759">
      <c r="A2759" s="30" t="n"/>
    </row>
    <row r="2760">
      <c r="A2760" s="30" t="n"/>
    </row>
    <row r="2761">
      <c r="A2761" s="30" t="n"/>
    </row>
    <row r="2762">
      <c r="A2762" s="30" t="n"/>
    </row>
    <row r="2763">
      <c r="A2763" s="30" t="n"/>
    </row>
    <row r="2764">
      <c r="A2764" s="30" t="n"/>
    </row>
    <row r="2765">
      <c r="A2765" s="30" t="n"/>
    </row>
    <row r="2766">
      <c r="A2766" s="30" t="n"/>
    </row>
    <row r="2767">
      <c r="A2767" s="30" t="n"/>
    </row>
    <row r="2768">
      <c r="A2768" s="30" t="n"/>
    </row>
    <row r="2769">
      <c r="A2769" s="30" t="n"/>
    </row>
    <row r="2770">
      <c r="A2770" s="30" t="n"/>
    </row>
    <row r="2771">
      <c r="A2771" s="30" t="n"/>
    </row>
    <row r="2772">
      <c r="A2772" s="30" t="n"/>
    </row>
    <row r="2773">
      <c r="A2773" s="30" t="n"/>
    </row>
    <row r="2774">
      <c r="A2774" s="30" t="n"/>
    </row>
    <row r="2775">
      <c r="A2775" s="30" t="n"/>
    </row>
    <row r="2776">
      <c r="A2776" s="30" t="n"/>
    </row>
    <row r="2777">
      <c r="A2777" s="30" t="n"/>
    </row>
    <row r="2778">
      <c r="A2778" s="30" t="n"/>
    </row>
    <row r="2779">
      <c r="A2779" s="30" t="n"/>
    </row>
    <row r="2780">
      <c r="A2780" s="30" t="n"/>
    </row>
    <row r="2781">
      <c r="A2781" s="30" t="n"/>
    </row>
    <row r="2782">
      <c r="A2782" s="30" t="n"/>
    </row>
    <row r="2783">
      <c r="A2783" s="30" t="n"/>
    </row>
    <row r="2784">
      <c r="A2784" s="30" t="n"/>
    </row>
    <row r="2785">
      <c r="A2785" s="30" t="n"/>
    </row>
    <row r="2786">
      <c r="A2786" s="30" t="n"/>
    </row>
    <row r="2787">
      <c r="A2787" s="30" t="n"/>
    </row>
    <row r="2788">
      <c r="A2788" s="30" t="n"/>
    </row>
    <row r="2789">
      <c r="A2789" s="30" t="n"/>
    </row>
    <row r="2790">
      <c r="A2790" s="30" t="n"/>
    </row>
    <row r="2791">
      <c r="A2791" s="30" t="n"/>
    </row>
    <row r="2792">
      <c r="A2792" s="30" t="n"/>
    </row>
    <row r="2793">
      <c r="A2793" s="30" t="n"/>
    </row>
    <row r="2794">
      <c r="A2794" s="30" t="n"/>
    </row>
    <row r="2795">
      <c r="A2795" s="30" t="n"/>
    </row>
    <row r="2796">
      <c r="A2796" s="30" t="n"/>
    </row>
    <row r="2797">
      <c r="A2797" s="30" t="n"/>
    </row>
    <row r="2798">
      <c r="A2798" s="30" t="n"/>
    </row>
    <row r="2799">
      <c r="A2799" s="30" t="n"/>
    </row>
    <row r="2800">
      <c r="A2800" s="30" t="n"/>
    </row>
    <row r="2801">
      <c r="A2801" s="30" t="n"/>
    </row>
    <row r="2802">
      <c r="A2802" s="30" t="n"/>
    </row>
    <row r="2803">
      <c r="A2803" s="30" t="n"/>
    </row>
    <row r="2804">
      <c r="A2804" s="30" t="n"/>
    </row>
    <row r="2805">
      <c r="A2805" s="30" t="n"/>
    </row>
    <row r="2806">
      <c r="A2806" s="30" t="n"/>
    </row>
    <row r="2807">
      <c r="A2807" s="30" t="n"/>
    </row>
    <row r="2808">
      <c r="A2808" s="30" t="n"/>
    </row>
    <row r="2809">
      <c r="A2809" s="30" t="n"/>
    </row>
    <row r="2810">
      <c r="A2810" s="30" t="n"/>
    </row>
    <row r="2811">
      <c r="A2811" s="30" t="n"/>
    </row>
    <row r="2812">
      <c r="A2812" s="30" t="n"/>
    </row>
    <row r="2813">
      <c r="A2813" s="30" t="n"/>
    </row>
    <row r="2814">
      <c r="A2814" s="30" t="n"/>
    </row>
    <row r="2815">
      <c r="A2815" s="30" t="n"/>
    </row>
    <row r="2816">
      <c r="A2816" s="30" t="n"/>
    </row>
    <row r="2817">
      <c r="A2817" s="30" t="n"/>
    </row>
    <row r="2818">
      <c r="A2818" s="30" t="n"/>
    </row>
    <row r="2819">
      <c r="A2819" s="30" t="n"/>
    </row>
    <row r="2820">
      <c r="A2820" s="30" t="n"/>
    </row>
    <row r="2821">
      <c r="A2821" s="30" t="n"/>
    </row>
    <row r="2822">
      <c r="A2822" s="30" t="n"/>
    </row>
    <row r="2823">
      <c r="A2823" s="30" t="n"/>
    </row>
    <row r="2824">
      <c r="A2824" s="30" t="n"/>
    </row>
    <row r="2825">
      <c r="A2825" s="30" t="n"/>
    </row>
    <row r="2826">
      <c r="A2826" s="30" t="n"/>
    </row>
    <row r="2827">
      <c r="A2827" s="30" t="n"/>
    </row>
    <row r="2828">
      <c r="A2828" s="30" t="n"/>
    </row>
    <row r="2829">
      <c r="A2829" s="30" t="n"/>
    </row>
    <row r="2830">
      <c r="A2830" s="30" t="n"/>
    </row>
    <row r="2831">
      <c r="A2831" s="30" t="n"/>
    </row>
    <row r="2832">
      <c r="A2832" s="30" t="n"/>
    </row>
    <row r="2833">
      <c r="A2833" s="30" t="n"/>
    </row>
    <row r="2834">
      <c r="A2834" s="30" t="n"/>
    </row>
    <row r="2835">
      <c r="A2835" s="30" t="n"/>
    </row>
    <row r="2836">
      <c r="A2836" s="30" t="n"/>
    </row>
    <row r="2837">
      <c r="A2837" s="30" t="n"/>
    </row>
    <row r="2838">
      <c r="A2838" s="30" t="n"/>
    </row>
    <row r="2839">
      <c r="A2839" s="30" t="n"/>
    </row>
    <row r="2840">
      <c r="A2840" s="30" t="n"/>
    </row>
    <row r="2841">
      <c r="A2841" s="30" t="n"/>
    </row>
    <row r="2842">
      <c r="A2842" s="30" t="n"/>
    </row>
    <row r="2843">
      <c r="A2843" s="30" t="n"/>
    </row>
    <row r="2844">
      <c r="A2844" s="30" t="n"/>
    </row>
    <row r="2845">
      <c r="A2845" s="30" t="n"/>
    </row>
    <row r="2846">
      <c r="A2846" s="30" t="n"/>
    </row>
    <row r="2847">
      <c r="A2847" s="30" t="n"/>
    </row>
    <row r="2848">
      <c r="A2848" s="30" t="n"/>
    </row>
    <row r="2849">
      <c r="A2849" s="30" t="n"/>
    </row>
    <row r="2850">
      <c r="A2850" s="30" t="n"/>
    </row>
    <row r="2851">
      <c r="A2851" s="30" t="n"/>
    </row>
    <row r="2852">
      <c r="A2852" s="30" t="n"/>
    </row>
    <row r="2853">
      <c r="A2853" s="30" t="n"/>
    </row>
    <row r="2854">
      <c r="A2854" s="30" t="n"/>
    </row>
    <row r="2855">
      <c r="A2855" s="30" t="n"/>
    </row>
    <row r="2856">
      <c r="A2856" s="30" t="n"/>
    </row>
    <row r="2857">
      <c r="A2857" s="30" t="n"/>
    </row>
    <row r="2858">
      <c r="A2858" s="30" t="n"/>
    </row>
    <row r="2859">
      <c r="A2859" s="30" t="n"/>
    </row>
    <row r="2860">
      <c r="A2860" s="30" t="n"/>
    </row>
    <row r="2861">
      <c r="A2861" s="30" t="n"/>
    </row>
    <row r="2862">
      <c r="A2862" s="30" t="n"/>
    </row>
    <row r="2863">
      <c r="A2863" s="30" t="n"/>
    </row>
    <row r="2864">
      <c r="A2864" s="30" t="n"/>
    </row>
    <row r="2865">
      <c r="A2865" s="30" t="n"/>
    </row>
    <row r="2866">
      <c r="A2866" s="30" t="n"/>
    </row>
    <row r="2867">
      <c r="A2867" s="30" t="n"/>
    </row>
    <row r="2868">
      <c r="A2868" s="30" t="n"/>
    </row>
    <row r="2869">
      <c r="A2869" s="30" t="n"/>
    </row>
    <row r="2870">
      <c r="A2870" s="30" t="n"/>
    </row>
    <row r="2871">
      <c r="A2871" s="30" t="n"/>
    </row>
    <row r="2872">
      <c r="A2872" s="30" t="n"/>
    </row>
    <row r="2873">
      <c r="A2873" s="30" t="n"/>
    </row>
    <row r="2874">
      <c r="A2874" s="30" t="n"/>
    </row>
    <row r="2875">
      <c r="A2875" s="30" t="n"/>
    </row>
    <row r="2876">
      <c r="A2876" s="30" t="n"/>
    </row>
    <row r="2877">
      <c r="A2877" s="30" t="n"/>
    </row>
    <row r="2878">
      <c r="A2878" s="30" t="n"/>
    </row>
    <row r="2879">
      <c r="A2879" s="30" t="n"/>
    </row>
    <row r="2880">
      <c r="A2880" s="30" t="n"/>
    </row>
    <row r="2881">
      <c r="A2881" s="30" t="n"/>
    </row>
    <row r="2882">
      <c r="A2882" s="30" t="n"/>
    </row>
    <row r="2883">
      <c r="A2883" s="30" t="n"/>
    </row>
    <row r="2884">
      <c r="A2884" s="30" t="n"/>
    </row>
    <row r="2885">
      <c r="A2885" s="30" t="n"/>
    </row>
    <row r="2886">
      <c r="A2886" s="30" t="n"/>
    </row>
    <row r="2887">
      <c r="A2887" s="30" t="n"/>
    </row>
    <row r="2888">
      <c r="A2888" s="30" t="n"/>
    </row>
    <row r="2889">
      <c r="A2889" s="30" t="n"/>
    </row>
    <row r="2890">
      <c r="A2890" s="30" t="n"/>
    </row>
    <row r="2891">
      <c r="A2891" s="30" t="n"/>
    </row>
    <row r="2892">
      <c r="A2892" s="30" t="n"/>
    </row>
    <row r="2893">
      <c r="A2893" s="30" t="n"/>
    </row>
    <row r="2894">
      <c r="A2894" s="30" t="n"/>
    </row>
    <row r="2895">
      <c r="A2895" s="30" t="n"/>
    </row>
    <row r="2896">
      <c r="A2896" s="30" t="n"/>
    </row>
    <row r="2897">
      <c r="A2897" s="30" t="n"/>
    </row>
    <row r="2898">
      <c r="A2898" s="30" t="n"/>
    </row>
    <row r="2899">
      <c r="A2899" s="30" t="n"/>
    </row>
    <row r="2900">
      <c r="A2900" s="30" t="n"/>
    </row>
    <row r="2901">
      <c r="A2901" s="30" t="n"/>
    </row>
    <row r="2902">
      <c r="A2902" s="30" t="n"/>
    </row>
    <row r="2903">
      <c r="A2903" s="30" t="n"/>
    </row>
    <row r="2904">
      <c r="A2904" s="30" t="n"/>
    </row>
    <row r="2905">
      <c r="A2905" s="30" t="n"/>
    </row>
    <row r="2906">
      <c r="A2906" s="30" t="n"/>
    </row>
    <row r="2907">
      <c r="A2907" s="30" t="n"/>
    </row>
    <row r="2908">
      <c r="A2908" s="30" t="n"/>
    </row>
    <row r="2909">
      <c r="A2909" s="30" t="n"/>
    </row>
    <row r="2910">
      <c r="A2910" s="30" t="n"/>
    </row>
    <row r="2911">
      <c r="A2911" s="30" t="n"/>
    </row>
    <row r="2912">
      <c r="A2912" s="30" t="n"/>
    </row>
    <row r="2913">
      <c r="A2913" s="30" t="n"/>
    </row>
    <row r="2914">
      <c r="A2914" s="30" t="n"/>
    </row>
    <row r="2915">
      <c r="A2915" s="30" t="n"/>
    </row>
    <row r="2916">
      <c r="A2916" s="30" t="n"/>
    </row>
    <row r="2917">
      <c r="A2917" s="30" t="n"/>
    </row>
    <row r="2918">
      <c r="A2918" s="30" t="n"/>
    </row>
    <row r="2919">
      <c r="A2919" s="30" t="n"/>
    </row>
    <row r="2920">
      <c r="A2920" s="30" t="n"/>
    </row>
    <row r="2921">
      <c r="A2921" s="30" t="n"/>
    </row>
    <row r="2922">
      <c r="A2922" s="30" t="n"/>
    </row>
    <row r="2923">
      <c r="A2923" s="30" t="n"/>
    </row>
    <row r="2924">
      <c r="A2924" s="30" t="n"/>
    </row>
    <row r="2925">
      <c r="A2925" s="30" t="n"/>
    </row>
    <row r="2926">
      <c r="A2926" s="30" t="n"/>
    </row>
    <row r="2927">
      <c r="A2927" s="30" t="n"/>
    </row>
    <row r="2928">
      <c r="A2928" s="30" t="n"/>
    </row>
    <row r="2929">
      <c r="A2929" s="30" t="n"/>
    </row>
    <row r="2930">
      <c r="A2930" s="30" t="n"/>
    </row>
    <row r="2931">
      <c r="A2931" s="30" t="n"/>
    </row>
    <row r="2932">
      <c r="A2932" s="30" t="n"/>
    </row>
    <row r="2933">
      <c r="A2933" s="30" t="n"/>
    </row>
    <row r="2934">
      <c r="A2934" s="30" t="n"/>
    </row>
    <row r="2935">
      <c r="A2935" s="30" t="n"/>
    </row>
    <row r="2936">
      <c r="A2936" s="30" t="n"/>
    </row>
    <row r="2937">
      <c r="A2937" s="30" t="n"/>
    </row>
    <row r="2938">
      <c r="A2938" s="30" t="n"/>
    </row>
    <row r="2939">
      <c r="A2939" s="30" t="n"/>
    </row>
    <row r="2940">
      <c r="A2940" s="30" t="n"/>
    </row>
    <row r="2941">
      <c r="A2941" s="30" t="n"/>
    </row>
    <row r="2942">
      <c r="A2942" s="30" t="n"/>
    </row>
    <row r="2943">
      <c r="A2943" s="30" t="n"/>
    </row>
    <row r="2944">
      <c r="A2944" s="30" t="n"/>
    </row>
    <row r="2945">
      <c r="A2945" s="30" t="n"/>
    </row>
    <row r="2946">
      <c r="A2946" s="30" t="n"/>
    </row>
    <row r="2947">
      <c r="A2947" s="30" t="n"/>
    </row>
    <row r="2948">
      <c r="A2948" s="30" t="n"/>
    </row>
    <row r="2949">
      <c r="A2949" s="30" t="n"/>
    </row>
    <row r="2950">
      <c r="A2950" s="30" t="n"/>
    </row>
    <row r="2951">
      <c r="A2951" s="30" t="n"/>
    </row>
    <row r="2952">
      <c r="A2952" s="30" t="n"/>
    </row>
    <row r="2953">
      <c r="A2953" s="30" t="n"/>
    </row>
    <row r="2954">
      <c r="A2954" s="30" t="n"/>
    </row>
    <row r="2955">
      <c r="A2955" s="30" t="n"/>
    </row>
    <row r="2956">
      <c r="A2956" s="30" t="n"/>
    </row>
    <row r="2957">
      <c r="A2957" s="30" t="n"/>
    </row>
    <row r="2958">
      <c r="A2958" s="30" t="n"/>
    </row>
    <row r="2959">
      <c r="A2959" s="30" t="n"/>
    </row>
    <row r="2960">
      <c r="A2960" s="30" t="n"/>
    </row>
    <row r="2961">
      <c r="A2961" s="30" t="n"/>
    </row>
    <row r="2962">
      <c r="A2962" s="30" t="n"/>
    </row>
    <row r="2963">
      <c r="A2963" s="30" t="n"/>
    </row>
    <row r="2964">
      <c r="A2964" s="30" t="n"/>
    </row>
    <row r="2965">
      <c r="A2965" s="30" t="n"/>
    </row>
    <row r="2966">
      <c r="A2966" s="30" t="n"/>
    </row>
    <row r="2967">
      <c r="A2967" s="30" t="n"/>
    </row>
    <row r="2968">
      <c r="A2968" s="30" t="n"/>
    </row>
    <row r="2969">
      <c r="A2969" s="30" t="n"/>
    </row>
    <row r="2970">
      <c r="A2970" s="30" t="n"/>
    </row>
    <row r="2971">
      <c r="A2971" s="30" t="n"/>
    </row>
    <row r="2972">
      <c r="A2972" s="30" t="n"/>
    </row>
    <row r="2973">
      <c r="A2973" s="30" t="n"/>
    </row>
    <row r="2974">
      <c r="A2974" s="30" t="n"/>
    </row>
    <row r="2975">
      <c r="A2975" s="30" t="n"/>
    </row>
    <row r="2976">
      <c r="A2976" s="30" t="n"/>
    </row>
    <row r="2977">
      <c r="A2977" s="30" t="n"/>
    </row>
    <row r="2978">
      <c r="A2978" s="30" t="n"/>
    </row>
    <row r="2979">
      <c r="A2979" s="30" t="n"/>
    </row>
    <row r="2980">
      <c r="A2980" s="30" t="n"/>
    </row>
    <row r="2981">
      <c r="A2981" s="30" t="n"/>
    </row>
    <row r="2982">
      <c r="A2982" s="30" t="n"/>
    </row>
    <row r="2983">
      <c r="A2983" s="30" t="n"/>
    </row>
    <row r="2984">
      <c r="A2984" s="30" t="n"/>
    </row>
    <row r="2985">
      <c r="A2985" s="30" t="n"/>
    </row>
    <row r="2986">
      <c r="A2986" s="30" t="n"/>
    </row>
    <row r="2987">
      <c r="A2987" s="30" t="n"/>
    </row>
    <row r="2988">
      <c r="A2988" s="30" t="n"/>
    </row>
    <row r="2989">
      <c r="A2989" s="30" t="n"/>
    </row>
    <row r="2990">
      <c r="A2990" s="30" t="n"/>
    </row>
    <row r="2991">
      <c r="A2991" s="30" t="n"/>
    </row>
    <row r="2992">
      <c r="A2992" s="30" t="n"/>
    </row>
    <row r="2993">
      <c r="A2993" s="30" t="n"/>
    </row>
    <row r="2994">
      <c r="A2994" s="30" t="n"/>
    </row>
    <row r="2995">
      <c r="A2995" s="30" t="n"/>
    </row>
    <row r="2996">
      <c r="A2996" s="30" t="n"/>
    </row>
    <row r="2997">
      <c r="A2997" s="30" t="n"/>
    </row>
    <row r="2998">
      <c r="A2998" s="30" t="n"/>
    </row>
    <row r="2999">
      <c r="A2999" s="30" t="n"/>
    </row>
    <row r="3000">
      <c r="A3000" s="30" t="n"/>
    </row>
    <row r="3001">
      <c r="A3001" s="30" t="n"/>
    </row>
    <row r="3002">
      <c r="A3002" s="30" t="n"/>
    </row>
    <row r="3003">
      <c r="A3003" s="30" t="n"/>
    </row>
    <row r="3004">
      <c r="A3004" s="30" t="n"/>
    </row>
    <row r="3005">
      <c r="A3005" s="30" t="n"/>
    </row>
    <row r="3006">
      <c r="A3006" s="30" t="n"/>
    </row>
    <row r="3007">
      <c r="A3007" s="30" t="n"/>
    </row>
    <row r="3008">
      <c r="A3008" s="30" t="n"/>
    </row>
    <row r="3009">
      <c r="A3009" s="30" t="n"/>
    </row>
    <row r="3010">
      <c r="A3010" s="30" t="n"/>
    </row>
    <row r="3011">
      <c r="A3011" s="30" t="n"/>
    </row>
    <row r="3012">
      <c r="A3012" s="30" t="n"/>
    </row>
    <row r="3013">
      <c r="A3013" s="30" t="n"/>
    </row>
    <row r="3014">
      <c r="A3014" s="30" t="n"/>
    </row>
    <row r="3015">
      <c r="A3015" s="30" t="n"/>
    </row>
    <row r="3016">
      <c r="A3016" s="30" t="n"/>
    </row>
    <row r="3017">
      <c r="A3017" s="30" t="n"/>
    </row>
    <row r="3018">
      <c r="A3018" s="30" t="n"/>
    </row>
    <row r="3019">
      <c r="A3019" s="30" t="n"/>
    </row>
    <row r="3020">
      <c r="A3020" s="30" t="n"/>
    </row>
    <row r="3021">
      <c r="A3021" s="30" t="n"/>
    </row>
    <row r="3022">
      <c r="A3022" s="30" t="n"/>
    </row>
    <row r="3023">
      <c r="A3023" s="30" t="n"/>
    </row>
    <row r="3024">
      <c r="A3024" s="30" t="n"/>
    </row>
    <row r="3025">
      <c r="A3025" s="30" t="n"/>
    </row>
    <row r="3026">
      <c r="A3026" s="30" t="n"/>
    </row>
    <row r="3027">
      <c r="A3027" s="30" t="n"/>
    </row>
    <row r="3028">
      <c r="A3028" s="30" t="n"/>
    </row>
    <row r="3029">
      <c r="A3029" s="30" t="n"/>
    </row>
    <row r="3030">
      <c r="A3030" s="30" t="n"/>
    </row>
    <row r="3031">
      <c r="A3031" s="30" t="n"/>
    </row>
    <row r="3032">
      <c r="A3032" s="30" t="n"/>
    </row>
    <row r="3033">
      <c r="A3033" s="30" t="n"/>
    </row>
    <row r="3034">
      <c r="A3034" s="30" t="n"/>
    </row>
    <row r="3035">
      <c r="A3035" s="30" t="n"/>
    </row>
    <row r="3036">
      <c r="A3036" s="30" t="n"/>
    </row>
    <row r="3037">
      <c r="A3037" s="30" t="n"/>
    </row>
    <row r="3038">
      <c r="A3038" s="30" t="n"/>
    </row>
    <row r="3039">
      <c r="A3039" s="30" t="n"/>
    </row>
    <row r="3040">
      <c r="A3040" s="30" t="n"/>
    </row>
    <row r="3041">
      <c r="A3041" s="30" t="n"/>
    </row>
    <row r="3042">
      <c r="A3042" s="30" t="n"/>
    </row>
    <row r="3043">
      <c r="A3043" s="30" t="n"/>
    </row>
    <row r="3044">
      <c r="A3044" s="30" t="n"/>
    </row>
    <row r="3045">
      <c r="A3045" s="30" t="n"/>
    </row>
    <row r="3046">
      <c r="A3046" s="30" t="n"/>
    </row>
    <row r="3047">
      <c r="A3047" s="30" t="n"/>
    </row>
    <row r="3048">
      <c r="A3048" s="30" t="n"/>
    </row>
    <row r="3049">
      <c r="A3049" s="30" t="n"/>
    </row>
    <row r="3050">
      <c r="A3050" s="30" t="n"/>
    </row>
    <row r="3051">
      <c r="A3051" s="30" t="n"/>
    </row>
    <row r="3052">
      <c r="A3052" s="30" t="n"/>
    </row>
    <row r="3053">
      <c r="A3053" s="30" t="n"/>
    </row>
    <row r="3054">
      <c r="A3054" s="30" t="n"/>
    </row>
    <row r="3055">
      <c r="A3055" s="30" t="n"/>
    </row>
    <row r="3056">
      <c r="A3056" s="30" t="n"/>
    </row>
    <row r="3057">
      <c r="A3057" s="30" t="n"/>
    </row>
    <row r="3058">
      <c r="A3058" s="30" t="n"/>
    </row>
    <row r="3059">
      <c r="A3059" s="30" t="n"/>
    </row>
    <row r="3060">
      <c r="A3060" s="30" t="n"/>
    </row>
    <row r="3061">
      <c r="A3061" s="30" t="n"/>
    </row>
    <row r="3062">
      <c r="A3062" s="30" t="n"/>
    </row>
    <row r="3063">
      <c r="A3063" s="30" t="n"/>
    </row>
    <row r="3064">
      <c r="A3064" s="30" t="n"/>
    </row>
    <row r="3065">
      <c r="A3065" s="30" t="n"/>
    </row>
    <row r="3066">
      <c r="A3066" s="30" t="n"/>
    </row>
    <row r="3067">
      <c r="A3067" s="30" t="n"/>
    </row>
    <row r="3068">
      <c r="A3068" s="30" t="n"/>
    </row>
    <row r="3069">
      <c r="A3069" s="30" t="n"/>
    </row>
    <row r="3070">
      <c r="A3070" s="30" t="n"/>
    </row>
    <row r="3071">
      <c r="A3071" s="30" t="n"/>
    </row>
    <row r="3072">
      <c r="A3072" s="30" t="n"/>
    </row>
    <row r="3073">
      <c r="A3073" s="30" t="n"/>
    </row>
    <row r="3074">
      <c r="A3074" s="30" t="n"/>
    </row>
    <row r="3075">
      <c r="A3075" s="30" t="n"/>
    </row>
    <row r="3076">
      <c r="A3076" s="30" t="n"/>
    </row>
    <row r="3077">
      <c r="A3077" s="30" t="n"/>
    </row>
    <row r="3078">
      <c r="A3078" s="30" t="n"/>
    </row>
    <row r="3079">
      <c r="A3079" s="30" t="n"/>
    </row>
    <row r="3080">
      <c r="A3080" s="30" t="n"/>
    </row>
    <row r="3081">
      <c r="A3081" s="30" t="n"/>
    </row>
    <row r="3082">
      <c r="A3082" s="30" t="n"/>
    </row>
    <row r="3083">
      <c r="A3083" s="30" t="n"/>
    </row>
    <row r="3084">
      <c r="A3084" s="30" t="n"/>
    </row>
    <row r="3085">
      <c r="A3085" s="30" t="n"/>
    </row>
    <row r="3086">
      <c r="A3086" s="30" t="n"/>
    </row>
    <row r="3087">
      <c r="A3087" s="30" t="n"/>
    </row>
    <row r="3088">
      <c r="A3088" s="30" t="n"/>
    </row>
    <row r="3089">
      <c r="A3089" s="30" t="n"/>
    </row>
    <row r="3090">
      <c r="A3090" s="30" t="n"/>
    </row>
    <row r="3091">
      <c r="A3091" s="30" t="n"/>
    </row>
    <row r="3092">
      <c r="A3092" s="30" t="n"/>
    </row>
    <row r="3093">
      <c r="A3093" s="30" t="n"/>
    </row>
    <row r="3094">
      <c r="A3094" s="30" t="n"/>
    </row>
    <row r="3095">
      <c r="A3095" s="30" t="n"/>
    </row>
    <row r="3096">
      <c r="A3096" s="30" t="n"/>
    </row>
    <row r="3097">
      <c r="A3097" s="30" t="n"/>
    </row>
    <row r="3098">
      <c r="A3098" s="30" t="n"/>
    </row>
    <row r="3099">
      <c r="A3099" s="30" t="n"/>
    </row>
    <row r="3100">
      <c r="A3100" s="30" t="n"/>
    </row>
    <row r="3101">
      <c r="A3101" s="30" t="n"/>
    </row>
    <row r="3102">
      <c r="A3102" s="30" t="n"/>
    </row>
    <row r="3103">
      <c r="A3103" s="30" t="n"/>
    </row>
    <row r="3104">
      <c r="A3104" s="30" t="n"/>
    </row>
    <row r="3105">
      <c r="A3105" s="30" t="n"/>
    </row>
    <row r="3106">
      <c r="A3106" s="30" t="n"/>
    </row>
    <row r="3107">
      <c r="A3107" s="30" t="n"/>
    </row>
    <row r="3108">
      <c r="A3108" s="30" t="n"/>
    </row>
    <row r="3109">
      <c r="A3109" s="30" t="n"/>
    </row>
    <row r="3110">
      <c r="A3110" s="30" t="n"/>
    </row>
    <row r="3111">
      <c r="A3111" s="30" t="n"/>
    </row>
    <row r="3112">
      <c r="A3112" s="30" t="n"/>
    </row>
    <row r="3113">
      <c r="A3113" s="30" t="n"/>
    </row>
    <row r="3114">
      <c r="A3114" s="30" t="n"/>
    </row>
    <row r="3115">
      <c r="A3115" s="30" t="n"/>
    </row>
    <row r="3116">
      <c r="A3116" s="30" t="n"/>
    </row>
    <row r="3117">
      <c r="A3117" s="30" t="n"/>
    </row>
    <row r="3118">
      <c r="A3118" s="30" t="n"/>
    </row>
    <row r="3119">
      <c r="A3119" s="30" t="n"/>
    </row>
    <row r="3120">
      <c r="A3120" s="30" t="n"/>
    </row>
    <row r="3121">
      <c r="A3121" s="30" t="n"/>
    </row>
    <row r="3122">
      <c r="A3122" s="30" t="n"/>
    </row>
    <row r="3123">
      <c r="A3123" s="30" t="n"/>
    </row>
    <row r="3124">
      <c r="A3124" s="30" t="n"/>
    </row>
    <row r="3125">
      <c r="A3125" s="30" t="n"/>
    </row>
    <row r="3126">
      <c r="A3126" s="30" t="n"/>
    </row>
    <row r="3127">
      <c r="A3127" s="30" t="n"/>
    </row>
    <row r="3128">
      <c r="A3128" s="30" t="n"/>
    </row>
    <row r="3129">
      <c r="A3129" s="30" t="n"/>
    </row>
    <row r="3130">
      <c r="A3130" s="30" t="n"/>
    </row>
    <row r="3131">
      <c r="A3131" s="30" t="n"/>
    </row>
    <row r="3132">
      <c r="A3132" s="30" t="n"/>
    </row>
    <row r="3133">
      <c r="A3133" s="30" t="n"/>
    </row>
    <row r="3134">
      <c r="A3134" s="30" t="n"/>
    </row>
    <row r="3135">
      <c r="A3135" s="30" t="n"/>
    </row>
    <row r="3136">
      <c r="A3136" s="30" t="n"/>
    </row>
    <row r="3137">
      <c r="A3137" s="30" t="n"/>
    </row>
    <row r="3138">
      <c r="A3138" s="30" t="n"/>
    </row>
    <row r="3139">
      <c r="A3139" s="30" t="n"/>
    </row>
    <row r="3140">
      <c r="A3140" s="30" t="n"/>
    </row>
    <row r="3141">
      <c r="A3141" s="30" t="n"/>
    </row>
    <row r="3142">
      <c r="A3142" s="30" t="n"/>
    </row>
    <row r="3143">
      <c r="A3143" s="30" t="n"/>
    </row>
    <row r="3144">
      <c r="A3144" s="30" t="n"/>
    </row>
    <row r="3145">
      <c r="A3145" s="30" t="n"/>
    </row>
    <row r="3146">
      <c r="A3146" s="30" t="n"/>
    </row>
    <row r="3147">
      <c r="A3147" s="30" t="n"/>
    </row>
    <row r="3148">
      <c r="A3148" s="30" t="n"/>
    </row>
    <row r="3149">
      <c r="A3149" s="30" t="n"/>
    </row>
    <row r="3150">
      <c r="A3150" s="30" t="n"/>
    </row>
    <row r="3151">
      <c r="A3151" s="30" t="n"/>
    </row>
    <row r="3152">
      <c r="A3152" s="30" t="n"/>
    </row>
    <row r="3153">
      <c r="A3153" s="30" t="n"/>
    </row>
    <row r="3154">
      <c r="A3154" s="30" t="n"/>
    </row>
    <row r="3155">
      <c r="A3155" s="30" t="n"/>
    </row>
    <row r="3156">
      <c r="A3156" s="30" t="n"/>
    </row>
    <row r="3157">
      <c r="A3157" s="30" t="n"/>
    </row>
    <row r="3158">
      <c r="A3158" s="30" t="n"/>
    </row>
    <row r="3159">
      <c r="A3159" s="30" t="n"/>
    </row>
    <row r="3160">
      <c r="A3160" s="30" t="n"/>
    </row>
    <row r="3161">
      <c r="A3161" s="30" t="n"/>
    </row>
    <row r="3162">
      <c r="A3162" s="30" t="n"/>
    </row>
    <row r="3163">
      <c r="A3163" s="30" t="n"/>
    </row>
    <row r="3164">
      <c r="A3164" s="30" t="n"/>
    </row>
    <row r="3165">
      <c r="A3165" s="30" t="n"/>
    </row>
    <row r="3166">
      <c r="A3166" s="30" t="n"/>
    </row>
    <row r="3167">
      <c r="A3167" s="30" t="n"/>
    </row>
    <row r="3168">
      <c r="A3168" s="30" t="n"/>
    </row>
    <row r="3169">
      <c r="A3169" s="30" t="n"/>
    </row>
    <row r="3170">
      <c r="A3170" s="30" t="n"/>
    </row>
    <row r="3171">
      <c r="A3171" s="30" t="n"/>
    </row>
    <row r="3172">
      <c r="A3172" s="30" t="n"/>
    </row>
    <row r="3173">
      <c r="A3173" s="30" t="n"/>
    </row>
    <row r="3174">
      <c r="A3174" s="30" t="n"/>
    </row>
    <row r="3175">
      <c r="A3175" s="30" t="n"/>
    </row>
    <row r="3176">
      <c r="A3176" s="30" t="n"/>
    </row>
    <row r="3177">
      <c r="A3177" s="30" t="n"/>
    </row>
    <row r="3178">
      <c r="A3178" s="30" t="n"/>
    </row>
    <row r="3179">
      <c r="A3179" s="30" t="n"/>
    </row>
    <row r="3180">
      <c r="A3180" s="30" t="n"/>
    </row>
    <row r="3181">
      <c r="A3181" s="30" t="n"/>
    </row>
    <row r="3182">
      <c r="A3182" s="30" t="n"/>
    </row>
    <row r="3183">
      <c r="A3183" s="30" t="n"/>
    </row>
    <row r="3184">
      <c r="A3184" s="30" t="n"/>
    </row>
    <row r="3185">
      <c r="A3185" s="30" t="n"/>
    </row>
    <row r="3186">
      <c r="A3186" s="30" t="n"/>
    </row>
    <row r="3187">
      <c r="A3187" s="30" t="n"/>
    </row>
    <row r="3188">
      <c r="A3188" s="30" t="n"/>
    </row>
    <row r="3189">
      <c r="A3189" s="30" t="n"/>
    </row>
    <row r="3190">
      <c r="A3190" s="30" t="n"/>
    </row>
    <row r="3191">
      <c r="A3191" s="30" t="n"/>
    </row>
    <row r="3192">
      <c r="A3192" s="30" t="n"/>
    </row>
    <row r="3193">
      <c r="A3193" s="30" t="n"/>
    </row>
    <row r="3194">
      <c r="A3194" s="30" t="n"/>
    </row>
    <row r="3195">
      <c r="A3195" s="30" t="n"/>
    </row>
    <row r="3196">
      <c r="A3196" s="30" t="n"/>
    </row>
    <row r="3197">
      <c r="A3197" s="30" t="n"/>
    </row>
    <row r="3198">
      <c r="A3198" s="30" t="n"/>
    </row>
    <row r="3199">
      <c r="A3199" s="30" t="n"/>
    </row>
    <row r="3200">
      <c r="A3200" s="30" t="n"/>
    </row>
    <row r="3201">
      <c r="A3201" s="30" t="n"/>
    </row>
    <row r="3202">
      <c r="A3202" s="30" t="n"/>
    </row>
    <row r="3203">
      <c r="A3203" s="30" t="n"/>
    </row>
    <row r="3204">
      <c r="A3204" s="30" t="n"/>
    </row>
    <row r="3205">
      <c r="A3205" s="30" t="n"/>
    </row>
    <row r="3206">
      <c r="A3206" s="30" t="n"/>
    </row>
    <row r="3207">
      <c r="A3207" s="30" t="n"/>
    </row>
    <row r="3208">
      <c r="A3208" s="30" t="n"/>
    </row>
    <row r="3209">
      <c r="A3209" s="30" t="n"/>
    </row>
    <row r="3210">
      <c r="A3210" s="30" t="n"/>
    </row>
    <row r="3211">
      <c r="A3211" s="30" t="n"/>
    </row>
    <row r="3212">
      <c r="A3212" s="30" t="n"/>
    </row>
    <row r="3213">
      <c r="A3213" s="30" t="n"/>
    </row>
    <row r="3214">
      <c r="A3214" s="30" t="n"/>
    </row>
    <row r="3215">
      <c r="A3215" s="30" t="n"/>
    </row>
    <row r="3216">
      <c r="A3216" s="30" t="n"/>
    </row>
    <row r="3217">
      <c r="A3217" s="30" t="n"/>
    </row>
    <row r="3218">
      <c r="A3218" s="30" t="n"/>
    </row>
    <row r="3219">
      <c r="A3219" s="30" t="n"/>
    </row>
    <row r="3220">
      <c r="A3220" s="30" t="n"/>
    </row>
    <row r="3221">
      <c r="A3221" s="30" t="n"/>
    </row>
    <row r="3222">
      <c r="A3222" s="30" t="n"/>
    </row>
    <row r="3223">
      <c r="A3223" s="30" t="n"/>
    </row>
    <row r="3224">
      <c r="A3224" s="30" t="n"/>
    </row>
    <row r="3225">
      <c r="A3225" s="30" t="n"/>
    </row>
    <row r="3226">
      <c r="A3226" s="30" t="n"/>
    </row>
    <row r="3227">
      <c r="A3227" s="30" t="n"/>
    </row>
    <row r="3228">
      <c r="A3228" s="30" t="n"/>
    </row>
    <row r="3229">
      <c r="A3229" s="30" t="n"/>
    </row>
    <row r="3230">
      <c r="A3230" s="30" t="n"/>
    </row>
    <row r="3231">
      <c r="A3231" s="30" t="n"/>
    </row>
    <row r="3232">
      <c r="A3232" s="30" t="n"/>
    </row>
    <row r="3233">
      <c r="A3233" s="30" t="n"/>
    </row>
    <row r="3234">
      <c r="A3234" s="30" t="n"/>
    </row>
    <row r="3235">
      <c r="A3235" s="30" t="n"/>
    </row>
    <row r="3236">
      <c r="A3236" s="30" t="n"/>
    </row>
    <row r="3237">
      <c r="A3237" s="30" t="n"/>
    </row>
    <row r="3238">
      <c r="A3238" s="30" t="n"/>
    </row>
    <row r="3239">
      <c r="A3239" s="30" t="n"/>
    </row>
    <row r="3240">
      <c r="A3240" s="30" t="n"/>
    </row>
    <row r="3241">
      <c r="A3241" s="30" t="n"/>
    </row>
    <row r="3242">
      <c r="A3242" s="30" t="n"/>
    </row>
    <row r="3243">
      <c r="A3243" s="30" t="n"/>
    </row>
    <row r="3244">
      <c r="A3244" s="30" t="n"/>
    </row>
    <row r="3245">
      <c r="A3245" s="30" t="n"/>
    </row>
    <row r="3246">
      <c r="A3246" s="30" t="n"/>
    </row>
    <row r="3247">
      <c r="A3247" s="30" t="n"/>
    </row>
    <row r="3248">
      <c r="A3248" s="30" t="n"/>
    </row>
    <row r="3249">
      <c r="A3249" s="30" t="n"/>
    </row>
    <row r="3250">
      <c r="A3250" s="30" t="n"/>
    </row>
    <row r="3251">
      <c r="A3251" s="30" t="n"/>
    </row>
    <row r="3252">
      <c r="A3252" s="30" t="n"/>
    </row>
    <row r="3253">
      <c r="A3253" s="30" t="n"/>
    </row>
    <row r="3254">
      <c r="A3254" s="30" t="n"/>
    </row>
    <row r="3255">
      <c r="A3255" s="30" t="n"/>
    </row>
    <row r="3256">
      <c r="A3256" s="30" t="n"/>
    </row>
    <row r="3257">
      <c r="A3257" s="30" t="n"/>
    </row>
    <row r="3258">
      <c r="A3258" s="30" t="n"/>
    </row>
    <row r="3259">
      <c r="A3259" s="30" t="n"/>
    </row>
    <row r="3260">
      <c r="A3260" s="30" t="n"/>
    </row>
    <row r="3261">
      <c r="A3261" s="30" t="n"/>
    </row>
    <row r="3262">
      <c r="A3262" s="30" t="n"/>
    </row>
    <row r="3263">
      <c r="A3263" s="30" t="n"/>
    </row>
    <row r="3264">
      <c r="A3264" s="30" t="n"/>
    </row>
    <row r="3265">
      <c r="A3265" s="30" t="n"/>
    </row>
    <row r="3266">
      <c r="A3266" s="30" t="n"/>
    </row>
    <row r="3267">
      <c r="A3267" s="30" t="n"/>
    </row>
    <row r="3268">
      <c r="A3268" s="30" t="n"/>
    </row>
    <row r="3269">
      <c r="A3269" s="30" t="n"/>
    </row>
    <row r="3270">
      <c r="A3270" s="30" t="n"/>
    </row>
    <row r="3271">
      <c r="A3271" s="30" t="n"/>
    </row>
    <row r="3272">
      <c r="A3272" s="30" t="n"/>
    </row>
    <row r="3273">
      <c r="A3273" s="30" t="n"/>
    </row>
    <row r="3274">
      <c r="A3274" s="30" t="n"/>
    </row>
    <row r="3275">
      <c r="A3275" s="30" t="n"/>
    </row>
    <row r="3276">
      <c r="A3276" s="30" t="n"/>
    </row>
    <row r="3277">
      <c r="A3277" s="30" t="n"/>
    </row>
    <row r="3278">
      <c r="A3278" s="30" t="n"/>
    </row>
    <row r="3279">
      <c r="A3279" s="30" t="n"/>
    </row>
    <row r="3280">
      <c r="A3280" s="30" t="n"/>
    </row>
    <row r="3281">
      <c r="A3281" s="30" t="n"/>
    </row>
    <row r="3282">
      <c r="A3282" s="30" t="n"/>
    </row>
    <row r="3283">
      <c r="A3283" s="30" t="n"/>
    </row>
    <row r="3284">
      <c r="A3284" s="30" t="n"/>
    </row>
    <row r="3285">
      <c r="A3285" s="30" t="n"/>
    </row>
    <row r="3286">
      <c r="A3286" s="30" t="n"/>
    </row>
    <row r="3287">
      <c r="A3287" s="30" t="n"/>
    </row>
    <row r="3288">
      <c r="A3288" s="30" t="n"/>
    </row>
    <row r="3289">
      <c r="A3289" s="30" t="n"/>
    </row>
    <row r="3290">
      <c r="A3290" s="30" t="n"/>
    </row>
    <row r="3291">
      <c r="A3291" s="30" t="n"/>
    </row>
    <row r="3292">
      <c r="A3292" s="30" t="n"/>
    </row>
    <row r="3293">
      <c r="A3293" s="30" t="n"/>
    </row>
    <row r="3294">
      <c r="A3294" s="30" t="n"/>
    </row>
    <row r="3295">
      <c r="A3295" s="30" t="n"/>
    </row>
    <row r="3296">
      <c r="A3296" s="30" t="n"/>
    </row>
    <row r="3297">
      <c r="A3297" s="30" t="n"/>
    </row>
    <row r="3298">
      <c r="A3298" s="30" t="n"/>
    </row>
    <row r="3299">
      <c r="A3299" s="30" t="n"/>
    </row>
    <row r="3300">
      <c r="A3300" s="30" t="n"/>
    </row>
    <row r="3301">
      <c r="A3301" s="30" t="n"/>
    </row>
    <row r="3302">
      <c r="A3302" s="30" t="n"/>
    </row>
    <row r="3303">
      <c r="A3303" s="30" t="n"/>
    </row>
    <row r="3304">
      <c r="A3304" s="30" t="n"/>
    </row>
    <row r="3305">
      <c r="A3305" s="30" t="n"/>
    </row>
    <row r="3306">
      <c r="A3306" s="30" t="n"/>
    </row>
    <row r="3307">
      <c r="A3307" s="30" t="n"/>
    </row>
    <row r="3308">
      <c r="A3308" s="30" t="n"/>
    </row>
    <row r="3309">
      <c r="A3309" s="30" t="n"/>
    </row>
    <row r="3310">
      <c r="A3310" s="30" t="n"/>
    </row>
    <row r="3311">
      <c r="A3311" s="30" t="n"/>
    </row>
    <row r="3312">
      <c r="A3312" s="30" t="n"/>
    </row>
    <row r="3313">
      <c r="A3313" s="30" t="n"/>
    </row>
    <row r="3314">
      <c r="A3314" s="30" t="n"/>
    </row>
    <row r="3315">
      <c r="A3315" s="30" t="n"/>
    </row>
    <row r="3316">
      <c r="A3316" s="30" t="n"/>
    </row>
    <row r="3317">
      <c r="A3317" s="30" t="n"/>
    </row>
    <row r="3318">
      <c r="A3318" s="30" t="n"/>
    </row>
    <row r="3319">
      <c r="A3319" s="30" t="n"/>
    </row>
    <row r="3320">
      <c r="A3320" s="30" t="n"/>
    </row>
    <row r="3321">
      <c r="A3321" s="30" t="n"/>
    </row>
    <row r="3322">
      <c r="A3322" s="30" t="n"/>
    </row>
    <row r="3323">
      <c r="A3323" s="30" t="n"/>
    </row>
    <row r="3324">
      <c r="A3324" s="30" t="n"/>
    </row>
    <row r="3325">
      <c r="A3325" s="30" t="n"/>
    </row>
    <row r="3326">
      <c r="A3326" s="30" t="n"/>
    </row>
    <row r="3327">
      <c r="A3327" s="30" t="n"/>
    </row>
    <row r="3328">
      <c r="A3328" s="30" t="n"/>
    </row>
    <row r="3329">
      <c r="A3329" s="30" t="n"/>
    </row>
    <row r="3330">
      <c r="A3330" s="30" t="n"/>
    </row>
    <row r="3331">
      <c r="A3331" s="30" t="n"/>
    </row>
    <row r="3332">
      <c r="A3332" s="30" t="n"/>
    </row>
    <row r="3333">
      <c r="A3333" s="30" t="n"/>
    </row>
    <row r="3334">
      <c r="A3334" s="30" t="n"/>
    </row>
    <row r="3335">
      <c r="A3335" s="30" t="n"/>
    </row>
    <row r="3336">
      <c r="A3336" s="30" t="n"/>
    </row>
    <row r="3337">
      <c r="A3337" s="30" t="n"/>
    </row>
    <row r="3338">
      <c r="A3338" s="30" t="n"/>
    </row>
    <row r="3339">
      <c r="A3339" s="30" t="n"/>
    </row>
    <row r="3340">
      <c r="A3340" s="30" t="n"/>
    </row>
    <row r="3341">
      <c r="A3341" s="30" t="n"/>
    </row>
    <row r="3342">
      <c r="A3342" s="30" t="n"/>
    </row>
    <row r="3343">
      <c r="A3343" s="30" t="n"/>
    </row>
    <row r="3344">
      <c r="A3344" s="30" t="n"/>
    </row>
    <row r="3345">
      <c r="A3345" s="30" t="n"/>
    </row>
    <row r="3346">
      <c r="A3346" s="30" t="n"/>
    </row>
    <row r="3347">
      <c r="A3347" s="30" t="n"/>
    </row>
    <row r="3348">
      <c r="A3348" s="30" t="n"/>
    </row>
    <row r="3349">
      <c r="A3349" s="30" t="n"/>
    </row>
    <row r="3350">
      <c r="A3350" s="30" t="n"/>
    </row>
    <row r="3351">
      <c r="A3351" s="30" t="n"/>
    </row>
    <row r="3352">
      <c r="A3352" s="30" t="n"/>
    </row>
    <row r="3353">
      <c r="A3353" s="30" t="n"/>
    </row>
    <row r="3354">
      <c r="A3354" s="30" t="n"/>
    </row>
    <row r="3355">
      <c r="A3355" s="30" t="n"/>
    </row>
    <row r="3356">
      <c r="A3356" s="30" t="n"/>
    </row>
    <row r="3357">
      <c r="A3357" s="30" t="n"/>
    </row>
    <row r="3358">
      <c r="A3358" s="30" t="n"/>
    </row>
    <row r="3359">
      <c r="A3359" s="30" t="n"/>
    </row>
    <row r="3360">
      <c r="A3360" s="30" t="n"/>
    </row>
    <row r="3361">
      <c r="A3361" s="30" t="n"/>
    </row>
    <row r="3362">
      <c r="A3362" s="30" t="n"/>
    </row>
    <row r="3363">
      <c r="A3363" s="30" t="n"/>
    </row>
    <row r="3364">
      <c r="A3364" s="30" t="n"/>
    </row>
    <row r="3365">
      <c r="A3365" s="30" t="n"/>
    </row>
    <row r="3366">
      <c r="A3366" s="30" t="n"/>
    </row>
    <row r="3367">
      <c r="A3367" s="30" t="n"/>
    </row>
    <row r="3368">
      <c r="A3368" s="30" t="n"/>
    </row>
    <row r="3369">
      <c r="A3369" s="30" t="n"/>
    </row>
    <row r="3370">
      <c r="A3370" s="30" t="n"/>
    </row>
    <row r="3371">
      <c r="A3371" s="30" t="n"/>
    </row>
    <row r="3372">
      <c r="A3372" s="30" t="n"/>
    </row>
    <row r="3373">
      <c r="A3373" s="30" t="n"/>
    </row>
    <row r="3374">
      <c r="A3374" s="30" t="n"/>
    </row>
    <row r="3375">
      <c r="A3375" s="30" t="n"/>
    </row>
    <row r="3376">
      <c r="A3376" s="30" t="n"/>
    </row>
    <row r="3377">
      <c r="A3377" s="30" t="n"/>
    </row>
    <row r="3378">
      <c r="A3378" s="30" t="n"/>
    </row>
    <row r="3379">
      <c r="A3379" s="30" t="n"/>
    </row>
    <row r="3380">
      <c r="A3380" s="30" t="n"/>
    </row>
    <row r="3381">
      <c r="A3381" s="30" t="n"/>
    </row>
    <row r="3382">
      <c r="A3382" s="30" t="n"/>
    </row>
    <row r="3383">
      <c r="A3383" s="30" t="n"/>
    </row>
    <row r="3384">
      <c r="A3384" s="30" t="n"/>
    </row>
    <row r="3385">
      <c r="A3385" s="30" t="n"/>
    </row>
    <row r="3386">
      <c r="A3386" s="30" t="n"/>
    </row>
    <row r="3387">
      <c r="A3387" s="30" t="n"/>
    </row>
    <row r="3388">
      <c r="A3388" s="30" t="n"/>
    </row>
    <row r="3389">
      <c r="A3389" s="30" t="n"/>
    </row>
    <row r="3390">
      <c r="A3390" s="30" t="n"/>
    </row>
    <row r="3391">
      <c r="A3391" s="30" t="n"/>
    </row>
    <row r="3392">
      <c r="A3392" s="30" t="n"/>
    </row>
    <row r="3393">
      <c r="A3393" s="30" t="n"/>
    </row>
    <row r="3394">
      <c r="A3394" s="30" t="n"/>
    </row>
    <row r="3395">
      <c r="A3395" s="30" t="n"/>
    </row>
    <row r="3396">
      <c r="A3396" s="30" t="n"/>
    </row>
    <row r="3397">
      <c r="A3397" s="30" t="n"/>
    </row>
    <row r="3398">
      <c r="A3398" s="30" t="n"/>
    </row>
    <row r="3399">
      <c r="A3399" s="30" t="n"/>
    </row>
    <row r="3400">
      <c r="A3400" s="30" t="n"/>
    </row>
    <row r="3401">
      <c r="A3401" s="30" t="n"/>
    </row>
    <row r="3402">
      <c r="A3402" s="30" t="n"/>
    </row>
    <row r="3403">
      <c r="A3403" s="30" t="n"/>
    </row>
    <row r="3404">
      <c r="A3404" s="30" t="n"/>
    </row>
    <row r="3405">
      <c r="A3405" s="30" t="n"/>
    </row>
    <row r="3406">
      <c r="A3406" s="30" t="n"/>
    </row>
    <row r="3407">
      <c r="A3407" s="30" t="n"/>
    </row>
    <row r="3408">
      <c r="A3408" s="30" t="n"/>
    </row>
    <row r="3409">
      <c r="A3409" s="30" t="n"/>
    </row>
    <row r="3410">
      <c r="A3410" s="30" t="n"/>
    </row>
    <row r="3411">
      <c r="A3411" s="30" t="n"/>
    </row>
    <row r="3412">
      <c r="A3412" s="30" t="n"/>
    </row>
    <row r="3413">
      <c r="A3413" s="30" t="n"/>
    </row>
    <row r="3414">
      <c r="A3414" s="30" t="n"/>
    </row>
    <row r="3415">
      <c r="A3415" s="30" t="n"/>
    </row>
    <row r="3416">
      <c r="A3416" s="30" t="n"/>
    </row>
    <row r="3417">
      <c r="A3417" s="30" t="n"/>
    </row>
    <row r="3418">
      <c r="A3418" s="30" t="n"/>
    </row>
    <row r="3419">
      <c r="A3419" s="30" t="n"/>
    </row>
    <row r="3420">
      <c r="A3420" s="30" t="n"/>
    </row>
    <row r="3421">
      <c r="A3421" s="30" t="n"/>
    </row>
    <row r="3422">
      <c r="A3422" s="30" t="n"/>
    </row>
    <row r="3423">
      <c r="A3423" s="30" t="n"/>
    </row>
    <row r="3424">
      <c r="A3424" s="30" t="n"/>
    </row>
    <row r="3425">
      <c r="A3425" s="30" t="n"/>
    </row>
    <row r="3426">
      <c r="A3426" s="30" t="n"/>
    </row>
    <row r="3427">
      <c r="A3427" s="30" t="n"/>
    </row>
    <row r="3428">
      <c r="A3428" s="30" t="n"/>
    </row>
    <row r="3429">
      <c r="A3429" s="30" t="n"/>
    </row>
    <row r="3430">
      <c r="A3430" s="30" t="n"/>
    </row>
    <row r="3431">
      <c r="A3431" s="30" t="n"/>
    </row>
    <row r="3432">
      <c r="A3432" s="30" t="n"/>
    </row>
    <row r="3433">
      <c r="A3433" s="30" t="n"/>
    </row>
    <row r="3434">
      <c r="A3434" s="30" t="n"/>
    </row>
    <row r="3435">
      <c r="A3435" s="30" t="n"/>
    </row>
    <row r="3436">
      <c r="A3436" s="30" t="n"/>
    </row>
    <row r="3437">
      <c r="A3437" s="30" t="n"/>
    </row>
    <row r="3438">
      <c r="A3438" s="30" t="n"/>
    </row>
    <row r="3439">
      <c r="A3439" s="30" t="n"/>
    </row>
    <row r="3440">
      <c r="A3440" s="30" t="n"/>
    </row>
    <row r="3441">
      <c r="A3441" s="30" t="n"/>
    </row>
    <row r="3442">
      <c r="A3442" s="30" t="n"/>
    </row>
    <row r="3443">
      <c r="A3443" s="30" t="n"/>
    </row>
    <row r="3444">
      <c r="A3444" s="30" t="n"/>
    </row>
    <row r="3445">
      <c r="A3445" s="30" t="n"/>
    </row>
    <row r="3446">
      <c r="A3446" s="30" t="n"/>
    </row>
    <row r="3447">
      <c r="A3447" s="30" t="n"/>
    </row>
    <row r="3448">
      <c r="A3448" s="30" t="n"/>
    </row>
    <row r="3449">
      <c r="A3449" s="30" t="n"/>
    </row>
    <row r="3450">
      <c r="A3450" s="30" t="n"/>
    </row>
    <row r="3451">
      <c r="A3451" s="30" t="n"/>
    </row>
    <row r="3452">
      <c r="A3452" s="30" t="n"/>
    </row>
    <row r="3453">
      <c r="A3453" s="30" t="n"/>
    </row>
    <row r="3454">
      <c r="A3454" s="30" t="n"/>
    </row>
    <row r="3455">
      <c r="A3455" s="30" t="n"/>
    </row>
    <row r="3456">
      <c r="A3456" s="30" t="n"/>
    </row>
    <row r="3457">
      <c r="A3457" s="30" t="n"/>
    </row>
    <row r="3458">
      <c r="A3458" s="30" t="n"/>
    </row>
    <row r="3459">
      <c r="A3459" s="30" t="n"/>
    </row>
    <row r="3460">
      <c r="A3460" s="30" t="n"/>
    </row>
    <row r="3461">
      <c r="A3461" s="30" t="n"/>
    </row>
    <row r="3462">
      <c r="A3462" s="30" t="n"/>
    </row>
    <row r="3463">
      <c r="A3463" s="30" t="n"/>
    </row>
    <row r="3464">
      <c r="A3464" s="30" t="n"/>
    </row>
    <row r="3465">
      <c r="A3465" s="30" t="n"/>
    </row>
    <row r="3466">
      <c r="A3466" s="30" t="n"/>
    </row>
    <row r="3467">
      <c r="A3467" s="30" t="n"/>
    </row>
    <row r="3468">
      <c r="A3468" s="30" t="n"/>
    </row>
    <row r="3469">
      <c r="A3469" s="30" t="n"/>
    </row>
    <row r="3470">
      <c r="A3470" s="30" t="n"/>
    </row>
    <row r="3471">
      <c r="A3471" s="30" t="n"/>
    </row>
    <row r="3472">
      <c r="A3472" s="30" t="n"/>
    </row>
    <row r="3473">
      <c r="A3473" s="30" t="n"/>
    </row>
    <row r="3474">
      <c r="A3474" s="30" t="n"/>
    </row>
    <row r="3475">
      <c r="A3475" s="30" t="n"/>
    </row>
    <row r="3476">
      <c r="A3476" s="30" t="n"/>
    </row>
    <row r="3477">
      <c r="A3477" s="30" t="n"/>
    </row>
    <row r="3478">
      <c r="A3478" s="30" t="n"/>
    </row>
    <row r="3479">
      <c r="A3479" s="30" t="n"/>
    </row>
    <row r="3480">
      <c r="A3480" s="30" t="n"/>
    </row>
    <row r="3481">
      <c r="A3481" s="30" t="n"/>
    </row>
    <row r="3482">
      <c r="A3482" s="30" t="n"/>
    </row>
    <row r="3483">
      <c r="A3483" s="30" t="n"/>
    </row>
    <row r="3484">
      <c r="A3484" s="30" t="n"/>
    </row>
    <row r="3485">
      <c r="A3485" s="30" t="n"/>
    </row>
    <row r="3486">
      <c r="A3486" s="30" t="n"/>
    </row>
    <row r="3487">
      <c r="A3487" s="30" t="n"/>
    </row>
    <row r="3488">
      <c r="A3488" s="30" t="n"/>
    </row>
    <row r="3489">
      <c r="A3489" s="30" t="n"/>
    </row>
    <row r="3490">
      <c r="A3490" s="30" t="n"/>
    </row>
    <row r="3491">
      <c r="A3491" s="30" t="n"/>
    </row>
    <row r="3492">
      <c r="A3492" s="30" t="n"/>
    </row>
    <row r="3493">
      <c r="A3493" s="30" t="n"/>
    </row>
    <row r="3494">
      <c r="A3494" s="30" t="n"/>
    </row>
    <row r="3495">
      <c r="A3495" s="30" t="n"/>
    </row>
    <row r="3496">
      <c r="A3496" s="30" t="n"/>
    </row>
    <row r="3497">
      <c r="A3497" s="30" t="n"/>
    </row>
    <row r="3498">
      <c r="A3498" s="30" t="n"/>
    </row>
    <row r="3499">
      <c r="A3499" s="30" t="n"/>
    </row>
    <row r="3500">
      <c r="A3500" s="30" t="n"/>
    </row>
    <row r="3501">
      <c r="A3501" s="30" t="n"/>
    </row>
    <row r="3502">
      <c r="A3502" s="30" t="n"/>
    </row>
    <row r="3503">
      <c r="A3503" s="30" t="n"/>
    </row>
    <row r="3504">
      <c r="A3504" s="30" t="n"/>
    </row>
    <row r="3505">
      <c r="A3505" s="30" t="n"/>
    </row>
    <row r="3506">
      <c r="A3506" s="30" t="n"/>
    </row>
    <row r="3507">
      <c r="A3507" s="30" t="n"/>
    </row>
    <row r="3508">
      <c r="A3508" s="30" t="n"/>
    </row>
    <row r="3509">
      <c r="A3509" s="30" t="n"/>
    </row>
    <row r="3510">
      <c r="A3510" s="30" t="n"/>
    </row>
    <row r="3511">
      <c r="A3511" s="30" t="n"/>
    </row>
    <row r="3512">
      <c r="A3512" s="30" t="n"/>
    </row>
    <row r="3513">
      <c r="A3513" s="30" t="n"/>
    </row>
    <row r="3514">
      <c r="A3514" s="30" t="n"/>
    </row>
    <row r="3515">
      <c r="A3515" s="30" t="n"/>
    </row>
    <row r="3516">
      <c r="A3516" s="30" t="n"/>
    </row>
    <row r="3517">
      <c r="A3517" s="30" t="n"/>
    </row>
    <row r="3518">
      <c r="A3518" s="30" t="n"/>
    </row>
    <row r="3519">
      <c r="A3519" s="30" t="n"/>
    </row>
    <row r="3520">
      <c r="A3520" s="30" t="n"/>
    </row>
    <row r="3521">
      <c r="A3521" s="30" t="n"/>
    </row>
    <row r="3522">
      <c r="A3522" s="30" t="n"/>
    </row>
    <row r="3523">
      <c r="A3523" s="30" t="n"/>
    </row>
    <row r="3524">
      <c r="A3524" s="30" t="n"/>
    </row>
    <row r="3525">
      <c r="A3525" s="30" t="n"/>
    </row>
    <row r="3526">
      <c r="A3526" s="30" t="n"/>
    </row>
    <row r="3527">
      <c r="A3527" s="30" t="n"/>
    </row>
    <row r="3528">
      <c r="A3528" s="30" t="n"/>
    </row>
    <row r="3529">
      <c r="A3529" s="30" t="n"/>
    </row>
    <row r="3530">
      <c r="A3530" s="30" t="n"/>
    </row>
    <row r="3531">
      <c r="A3531" s="30" t="n"/>
    </row>
    <row r="3532">
      <c r="A3532" s="30" t="n"/>
    </row>
    <row r="3533">
      <c r="A3533" s="30" t="n"/>
    </row>
    <row r="3534">
      <c r="A3534" s="30" t="n"/>
    </row>
    <row r="3535">
      <c r="A3535" s="30" t="n"/>
    </row>
    <row r="3536">
      <c r="A3536" s="30" t="n"/>
    </row>
    <row r="3537">
      <c r="A3537" s="30" t="n"/>
    </row>
    <row r="3538">
      <c r="A3538" s="30" t="n"/>
    </row>
    <row r="3539">
      <c r="A3539" s="30" t="n"/>
    </row>
    <row r="3540">
      <c r="A3540" s="30" t="n"/>
    </row>
    <row r="3541">
      <c r="A3541" s="30" t="n"/>
    </row>
    <row r="3542">
      <c r="A3542" s="30" t="n"/>
    </row>
    <row r="3543">
      <c r="A3543" s="30" t="n"/>
    </row>
    <row r="3544">
      <c r="A3544" s="30" t="n"/>
    </row>
    <row r="3545">
      <c r="A3545" s="30" t="n"/>
    </row>
    <row r="3546">
      <c r="A3546" s="30" t="n"/>
    </row>
    <row r="3547">
      <c r="A3547" s="30" t="n"/>
    </row>
    <row r="3548">
      <c r="A3548" s="30" t="n"/>
    </row>
    <row r="3549">
      <c r="A3549" s="30" t="n"/>
    </row>
    <row r="3550">
      <c r="A3550" s="30" t="n"/>
    </row>
    <row r="3551">
      <c r="A3551" s="30" t="n"/>
    </row>
    <row r="3552">
      <c r="A3552" s="30" t="n"/>
    </row>
    <row r="3553">
      <c r="A3553" s="30" t="n"/>
    </row>
    <row r="3554">
      <c r="A3554" s="30" t="n"/>
    </row>
    <row r="3555">
      <c r="A3555" s="30" t="n"/>
    </row>
    <row r="3556">
      <c r="A3556" s="30" t="n"/>
    </row>
    <row r="3557">
      <c r="A3557" s="30" t="n"/>
    </row>
    <row r="3558">
      <c r="A3558" s="30" t="n"/>
    </row>
    <row r="3559">
      <c r="A3559" s="30" t="n"/>
    </row>
    <row r="3560">
      <c r="A3560" s="30" t="n"/>
    </row>
    <row r="3561">
      <c r="A3561" s="30" t="n"/>
    </row>
    <row r="3562">
      <c r="A3562" s="30" t="n"/>
    </row>
    <row r="3563">
      <c r="A3563" s="30" t="n"/>
    </row>
    <row r="3564">
      <c r="A3564" s="30" t="n"/>
    </row>
    <row r="3565">
      <c r="A3565" s="30" t="n"/>
    </row>
    <row r="3566">
      <c r="A3566" s="30" t="n"/>
    </row>
    <row r="3567">
      <c r="A3567" s="30" t="n"/>
    </row>
    <row r="3568">
      <c r="A3568" s="30" t="n"/>
    </row>
    <row r="3569">
      <c r="A3569" s="30" t="n"/>
    </row>
    <row r="3570">
      <c r="A3570" s="30" t="n"/>
    </row>
    <row r="3571">
      <c r="A3571" s="30" t="n"/>
    </row>
    <row r="3572">
      <c r="A3572" s="30" t="n"/>
    </row>
    <row r="3573">
      <c r="A3573" s="30" t="n"/>
    </row>
    <row r="3574">
      <c r="A3574" s="30" t="n"/>
    </row>
    <row r="3575">
      <c r="A3575" s="30" t="n"/>
    </row>
    <row r="3576">
      <c r="A3576" s="30" t="n"/>
    </row>
    <row r="3577">
      <c r="A3577" s="30" t="n"/>
    </row>
    <row r="3578">
      <c r="A3578" s="30" t="n"/>
    </row>
    <row r="3579">
      <c r="A3579" s="30" t="n"/>
    </row>
    <row r="3580">
      <c r="A3580" s="30" t="n"/>
    </row>
    <row r="3581">
      <c r="A3581" s="30" t="n"/>
    </row>
    <row r="3582">
      <c r="A3582" s="30" t="n"/>
    </row>
    <row r="3583">
      <c r="A3583" s="30" t="n"/>
    </row>
    <row r="3584">
      <c r="A3584" s="30" t="n"/>
    </row>
    <row r="3585">
      <c r="A3585" s="30" t="n"/>
    </row>
    <row r="3586">
      <c r="A3586" s="30" t="n"/>
    </row>
    <row r="3587">
      <c r="A3587" s="30" t="n"/>
    </row>
    <row r="3588">
      <c r="A3588" s="30" t="n"/>
    </row>
    <row r="3589">
      <c r="A3589" s="30" t="n"/>
    </row>
    <row r="3590">
      <c r="A3590" s="30" t="n"/>
    </row>
    <row r="3591">
      <c r="A3591" s="30" t="n"/>
    </row>
    <row r="3592">
      <c r="A3592" s="30" t="n"/>
    </row>
    <row r="3593">
      <c r="A3593" s="30" t="n"/>
    </row>
    <row r="3594">
      <c r="A3594" s="30" t="n"/>
    </row>
    <row r="3595">
      <c r="A3595" s="30" t="n"/>
    </row>
    <row r="3596">
      <c r="A3596" s="30" t="n"/>
    </row>
    <row r="3597">
      <c r="A3597" s="30" t="n"/>
    </row>
    <row r="3598">
      <c r="A3598" s="30" t="n"/>
    </row>
    <row r="3599">
      <c r="A3599" s="30" t="n"/>
    </row>
    <row r="3600">
      <c r="A3600" s="30" t="n"/>
    </row>
    <row r="3601">
      <c r="A3601" s="30" t="n"/>
    </row>
    <row r="3602">
      <c r="A3602" s="30" t="n"/>
    </row>
    <row r="3603">
      <c r="A3603" s="30" t="n"/>
    </row>
    <row r="3604">
      <c r="A3604" s="30" t="n"/>
    </row>
    <row r="3605">
      <c r="A3605" s="30" t="n"/>
    </row>
    <row r="3606">
      <c r="A3606" s="30" t="n"/>
    </row>
    <row r="3607">
      <c r="A3607" s="30" t="n"/>
    </row>
    <row r="3608">
      <c r="A3608" s="30" t="n"/>
    </row>
    <row r="3609">
      <c r="A3609" s="30" t="n"/>
    </row>
    <row r="3610">
      <c r="A3610" s="30" t="n"/>
    </row>
    <row r="3611">
      <c r="A3611" s="30" t="n"/>
    </row>
    <row r="3612">
      <c r="A3612" s="30" t="n"/>
    </row>
    <row r="3613">
      <c r="A3613" s="30" t="n"/>
    </row>
    <row r="3614">
      <c r="A3614" s="30" t="n"/>
    </row>
    <row r="3615">
      <c r="A3615" s="30" t="n"/>
    </row>
    <row r="3616">
      <c r="A3616" s="30" t="n"/>
    </row>
    <row r="3617">
      <c r="A3617" s="30" t="n"/>
    </row>
    <row r="3618">
      <c r="A3618" s="30" t="n"/>
    </row>
    <row r="3619">
      <c r="A3619" s="30" t="n"/>
    </row>
    <row r="3620">
      <c r="A3620" s="30" t="n"/>
    </row>
    <row r="3621">
      <c r="A3621" s="30" t="n"/>
    </row>
    <row r="3622">
      <c r="A3622" s="30" t="n"/>
    </row>
    <row r="3623">
      <c r="A3623" s="30" t="n"/>
    </row>
    <row r="3624">
      <c r="A3624" s="30" t="n"/>
    </row>
    <row r="3625">
      <c r="A3625" s="30" t="n"/>
    </row>
    <row r="3626">
      <c r="A3626" s="30" t="n"/>
    </row>
    <row r="3627">
      <c r="A3627" s="30" t="n"/>
    </row>
    <row r="3628">
      <c r="A3628" s="30" t="n"/>
    </row>
    <row r="3629">
      <c r="A3629" s="30" t="n"/>
    </row>
    <row r="3630">
      <c r="A3630" s="30" t="n"/>
    </row>
    <row r="3631">
      <c r="A3631" s="30" t="n"/>
    </row>
    <row r="3632">
      <c r="A3632" s="30" t="n"/>
    </row>
    <row r="3633">
      <c r="A3633" s="30" t="n"/>
    </row>
    <row r="3634">
      <c r="A3634" s="30" t="n"/>
    </row>
    <row r="3635">
      <c r="A3635" s="30" t="n"/>
    </row>
    <row r="3636">
      <c r="A3636" s="30" t="n"/>
    </row>
    <row r="3637">
      <c r="A3637" s="30" t="n"/>
    </row>
    <row r="3638">
      <c r="A3638" s="30" t="n"/>
    </row>
    <row r="3639">
      <c r="A3639" s="30" t="n"/>
    </row>
    <row r="3640">
      <c r="A3640" s="30" t="n"/>
    </row>
    <row r="3641">
      <c r="A3641" s="30" t="n"/>
    </row>
    <row r="3642">
      <c r="A3642" s="30" t="n"/>
    </row>
    <row r="3643">
      <c r="A3643" s="30" t="n"/>
    </row>
    <row r="3644">
      <c r="A3644" s="30" t="n"/>
    </row>
    <row r="3645">
      <c r="A3645" s="30" t="n"/>
    </row>
    <row r="3646">
      <c r="A3646" s="30" t="n"/>
    </row>
    <row r="3647">
      <c r="A3647" s="30" t="n"/>
    </row>
    <row r="3648">
      <c r="A3648" s="30" t="n"/>
    </row>
    <row r="3649">
      <c r="A3649" s="30" t="n"/>
    </row>
    <row r="3650">
      <c r="A3650" s="30" t="n"/>
    </row>
    <row r="3651">
      <c r="A3651" s="30" t="n"/>
    </row>
    <row r="3652">
      <c r="A3652" s="30" t="n"/>
    </row>
    <row r="3653">
      <c r="A3653" s="30" t="n"/>
    </row>
    <row r="3654">
      <c r="A3654" s="30" t="n"/>
    </row>
    <row r="3655">
      <c r="A3655" s="30" t="n"/>
    </row>
    <row r="3656">
      <c r="A3656" s="30" t="n"/>
    </row>
    <row r="3657">
      <c r="A3657" s="30" t="n"/>
    </row>
    <row r="3658">
      <c r="A3658" s="30" t="n"/>
    </row>
    <row r="3659">
      <c r="A3659" s="30" t="n"/>
    </row>
    <row r="3660">
      <c r="A3660" s="30" t="n"/>
    </row>
    <row r="3661">
      <c r="A3661" s="30" t="n"/>
    </row>
    <row r="3662">
      <c r="A3662" s="30" t="n"/>
    </row>
    <row r="3663">
      <c r="A3663" s="30" t="n"/>
    </row>
    <row r="3664">
      <c r="A3664" s="30" t="n"/>
    </row>
    <row r="3665">
      <c r="A3665" s="30" t="n"/>
    </row>
    <row r="3666">
      <c r="A3666" s="30" t="n"/>
    </row>
    <row r="3667">
      <c r="A3667" s="30" t="n"/>
    </row>
    <row r="3668">
      <c r="A3668" s="30" t="n"/>
    </row>
    <row r="3669">
      <c r="A3669" s="30" t="n"/>
    </row>
    <row r="3670">
      <c r="A3670" s="30" t="n"/>
    </row>
    <row r="3671">
      <c r="A3671" s="30" t="n"/>
    </row>
    <row r="3672">
      <c r="A3672" s="30" t="n"/>
    </row>
    <row r="3673">
      <c r="A3673" s="30" t="n"/>
    </row>
    <row r="3674">
      <c r="A3674" s="30" t="n"/>
    </row>
    <row r="3675">
      <c r="A3675" s="30" t="n"/>
    </row>
    <row r="3676">
      <c r="A3676" s="30" t="n"/>
    </row>
    <row r="3677">
      <c r="A3677" s="30" t="n"/>
    </row>
    <row r="3678">
      <c r="A3678" s="30" t="n"/>
    </row>
    <row r="3679">
      <c r="A3679" s="30" t="n"/>
    </row>
    <row r="3680">
      <c r="A3680" s="30" t="n"/>
    </row>
    <row r="3681">
      <c r="A3681" s="30" t="n"/>
    </row>
    <row r="3682">
      <c r="A3682" s="30" t="n"/>
    </row>
    <row r="3683">
      <c r="A3683" s="30" t="n"/>
    </row>
    <row r="3684">
      <c r="A3684" s="30" t="n"/>
    </row>
    <row r="3685">
      <c r="A3685" s="30" t="n"/>
    </row>
    <row r="3686">
      <c r="A3686" s="30" t="n"/>
    </row>
    <row r="3687">
      <c r="A3687" s="30" t="n"/>
    </row>
    <row r="3688">
      <c r="A3688" s="30" t="n"/>
    </row>
    <row r="3689">
      <c r="A3689" s="30" t="n"/>
    </row>
    <row r="3690">
      <c r="A3690" s="30" t="n"/>
    </row>
    <row r="3691">
      <c r="A3691" s="30" t="n"/>
    </row>
    <row r="3692">
      <c r="A3692" s="30" t="n"/>
    </row>
    <row r="3693">
      <c r="A3693" s="30" t="n"/>
    </row>
    <row r="3694">
      <c r="A3694" s="30" t="n"/>
    </row>
    <row r="3695">
      <c r="A3695" s="30" t="n"/>
    </row>
    <row r="3696">
      <c r="A3696" s="30" t="n"/>
    </row>
    <row r="3697">
      <c r="A3697" s="30" t="n"/>
    </row>
    <row r="3698">
      <c r="A3698" s="30" t="n"/>
    </row>
    <row r="3699">
      <c r="A3699" s="30" t="n"/>
    </row>
    <row r="3700">
      <c r="A3700" s="30" t="n"/>
    </row>
    <row r="3701">
      <c r="A3701" s="30" t="n"/>
    </row>
    <row r="3702">
      <c r="A3702" s="30" t="n"/>
    </row>
    <row r="3703">
      <c r="A3703" s="30" t="n"/>
    </row>
    <row r="3704">
      <c r="A3704" s="30" t="n"/>
    </row>
    <row r="3705">
      <c r="A3705" s="30" t="n"/>
    </row>
    <row r="3706">
      <c r="A3706" s="30" t="n"/>
    </row>
    <row r="3707">
      <c r="A3707" s="30" t="n"/>
    </row>
    <row r="3708">
      <c r="A3708" s="30" t="n"/>
    </row>
    <row r="3709">
      <c r="A3709" s="30" t="n"/>
    </row>
    <row r="3710">
      <c r="A3710" s="30" t="n"/>
    </row>
    <row r="3711">
      <c r="A3711" s="30" t="n"/>
    </row>
    <row r="3712">
      <c r="A3712" s="30" t="n"/>
    </row>
    <row r="3713">
      <c r="A3713" s="30" t="n"/>
    </row>
    <row r="3714">
      <c r="A3714" s="30" t="n"/>
    </row>
    <row r="3715">
      <c r="A3715" s="30" t="n"/>
    </row>
    <row r="3716">
      <c r="A3716" s="30" t="n"/>
    </row>
    <row r="3717">
      <c r="A3717" s="30" t="n"/>
    </row>
    <row r="3718">
      <c r="A3718" s="30" t="n"/>
    </row>
    <row r="3719">
      <c r="A3719" s="30" t="n"/>
    </row>
    <row r="3720">
      <c r="A3720" s="30" t="n"/>
    </row>
    <row r="3721">
      <c r="A3721" s="30" t="n"/>
    </row>
    <row r="3722">
      <c r="A3722" s="30" t="n"/>
    </row>
    <row r="3723">
      <c r="A3723" s="30" t="n"/>
    </row>
    <row r="3724">
      <c r="A3724" s="30" t="n"/>
    </row>
    <row r="3725">
      <c r="A3725" s="30" t="n"/>
    </row>
    <row r="3726">
      <c r="A3726" s="30" t="n"/>
    </row>
    <row r="3727">
      <c r="A3727" s="30" t="n"/>
    </row>
    <row r="3728">
      <c r="A3728" s="30" t="n"/>
    </row>
    <row r="3729">
      <c r="A3729" s="30" t="n"/>
    </row>
    <row r="3730">
      <c r="A3730" s="30" t="n"/>
    </row>
    <row r="3731">
      <c r="A3731" s="30" t="n"/>
    </row>
    <row r="3732">
      <c r="A3732" s="30" t="n"/>
    </row>
    <row r="3733">
      <c r="A3733" s="30" t="n"/>
    </row>
    <row r="3734">
      <c r="A3734" s="30" t="n"/>
    </row>
    <row r="3735">
      <c r="A3735" s="30" t="n"/>
    </row>
    <row r="3736">
      <c r="A3736" s="30" t="n"/>
    </row>
    <row r="3737">
      <c r="A3737" s="30" t="n"/>
    </row>
    <row r="3738">
      <c r="A3738" s="30" t="n"/>
    </row>
    <row r="3739">
      <c r="A3739" s="30" t="n"/>
    </row>
    <row r="3740">
      <c r="A3740" s="30" t="n"/>
    </row>
    <row r="3741">
      <c r="A3741" s="30" t="n"/>
    </row>
    <row r="3742">
      <c r="A3742" s="30" t="n"/>
    </row>
    <row r="3743">
      <c r="A3743" s="30" t="n"/>
    </row>
    <row r="3744">
      <c r="A3744" s="30" t="n"/>
    </row>
    <row r="3745">
      <c r="A3745" s="30" t="n"/>
    </row>
    <row r="3746">
      <c r="A3746" s="30" t="n"/>
    </row>
    <row r="3747">
      <c r="A3747" s="30" t="n"/>
    </row>
    <row r="3748">
      <c r="A3748" s="30" t="n"/>
    </row>
    <row r="3749">
      <c r="A3749" s="30" t="n"/>
    </row>
    <row r="3750">
      <c r="A3750" s="30" t="n"/>
    </row>
    <row r="3751">
      <c r="A3751" s="30" t="n"/>
    </row>
    <row r="3752">
      <c r="A3752" s="30" t="n"/>
    </row>
    <row r="3753">
      <c r="A3753" s="30" t="n"/>
    </row>
    <row r="3754">
      <c r="A3754" s="30" t="n"/>
    </row>
    <row r="3755">
      <c r="A3755" s="30" t="n"/>
    </row>
    <row r="3756">
      <c r="A3756" s="30" t="n"/>
    </row>
    <row r="3757">
      <c r="A3757" s="30" t="n"/>
    </row>
    <row r="3758">
      <c r="A3758" s="30" t="n"/>
    </row>
    <row r="3759">
      <c r="A3759" s="30" t="n"/>
    </row>
    <row r="3760">
      <c r="A3760" s="30" t="n"/>
    </row>
    <row r="3761">
      <c r="A3761" s="30" t="n"/>
    </row>
    <row r="3762">
      <c r="A3762" s="30" t="n"/>
    </row>
    <row r="3763">
      <c r="A3763" s="30" t="n"/>
    </row>
    <row r="3764">
      <c r="A3764" s="30" t="n"/>
    </row>
    <row r="3765">
      <c r="A3765" s="30" t="n"/>
    </row>
    <row r="3766">
      <c r="A3766" s="30" t="n"/>
    </row>
    <row r="3767">
      <c r="A3767" s="30" t="n"/>
    </row>
    <row r="3768">
      <c r="A3768" s="30" t="n"/>
    </row>
    <row r="3769">
      <c r="A3769" s="30" t="n"/>
    </row>
    <row r="3770">
      <c r="A3770" s="30" t="n"/>
    </row>
    <row r="3771">
      <c r="A3771" s="30" t="n"/>
    </row>
    <row r="3772">
      <c r="A3772" s="30" t="n"/>
    </row>
    <row r="3773">
      <c r="A3773" s="30" t="n"/>
    </row>
    <row r="3774">
      <c r="A3774" s="30" t="n"/>
    </row>
    <row r="3775">
      <c r="A3775" s="30" t="n"/>
    </row>
    <row r="3776">
      <c r="A3776" s="30" t="n"/>
    </row>
    <row r="3777">
      <c r="A3777" s="30" t="n"/>
    </row>
    <row r="3778">
      <c r="A3778" s="30" t="n"/>
    </row>
    <row r="3779">
      <c r="A3779" s="30" t="n"/>
    </row>
    <row r="3780">
      <c r="A3780" s="30" t="n"/>
    </row>
    <row r="3781">
      <c r="A3781" s="30" t="n"/>
    </row>
    <row r="3782">
      <c r="A3782" s="30" t="n"/>
    </row>
    <row r="3783">
      <c r="A3783" s="30" t="n"/>
    </row>
    <row r="3784">
      <c r="A3784" s="30" t="n"/>
    </row>
    <row r="3785">
      <c r="A3785" s="30" t="n"/>
    </row>
    <row r="3786">
      <c r="A3786" s="30" t="n"/>
    </row>
    <row r="3787">
      <c r="A3787" s="30" t="n"/>
    </row>
    <row r="3788">
      <c r="A3788" s="30" t="n"/>
    </row>
    <row r="3789">
      <c r="A3789" s="30" t="n"/>
    </row>
    <row r="3790">
      <c r="A3790" s="30" t="n"/>
    </row>
    <row r="3791">
      <c r="A3791" s="30" t="n"/>
    </row>
    <row r="3792">
      <c r="A3792" s="30" t="n"/>
    </row>
    <row r="3793">
      <c r="A3793" s="30" t="n"/>
    </row>
    <row r="3794">
      <c r="A3794" s="30" t="n"/>
    </row>
    <row r="3795">
      <c r="A3795" s="30" t="n"/>
    </row>
    <row r="3796">
      <c r="A3796" s="30" t="n"/>
    </row>
    <row r="3797">
      <c r="A3797" s="30" t="n"/>
    </row>
    <row r="3798">
      <c r="A3798" s="30" t="n"/>
    </row>
    <row r="3799">
      <c r="A3799" s="30" t="n"/>
    </row>
    <row r="3800">
      <c r="A3800" s="30" t="n"/>
    </row>
    <row r="3801">
      <c r="A3801" s="30" t="n"/>
    </row>
    <row r="3802">
      <c r="A3802" s="30" t="n"/>
    </row>
    <row r="3803">
      <c r="A3803" s="30" t="n"/>
    </row>
    <row r="3804">
      <c r="A3804" s="30" t="n"/>
    </row>
    <row r="3805">
      <c r="A3805" s="30" t="n"/>
    </row>
    <row r="3806">
      <c r="A3806" s="30" t="n"/>
    </row>
    <row r="3807">
      <c r="A3807" s="30" t="n"/>
    </row>
    <row r="3808">
      <c r="A3808" s="30" t="n"/>
    </row>
    <row r="3809">
      <c r="A3809" s="30" t="n"/>
    </row>
    <row r="3810">
      <c r="A3810" s="30" t="n"/>
    </row>
    <row r="3811">
      <c r="A3811" s="30" t="n"/>
    </row>
    <row r="3812">
      <c r="A3812" s="30" t="n"/>
    </row>
    <row r="3813">
      <c r="A3813" s="30" t="n"/>
    </row>
    <row r="3814">
      <c r="A3814" s="30" t="n"/>
    </row>
    <row r="3815">
      <c r="A3815" s="30" t="n"/>
    </row>
    <row r="3816">
      <c r="A3816" s="30" t="n"/>
    </row>
    <row r="3817">
      <c r="A3817" s="30" t="n"/>
    </row>
    <row r="3818">
      <c r="A3818" s="30" t="n"/>
    </row>
    <row r="3819">
      <c r="A3819" s="30" t="n"/>
    </row>
    <row r="3820">
      <c r="A3820" s="30" t="n"/>
    </row>
    <row r="3821">
      <c r="A3821" s="30" t="n"/>
    </row>
    <row r="3822">
      <c r="A3822" s="30" t="n"/>
    </row>
    <row r="3823">
      <c r="A3823" s="30" t="n"/>
    </row>
    <row r="3824">
      <c r="A3824" s="30" t="n"/>
    </row>
    <row r="3825">
      <c r="A3825" s="30" t="n"/>
    </row>
    <row r="3826">
      <c r="A3826" s="30" t="n"/>
    </row>
    <row r="3827">
      <c r="A3827" s="30" t="n"/>
    </row>
    <row r="3828">
      <c r="A3828" s="30" t="n"/>
    </row>
    <row r="3829">
      <c r="A3829" s="30" t="n"/>
    </row>
    <row r="3830">
      <c r="A3830" s="30" t="n"/>
    </row>
    <row r="3831">
      <c r="A3831" s="30" t="n"/>
    </row>
    <row r="3832">
      <c r="A3832" s="30" t="n"/>
    </row>
    <row r="3833">
      <c r="A3833" s="30" t="n"/>
    </row>
    <row r="3834">
      <c r="A3834" s="30" t="n"/>
    </row>
    <row r="3835">
      <c r="A3835" s="30" t="n"/>
    </row>
    <row r="3836">
      <c r="A3836" s="30" t="n"/>
    </row>
    <row r="3837">
      <c r="A3837" s="30" t="n"/>
    </row>
    <row r="3838">
      <c r="A3838" s="30" t="n"/>
    </row>
    <row r="3839">
      <c r="A3839" s="30" t="n"/>
    </row>
    <row r="3840">
      <c r="A3840" s="30" t="n"/>
    </row>
    <row r="3841">
      <c r="A3841" s="30" t="n"/>
    </row>
    <row r="3842">
      <c r="A3842" s="30" t="n"/>
    </row>
    <row r="3843">
      <c r="A3843" s="30" t="n"/>
    </row>
    <row r="3844">
      <c r="A3844" s="30" t="n"/>
    </row>
    <row r="3845">
      <c r="A3845" s="30" t="n"/>
    </row>
    <row r="3846">
      <c r="A3846" s="30" t="n"/>
    </row>
    <row r="3847">
      <c r="A3847" s="30" t="n"/>
    </row>
    <row r="3848">
      <c r="A3848" s="30" t="n"/>
    </row>
    <row r="3849">
      <c r="A3849" s="30" t="n"/>
    </row>
    <row r="3850">
      <c r="A3850" s="30" t="n"/>
    </row>
    <row r="3851">
      <c r="A3851" s="30" t="n"/>
    </row>
    <row r="3852">
      <c r="A3852" s="30" t="n"/>
    </row>
    <row r="3853">
      <c r="A3853" s="30" t="n"/>
    </row>
    <row r="3854">
      <c r="A3854" s="30" t="n"/>
    </row>
    <row r="3855">
      <c r="A3855" s="30" t="n"/>
    </row>
    <row r="3856">
      <c r="A3856" s="30" t="n"/>
    </row>
    <row r="3857">
      <c r="A3857" s="30" t="n"/>
    </row>
    <row r="3858">
      <c r="A3858" s="30" t="n"/>
    </row>
    <row r="3859">
      <c r="A3859" s="30" t="n"/>
    </row>
    <row r="3860">
      <c r="A3860" s="30" t="n"/>
    </row>
    <row r="3861">
      <c r="A3861" s="30" t="n"/>
    </row>
    <row r="3862">
      <c r="A3862" s="30" t="n"/>
    </row>
    <row r="3863">
      <c r="A3863" s="30" t="n"/>
    </row>
    <row r="3864">
      <c r="A3864" s="30" t="n"/>
    </row>
    <row r="3865">
      <c r="A3865" s="30" t="n"/>
    </row>
    <row r="3866">
      <c r="A3866" s="30" t="n"/>
    </row>
    <row r="3867">
      <c r="A3867" s="30" t="n"/>
    </row>
    <row r="3868">
      <c r="A3868" s="30" t="n"/>
    </row>
    <row r="3869">
      <c r="A3869" s="30" t="n"/>
    </row>
    <row r="3870">
      <c r="A3870" s="30" t="n"/>
    </row>
    <row r="3871">
      <c r="A3871" s="30" t="n"/>
    </row>
    <row r="3872">
      <c r="A3872" s="30" t="n"/>
    </row>
    <row r="3873">
      <c r="A3873" s="30" t="n"/>
    </row>
    <row r="3874">
      <c r="A3874" s="30" t="n"/>
    </row>
    <row r="3875">
      <c r="A3875" s="30" t="n"/>
    </row>
    <row r="3876">
      <c r="A3876" s="30" t="n"/>
    </row>
    <row r="3877">
      <c r="A3877" s="30" t="n"/>
    </row>
    <row r="3878">
      <c r="A3878" s="30" t="n"/>
    </row>
    <row r="3879">
      <c r="A3879" s="30" t="n"/>
    </row>
    <row r="3880">
      <c r="A3880" s="30" t="n"/>
    </row>
    <row r="3881">
      <c r="A3881" s="30" t="n"/>
    </row>
    <row r="3882">
      <c r="A3882" s="30" t="n"/>
    </row>
    <row r="3883">
      <c r="A3883" s="30" t="n"/>
    </row>
    <row r="3884">
      <c r="A3884" s="30" t="n"/>
    </row>
    <row r="3885">
      <c r="A3885" s="30" t="n"/>
    </row>
    <row r="3886">
      <c r="A3886" s="30" t="n"/>
    </row>
    <row r="3887">
      <c r="A3887" s="30" t="n"/>
    </row>
    <row r="3888">
      <c r="A3888" s="30" t="n"/>
    </row>
    <row r="3889">
      <c r="A3889" s="30" t="n"/>
    </row>
    <row r="3890">
      <c r="A3890" s="30" t="n"/>
    </row>
    <row r="3891">
      <c r="A3891" s="30" t="n"/>
    </row>
    <row r="3892">
      <c r="A3892" s="30" t="n"/>
    </row>
    <row r="3893">
      <c r="A3893" s="30" t="n"/>
    </row>
    <row r="3894">
      <c r="A3894" s="30" t="n"/>
    </row>
    <row r="3895">
      <c r="A3895" s="30" t="n"/>
    </row>
    <row r="3896">
      <c r="A3896" s="30" t="n"/>
    </row>
    <row r="3897">
      <c r="A3897" s="30" t="n"/>
    </row>
    <row r="3898">
      <c r="A3898" s="30" t="n"/>
    </row>
    <row r="3899">
      <c r="A3899" s="30" t="n"/>
    </row>
    <row r="3900">
      <c r="A3900" s="30" t="n"/>
    </row>
    <row r="3901">
      <c r="A3901" s="30" t="n"/>
    </row>
    <row r="3902">
      <c r="A3902" s="30" t="n"/>
    </row>
    <row r="3903">
      <c r="A3903" s="30" t="n"/>
    </row>
    <row r="3904">
      <c r="A3904" s="30" t="n"/>
    </row>
    <row r="3905">
      <c r="A3905" s="30" t="n"/>
    </row>
    <row r="3906">
      <c r="A3906" s="30" t="n"/>
    </row>
    <row r="3907">
      <c r="A3907" s="30" t="n"/>
    </row>
    <row r="3908">
      <c r="A3908" s="30" t="n"/>
    </row>
    <row r="3909">
      <c r="A3909" s="30" t="n"/>
    </row>
    <row r="3910">
      <c r="A3910" s="30" t="n"/>
    </row>
    <row r="3911">
      <c r="A3911" s="30" t="n"/>
    </row>
    <row r="3912">
      <c r="A3912" s="30" t="n"/>
    </row>
    <row r="3913">
      <c r="A3913" s="30" t="n"/>
    </row>
    <row r="3914">
      <c r="A3914" s="30" t="n"/>
    </row>
    <row r="3915">
      <c r="A3915" s="30" t="n"/>
    </row>
    <row r="3916">
      <c r="A3916" s="30" t="n"/>
    </row>
    <row r="3917">
      <c r="A3917" s="30" t="n"/>
    </row>
    <row r="3918">
      <c r="A3918" s="30" t="n"/>
    </row>
    <row r="3919">
      <c r="A3919" s="30" t="n"/>
    </row>
    <row r="3920">
      <c r="A3920" s="30" t="n"/>
    </row>
    <row r="3921">
      <c r="A3921" s="30" t="n"/>
    </row>
    <row r="3922">
      <c r="A3922" s="30" t="n"/>
    </row>
    <row r="3923">
      <c r="A3923" s="30" t="n"/>
    </row>
    <row r="3924">
      <c r="A3924" s="30" t="n"/>
    </row>
    <row r="3925">
      <c r="A3925" s="30" t="n"/>
    </row>
    <row r="3926">
      <c r="A3926" s="30" t="n"/>
    </row>
    <row r="3927">
      <c r="A3927" s="30" t="n"/>
    </row>
    <row r="3928">
      <c r="A3928" s="30" t="n"/>
    </row>
    <row r="3929">
      <c r="A3929" s="30" t="n"/>
    </row>
    <row r="3930">
      <c r="A3930" s="30" t="n"/>
    </row>
    <row r="3931">
      <c r="A3931" s="30" t="n"/>
    </row>
    <row r="3932">
      <c r="A3932" s="30" t="n"/>
    </row>
    <row r="3933">
      <c r="A3933" s="30" t="n"/>
    </row>
    <row r="3934">
      <c r="A3934" s="30" t="n"/>
    </row>
    <row r="3935">
      <c r="A3935" s="30" t="n"/>
    </row>
    <row r="3936">
      <c r="A3936" s="30" t="n"/>
    </row>
    <row r="3937">
      <c r="A3937" s="30" t="n"/>
    </row>
    <row r="3938">
      <c r="A3938" s="30" t="n"/>
    </row>
    <row r="3939">
      <c r="A3939" s="30" t="n"/>
    </row>
    <row r="3940">
      <c r="A3940" s="30" t="n"/>
    </row>
    <row r="3941">
      <c r="A3941" s="30" t="n"/>
    </row>
    <row r="3942">
      <c r="A3942" s="30" t="n"/>
    </row>
    <row r="3943">
      <c r="A3943" s="30" t="n"/>
    </row>
    <row r="3944">
      <c r="A3944" s="30" t="n"/>
    </row>
    <row r="3945">
      <c r="A3945" s="30" t="n"/>
    </row>
    <row r="3946">
      <c r="A3946" s="30" t="n"/>
    </row>
    <row r="3947">
      <c r="A3947" s="30" t="n"/>
    </row>
    <row r="3948">
      <c r="A3948" s="30" t="n"/>
    </row>
    <row r="3949">
      <c r="A3949" s="30" t="n"/>
    </row>
    <row r="3950">
      <c r="A3950" s="30" t="n"/>
    </row>
    <row r="3951">
      <c r="A3951" s="30" t="n"/>
    </row>
    <row r="3952">
      <c r="A3952" s="30" t="n"/>
    </row>
    <row r="3953">
      <c r="A3953" s="30" t="n"/>
    </row>
    <row r="3954">
      <c r="A3954" s="30" t="n"/>
    </row>
    <row r="3955">
      <c r="A3955" s="30" t="n"/>
    </row>
    <row r="3956">
      <c r="A3956" s="30" t="n"/>
    </row>
    <row r="3957">
      <c r="A3957" s="30" t="n"/>
    </row>
    <row r="3958">
      <c r="A3958" s="30" t="n"/>
    </row>
    <row r="3959">
      <c r="A3959" s="30" t="n"/>
    </row>
    <row r="3960">
      <c r="A3960" s="30" t="n"/>
    </row>
    <row r="3961">
      <c r="A3961" s="30" t="n"/>
    </row>
    <row r="3962">
      <c r="A3962" s="30" t="n"/>
    </row>
    <row r="3963">
      <c r="A3963" s="30" t="n"/>
    </row>
    <row r="3964">
      <c r="A3964" s="30" t="n"/>
    </row>
    <row r="3965">
      <c r="A3965" s="30" t="n"/>
    </row>
    <row r="3966">
      <c r="A3966" s="30" t="n"/>
    </row>
    <row r="3967">
      <c r="A3967" s="30" t="n"/>
    </row>
    <row r="3968">
      <c r="A3968" s="30" t="n"/>
    </row>
    <row r="3969">
      <c r="A3969" s="30" t="n"/>
    </row>
    <row r="3970">
      <c r="A3970" s="30" t="n"/>
    </row>
    <row r="3971">
      <c r="A3971" s="30" t="n"/>
    </row>
    <row r="3972">
      <c r="A3972" s="30" t="n"/>
    </row>
    <row r="3973">
      <c r="A3973" s="30" t="n"/>
    </row>
    <row r="3974">
      <c r="A3974" s="30" t="n"/>
    </row>
    <row r="3975">
      <c r="A3975" s="30" t="n"/>
    </row>
    <row r="3976">
      <c r="A3976" s="30" t="n"/>
    </row>
    <row r="3977">
      <c r="A3977" s="30" t="n"/>
    </row>
    <row r="3978">
      <c r="A3978" s="30" t="n"/>
    </row>
    <row r="3979">
      <c r="A3979" s="30" t="n"/>
    </row>
    <row r="3980">
      <c r="A3980" s="30" t="n"/>
    </row>
    <row r="3981">
      <c r="A3981" s="30" t="n"/>
    </row>
    <row r="3982">
      <c r="A3982" s="30" t="n"/>
    </row>
    <row r="3983">
      <c r="A3983" s="30" t="n"/>
    </row>
    <row r="3984">
      <c r="A3984" s="30" t="n"/>
    </row>
    <row r="3985">
      <c r="A3985" s="30" t="n"/>
    </row>
    <row r="3986">
      <c r="A3986" s="30" t="n"/>
    </row>
    <row r="3987">
      <c r="A3987" s="30" t="n"/>
    </row>
    <row r="3988">
      <c r="A3988" s="30" t="n"/>
    </row>
    <row r="3989">
      <c r="A3989" s="30" t="n"/>
    </row>
    <row r="3990">
      <c r="A3990" s="30" t="n"/>
    </row>
    <row r="3991">
      <c r="A3991" s="30" t="n"/>
    </row>
    <row r="3992">
      <c r="A3992" s="30" t="n"/>
    </row>
    <row r="3993">
      <c r="A3993" s="30" t="n"/>
    </row>
    <row r="3994">
      <c r="A3994" s="30" t="n"/>
    </row>
    <row r="3995">
      <c r="A3995" s="30" t="n"/>
    </row>
    <row r="3996">
      <c r="A3996" s="30" t="n"/>
    </row>
    <row r="3997">
      <c r="A3997" s="30" t="n"/>
    </row>
    <row r="3998">
      <c r="A3998" s="30" t="n"/>
    </row>
    <row r="3999">
      <c r="A3999" s="30" t="n"/>
    </row>
    <row r="4000">
      <c r="A4000" s="30" t="n"/>
    </row>
    <row r="4001">
      <c r="A4001" s="30" t="n"/>
    </row>
    <row r="4002">
      <c r="A4002" s="30" t="n"/>
    </row>
    <row r="4003">
      <c r="A4003" s="30" t="n"/>
    </row>
    <row r="4004">
      <c r="A4004" s="30" t="n"/>
    </row>
    <row r="4005">
      <c r="A4005" s="30" t="n"/>
    </row>
    <row r="4006">
      <c r="A4006" s="30" t="n"/>
    </row>
    <row r="4007">
      <c r="A4007" s="30" t="n"/>
    </row>
    <row r="4008">
      <c r="A4008" s="30" t="n"/>
    </row>
    <row r="4009">
      <c r="A4009" s="30" t="n"/>
    </row>
    <row r="4010">
      <c r="A4010" s="30" t="n"/>
    </row>
    <row r="4011">
      <c r="A4011" s="30" t="n"/>
    </row>
    <row r="4012">
      <c r="A4012" s="30" t="n"/>
    </row>
    <row r="4013">
      <c r="A4013" s="30" t="n"/>
    </row>
    <row r="4014">
      <c r="A4014" s="30" t="n"/>
    </row>
    <row r="4015">
      <c r="A4015" s="30" t="n"/>
    </row>
    <row r="4016">
      <c r="A4016" s="30" t="n"/>
    </row>
    <row r="4017">
      <c r="A4017" s="30" t="n"/>
    </row>
    <row r="4018">
      <c r="A4018" s="30" t="n"/>
    </row>
    <row r="4019">
      <c r="A4019" s="30" t="n"/>
    </row>
    <row r="4020">
      <c r="A4020" s="30" t="n"/>
    </row>
    <row r="4021">
      <c r="A4021" s="30" t="n"/>
    </row>
    <row r="4022">
      <c r="A4022" s="30" t="n"/>
    </row>
    <row r="4023">
      <c r="A4023" s="30" t="n"/>
    </row>
    <row r="4024">
      <c r="A4024" s="30" t="n"/>
    </row>
    <row r="4025">
      <c r="A4025" s="30" t="n"/>
    </row>
    <row r="4026">
      <c r="A4026" s="30" t="n"/>
    </row>
    <row r="4027">
      <c r="A4027" s="30" t="n"/>
    </row>
    <row r="4028">
      <c r="A4028" s="30" t="n"/>
    </row>
    <row r="4029">
      <c r="A4029" s="30" t="n"/>
    </row>
    <row r="4030">
      <c r="A4030" s="30" t="n"/>
    </row>
    <row r="4031">
      <c r="A4031" s="30" t="n"/>
    </row>
    <row r="4032">
      <c r="A4032" s="30" t="n"/>
    </row>
    <row r="4033">
      <c r="A4033" s="30" t="n"/>
    </row>
    <row r="4034">
      <c r="A4034" s="30" t="n"/>
    </row>
    <row r="4035">
      <c r="A4035" s="30" t="n"/>
    </row>
    <row r="4036">
      <c r="A4036" s="30" t="n"/>
    </row>
    <row r="4037">
      <c r="A4037" s="30" t="n"/>
    </row>
    <row r="4038">
      <c r="A4038" s="30" t="n"/>
    </row>
    <row r="4039">
      <c r="A4039" s="30" t="n"/>
    </row>
    <row r="4040">
      <c r="A4040" s="30" t="n"/>
    </row>
    <row r="4041">
      <c r="A4041" s="30" t="n"/>
    </row>
    <row r="4042">
      <c r="A4042" s="30" t="n"/>
    </row>
    <row r="4043">
      <c r="A4043" s="30" t="n"/>
    </row>
    <row r="4044">
      <c r="A4044" s="30" t="n"/>
    </row>
    <row r="4045">
      <c r="A4045" s="30" t="n"/>
    </row>
    <row r="4046">
      <c r="A4046" s="30" t="n"/>
    </row>
    <row r="4047">
      <c r="A4047" s="30" t="n"/>
    </row>
    <row r="4048">
      <c r="A4048" s="30" t="n"/>
    </row>
    <row r="4049">
      <c r="A4049" s="30" t="n"/>
    </row>
    <row r="4050">
      <c r="A4050" s="30" t="n"/>
    </row>
    <row r="4051">
      <c r="A4051" s="30" t="n"/>
    </row>
    <row r="4052">
      <c r="A4052" s="30" t="n"/>
    </row>
    <row r="4053">
      <c r="A4053" s="30" t="n"/>
    </row>
    <row r="4054">
      <c r="A4054" s="30" t="n"/>
    </row>
    <row r="4055">
      <c r="A4055" s="30" t="n"/>
    </row>
    <row r="4056">
      <c r="A4056" s="30" t="n"/>
    </row>
    <row r="4057">
      <c r="A4057" s="30" t="n"/>
    </row>
    <row r="4058">
      <c r="A4058" s="30" t="n"/>
    </row>
    <row r="4059">
      <c r="A4059" s="30" t="n"/>
    </row>
    <row r="4060">
      <c r="A4060" s="30" t="n"/>
    </row>
    <row r="4061">
      <c r="A4061" s="30" t="n"/>
    </row>
    <row r="4062">
      <c r="A4062" s="30" t="n"/>
    </row>
    <row r="4063">
      <c r="A4063" s="30" t="n"/>
    </row>
    <row r="4064">
      <c r="A4064" s="30" t="n"/>
    </row>
    <row r="4065">
      <c r="A4065" s="30" t="n"/>
    </row>
    <row r="4066">
      <c r="A4066" s="30" t="n"/>
    </row>
    <row r="4067">
      <c r="A4067" s="30" t="n"/>
    </row>
    <row r="4068">
      <c r="A4068" s="30" t="n"/>
    </row>
    <row r="4069">
      <c r="A4069" s="30" t="n"/>
    </row>
    <row r="4070">
      <c r="A4070" s="30" t="n"/>
    </row>
    <row r="4071">
      <c r="A4071" s="30" t="n"/>
    </row>
    <row r="4072">
      <c r="A4072" s="30" t="n"/>
    </row>
    <row r="4073">
      <c r="A4073" s="30" t="n"/>
    </row>
    <row r="4074">
      <c r="A4074" s="30" t="n"/>
    </row>
    <row r="4075">
      <c r="A4075" s="30" t="n"/>
    </row>
    <row r="4076">
      <c r="A4076" s="30" t="n"/>
    </row>
    <row r="4077">
      <c r="A4077" s="30" t="n"/>
    </row>
    <row r="4078">
      <c r="A4078" s="30" t="n"/>
    </row>
    <row r="4079">
      <c r="A4079" s="30" t="n"/>
    </row>
    <row r="4080">
      <c r="A4080" s="30" t="n"/>
    </row>
    <row r="4081">
      <c r="A4081" s="30" t="n"/>
    </row>
    <row r="4082">
      <c r="A4082" s="30" t="n"/>
    </row>
    <row r="4083">
      <c r="A4083" s="30" t="n"/>
    </row>
    <row r="4084">
      <c r="A4084" s="30" t="n"/>
    </row>
    <row r="4085">
      <c r="A4085" s="30" t="n"/>
    </row>
    <row r="4086">
      <c r="A4086" s="30" t="n"/>
    </row>
    <row r="4087">
      <c r="A4087" s="30" t="n"/>
    </row>
    <row r="4088">
      <c r="A4088" s="30" t="n"/>
    </row>
    <row r="4089">
      <c r="A4089" s="30" t="n"/>
    </row>
    <row r="4090">
      <c r="A4090" s="30" t="n"/>
    </row>
    <row r="4091">
      <c r="A4091" s="30" t="n"/>
    </row>
    <row r="4092">
      <c r="A4092" s="30" t="n"/>
    </row>
    <row r="4093">
      <c r="A4093" s="30" t="n"/>
    </row>
    <row r="4094">
      <c r="A4094" s="30" t="n"/>
    </row>
    <row r="4095">
      <c r="A4095" s="30" t="n"/>
    </row>
    <row r="4096">
      <c r="A4096" s="30" t="n"/>
    </row>
    <row r="4097">
      <c r="A4097" s="30" t="n"/>
    </row>
    <row r="4098">
      <c r="A4098" s="30" t="n"/>
    </row>
    <row r="4099">
      <c r="A4099" s="30" t="n"/>
    </row>
    <row r="4100">
      <c r="A4100" s="30" t="n"/>
    </row>
    <row r="4101">
      <c r="A4101" s="30" t="n"/>
    </row>
    <row r="4102">
      <c r="A4102" s="30" t="n"/>
    </row>
    <row r="4103">
      <c r="A4103" s="30" t="n"/>
    </row>
    <row r="4104">
      <c r="A4104" s="30" t="n"/>
    </row>
    <row r="4105">
      <c r="A4105" s="30" t="n"/>
    </row>
    <row r="4106">
      <c r="A4106" s="30" t="n"/>
    </row>
    <row r="4107">
      <c r="A4107" s="30" t="n"/>
    </row>
    <row r="4108">
      <c r="A4108" s="30" t="n"/>
    </row>
    <row r="4109">
      <c r="A4109" s="30" t="n"/>
    </row>
    <row r="4110">
      <c r="A4110" s="30" t="n"/>
    </row>
    <row r="4111">
      <c r="A4111" s="30" t="n"/>
    </row>
    <row r="4112">
      <c r="A4112" s="30" t="n"/>
    </row>
    <row r="4113">
      <c r="A4113" s="30" t="n"/>
    </row>
    <row r="4114">
      <c r="A4114" s="30" t="n"/>
    </row>
    <row r="4115">
      <c r="A4115" s="30" t="n"/>
    </row>
    <row r="4116">
      <c r="A4116" s="30" t="n"/>
    </row>
    <row r="4117">
      <c r="A4117" s="30" t="n"/>
    </row>
    <row r="4118">
      <c r="A4118" s="30" t="n"/>
    </row>
    <row r="4119">
      <c r="A4119" s="30" t="n"/>
    </row>
    <row r="4120">
      <c r="A4120" s="30" t="n"/>
    </row>
    <row r="4121">
      <c r="A4121" s="30" t="n"/>
    </row>
    <row r="4122">
      <c r="A4122" s="30" t="n"/>
    </row>
    <row r="4123">
      <c r="A4123" s="30" t="n"/>
    </row>
    <row r="4124">
      <c r="A4124" s="30" t="n"/>
    </row>
    <row r="4125">
      <c r="A4125" s="30" t="n"/>
    </row>
    <row r="4126">
      <c r="A4126" s="30" t="n"/>
    </row>
    <row r="4127">
      <c r="A4127" s="30" t="n"/>
    </row>
    <row r="4128">
      <c r="A4128" s="30" t="n"/>
    </row>
    <row r="4129">
      <c r="A4129" s="30" t="n"/>
    </row>
    <row r="4130">
      <c r="A4130" s="30" t="n"/>
    </row>
    <row r="4131">
      <c r="A4131" s="30" t="n"/>
    </row>
    <row r="4132">
      <c r="A4132" s="30" t="n"/>
    </row>
    <row r="4133">
      <c r="A4133" s="30" t="n"/>
    </row>
    <row r="4134">
      <c r="A4134" s="30" t="n"/>
    </row>
    <row r="4135">
      <c r="A4135" s="30" t="n"/>
    </row>
    <row r="4136">
      <c r="A4136" s="30" t="n"/>
    </row>
    <row r="4137">
      <c r="A4137" s="30" t="n"/>
    </row>
    <row r="4138">
      <c r="A4138" s="30" t="n"/>
    </row>
    <row r="4139">
      <c r="A4139" s="30" t="n"/>
    </row>
    <row r="4140">
      <c r="A4140" s="30" t="n"/>
    </row>
    <row r="4141">
      <c r="A4141" s="30" t="n"/>
    </row>
    <row r="4142">
      <c r="A4142" s="30" t="n"/>
    </row>
    <row r="4143">
      <c r="A4143" s="30" t="n"/>
    </row>
    <row r="4144">
      <c r="A4144" s="30" t="n"/>
    </row>
    <row r="4145">
      <c r="A4145" s="30" t="n"/>
    </row>
    <row r="4146">
      <c r="A4146" s="30" t="n"/>
    </row>
    <row r="4147">
      <c r="A4147" s="30" t="n"/>
    </row>
    <row r="4148">
      <c r="A4148" s="30" t="n"/>
    </row>
    <row r="4149">
      <c r="A4149" s="30" t="n"/>
    </row>
    <row r="4150">
      <c r="A4150" s="30" t="n"/>
    </row>
    <row r="4151">
      <c r="A4151" s="30" t="n"/>
    </row>
    <row r="4152">
      <c r="A4152" s="30" t="n"/>
    </row>
    <row r="4153">
      <c r="A4153" s="30" t="n"/>
    </row>
    <row r="4154">
      <c r="A4154" s="30" t="n"/>
    </row>
    <row r="4155">
      <c r="A4155" s="30" t="n"/>
    </row>
    <row r="4156">
      <c r="A4156" s="30" t="n"/>
    </row>
    <row r="4157">
      <c r="A4157" s="30" t="n"/>
    </row>
    <row r="4158">
      <c r="A4158" s="30" t="n"/>
    </row>
    <row r="4159">
      <c r="A4159" s="30" t="n"/>
    </row>
    <row r="4160">
      <c r="A4160" s="30" t="n"/>
    </row>
    <row r="4161">
      <c r="A4161" s="30" t="n"/>
    </row>
    <row r="4162">
      <c r="A4162" s="30" t="n"/>
    </row>
    <row r="4163">
      <c r="A4163" s="30" t="n"/>
    </row>
    <row r="4164">
      <c r="A4164" s="30" t="n"/>
    </row>
    <row r="4165">
      <c r="A4165" s="30" t="n"/>
    </row>
    <row r="4166">
      <c r="A4166" s="30" t="n"/>
    </row>
    <row r="4167">
      <c r="A4167" s="30" t="n"/>
    </row>
    <row r="4168">
      <c r="A4168" s="30" t="n"/>
    </row>
    <row r="4169">
      <c r="A4169" s="30" t="n"/>
    </row>
    <row r="4170">
      <c r="A4170" s="30" t="n"/>
    </row>
    <row r="4171">
      <c r="A4171" s="30" t="n"/>
    </row>
    <row r="4172">
      <c r="A4172" s="30" t="n"/>
    </row>
    <row r="4173">
      <c r="A4173" s="30" t="n"/>
    </row>
    <row r="4174">
      <c r="A4174" s="30" t="n"/>
    </row>
    <row r="4175">
      <c r="A4175" s="30" t="n"/>
    </row>
    <row r="4176">
      <c r="A4176" s="30" t="n"/>
    </row>
    <row r="4177">
      <c r="A4177" s="30" t="n"/>
    </row>
    <row r="4178">
      <c r="A4178" s="30" t="n"/>
    </row>
    <row r="4179">
      <c r="A4179" s="30" t="n"/>
    </row>
    <row r="4180">
      <c r="A4180" s="30" t="n"/>
    </row>
    <row r="4181">
      <c r="A4181" s="30" t="n"/>
    </row>
    <row r="4182">
      <c r="A4182" s="30" t="n"/>
    </row>
    <row r="4183">
      <c r="A4183" s="30" t="n"/>
    </row>
    <row r="4184">
      <c r="A4184" s="30" t="n"/>
    </row>
    <row r="4185">
      <c r="A4185" s="30" t="n"/>
    </row>
    <row r="4186">
      <c r="A4186" s="30" t="n"/>
    </row>
    <row r="4187">
      <c r="A4187" s="30" t="n"/>
    </row>
    <row r="4188">
      <c r="A4188" s="30" t="n"/>
    </row>
    <row r="4189">
      <c r="A4189" s="30" t="n"/>
    </row>
    <row r="4190">
      <c r="A4190" s="30" t="n"/>
    </row>
    <row r="4191">
      <c r="A4191" s="30" t="n"/>
    </row>
    <row r="4192">
      <c r="A4192" s="30" t="n"/>
    </row>
    <row r="4193">
      <c r="A4193" s="30" t="n"/>
    </row>
    <row r="4194">
      <c r="A4194" s="30" t="n"/>
    </row>
    <row r="4195">
      <c r="A4195" s="30" t="n"/>
    </row>
    <row r="4196">
      <c r="A4196" s="30" t="n"/>
    </row>
    <row r="4197">
      <c r="A4197" s="30" t="n"/>
    </row>
    <row r="4198">
      <c r="A4198" s="30" t="n"/>
    </row>
    <row r="4199">
      <c r="A4199" s="30" t="n"/>
    </row>
    <row r="4200">
      <c r="A4200" s="30" t="n"/>
    </row>
    <row r="4201">
      <c r="A4201" s="30" t="n"/>
    </row>
    <row r="4202">
      <c r="A4202" s="30" t="n"/>
    </row>
    <row r="4203">
      <c r="A4203" s="30" t="n"/>
    </row>
    <row r="4204">
      <c r="A4204" s="30" t="n"/>
    </row>
    <row r="4205">
      <c r="A4205" s="30" t="n"/>
    </row>
    <row r="4206">
      <c r="A4206" s="30" t="n"/>
    </row>
    <row r="4207">
      <c r="A4207" s="30" t="n"/>
    </row>
    <row r="4208">
      <c r="A4208" s="30" t="n"/>
    </row>
    <row r="4209">
      <c r="A4209" s="30" t="n"/>
    </row>
    <row r="4210">
      <c r="A4210" s="30" t="n"/>
    </row>
    <row r="4211">
      <c r="A4211" s="30" t="n"/>
    </row>
    <row r="4212">
      <c r="A4212" s="30" t="n"/>
    </row>
    <row r="4213">
      <c r="A4213" s="30" t="n"/>
    </row>
    <row r="4214">
      <c r="A4214" s="30" t="n"/>
    </row>
    <row r="4215">
      <c r="A4215" s="30" t="n"/>
    </row>
    <row r="4216">
      <c r="A4216" s="30" t="n"/>
    </row>
    <row r="4217">
      <c r="A4217" s="30" t="n"/>
    </row>
    <row r="4218">
      <c r="A4218" s="30" t="n"/>
    </row>
    <row r="4219">
      <c r="A4219" s="30" t="n"/>
    </row>
    <row r="4220">
      <c r="A4220" s="30" t="n"/>
    </row>
    <row r="4221">
      <c r="A4221" s="30" t="n"/>
    </row>
    <row r="4222">
      <c r="A4222" s="30" t="n"/>
    </row>
    <row r="4223">
      <c r="A4223" s="30" t="n"/>
    </row>
    <row r="4224">
      <c r="A4224" s="30" t="n"/>
    </row>
    <row r="4225">
      <c r="A4225" s="30" t="n"/>
    </row>
    <row r="4226">
      <c r="A4226" s="30" t="n"/>
    </row>
    <row r="4227">
      <c r="A4227" s="30" t="n"/>
    </row>
    <row r="4228">
      <c r="A4228" s="30" t="n"/>
    </row>
    <row r="4229">
      <c r="A4229" s="30" t="n"/>
    </row>
    <row r="4230">
      <c r="A4230" s="30" t="n"/>
    </row>
    <row r="4231">
      <c r="A4231" s="30" t="n"/>
    </row>
    <row r="4232">
      <c r="A4232" s="30" t="n"/>
    </row>
    <row r="4233">
      <c r="A4233" s="30" t="n"/>
    </row>
    <row r="4234">
      <c r="A4234" s="30" t="n"/>
    </row>
    <row r="4235">
      <c r="A4235" s="30" t="n"/>
    </row>
    <row r="4236">
      <c r="A4236" s="30" t="n"/>
    </row>
    <row r="4237">
      <c r="A4237" s="30" t="n"/>
    </row>
    <row r="4238">
      <c r="A4238" s="30" t="n"/>
    </row>
    <row r="4239">
      <c r="A4239" s="30" t="n"/>
    </row>
    <row r="4240">
      <c r="A4240" s="30" t="n"/>
    </row>
    <row r="4241">
      <c r="A4241" s="30" t="n"/>
    </row>
    <row r="4242">
      <c r="A4242" s="30" t="n"/>
    </row>
    <row r="4243">
      <c r="A4243" s="30" t="n"/>
    </row>
    <row r="4244">
      <c r="A4244" s="30" t="n"/>
    </row>
    <row r="4245">
      <c r="A4245" s="30" t="n"/>
    </row>
    <row r="4246">
      <c r="A4246" s="30" t="n"/>
    </row>
    <row r="4247">
      <c r="A4247" s="30" t="n"/>
    </row>
    <row r="4248">
      <c r="A4248" s="30" t="n"/>
    </row>
    <row r="4249">
      <c r="A4249" s="30" t="n"/>
    </row>
    <row r="4250">
      <c r="A4250" s="30" t="n"/>
    </row>
    <row r="4251">
      <c r="A4251" s="30" t="n"/>
    </row>
    <row r="4252">
      <c r="A4252" s="30" t="n"/>
    </row>
    <row r="4253">
      <c r="A4253" s="30" t="n"/>
    </row>
    <row r="4254">
      <c r="A4254" s="30" t="n"/>
    </row>
    <row r="4255">
      <c r="A4255" s="30" t="n"/>
    </row>
    <row r="4256">
      <c r="A4256" s="30" t="n"/>
    </row>
    <row r="4257">
      <c r="A4257" s="30" t="n"/>
    </row>
    <row r="4258">
      <c r="A4258" s="30" t="n"/>
    </row>
    <row r="4259">
      <c r="A4259" s="30" t="n"/>
    </row>
    <row r="4260">
      <c r="A4260" s="30" t="n"/>
    </row>
    <row r="4261">
      <c r="A4261" s="30" t="n"/>
    </row>
    <row r="4262">
      <c r="A4262" s="30" t="n"/>
    </row>
    <row r="4263">
      <c r="A4263" s="30" t="n"/>
    </row>
    <row r="4264">
      <c r="A4264" s="30" t="n"/>
    </row>
    <row r="4265">
      <c r="A4265" s="30" t="n"/>
    </row>
    <row r="4266">
      <c r="A4266" s="30" t="n"/>
    </row>
    <row r="4267">
      <c r="A4267" s="30" t="n"/>
    </row>
    <row r="4268">
      <c r="A4268" s="30" t="n"/>
    </row>
    <row r="4269">
      <c r="A4269" s="30" t="n"/>
    </row>
    <row r="4270">
      <c r="A4270" s="30" t="n"/>
    </row>
    <row r="4271">
      <c r="A4271" s="30" t="n"/>
    </row>
    <row r="4272">
      <c r="A4272" s="30" t="n"/>
    </row>
    <row r="4273">
      <c r="A4273" s="30" t="n"/>
    </row>
    <row r="4274">
      <c r="A4274" s="30" t="n"/>
    </row>
    <row r="4275">
      <c r="A4275" s="30" t="n"/>
    </row>
    <row r="4276">
      <c r="A4276" s="30" t="n"/>
    </row>
    <row r="4277">
      <c r="A4277" s="30" t="n"/>
    </row>
    <row r="4278">
      <c r="A4278" s="30" t="n"/>
    </row>
    <row r="4279">
      <c r="A4279" s="30" t="n"/>
    </row>
    <row r="4280">
      <c r="A4280" s="30" t="n"/>
    </row>
    <row r="4281">
      <c r="A4281" s="30" t="n"/>
    </row>
    <row r="4282">
      <c r="A4282" s="30" t="n"/>
    </row>
    <row r="4283">
      <c r="A4283" s="30" t="n"/>
    </row>
    <row r="4284">
      <c r="A4284" s="30" t="n"/>
    </row>
    <row r="4285">
      <c r="A4285" s="30" t="n"/>
    </row>
    <row r="4286">
      <c r="A4286" s="30" t="n"/>
    </row>
    <row r="4287">
      <c r="A4287" s="30" t="n"/>
    </row>
    <row r="4288">
      <c r="A4288" s="30" t="n"/>
    </row>
    <row r="4289">
      <c r="A4289" s="30" t="n"/>
    </row>
    <row r="4290">
      <c r="A4290" s="30" t="n"/>
    </row>
    <row r="4291">
      <c r="A4291" s="30" t="n"/>
    </row>
    <row r="4292">
      <c r="A4292" s="30" t="n"/>
    </row>
    <row r="4293">
      <c r="A4293" s="30" t="n"/>
    </row>
    <row r="4294">
      <c r="A4294" s="30" t="n"/>
    </row>
    <row r="4295">
      <c r="A4295" s="30" t="n"/>
    </row>
    <row r="4296">
      <c r="A4296" s="30" t="n"/>
    </row>
    <row r="4297">
      <c r="A4297" s="30" t="n"/>
    </row>
    <row r="4298">
      <c r="A4298" s="30" t="n"/>
    </row>
    <row r="4299">
      <c r="A4299" s="30" t="n"/>
    </row>
    <row r="4300">
      <c r="A4300" s="30" t="n"/>
    </row>
    <row r="4301">
      <c r="A4301" s="30" t="n"/>
    </row>
    <row r="4302">
      <c r="A4302" s="30" t="n"/>
    </row>
    <row r="4303">
      <c r="A4303" s="30" t="n"/>
    </row>
    <row r="4304">
      <c r="A4304" s="30" t="n"/>
    </row>
    <row r="4305">
      <c r="A4305" s="30" t="n"/>
    </row>
    <row r="4306">
      <c r="A4306" s="30" t="n"/>
    </row>
    <row r="4307">
      <c r="A4307" s="30" t="n"/>
    </row>
    <row r="4308">
      <c r="A4308" s="30" t="n"/>
    </row>
    <row r="4309">
      <c r="A4309" s="30" t="n"/>
    </row>
    <row r="4310">
      <c r="A4310" s="30" t="n"/>
    </row>
    <row r="4311">
      <c r="A4311" s="30" t="n"/>
    </row>
    <row r="4312">
      <c r="A4312" s="30" t="n"/>
    </row>
    <row r="4313">
      <c r="A4313" s="30" t="n"/>
    </row>
    <row r="4314">
      <c r="A4314" s="30" t="n"/>
    </row>
    <row r="4315">
      <c r="A4315" s="30" t="n"/>
    </row>
    <row r="4316">
      <c r="A4316" s="30" t="n"/>
    </row>
    <row r="4317">
      <c r="A4317" s="30" t="n"/>
    </row>
    <row r="4318">
      <c r="A4318" s="30" t="n"/>
    </row>
    <row r="4319">
      <c r="A4319" s="30" t="n"/>
    </row>
    <row r="4320">
      <c r="A4320" s="30" t="n"/>
    </row>
    <row r="4321">
      <c r="A4321" s="30" t="n"/>
    </row>
    <row r="4322">
      <c r="A4322" s="30" t="n"/>
    </row>
    <row r="4323">
      <c r="A4323" s="30" t="n"/>
    </row>
    <row r="4324">
      <c r="A4324" s="30" t="n"/>
    </row>
    <row r="4325">
      <c r="A4325" s="30" t="n"/>
    </row>
    <row r="4326">
      <c r="A4326" s="30" t="n"/>
    </row>
    <row r="4327">
      <c r="A4327" s="30" t="n"/>
    </row>
    <row r="4328">
      <c r="A4328" s="30" t="n"/>
    </row>
    <row r="4329">
      <c r="A4329" s="30" t="n"/>
    </row>
    <row r="4330">
      <c r="A4330" s="30" t="n"/>
    </row>
    <row r="4331">
      <c r="A4331" s="30" t="n"/>
    </row>
    <row r="4332">
      <c r="A4332" s="30" t="n"/>
    </row>
    <row r="4333">
      <c r="A4333" s="30" t="n"/>
    </row>
    <row r="4334">
      <c r="A4334" s="30" t="n"/>
    </row>
    <row r="4335">
      <c r="A4335" s="30" t="n"/>
    </row>
    <row r="4336">
      <c r="A4336" s="30" t="n"/>
    </row>
    <row r="4337">
      <c r="A4337" s="30" t="n"/>
    </row>
    <row r="4338">
      <c r="A4338" s="30" t="n"/>
    </row>
    <row r="4339">
      <c r="A4339" s="30" t="n"/>
    </row>
    <row r="4340">
      <c r="A4340" s="30" t="n"/>
    </row>
    <row r="4341">
      <c r="A4341" s="30" t="n"/>
    </row>
    <row r="4342">
      <c r="A4342" s="30" t="n"/>
    </row>
    <row r="4343">
      <c r="A4343" s="30" t="n"/>
    </row>
    <row r="4344">
      <c r="A4344" s="30" t="n"/>
    </row>
    <row r="4345">
      <c r="A4345" s="30" t="n"/>
    </row>
    <row r="4346">
      <c r="A4346" s="30" t="n"/>
    </row>
    <row r="4347">
      <c r="A4347" s="30" t="n"/>
    </row>
    <row r="4348">
      <c r="A4348" s="30" t="n"/>
    </row>
    <row r="4349">
      <c r="A4349" s="30" t="n"/>
    </row>
    <row r="4350">
      <c r="A4350" s="30" t="n"/>
    </row>
    <row r="4351">
      <c r="A4351" s="30" t="n"/>
    </row>
    <row r="4352">
      <c r="A4352" s="30" t="n"/>
    </row>
    <row r="4353">
      <c r="A4353" s="30" t="n"/>
    </row>
    <row r="4354">
      <c r="A4354" s="30" t="n"/>
    </row>
    <row r="4355">
      <c r="A4355" s="30" t="n"/>
    </row>
    <row r="4356">
      <c r="A4356" s="30" t="n"/>
    </row>
    <row r="4357">
      <c r="A4357" s="30" t="n"/>
    </row>
    <row r="4358">
      <c r="A4358" s="30" t="n"/>
    </row>
    <row r="4359">
      <c r="A4359" s="30" t="n"/>
    </row>
    <row r="4360">
      <c r="A4360" s="30" t="n"/>
    </row>
    <row r="4361">
      <c r="A4361" s="30" t="n"/>
    </row>
    <row r="4362">
      <c r="A4362" s="30" t="n"/>
    </row>
    <row r="4363">
      <c r="A4363" s="30" t="n"/>
    </row>
    <row r="4364">
      <c r="A4364" s="30" t="n"/>
    </row>
    <row r="4365">
      <c r="A4365" s="30" t="n"/>
    </row>
    <row r="4366">
      <c r="A4366" s="30" t="n"/>
    </row>
    <row r="4367">
      <c r="A4367" s="30" t="n"/>
    </row>
    <row r="4368">
      <c r="A4368" s="30" t="n"/>
    </row>
    <row r="4369">
      <c r="A4369" s="30" t="n"/>
    </row>
    <row r="4370">
      <c r="A4370" s="30" t="n"/>
    </row>
    <row r="4371">
      <c r="A4371" s="30" t="n"/>
    </row>
    <row r="4372">
      <c r="A4372" s="30" t="n"/>
    </row>
    <row r="4373">
      <c r="A4373" s="30" t="n"/>
    </row>
    <row r="4374">
      <c r="A4374" s="30" t="n"/>
    </row>
    <row r="4375">
      <c r="A4375" s="30" t="n"/>
    </row>
    <row r="4376">
      <c r="A4376" s="30" t="n"/>
    </row>
    <row r="4377">
      <c r="A4377" s="30" t="n"/>
    </row>
    <row r="4378">
      <c r="A4378" s="30" t="n"/>
    </row>
    <row r="4379">
      <c r="A4379" s="30" t="n"/>
    </row>
    <row r="4380">
      <c r="A4380" s="30" t="n"/>
    </row>
    <row r="4381">
      <c r="A4381" s="30" t="n"/>
    </row>
    <row r="4382">
      <c r="A4382" s="30" t="n"/>
    </row>
    <row r="4383">
      <c r="A4383" s="30" t="n"/>
    </row>
    <row r="4384">
      <c r="A4384" s="30" t="n"/>
    </row>
    <row r="4385">
      <c r="A4385" s="30" t="n"/>
    </row>
    <row r="4386">
      <c r="A4386" s="30" t="n"/>
    </row>
    <row r="4387">
      <c r="A4387" s="30" t="n"/>
    </row>
    <row r="4388">
      <c r="A4388" s="30" t="n"/>
    </row>
    <row r="4389">
      <c r="A4389" s="30" t="n"/>
    </row>
    <row r="4390">
      <c r="A4390" s="30" t="n"/>
    </row>
    <row r="4391">
      <c r="A4391" s="30" t="n"/>
    </row>
    <row r="4392">
      <c r="A4392" s="30" t="n"/>
    </row>
    <row r="4393">
      <c r="A4393" s="30" t="n"/>
    </row>
    <row r="4394">
      <c r="A4394" s="30" t="n"/>
    </row>
    <row r="4395">
      <c r="A4395" s="30" t="n"/>
    </row>
    <row r="4396">
      <c r="A4396" s="30" t="n"/>
    </row>
    <row r="4397">
      <c r="A4397" s="30" t="n"/>
    </row>
    <row r="4398">
      <c r="A4398" s="30" t="n"/>
    </row>
    <row r="4399">
      <c r="A4399" s="30" t="n"/>
    </row>
    <row r="4400">
      <c r="A4400" s="30" t="n"/>
    </row>
    <row r="4401">
      <c r="A4401" s="30" t="n"/>
    </row>
    <row r="4402">
      <c r="A4402" s="30" t="n"/>
    </row>
    <row r="4403">
      <c r="A4403" s="30" t="n"/>
    </row>
    <row r="4404">
      <c r="A4404" s="30" t="n"/>
    </row>
    <row r="4405">
      <c r="A4405" s="30" t="n"/>
    </row>
    <row r="4406">
      <c r="A4406" s="30" t="n"/>
    </row>
    <row r="4407">
      <c r="A4407" s="30" t="n"/>
    </row>
    <row r="4408">
      <c r="A4408" s="30" t="n"/>
    </row>
    <row r="4409">
      <c r="A4409" s="30" t="n"/>
    </row>
    <row r="4410">
      <c r="A4410" s="30" t="n"/>
    </row>
    <row r="4411">
      <c r="A4411" s="30" t="n"/>
    </row>
    <row r="4412">
      <c r="A4412" s="30" t="n"/>
    </row>
    <row r="4413">
      <c r="A4413" s="30" t="n"/>
    </row>
    <row r="4414">
      <c r="A4414" s="30" t="n"/>
    </row>
    <row r="4415">
      <c r="A4415" s="30" t="n"/>
    </row>
    <row r="4416">
      <c r="A4416" s="30" t="n"/>
    </row>
    <row r="4417">
      <c r="A4417" s="30" t="n"/>
    </row>
    <row r="4418">
      <c r="A4418" s="30" t="n"/>
    </row>
    <row r="4419">
      <c r="A4419" s="30" t="n"/>
    </row>
    <row r="4420">
      <c r="A4420" s="30" t="n"/>
    </row>
    <row r="4421">
      <c r="A4421" s="30" t="n"/>
    </row>
    <row r="4422">
      <c r="A4422" s="30" t="n"/>
    </row>
    <row r="4423">
      <c r="A4423" s="30" t="n"/>
    </row>
    <row r="4424">
      <c r="A4424" s="30" t="n"/>
    </row>
    <row r="4425">
      <c r="A4425" s="30" t="n"/>
    </row>
    <row r="4426">
      <c r="A4426" s="30" t="n"/>
    </row>
    <row r="4427">
      <c r="A4427" s="30" t="n"/>
    </row>
    <row r="4428">
      <c r="A4428" s="30" t="n"/>
    </row>
    <row r="4429">
      <c r="A4429" s="30" t="n"/>
    </row>
    <row r="4430">
      <c r="A4430" s="30" t="n"/>
    </row>
    <row r="4431">
      <c r="A4431" s="30" t="n"/>
    </row>
    <row r="4432">
      <c r="A4432" s="30" t="n"/>
    </row>
    <row r="4433">
      <c r="A4433" s="30" t="n"/>
    </row>
    <row r="4434">
      <c r="A4434" s="30" t="n"/>
    </row>
    <row r="4435">
      <c r="A4435" s="30" t="n"/>
    </row>
    <row r="4436">
      <c r="A4436" s="30" t="n"/>
    </row>
    <row r="4437">
      <c r="A4437" s="30" t="n"/>
    </row>
    <row r="4438">
      <c r="A4438" s="30" t="n"/>
    </row>
    <row r="4439">
      <c r="A4439" s="30" t="n"/>
    </row>
    <row r="4440">
      <c r="A4440" s="30" t="n"/>
    </row>
    <row r="4441">
      <c r="A4441" s="30" t="n"/>
    </row>
    <row r="4442">
      <c r="A4442" s="30" t="n"/>
    </row>
    <row r="4443">
      <c r="A4443" s="30" t="n"/>
    </row>
    <row r="4444">
      <c r="A4444" s="30" t="n"/>
    </row>
    <row r="4445">
      <c r="A4445" s="30" t="n"/>
    </row>
    <row r="4446">
      <c r="A4446" s="30" t="n"/>
    </row>
    <row r="4447">
      <c r="A4447" s="30" t="n"/>
    </row>
    <row r="4448">
      <c r="A4448" s="30" t="n"/>
    </row>
    <row r="4449">
      <c r="A4449" s="30" t="n"/>
    </row>
    <row r="4450">
      <c r="A4450" s="30" t="n"/>
    </row>
    <row r="4451">
      <c r="A4451" s="30" t="n"/>
    </row>
    <row r="4452">
      <c r="A4452" s="30" t="n"/>
    </row>
    <row r="4453">
      <c r="A4453" s="30" t="n"/>
    </row>
    <row r="4454">
      <c r="A4454" s="30" t="n"/>
    </row>
    <row r="4455">
      <c r="A4455" s="30" t="n"/>
    </row>
    <row r="4456">
      <c r="A4456" s="30" t="n"/>
    </row>
    <row r="4457">
      <c r="A4457" s="30" t="n"/>
    </row>
    <row r="4458">
      <c r="A4458" s="30" t="n"/>
    </row>
    <row r="4459">
      <c r="A4459" s="30" t="n"/>
    </row>
    <row r="4460">
      <c r="A4460" s="30" t="n"/>
    </row>
    <row r="4461">
      <c r="A4461" s="30" t="n"/>
    </row>
    <row r="4462">
      <c r="A4462" s="30" t="n"/>
    </row>
    <row r="4463">
      <c r="A4463" s="30" t="n"/>
    </row>
    <row r="4464">
      <c r="A4464" s="30" t="n"/>
    </row>
    <row r="4465">
      <c r="A4465" s="30" t="n"/>
    </row>
    <row r="4466">
      <c r="A4466" s="30" t="n"/>
    </row>
    <row r="4467">
      <c r="A4467" s="30" t="n"/>
    </row>
    <row r="4468">
      <c r="A4468" s="30" t="n"/>
    </row>
    <row r="4469">
      <c r="A4469" s="30" t="n"/>
    </row>
    <row r="4470">
      <c r="A4470" s="30" t="n"/>
    </row>
    <row r="4471">
      <c r="A4471" s="30" t="n"/>
    </row>
    <row r="4472">
      <c r="A4472" s="30" t="n"/>
    </row>
    <row r="4473">
      <c r="A4473" s="30" t="n"/>
    </row>
    <row r="4474">
      <c r="A4474" s="30" t="n"/>
    </row>
    <row r="4475">
      <c r="A4475" s="30" t="n"/>
    </row>
    <row r="4476">
      <c r="A4476" s="30" t="n"/>
    </row>
    <row r="4477">
      <c r="A4477" s="30" t="n"/>
    </row>
    <row r="4478">
      <c r="A4478" s="30" t="n"/>
    </row>
    <row r="4479">
      <c r="A4479" s="30" t="n"/>
    </row>
    <row r="4480">
      <c r="A4480" s="30" t="n"/>
    </row>
    <row r="4481">
      <c r="A4481" s="30" t="n"/>
    </row>
    <row r="4482">
      <c r="A4482" s="30" t="n"/>
    </row>
    <row r="4483">
      <c r="A4483" s="30" t="n"/>
    </row>
    <row r="4484">
      <c r="A4484" s="30" t="n"/>
    </row>
    <row r="4485">
      <c r="A4485" s="30" t="n"/>
    </row>
    <row r="4486">
      <c r="A4486" s="30" t="n"/>
    </row>
    <row r="4487">
      <c r="A4487" s="30" t="n"/>
    </row>
    <row r="4488">
      <c r="A4488" s="30" t="n"/>
    </row>
    <row r="4489">
      <c r="A4489" s="30" t="n"/>
    </row>
    <row r="4490">
      <c r="A4490" s="30" t="n"/>
    </row>
    <row r="4491">
      <c r="A4491" s="30" t="n"/>
    </row>
    <row r="4492">
      <c r="A4492" s="30" t="n"/>
    </row>
    <row r="4493">
      <c r="A4493" s="30" t="n"/>
    </row>
    <row r="4494">
      <c r="A4494" s="30" t="n"/>
    </row>
    <row r="4495">
      <c r="A4495" s="30" t="n"/>
    </row>
    <row r="4496">
      <c r="A4496" s="30" t="n"/>
    </row>
    <row r="4497">
      <c r="A4497" s="30" t="n"/>
    </row>
    <row r="4498">
      <c r="A4498" s="30" t="n"/>
    </row>
    <row r="4499">
      <c r="A4499" s="30" t="n"/>
    </row>
    <row r="4500">
      <c r="A4500" s="30" t="n"/>
    </row>
    <row r="4501">
      <c r="A4501" s="30" t="n"/>
    </row>
    <row r="4502">
      <c r="A4502" s="30" t="n"/>
    </row>
    <row r="4503">
      <c r="A4503" s="30" t="n"/>
    </row>
    <row r="4504">
      <c r="A4504" s="30" t="n"/>
    </row>
    <row r="4505">
      <c r="A4505" s="30" t="n"/>
    </row>
    <row r="4506">
      <c r="A4506" s="30" t="n"/>
    </row>
    <row r="4507">
      <c r="A4507" s="30" t="n"/>
    </row>
    <row r="4508">
      <c r="A4508" s="30" t="n"/>
    </row>
    <row r="4509">
      <c r="A4509" s="30" t="n"/>
    </row>
    <row r="4510">
      <c r="A4510" s="30" t="n"/>
    </row>
    <row r="4511">
      <c r="A4511" s="30" t="n"/>
    </row>
    <row r="4512">
      <c r="A4512" s="30" t="n"/>
    </row>
    <row r="4513">
      <c r="A4513" s="30" t="n"/>
    </row>
    <row r="4514">
      <c r="A4514" s="30" t="n"/>
    </row>
    <row r="4515">
      <c r="A4515" s="30" t="n"/>
    </row>
    <row r="4516">
      <c r="A4516" s="30" t="n"/>
    </row>
    <row r="4517">
      <c r="A4517" s="30" t="n"/>
    </row>
    <row r="4518">
      <c r="A4518" s="30" t="n"/>
    </row>
    <row r="4519">
      <c r="A4519" s="30" t="n"/>
    </row>
    <row r="4520">
      <c r="A4520" s="30" t="n"/>
    </row>
    <row r="4521">
      <c r="A4521" s="30" t="n"/>
    </row>
    <row r="4522">
      <c r="A4522" s="30" t="n"/>
    </row>
    <row r="4523">
      <c r="A4523" s="30" t="n"/>
    </row>
    <row r="4524">
      <c r="A4524" s="30" t="n"/>
    </row>
    <row r="4525">
      <c r="A4525" s="30" t="n"/>
    </row>
    <row r="4526">
      <c r="A4526" s="30" t="n"/>
    </row>
    <row r="4527">
      <c r="A4527" s="30" t="n"/>
    </row>
    <row r="4528">
      <c r="A4528" s="30" t="n"/>
    </row>
    <row r="4529">
      <c r="A4529" s="30" t="n"/>
    </row>
    <row r="4530">
      <c r="A4530" s="30" t="n"/>
    </row>
    <row r="4531">
      <c r="A4531" s="30" t="n"/>
    </row>
    <row r="4532">
      <c r="A4532" s="30" t="n"/>
    </row>
    <row r="4533">
      <c r="A4533" s="30" t="n"/>
    </row>
    <row r="4534">
      <c r="A4534" s="30" t="n"/>
    </row>
    <row r="4535">
      <c r="A4535" s="30" t="n"/>
    </row>
    <row r="4536">
      <c r="A4536" s="30" t="n"/>
    </row>
    <row r="4537">
      <c r="A4537" s="30" t="n"/>
    </row>
    <row r="4538">
      <c r="A4538" s="30" t="n"/>
    </row>
    <row r="4539">
      <c r="A4539" s="30" t="n"/>
    </row>
    <row r="4540">
      <c r="A4540" s="30" t="n"/>
    </row>
    <row r="4541">
      <c r="A4541" s="30" t="n"/>
    </row>
    <row r="4542">
      <c r="A4542" s="30" t="n"/>
    </row>
    <row r="4543">
      <c r="A4543" s="30" t="n"/>
    </row>
    <row r="4544">
      <c r="A4544" s="30" t="n"/>
    </row>
    <row r="4545">
      <c r="A4545" s="30" t="n"/>
    </row>
    <row r="4546">
      <c r="A4546" s="30" t="n"/>
    </row>
    <row r="4547">
      <c r="A4547" s="30" t="n"/>
    </row>
    <row r="4548">
      <c r="A4548" s="30" t="n"/>
    </row>
    <row r="4549">
      <c r="A4549" s="30" t="n"/>
    </row>
    <row r="4550">
      <c r="A4550" s="30" t="n"/>
    </row>
    <row r="4551">
      <c r="A4551" s="30" t="n"/>
    </row>
    <row r="4552">
      <c r="A4552" s="30" t="n"/>
    </row>
    <row r="4553">
      <c r="A4553" s="30" t="n"/>
    </row>
    <row r="4554">
      <c r="A4554" s="30" t="n"/>
    </row>
    <row r="4555">
      <c r="A4555" s="30" t="n"/>
    </row>
    <row r="4556">
      <c r="A4556" s="30" t="n"/>
    </row>
    <row r="4557">
      <c r="A4557" s="30" t="n"/>
    </row>
    <row r="4558">
      <c r="A4558" s="30" t="n"/>
    </row>
    <row r="4559">
      <c r="A4559" s="30" t="n"/>
    </row>
    <row r="4560">
      <c r="A4560" s="30" t="n"/>
    </row>
    <row r="4561">
      <c r="A4561" s="30" t="n"/>
    </row>
    <row r="4562">
      <c r="A4562" s="30" t="n"/>
    </row>
    <row r="4563">
      <c r="A4563" s="30" t="n"/>
    </row>
    <row r="4564">
      <c r="A4564" s="30" t="n"/>
    </row>
    <row r="4565">
      <c r="A4565" s="30" t="n"/>
    </row>
    <row r="4566">
      <c r="A4566" s="30" t="n"/>
    </row>
    <row r="4567">
      <c r="A4567" s="30" t="n"/>
    </row>
    <row r="4568">
      <c r="A4568" s="30" t="n"/>
    </row>
    <row r="4569">
      <c r="A4569" s="30" t="n"/>
    </row>
    <row r="4570">
      <c r="A4570" s="30" t="n"/>
    </row>
    <row r="4571">
      <c r="A4571" s="30" t="n"/>
    </row>
    <row r="4572">
      <c r="A4572" s="30" t="n"/>
    </row>
    <row r="4573">
      <c r="A4573" s="30" t="n"/>
    </row>
    <row r="4574">
      <c r="A4574" s="30" t="n"/>
    </row>
    <row r="4575">
      <c r="A4575" s="30" t="n"/>
    </row>
    <row r="4576">
      <c r="A4576" s="30" t="n"/>
    </row>
    <row r="4577">
      <c r="A4577" s="30" t="n"/>
    </row>
    <row r="4578">
      <c r="A4578" s="30" t="n"/>
    </row>
    <row r="4579">
      <c r="A4579" s="30" t="n"/>
    </row>
    <row r="4580">
      <c r="A4580" s="30" t="n"/>
    </row>
    <row r="4581">
      <c r="A4581" s="30" t="n"/>
    </row>
    <row r="4582">
      <c r="A4582" s="30" t="n"/>
    </row>
    <row r="4583">
      <c r="A4583" s="30" t="n"/>
    </row>
    <row r="4584">
      <c r="A4584" s="30" t="n"/>
    </row>
    <row r="4585">
      <c r="A4585" s="30" t="n"/>
    </row>
    <row r="4586">
      <c r="A4586" s="30" t="n"/>
    </row>
    <row r="4587">
      <c r="A4587" s="30" t="n"/>
    </row>
    <row r="4588">
      <c r="A4588" s="30" t="n"/>
    </row>
    <row r="4589">
      <c r="A4589" s="30" t="n"/>
    </row>
    <row r="4590">
      <c r="A4590" s="30" t="n"/>
    </row>
    <row r="4591">
      <c r="A4591" s="30" t="n"/>
    </row>
    <row r="4592">
      <c r="A4592" s="30" t="n"/>
    </row>
    <row r="4593">
      <c r="A4593" s="30" t="n"/>
    </row>
    <row r="4594">
      <c r="A4594" s="30" t="n"/>
    </row>
    <row r="4595">
      <c r="A4595" s="30" t="n"/>
    </row>
    <row r="4596">
      <c r="A4596" s="30" t="n"/>
    </row>
    <row r="4597">
      <c r="A4597" s="30" t="n"/>
    </row>
    <row r="4598">
      <c r="A4598" s="30" t="n"/>
    </row>
    <row r="4599">
      <c r="A4599" s="30" t="n"/>
    </row>
    <row r="4600">
      <c r="A4600" s="30" t="n"/>
    </row>
    <row r="4601">
      <c r="A4601" s="30" t="n"/>
    </row>
    <row r="4602">
      <c r="A4602" s="30" t="n"/>
    </row>
    <row r="4603">
      <c r="A4603" s="30" t="n"/>
    </row>
    <row r="4604">
      <c r="A4604" s="30" t="n"/>
    </row>
    <row r="4605">
      <c r="A4605" s="30" t="n"/>
    </row>
    <row r="4606">
      <c r="A4606" s="30" t="n"/>
    </row>
    <row r="4607">
      <c r="A4607" s="30" t="n"/>
    </row>
    <row r="4608">
      <c r="A4608" s="30" t="n"/>
    </row>
    <row r="4609">
      <c r="A4609" s="30" t="n"/>
    </row>
    <row r="4610">
      <c r="A4610" s="30" t="n"/>
    </row>
    <row r="4611">
      <c r="A4611" s="30" t="n"/>
    </row>
    <row r="4612">
      <c r="A4612" s="30" t="n"/>
    </row>
    <row r="4613">
      <c r="A4613" s="30" t="n"/>
    </row>
    <row r="4614">
      <c r="A4614" s="30" t="n"/>
    </row>
    <row r="4615">
      <c r="A4615" s="30" t="n"/>
    </row>
    <row r="4616">
      <c r="A4616" s="30" t="n"/>
    </row>
    <row r="4617">
      <c r="A4617" s="30" t="n"/>
    </row>
    <row r="4618">
      <c r="A4618" s="30" t="n"/>
    </row>
    <row r="4619">
      <c r="A4619" s="30" t="n"/>
    </row>
    <row r="4620">
      <c r="A4620" s="30" t="n"/>
    </row>
    <row r="4621">
      <c r="A4621" s="30" t="n"/>
    </row>
    <row r="4622">
      <c r="A4622" s="30" t="n"/>
    </row>
    <row r="4623">
      <c r="A4623" s="30" t="n"/>
    </row>
    <row r="4624">
      <c r="A4624" s="30" t="n"/>
    </row>
    <row r="4625">
      <c r="A4625" s="30" t="n"/>
    </row>
    <row r="4626">
      <c r="A4626" s="30" t="n"/>
    </row>
    <row r="4627">
      <c r="A4627" s="30" t="n"/>
    </row>
    <row r="4628">
      <c r="A4628" s="30" t="n"/>
    </row>
    <row r="4629">
      <c r="A4629" s="30" t="n"/>
    </row>
    <row r="4630">
      <c r="A4630" s="30" t="n"/>
    </row>
    <row r="4631">
      <c r="A4631" s="30" t="n"/>
    </row>
    <row r="4632">
      <c r="A4632" s="30" t="n"/>
    </row>
    <row r="4633">
      <c r="A4633" s="30" t="n"/>
    </row>
    <row r="4634">
      <c r="A4634" s="30" t="n"/>
    </row>
    <row r="4635">
      <c r="A4635" s="30" t="n"/>
    </row>
    <row r="4636">
      <c r="A4636" s="30" t="n"/>
    </row>
    <row r="4637">
      <c r="A4637" s="30" t="n"/>
    </row>
    <row r="4638">
      <c r="A4638" s="30" t="n"/>
    </row>
    <row r="4639">
      <c r="A4639" s="30" t="n"/>
    </row>
    <row r="4640">
      <c r="A4640" s="30" t="n"/>
    </row>
    <row r="4641">
      <c r="A4641" s="30" t="n"/>
    </row>
    <row r="4642">
      <c r="A4642" s="30" t="n"/>
    </row>
    <row r="4643">
      <c r="A4643" s="30" t="n"/>
    </row>
    <row r="4644">
      <c r="A4644" s="30" t="n"/>
    </row>
    <row r="4645">
      <c r="A4645" s="30" t="n"/>
    </row>
    <row r="4646">
      <c r="A4646" s="30" t="n"/>
    </row>
    <row r="4647">
      <c r="A4647" s="30" t="n"/>
    </row>
    <row r="4648">
      <c r="A4648" s="30" t="n"/>
    </row>
    <row r="4649">
      <c r="A4649" s="30" t="n"/>
    </row>
    <row r="4650">
      <c r="A4650" s="30" t="n"/>
    </row>
    <row r="4651">
      <c r="A4651" s="30" t="n"/>
    </row>
    <row r="4652">
      <c r="A4652" s="30" t="n"/>
    </row>
    <row r="4653">
      <c r="A4653" s="30" t="n"/>
    </row>
    <row r="4654">
      <c r="A4654" s="30" t="n"/>
    </row>
    <row r="4655">
      <c r="A4655" s="30" t="n"/>
    </row>
    <row r="4656">
      <c r="A4656" s="30" t="n"/>
    </row>
    <row r="4657">
      <c r="A4657" s="30" t="n"/>
    </row>
    <row r="4658">
      <c r="A4658" s="30" t="n"/>
    </row>
    <row r="4659">
      <c r="A4659" s="30" t="n"/>
    </row>
    <row r="4660">
      <c r="A4660" s="30" t="n"/>
    </row>
    <row r="4661">
      <c r="A4661" s="30" t="n"/>
    </row>
    <row r="4662">
      <c r="A4662" s="30" t="n"/>
    </row>
    <row r="4663">
      <c r="A4663" s="30" t="n"/>
    </row>
    <row r="4664">
      <c r="A4664" s="30" t="n"/>
    </row>
    <row r="4665">
      <c r="A4665" s="30" t="n"/>
    </row>
    <row r="4666">
      <c r="A4666" s="30" t="n"/>
    </row>
    <row r="4667">
      <c r="A4667" s="30" t="n"/>
    </row>
    <row r="4668">
      <c r="A4668" s="30" t="n"/>
    </row>
    <row r="4669">
      <c r="A4669" s="30" t="n"/>
    </row>
    <row r="4670">
      <c r="A4670" s="30" t="n"/>
    </row>
    <row r="4671">
      <c r="A4671" s="30" t="n"/>
    </row>
    <row r="4672">
      <c r="A4672" s="30" t="n"/>
    </row>
    <row r="4673">
      <c r="A4673" s="30" t="n"/>
    </row>
    <row r="4674">
      <c r="A4674" s="30" t="n"/>
    </row>
    <row r="4675">
      <c r="A4675" s="30" t="n"/>
    </row>
    <row r="4676">
      <c r="A4676" s="30" t="n"/>
    </row>
    <row r="4677">
      <c r="A4677" s="30" t="n"/>
    </row>
    <row r="4678">
      <c r="A4678" s="30" t="n"/>
    </row>
    <row r="4679">
      <c r="A4679" s="30" t="n"/>
    </row>
    <row r="4680">
      <c r="A4680" s="30" t="n"/>
    </row>
    <row r="4681">
      <c r="A4681" s="30" t="n"/>
    </row>
    <row r="4682">
      <c r="A4682" s="30" t="n"/>
    </row>
    <row r="4683">
      <c r="A4683" s="30" t="n"/>
    </row>
    <row r="4684">
      <c r="A4684" s="30" t="n"/>
    </row>
    <row r="4685">
      <c r="A4685" s="30" t="n"/>
    </row>
    <row r="4686">
      <c r="A4686" s="30" t="n"/>
    </row>
    <row r="4687">
      <c r="A4687" s="30" t="n"/>
    </row>
    <row r="4688">
      <c r="A4688" s="30" t="n"/>
    </row>
    <row r="4689">
      <c r="A4689" s="30" t="n"/>
    </row>
    <row r="4690">
      <c r="A4690" s="30" t="n"/>
    </row>
    <row r="4691">
      <c r="A4691" s="30" t="n"/>
    </row>
    <row r="4692">
      <c r="A4692" s="30" t="n"/>
    </row>
    <row r="4693">
      <c r="A4693" s="30" t="n"/>
    </row>
    <row r="4694">
      <c r="A4694" s="30" t="n"/>
    </row>
    <row r="4695">
      <c r="A4695" s="30" t="n"/>
    </row>
    <row r="4696">
      <c r="A4696" s="30" t="n"/>
    </row>
    <row r="4697">
      <c r="A4697" s="30" t="n"/>
    </row>
    <row r="4698">
      <c r="A4698" s="30" t="n"/>
    </row>
    <row r="4699">
      <c r="A4699" s="30" t="n"/>
    </row>
    <row r="4700">
      <c r="A4700" s="30" t="n"/>
    </row>
    <row r="4701">
      <c r="A4701" s="30" t="n"/>
    </row>
    <row r="4702">
      <c r="A4702" s="30" t="n"/>
    </row>
    <row r="4703">
      <c r="A4703" s="30" t="n"/>
    </row>
    <row r="4704">
      <c r="A4704" s="30" t="n"/>
    </row>
    <row r="4705">
      <c r="A4705" s="30" t="n"/>
    </row>
    <row r="4706">
      <c r="A4706" s="30" t="n"/>
    </row>
    <row r="4707">
      <c r="A4707" s="30" t="n"/>
    </row>
    <row r="4708">
      <c r="A4708" s="30" t="n"/>
    </row>
    <row r="4709">
      <c r="A4709" s="30" t="n"/>
    </row>
    <row r="4710">
      <c r="A4710" s="30" t="n"/>
    </row>
    <row r="4711">
      <c r="A4711" s="30" t="n"/>
    </row>
    <row r="4712">
      <c r="A4712" s="30" t="n"/>
    </row>
    <row r="4713">
      <c r="A4713" s="30" t="n"/>
    </row>
    <row r="4714">
      <c r="A4714" s="30" t="n"/>
    </row>
    <row r="4715">
      <c r="A4715" s="30" t="n"/>
    </row>
    <row r="4716">
      <c r="A4716" s="30" t="n"/>
    </row>
    <row r="4717">
      <c r="A4717" s="30" t="n"/>
    </row>
    <row r="4718">
      <c r="A4718" s="30" t="n"/>
    </row>
    <row r="4719">
      <c r="A4719" s="30" t="n"/>
    </row>
    <row r="4720">
      <c r="A4720" s="30" t="n"/>
    </row>
    <row r="4721">
      <c r="A4721" s="30" t="n"/>
    </row>
    <row r="4722">
      <c r="A4722" s="30" t="n"/>
    </row>
    <row r="4723">
      <c r="A4723" s="30" t="n"/>
    </row>
    <row r="4724">
      <c r="A4724" s="30" t="n"/>
    </row>
    <row r="4725">
      <c r="A4725" s="30" t="n"/>
    </row>
    <row r="4726">
      <c r="A4726" s="30" t="n"/>
    </row>
    <row r="4727">
      <c r="A4727" s="30" t="n"/>
    </row>
    <row r="4728">
      <c r="A4728" s="30" t="n"/>
    </row>
    <row r="4729">
      <c r="A4729" s="30" t="n"/>
    </row>
    <row r="4730">
      <c r="A4730" s="30" t="n"/>
    </row>
    <row r="4731">
      <c r="A4731" s="30" t="n"/>
    </row>
    <row r="4732">
      <c r="A4732" s="30" t="n"/>
    </row>
    <row r="4733">
      <c r="A4733" s="30" t="n"/>
    </row>
    <row r="4734">
      <c r="A4734" s="30" t="n"/>
    </row>
    <row r="4735">
      <c r="A4735" s="30" t="n"/>
    </row>
    <row r="4736">
      <c r="A4736" s="30" t="n"/>
    </row>
    <row r="4737">
      <c r="A4737" s="30" t="n"/>
    </row>
    <row r="4738">
      <c r="A4738" s="30" t="n"/>
    </row>
    <row r="4739">
      <c r="A4739" s="30" t="n"/>
    </row>
    <row r="4740">
      <c r="A4740" s="30" t="n"/>
    </row>
    <row r="4741">
      <c r="A4741" s="30" t="n"/>
    </row>
    <row r="4742">
      <c r="A4742" s="30" t="n"/>
    </row>
    <row r="4743">
      <c r="A4743" s="30" t="n"/>
    </row>
    <row r="4744">
      <c r="A4744" s="30" t="n"/>
    </row>
    <row r="4745">
      <c r="A4745" s="30" t="n"/>
    </row>
    <row r="4746">
      <c r="A4746" s="30" t="n"/>
    </row>
    <row r="4747">
      <c r="A4747" s="30" t="n"/>
    </row>
    <row r="4748">
      <c r="A4748" s="30" t="n"/>
    </row>
    <row r="4749">
      <c r="A4749" s="30" t="n"/>
    </row>
    <row r="4750">
      <c r="A4750" s="30" t="n"/>
    </row>
    <row r="4751">
      <c r="A4751" s="30" t="n"/>
    </row>
    <row r="4752">
      <c r="A4752" s="30" t="n"/>
    </row>
    <row r="4753">
      <c r="A4753" s="30" t="n"/>
    </row>
    <row r="4754">
      <c r="A4754" s="30" t="n"/>
    </row>
    <row r="4755">
      <c r="A4755" s="30" t="n"/>
    </row>
    <row r="4756">
      <c r="A4756" s="30" t="n"/>
    </row>
    <row r="4757">
      <c r="A4757" s="30" t="n"/>
    </row>
    <row r="4758">
      <c r="A4758" s="30" t="n"/>
    </row>
    <row r="4759">
      <c r="A4759" s="30" t="n"/>
    </row>
    <row r="4760">
      <c r="A4760" s="30" t="n"/>
    </row>
    <row r="4761">
      <c r="A4761" s="30" t="n"/>
    </row>
    <row r="4762">
      <c r="A4762" s="30" t="n"/>
    </row>
    <row r="4763">
      <c r="A4763" s="30" t="n"/>
    </row>
    <row r="4764">
      <c r="A4764" s="30" t="n"/>
    </row>
    <row r="4765">
      <c r="A4765" s="30" t="n"/>
    </row>
    <row r="4766">
      <c r="A4766" s="30" t="n"/>
    </row>
    <row r="4767">
      <c r="A4767" s="30" t="n"/>
    </row>
    <row r="4768">
      <c r="A4768" s="30" t="n"/>
    </row>
    <row r="4769">
      <c r="A4769" s="30" t="n"/>
    </row>
    <row r="4770">
      <c r="A4770" s="30" t="n"/>
    </row>
    <row r="4771">
      <c r="A4771" s="30" t="n"/>
    </row>
    <row r="4772">
      <c r="A4772" s="30" t="n"/>
    </row>
    <row r="4773">
      <c r="A4773" s="30" t="n"/>
    </row>
    <row r="4774">
      <c r="A4774" s="30" t="n"/>
    </row>
    <row r="4775">
      <c r="A4775" s="30" t="n"/>
    </row>
    <row r="4776">
      <c r="A4776" s="30" t="n"/>
    </row>
    <row r="4777">
      <c r="A4777" s="30" t="n"/>
    </row>
    <row r="4778">
      <c r="A4778" s="30" t="n"/>
    </row>
    <row r="4779">
      <c r="A4779" s="30" t="n"/>
    </row>
    <row r="4780">
      <c r="A4780" s="30" t="n"/>
    </row>
    <row r="4781">
      <c r="A4781" s="30" t="n"/>
    </row>
    <row r="4782">
      <c r="A4782" s="30" t="n"/>
    </row>
    <row r="4783">
      <c r="A4783" s="30" t="n"/>
    </row>
    <row r="4784">
      <c r="A4784" s="30" t="n"/>
    </row>
    <row r="4785">
      <c r="A4785" s="30" t="n"/>
    </row>
    <row r="4786">
      <c r="A4786" s="30" t="n"/>
    </row>
    <row r="4787">
      <c r="A4787" s="30" t="n"/>
    </row>
    <row r="4788">
      <c r="A4788" s="30" t="n"/>
    </row>
    <row r="4789">
      <c r="A4789" s="30" t="n"/>
    </row>
    <row r="4790">
      <c r="A4790" s="30" t="n"/>
    </row>
    <row r="4791">
      <c r="A4791" s="30" t="n"/>
    </row>
    <row r="4792">
      <c r="A4792" s="30" t="n"/>
    </row>
    <row r="4793">
      <c r="A4793" s="30" t="n"/>
    </row>
    <row r="4794">
      <c r="A4794" s="30" t="n"/>
    </row>
    <row r="4795">
      <c r="A4795" s="30" t="n"/>
    </row>
    <row r="4796">
      <c r="A4796" s="30" t="n"/>
    </row>
    <row r="4797">
      <c r="A4797" s="30" t="n"/>
    </row>
    <row r="4798">
      <c r="A4798" s="30" t="n"/>
    </row>
    <row r="4799">
      <c r="A4799" s="30" t="n"/>
    </row>
    <row r="4800">
      <c r="A4800" s="30" t="n"/>
    </row>
    <row r="4801">
      <c r="A4801" s="30" t="n"/>
    </row>
    <row r="4802">
      <c r="A4802" s="30" t="n"/>
    </row>
    <row r="4803">
      <c r="A4803" s="30" t="n"/>
    </row>
    <row r="4804">
      <c r="A4804" s="30" t="n"/>
    </row>
    <row r="4805">
      <c r="A4805" s="30" t="n"/>
    </row>
    <row r="4806">
      <c r="A4806" s="30" t="n"/>
    </row>
    <row r="4807">
      <c r="A4807" s="30" t="n"/>
    </row>
    <row r="4808">
      <c r="A4808" s="30" t="n"/>
    </row>
    <row r="4809">
      <c r="A4809" s="30" t="n"/>
    </row>
    <row r="4810">
      <c r="A4810" s="30" t="n"/>
    </row>
    <row r="4811">
      <c r="A4811" s="30" t="n"/>
    </row>
    <row r="4812">
      <c r="A4812" s="30" t="n"/>
    </row>
    <row r="4813">
      <c r="A4813" s="30" t="n"/>
    </row>
    <row r="4814">
      <c r="A4814" s="30" t="n"/>
    </row>
    <row r="4815">
      <c r="A4815" s="30" t="n"/>
    </row>
    <row r="4816">
      <c r="A4816" s="30" t="n"/>
    </row>
    <row r="4817">
      <c r="A4817" s="30" t="n"/>
    </row>
    <row r="4818">
      <c r="A4818" s="30" t="n"/>
    </row>
    <row r="4819">
      <c r="A4819" s="30" t="n"/>
    </row>
    <row r="4820">
      <c r="A4820" s="30" t="n"/>
    </row>
    <row r="4821">
      <c r="A4821" s="30" t="n"/>
    </row>
    <row r="4822">
      <c r="A4822" s="30" t="n"/>
    </row>
    <row r="4823">
      <c r="A4823" s="30" t="n"/>
    </row>
    <row r="4824">
      <c r="A4824" s="30" t="n"/>
    </row>
    <row r="4825">
      <c r="A4825" s="30" t="n"/>
    </row>
    <row r="4826">
      <c r="A4826" s="30" t="n"/>
    </row>
    <row r="4827">
      <c r="A4827" s="30" t="n"/>
    </row>
    <row r="4828">
      <c r="A4828" s="30" t="n"/>
    </row>
    <row r="4829">
      <c r="A4829" s="30" t="n"/>
    </row>
    <row r="4830">
      <c r="A4830" s="30" t="n"/>
    </row>
    <row r="4831">
      <c r="A4831" s="30" t="n"/>
    </row>
    <row r="4832">
      <c r="A4832" s="30" t="n"/>
    </row>
    <row r="4833">
      <c r="A4833" s="30" t="n"/>
    </row>
    <row r="4834">
      <c r="A4834" s="30" t="n"/>
    </row>
    <row r="4835">
      <c r="A4835" s="30" t="n"/>
    </row>
    <row r="4836">
      <c r="A4836" s="30" t="n"/>
    </row>
    <row r="4837">
      <c r="A4837" s="30" t="n"/>
    </row>
    <row r="4838">
      <c r="A4838" s="30" t="n"/>
    </row>
    <row r="4839">
      <c r="A4839" s="30" t="n"/>
    </row>
    <row r="4840">
      <c r="A4840" s="30" t="n"/>
    </row>
    <row r="4841">
      <c r="A4841" s="30" t="n"/>
    </row>
    <row r="4842">
      <c r="A4842" s="30" t="n"/>
    </row>
    <row r="4843">
      <c r="A4843" s="30" t="n"/>
    </row>
    <row r="4844">
      <c r="A4844" s="30" t="n"/>
    </row>
    <row r="4845">
      <c r="A4845" s="30" t="n"/>
    </row>
    <row r="4846">
      <c r="A4846" s="30" t="n"/>
    </row>
    <row r="4847">
      <c r="A4847" s="30" t="n"/>
    </row>
    <row r="4848">
      <c r="A4848" s="30" t="n"/>
    </row>
    <row r="4849">
      <c r="A4849" s="30" t="n"/>
    </row>
    <row r="4850">
      <c r="A4850" s="30" t="n"/>
    </row>
    <row r="4851">
      <c r="A4851" s="30" t="n"/>
    </row>
    <row r="4852">
      <c r="A4852" s="30" t="n"/>
    </row>
    <row r="4853">
      <c r="A4853" s="30" t="n"/>
    </row>
    <row r="4854">
      <c r="A4854" s="30" t="n"/>
    </row>
    <row r="4855">
      <c r="A4855" s="30" t="n"/>
    </row>
    <row r="4856">
      <c r="A4856" s="30" t="n"/>
    </row>
    <row r="4857">
      <c r="A4857" s="30" t="n"/>
    </row>
    <row r="4858">
      <c r="A4858" s="30" t="n"/>
    </row>
    <row r="4859">
      <c r="A4859" s="30" t="n"/>
    </row>
    <row r="4860">
      <c r="A4860" s="30" t="n"/>
    </row>
    <row r="4861">
      <c r="A4861" s="30" t="n"/>
    </row>
    <row r="4862">
      <c r="A4862" s="30" t="n"/>
    </row>
    <row r="4863">
      <c r="A4863" s="30" t="n"/>
    </row>
    <row r="4864">
      <c r="A4864" s="30" t="n"/>
    </row>
    <row r="4865">
      <c r="A4865" s="30" t="n"/>
    </row>
    <row r="4866">
      <c r="A4866" s="30" t="n"/>
    </row>
    <row r="4867">
      <c r="A4867" s="30" t="n"/>
    </row>
    <row r="4868">
      <c r="A4868" s="30" t="n"/>
    </row>
    <row r="4869">
      <c r="A4869" s="30" t="n"/>
    </row>
    <row r="4870">
      <c r="A4870" s="30" t="n"/>
    </row>
    <row r="4871">
      <c r="A4871" s="30" t="n"/>
    </row>
    <row r="4872">
      <c r="A4872" s="30" t="n"/>
    </row>
    <row r="4873">
      <c r="A4873" s="30" t="n"/>
    </row>
    <row r="4874">
      <c r="A4874" s="30" t="n"/>
    </row>
    <row r="4875">
      <c r="A4875" s="30" t="n"/>
    </row>
    <row r="4876">
      <c r="A4876" s="30" t="n"/>
    </row>
    <row r="4877">
      <c r="A4877" s="30" t="n"/>
    </row>
    <row r="4878">
      <c r="A4878" s="30" t="n"/>
    </row>
    <row r="4879">
      <c r="A4879" s="30" t="n"/>
    </row>
    <row r="4880">
      <c r="A4880" s="30" t="n"/>
    </row>
    <row r="4881">
      <c r="A4881" s="30" t="n"/>
    </row>
    <row r="4882">
      <c r="A4882" s="30" t="n"/>
    </row>
    <row r="4883">
      <c r="A4883" s="30" t="n"/>
    </row>
    <row r="4884">
      <c r="A4884" s="30" t="n"/>
    </row>
    <row r="4885">
      <c r="A4885" s="30" t="n"/>
    </row>
    <row r="4886">
      <c r="A4886" s="30" t="n"/>
    </row>
    <row r="4887">
      <c r="A4887" s="30" t="n"/>
    </row>
    <row r="4888">
      <c r="A4888" s="30" t="n"/>
    </row>
    <row r="4889">
      <c r="A4889" s="30" t="n"/>
    </row>
    <row r="4890">
      <c r="A4890" s="30" t="n"/>
    </row>
    <row r="4891">
      <c r="A4891" s="30" t="n"/>
    </row>
    <row r="4892">
      <c r="A4892" s="30" t="n"/>
    </row>
    <row r="4893">
      <c r="A4893" s="30" t="n"/>
    </row>
    <row r="4894">
      <c r="A4894" s="30" t="n"/>
    </row>
    <row r="4895">
      <c r="A4895" s="30" t="n"/>
    </row>
    <row r="4896">
      <c r="A4896" s="30" t="n"/>
    </row>
    <row r="4897">
      <c r="A4897" s="30" t="n"/>
    </row>
    <row r="4898">
      <c r="A4898" s="30" t="n"/>
    </row>
    <row r="4899">
      <c r="A4899" s="30" t="n"/>
    </row>
    <row r="4900">
      <c r="A4900" s="30" t="n"/>
    </row>
    <row r="4901">
      <c r="A4901" s="30" t="n"/>
    </row>
    <row r="4902">
      <c r="A4902" s="30" t="n"/>
    </row>
    <row r="4903">
      <c r="A4903" s="30" t="n"/>
    </row>
    <row r="4904">
      <c r="A4904" s="30" t="n"/>
    </row>
    <row r="4905">
      <c r="A4905" s="30" t="n"/>
    </row>
    <row r="4906">
      <c r="A4906" s="30" t="n"/>
    </row>
    <row r="4907">
      <c r="A4907" s="30" t="n"/>
    </row>
    <row r="4908">
      <c r="A4908" s="30" t="n"/>
    </row>
    <row r="4909">
      <c r="A4909" s="30" t="n"/>
    </row>
    <row r="4910">
      <c r="A4910" s="30" t="n"/>
    </row>
    <row r="4911">
      <c r="A4911" s="30" t="n"/>
    </row>
    <row r="4912">
      <c r="A4912" s="30" t="n"/>
    </row>
    <row r="4913">
      <c r="A4913" s="30" t="n"/>
    </row>
    <row r="4914">
      <c r="A4914" s="30" t="n"/>
    </row>
    <row r="4915">
      <c r="A4915" s="30" t="n"/>
    </row>
    <row r="4916">
      <c r="A4916" s="30" t="n"/>
    </row>
    <row r="4917">
      <c r="A4917" s="30" t="n"/>
    </row>
    <row r="4918">
      <c r="A4918" s="30" t="n"/>
    </row>
    <row r="4919">
      <c r="A4919" s="30" t="n"/>
    </row>
    <row r="4920">
      <c r="A4920" s="30" t="n"/>
    </row>
    <row r="4921">
      <c r="A4921" s="30" t="n"/>
    </row>
    <row r="4922">
      <c r="A4922" s="30" t="n"/>
    </row>
    <row r="4923">
      <c r="A4923" s="30" t="n"/>
    </row>
    <row r="4924">
      <c r="A4924" s="30" t="n"/>
    </row>
    <row r="4925">
      <c r="A4925" s="30" t="n"/>
    </row>
    <row r="4926">
      <c r="A4926" s="30" t="n"/>
    </row>
    <row r="4927">
      <c r="A4927" s="30" t="n"/>
    </row>
    <row r="4928">
      <c r="A4928" s="30" t="n"/>
    </row>
    <row r="4929">
      <c r="A4929" s="30" t="n"/>
    </row>
    <row r="4930">
      <c r="A4930" s="30" t="n"/>
    </row>
    <row r="4931">
      <c r="A4931" s="30" t="n"/>
    </row>
    <row r="4932">
      <c r="A4932" s="30" t="n"/>
    </row>
    <row r="4933">
      <c r="A4933" s="30" t="n"/>
    </row>
    <row r="4934">
      <c r="A4934" s="30" t="n"/>
    </row>
    <row r="4935">
      <c r="A4935" s="30" t="n"/>
    </row>
    <row r="4936">
      <c r="A4936" s="30" t="n"/>
    </row>
    <row r="4937">
      <c r="A4937" s="30" t="n"/>
    </row>
    <row r="4938">
      <c r="A4938" s="30" t="n"/>
    </row>
    <row r="4939">
      <c r="A4939" s="30" t="n"/>
    </row>
    <row r="4940">
      <c r="A4940" s="30" t="n"/>
    </row>
    <row r="4941">
      <c r="A4941" s="30" t="n"/>
    </row>
    <row r="4942">
      <c r="A4942" s="30" t="n"/>
    </row>
    <row r="4943">
      <c r="A4943" s="30" t="n"/>
    </row>
    <row r="4944">
      <c r="A4944" s="30" t="n"/>
    </row>
    <row r="4945">
      <c r="A4945" s="30" t="n"/>
    </row>
    <row r="4946">
      <c r="A4946" s="30" t="n"/>
    </row>
    <row r="4947">
      <c r="A4947" s="30" t="n"/>
    </row>
    <row r="4948">
      <c r="A4948" s="30" t="n"/>
    </row>
    <row r="4949">
      <c r="A4949" s="30" t="n"/>
    </row>
    <row r="4950">
      <c r="A4950" s="30" t="n"/>
    </row>
    <row r="4951">
      <c r="A4951" s="30" t="n"/>
    </row>
    <row r="4952">
      <c r="A4952" s="30" t="n"/>
    </row>
    <row r="4953">
      <c r="A4953" s="30" t="n"/>
    </row>
    <row r="4954">
      <c r="A4954" s="30" t="n"/>
    </row>
    <row r="4955">
      <c r="A4955" s="30" t="n"/>
    </row>
    <row r="4956">
      <c r="A4956" s="30" t="n"/>
    </row>
    <row r="4957">
      <c r="A4957" s="30" t="n"/>
    </row>
    <row r="4958">
      <c r="A4958" s="30" t="n"/>
    </row>
    <row r="4959">
      <c r="A4959" s="30" t="n"/>
    </row>
    <row r="4960">
      <c r="A4960" s="30" t="n"/>
    </row>
    <row r="4961">
      <c r="A4961" s="30" t="n"/>
    </row>
    <row r="4962">
      <c r="A4962" s="30" t="n"/>
    </row>
    <row r="4963">
      <c r="A4963" s="30" t="n"/>
    </row>
    <row r="4964">
      <c r="A4964" s="30" t="n"/>
    </row>
    <row r="4965">
      <c r="A4965" s="30" t="n"/>
    </row>
    <row r="4966">
      <c r="A4966" s="30" t="n"/>
    </row>
    <row r="4967">
      <c r="A4967" s="30" t="n"/>
    </row>
    <row r="4968">
      <c r="A4968" s="30" t="n"/>
    </row>
    <row r="4969">
      <c r="A4969" s="30" t="n"/>
    </row>
    <row r="4970">
      <c r="A4970" s="30" t="n"/>
    </row>
    <row r="4971">
      <c r="A4971" s="30" t="n"/>
    </row>
    <row r="4972">
      <c r="A4972" s="30" t="n"/>
    </row>
    <row r="4973">
      <c r="A4973" s="30" t="n"/>
    </row>
    <row r="4974">
      <c r="A4974" s="30" t="n"/>
    </row>
    <row r="4975">
      <c r="A4975" s="30" t="n"/>
    </row>
    <row r="4976">
      <c r="A4976" s="30" t="n"/>
    </row>
    <row r="4977">
      <c r="A4977" s="30" t="n"/>
    </row>
    <row r="4978">
      <c r="A4978" s="30" t="n"/>
    </row>
    <row r="4979">
      <c r="A4979" s="30" t="n"/>
    </row>
    <row r="4980">
      <c r="A4980" s="30" t="n"/>
    </row>
    <row r="4981">
      <c r="A4981" s="30" t="n"/>
    </row>
    <row r="4982">
      <c r="A4982" s="30" t="n"/>
    </row>
    <row r="4983">
      <c r="A4983" s="30" t="n"/>
    </row>
    <row r="4984">
      <c r="A4984" s="30" t="n"/>
    </row>
    <row r="4985">
      <c r="A4985" s="30" t="n"/>
    </row>
    <row r="4986">
      <c r="A4986" s="30" t="n"/>
    </row>
    <row r="4987">
      <c r="A4987" s="30" t="n"/>
    </row>
    <row r="4988">
      <c r="A4988" s="30" t="n"/>
    </row>
    <row r="4989">
      <c r="A4989" s="30" t="n"/>
    </row>
    <row r="4990">
      <c r="A4990" s="30" t="n"/>
    </row>
    <row r="4991">
      <c r="A4991" s="30" t="n"/>
    </row>
    <row r="4992">
      <c r="A4992" s="30" t="n"/>
    </row>
    <row r="4993">
      <c r="A4993" s="30" t="n"/>
    </row>
    <row r="4994">
      <c r="A4994" s="30" t="n"/>
    </row>
    <row r="4995">
      <c r="A4995" s="30" t="n"/>
    </row>
    <row r="4996">
      <c r="A4996" s="30" t="n"/>
    </row>
    <row r="4997">
      <c r="A4997" s="30" t="n"/>
    </row>
    <row r="4998">
      <c r="A4998" s="30" t="n"/>
    </row>
    <row r="4999">
      <c r="A4999" s="30" t="n"/>
    </row>
    <row r="5000">
      <c r="A5000" s="30" t="n"/>
    </row>
  </sheetData>
  <sheetProtection sheet="1" objects="1" scenarios="1" formatColumns="0" formatRows="0"/>
  <autoFilter ref="A1:C20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style="31" width="12" customWidth="1" min="1" max="1"/>
    <col style="31" width="14" customWidth="1" min="2" max="2"/>
    <col style="31" width="12" customWidth="1" min="3" max="3"/>
    <col style="31" width="22" customWidth="1" min="4" max="4"/>
    <col style="31" width="28" customWidth="1" min="5" max="5"/>
  </cols>
  <sheetData>
    <row r="1" ht="30" customHeight="1">
      <c r="A1" s="4" t="inlineStr">
        <is>
          <t>ধরন *</t>
        </is>
      </c>
      <c r="B1" s="4" t="inlineStr">
        <is>
          <t>তারিখ *</t>
        </is>
      </c>
      <c r="C1" s="4" t="inlineStr">
        <is>
          <t>টাকা *</t>
        </is>
      </c>
      <c r="D1" s="4" t="inlineStr">
        <is>
          <t>খাত *</t>
        </is>
      </c>
      <c r="E1" s="4" t="inlineStr">
        <is>
          <t>বিবরণ</t>
        </is>
      </c>
    </row>
    <row r="2">
      <c r="A2" s="33" t="inlineStr">
        <is>
          <t>দেওয়া</t>
        </is>
      </c>
      <c r="B2" s="32" t="n">
        <v>46056</v>
      </c>
      <c r="C2" s="33" t="n">
        <v>20000</v>
      </c>
      <c r="D2" s="33" t="inlineStr">
        <is>
          <t>করিম ভাই</t>
        </is>
      </c>
      <c r="E2" s="33" t="inlineStr">
        <is>
          <t>করজে হাসানা</t>
        </is>
      </c>
    </row>
    <row r="3">
      <c r="A3" s="33" t="inlineStr">
        <is>
          <t>দেওয়া</t>
        </is>
      </c>
      <c r="B3" s="32" t="n">
        <v>46071</v>
      </c>
      <c r="C3" s="33" t="n">
        <v>10000</v>
      </c>
      <c r="D3" s="33" t="inlineStr">
        <is>
          <t>মাদরাসা ফান্ড</t>
        </is>
      </c>
      <c r="E3" s="33" t="inlineStr">
        <is>
          <t>জরুরি করজ</t>
        </is>
      </c>
    </row>
    <row r="4">
      <c r="A4" s="33" t="inlineStr">
        <is>
          <t>আদায়</t>
        </is>
      </c>
      <c r="B4" s="32" t="n">
        <v>46107</v>
      </c>
      <c r="C4" s="33" t="n">
        <v>5000</v>
      </c>
      <c r="D4" s="33" t="inlineStr">
        <is>
          <t>করিম ভাই</t>
        </is>
      </c>
      <c r="E4" s="33" t="inlineStr"/>
    </row>
    <row r="5">
      <c r="A5" s="33" t="inlineStr">
        <is>
          <t>আদায়</t>
        </is>
      </c>
      <c r="B5" s="32" t="n">
        <v>46111</v>
      </c>
      <c r="C5" s="33" t="n">
        <v>2000</v>
      </c>
      <c r="D5" s="33" t="inlineStr">
        <is>
          <t>মাদরাসা ফান্ড</t>
        </is>
      </c>
      <c r="E5" s="33" t="inlineStr"/>
    </row>
    <row r="6">
      <c r="B6" s="30" t="n"/>
    </row>
    <row r="7">
      <c r="B7" s="30" t="n"/>
    </row>
    <row r="8">
      <c r="B8" s="30" t="n"/>
    </row>
    <row r="9">
      <c r="B9" s="30" t="n"/>
    </row>
    <row r="10">
      <c r="B10" s="30" t="n"/>
    </row>
    <row r="11">
      <c r="B11" s="30" t="n"/>
    </row>
    <row r="12">
      <c r="B12" s="30" t="n"/>
    </row>
    <row r="13">
      <c r="B13" s="30" t="n"/>
    </row>
    <row r="14">
      <c r="B14" s="30" t="n"/>
    </row>
    <row r="15">
      <c r="B15" s="30" t="n"/>
    </row>
    <row r="16">
      <c r="B16" s="30" t="n"/>
    </row>
    <row r="17">
      <c r="B17" s="30" t="n"/>
    </row>
    <row r="18">
      <c r="B18" s="30" t="n"/>
    </row>
    <row r="19">
      <c r="B19" s="30" t="n"/>
    </row>
    <row r="20">
      <c r="B20" s="30" t="n"/>
    </row>
    <row r="21">
      <c r="B21" s="30" t="n"/>
    </row>
    <row r="22">
      <c r="B22" s="30" t="n"/>
    </row>
    <row r="23">
      <c r="B23" s="30" t="n"/>
    </row>
    <row r="24">
      <c r="B24" s="30" t="n"/>
    </row>
    <row r="25">
      <c r="B25" s="30" t="n"/>
    </row>
    <row r="26">
      <c r="B26" s="30" t="n"/>
    </row>
    <row r="27">
      <c r="B27" s="30" t="n"/>
    </row>
    <row r="28">
      <c r="B28" s="30" t="n"/>
    </row>
    <row r="29">
      <c r="B29" s="30" t="n"/>
    </row>
    <row r="30">
      <c r="B30" s="30" t="n"/>
    </row>
    <row r="31">
      <c r="B31" s="30" t="n"/>
    </row>
    <row r="32">
      <c r="B32" s="30" t="n"/>
    </row>
    <row r="33">
      <c r="B33" s="30" t="n"/>
    </row>
    <row r="34">
      <c r="B34" s="30" t="n"/>
    </row>
    <row r="35">
      <c r="B35" s="30" t="n"/>
    </row>
    <row r="36">
      <c r="B36" s="30" t="n"/>
    </row>
    <row r="37">
      <c r="B37" s="30" t="n"/>
    </row>
    <row r="38">
      <c r="B38" s="30" t="n"/>
    </row>
    <row r="39">
      <c r="B39" s="30" t="n"/>
    </row>
    <row r="40">
      <c r="B40" s="30" t="n"/>
    </row>
    <row r="41">
      <c r="B41" s="30" t="n"/>
    </row>
    <row r="42">
      <c r="B42" s="30" t="n"/>
    </row>
    <row r="43">
      <c r="B43" s="30" t="n"/>
    </row>
    <row r="44">
      <c r="B44" s="30" t="n"/>
    </row>
    <row r="45">
      <c r="B45" s="30" t="n"/>
    </row>
    <row r="46">
      <c r="B46" s="30" t="n"/>
    </row>
    <row r="47">
      <c r="B47" s="30" t="n"/>
    </row>
    <row r="48">
      <c r="B48" s="30" t="n"/>
    </row>
    <row r="49">
      <c r="B49" s="30" t="n"/>
    </row>
    <row r="50">
      <c r="B50" s="30" t="n"/>
    </row>
    <row r="51">
      <c r="B51" s="30" t="n"/>
    </row>
    <row r="52">
      <c r="B52" s="30" t="n"/>
    </row>
    <row r="53">
      <c r="B53" s="30" t="n"/>
    </row>
    <row r="54">
      <c r="B54" s="30" t="n"/>
    </row>
    <row r="55">
      <c r="B55" s="30" t="n"/>
    </row>
    <row r="56">
      <c r="B56" s="30" t="n"/>
    </row>
    <row r="57">
      <c r="B57" s="30" t="n"/>
    </row>
    <row r="58">
      <c r="B58" s="30" t="n"/>
    </row>
    <row r="59">
      <c r="B59" s="30" t="n"/>
    </row>
    <row r="60">
      <c r="B60" s="30" t="n"/>
    </row>
    <row r="61">
      <c r="B61" s="30" t="n"/>
    </row>
    <row r="62">
      <c r="B62" s="30" t="n"/>
    </row>
    <row r="63">
      <c r="B63" s="30" t="n"/>
    </row>
    <row r="64">
      <c r="B64" s="30" t="n"/>
    </row>
    <row r="65">
      <c r="B65" s="30" t="n"/>
    </row>
    <row r="66">
      <c r="B66" s="30" t="n"/>
    </row>
    <row r="67">
      <c r="B67" s="30" t="n"/>
    </row>
    <row r="68">
      <c r="B68" s="30" t="n"/>
    </row>
    <row r="69">
      <c r="B69" s="30" t="n"/>
    </row>
    <row r="70">
      <c r="B70" s="30" t="n"/>
    </row>
    <row r="71">
      <c r="B71" s="30" t="n"/>
    </row>
    <row r="72">
      <c r="B72" s="30" t="n"/>
    </row>
    <row r="73">
      <c r="B73" s="30" t="n"/>
    </row>
    <row r="74">
      <c r="B74" s="30" t="n"/>
    </row>
    <row r="75">
      <c r="B75" s="30" t="n"/>
    </row>
    <row r="76">
      <c r="B76" s="30" t="n"/>
    </row>
    <row r="77">
      <c r="B77" s="30" t="n"/>
    </row>
    <row r="78">
      <c r="B78" s="30" t="n"/>
    </row>
    <row r="79">
      <c r="B79" s="30" t="n"/>
    </row>
    <row r="80">
      <c r="B80" s="30" t="n"/>
    </row>
    <row r="81">
      <c r="B81" s="30" t="n"/>
    </row>
    <row r="82">
      <c r="B82" s="30" t="n"/>
    </row>
    <row r="83">
      <c r="B83" s="30" t="n"/>
    </row>
    <row r="84">
      <c r="B84" s="30" t="n"/>
    </row>
    <row r="85">
      <c r="B85" s="30" t="n"/>
    </row>
    <row r="86">
      <c r="B86" s="30" t="n"/>
    </row>
    <row r="87">
      <c r="B87" s="30" t="n"/>
    </row>
    <row r="88">
      <c r="B88" s="30" t="n"/>
    </row>
    <row r="89">
      <c r="B89" s="30" t="n"/>
    </row>
    <row r="90">
      <c r="B90" s="30" t="n"/>
    </row>
    <row r="91">
      <c r="B91" s="30" t="n"/>
    </row>
    <row r="92">
      <c r="B92" s="30" t="n"/>
    </row>
    <row r="93">
      <c r="B93" s="30" t="n"/>
    </row>
    <row r="94">
      <c r="B94" s="30" t="n"/>
    </row>
    <row r="95">
      <c r="B95" s="30" t="n"/>
    </row>
    <row r="96">
      <c r="B96" s="30" t="n"/>
    </row>
    <row r="97">
      <c r="B97" s="30" t="n"/>
    </row>
    <row r="98">
      <c r="B98" s="30" t="n"/>
    </row>
    <row r="99">
      <c r="B99" s="30" t="n"/>
    </row>
    <row r="100">
      <c r="B100" s="30" t="n"/>
    </row>
    <row r="101">
      <c r="B101" s="30" t="n"/>
    </row>
    <row r="102">
      <c r="B102" s="30" t="n"/>
    </row>
    <row r="103">
      <c r="B103" s="30" t="n"/>
    </row>
    <row r="104">
      <c r="B104" s="30" t="n"/>
    </row>
    <row r="105">
      <c r="B105" s="30" t="n"/>
    </row>
    <row r="106">
      <c r="B106" s="30" t="n"/>
    </row>
    <row r="107">
      <c r="B107" s="30" t="n"/>
    </row>
    <row r="108">
      <c r="B108" s="30" t="n"/>
    </row>
    <row r="109">
      <c r="B109" s="30" t="n"/>
    </row>
    <row r="110">
      <c r="B110" s="30" t="n"/>
    </row>
    <row r="111">
      <c r="B111" s="30" t="n"/>
    </row>
    <row r="112">
      <c r="B112" s="30" t="n"/>
    </row>
    <row r="113">
      <c r="B113" s="30" t="n"/>
    </row>
    <row r="114">
      <c r="B114" s="30" t="n"/>
    </row>
    <row r="115">
      <c r="B115" s="30" t="n"/>
    </row>
    <row r="116">
      <c r="B116" s="30" t="n"/>
    </row>
    <row r="117">
      <c r="B117" s="30" t="n"/>
    </row>
    <row r="118">
      <c r="B118" s="30" t="n"/>
    </row>
    <row r="119">
      <c r="B119" s="30" t="n"/>
    </row>
    <row r="120">
      <c r="B120" s="30" t="n"/>
    </row>
    <row r="121">
      <c r="B121" s="30" t="n"/>
    </row>
    <row r="122">
      <c r="B122" s="30" t="n"/>
    </row>
    <row r="123">
      <c r="B123" s="30" t="n"/>
    </row>
    <row r="124">
      <c r="B124" s="30" t="n"/>
    </row>
    <row r="125">
      <c r="B125" s="30" t="n"/>
    </row>
    <row r="126">
      <c r="B126" s="30" t="n"/>
    </row>
    <row r="127">
      <c r="B127" s="30" t="n"/>
    </row>
    <row r="128">
      <c r="B128" s="30" t="n"/>
    </row>
    <row r="129">
      <c r="B129" s="30" t="n"/>
    </row>
    <row r="130">
      <c r="B130" s="30" t="n"/>
    </row>
    <row r="131">
      <c r="B131" s="30" t="n"/>
    </row>
    <row r="132">
      <c r="B132" s="30" t="n"/>
    </row>
    <row r="133">
      <c r="B133" s="30" t="n"/>
    </row>
    <row r="134">
      <c r="B134" s="30" t="n"/>
    </row>
    <row r="135">
      <c r="B135" s="30" t="n"/>
    </row>
    <row r="136">
      <c r="B136" s="30" t="n"/>
    </row>
    <row r="137">
      <c r="B137" s="30" t="n"/>
    </row>
    <row r="138">
      <c r="B138" s="30" t="n"/>
    </row>
    <row r="139">
      <c r="B139" s="30" t="n"/>
    </row>
    <row r="140">
      <c r="B140" s="30" t="n"/>
    </row>
    <row r="141">
      <c r="B141" s="30" t="n"/>
    </row>
    <row r="142">
      <c r="B142" s="30" t="n"/>
    </row>
    <row r="143">
      <c r="B143" s="30" t="n"/>
    </row>
    <row r="144">
      <c r="B144" s="30" t="n"/>
    </row>
    <row r="145">
      <c r="B145" s="30" t="n"/>
    </row>
    <row r="146">
      <c r="B146" s="30" t="n"/>
    </row>
    <row r="147">
      <c r="B147" s="30" t="n"/>
    </row>
    <row r="148">
      <c r="B148" s="30" t="n"/>
    </row>
    <row r="149">
      <c r="B149" s="30" t="n"/>
    </row>
    <row r="150">
      <c r="B150" s="30" t="n"/>
    </row>
    <row r="151">
      <c r="B151" s="30" t="n"/>
    </row>
    <row r="152">
      <c r="B152" s="30" t="n"/>
    </row>
    <row r="153">
      <c r="B153" s="30" t="n"/>
    </row>
    <row r="154">
      <c r="B154" s="30" t="n"/>
    </row>
    <row r="155">
      <c r="B155" s="30" t="n"/>
    </row>
    <row r="156">
      <c r="B156" s="30" t="n"/>
    </row>
    <row r="157">
      <c r="B157" s="30" t="n"/>
    </row>
    <row r="158">
      <c r="B158" s="30" t="n"/>
    </row>
    <row r="159">
      <c r="B159" s="30" t="n"/>
    </row>
    <row r="160">
      <c r="B160" s="30" t="n"/>
    </row>
    <row r="161">
      <c r="B161" s="30" t="n"/>
    </row>
    <row r="162">
      <c r="B162" s="30" t="n"/>
    </row>
    <row r="163">
      <c r="B163" s="30" t="n"/>
    </row>
    <row r="164">
      <c r="B164" s="30" t="n"/>
    </row>
    <row r="165">
      <c r="B165" s="30" t="n"/>
    </row>
    <row r="166">
      <c r="B166" s="30" t="n"/>
    </row>
    <row r="167">
      <c r="B167" s="30" t="n"/>
    </row>
    <row r="168">
      <c r="B168" s="30" t="n"/>
    </row>
    <row r="169">
      <c r="B169" s="30" t="n"/>
    </row>
    <row r="170">
      <c r="B170" s="30" t="n"/>
    </row>
    <row r="171">
      <c r="B171" s="30" t="n"/>
    </row>
    <row r="172">
      <c r="B172" s="30" t="n"/>
    </row>
    <row r="173">
      <c r="B173" s="30" t="n"/>
    </row>
    <row r="174">
      <c r="B174" s="30" t="n"/>
    </row>
    <row r="175">
      <c r="B175" s="30" t="n"/>
    </row>
    <row r="176">
      <c r="B176" s="30" t="n"/>
    </row>
    <row r="177">
      <c r="B177" s="30" t="n"/>
    </row>
    <row r="178">
      <c r="B178" s="30" t="n"/>
    </row>
    <row r="179">
      <c r="B179" s="30" t="n"/>
    </row>
    <row r="180">
      <c r="B180" s="30" t="n"/>
    </row>
    <row r="181">
      <c r="B181" s="30" t="n"/>
    </row>
    <row r="182">
      <c r="B182" s="30" t="n"/>
    </row>
    <row r="183">
      <c r="B183" s="30" t="n"/>
    </row>
    <row r="184">
      <c r="B184" s="30" t="n"/>
    </row>
    <row r="185">
      <c r="B185" s="30" t="n"/>
    </row>
    <row r="186">
      <c r="B186" s="30" t="n"/>
    </row>
    <row r="187">
      <c r="B187" s="30" t="n"/>
    </row>
    <row r="188">
      <c r="B188" s="30" t="n"/>
    </row>
    <row r="189">
      <c r="B189" s="30" t="n"/>
    </row>
    <row r="190">
      <c r="B190" s="30" t="n"/>
    </row>
    <row r="191">
      <c r="B191" s="30" t="n"/>
    </row>
    <row r="192">
      <c r="B192" s="30" t="n"/>
    </row>
    <row r="193">
      <c r="B193" s="30" t="n"/>
    </row>
    <row r="194">
      <c r="B194" s="30" t="n"/>
    </row>
    <row r="195">
      <c r="B195" s="30" t="n"/>
    </row>
    <row r="196">
      <c r="B196" s="30" t="n"/>
    </row>
    <row r="197">
      <c r="B197" s="30" t="n"/>
    </row>
    <row r="198">
      <c r="B198" s="30" t="n"/>
    </row>
    <row r="199">
      <c r="B199" s="30" t="n"/>
    </row>
    <row r="200">
      <c r="B200" s="30" t="n"/>
    </row>
    <row r="201">
      <c r="B201" s="30" t="n"/>
    </row>
    <row r="202">
      <c r="B202" s="30" t="n"/>
    </row>
    <row r="203">
      <c r="B203" s="30" t="n"/>
    </row>
    <row r="204">
      <c r="B204" s="30" t="n"/>
    </row>
    <row r="205">
      <c r="B205" s="30" t="n"/>
    </row>
    <row r="206">
      <c r="B206" s="30" t="n"/>
    </row>
    <row r="207">
      <c r="B207" s="30" t="n"/>
    </row>
    <row r="208">
      <c r="B208" s="30" t="n"/>
    </row>
    <row r="209">
      <c r="B209" s="30" t="n"/>
    </row>
    <row r="210">
      <c r="B210" s="30" t="n"/>
    </row>
    <row r="211">
      <c r="B211" s="30" t="n"/>
    </row>
    <row r="212">
      <c r="B212" s="30" t="n"/>
    </row>
    <row r="213">
      <c r="B213" s="30" t="n"/>
    </row>
    <row r="214">
      <c r="B214" s="30" t="n"/>
    </row>
    <row r="215">
      <c r="B215" s="30" t="n"/>
    </row>
    <row r="216">
      <c r="B216" s="30" t="n"/>
    </row>
    <row r="217">
      <c r="B217" s="30" t="n"/>
    </row>
    <row r="218">
      <c r="B218" s="30" t="n"/>
    </row>
    <row r="219">
      <c r="B219" s="30" t="n"/>
    </row>
    <row r="220">
      <c r="B220" s="30" t="n"/>
    </row>
    <row r="221">
      <c r="B221" s="30" t="n"/>
    </row>
    <row r="222">
      <c r="B222" s="30" t="n"/>
    </row>
    <row r="223">
      <c r="B223" s="30" t="n"/>
    </row>
    <row r="224">
      <c r="B224" s="30" t="n"/>
    </row>
    <row r="225">
      <c r="B225" s="30" t="n"/>
    </row>
    <row r="226">
      <c r="B226" s="30" t="n"/>
    </row>
    <row r="227">
      <c r="B227" s="30" t="n"/>
    </row>
    <row r="228">
      <c r="B228" s="30" t="n"/>
    </row>
    <row r="229">
      <c r="B229" s="30" t="n"/>
    </row>
    <row r="230">
      <c r="B230" s="30" t="n"/>
    </row>
    <row r="231">
      <c r="B231" s="30" t="n"/>
    </row>
    <row r="232">
      <c r="B232" s="30" t="n"/>
    </row>
    <row r="233">
      <c r="B233" s="30" t="n"/>
    </row>
    <row r="234">
      <c r="B234" s="30" t="n"/>
    </row>
    <row r="235">
      <c r="B235" s="30" t="n"/>
    </row>
    <row r="236">
      <c r="B236" s="30" t="n"/>
    </row>
    <row r="237">
      <c r="B237" s="30" t="n"/>
    </row>
    <row r="238">
      <c r="B238" s="30" t="n"/>
    </row>
    <row r="239">
      <c r="B239" s="30" t="n"/>
    </row>
    <row r="240">
      <c r="B240" s="30" t="n"/>
    </row>
    <row r="241">
      <c r="B241" s="30" t="n"/>
    </row>
    <row r="242">
      <c r="B242" s="30" t="n"/>
    </row>
    <row r="243">
      <c r="B243" s="30" t="n"/>
    </row>
    <row r="244">
      <c r="B244" s="30" t="n"/>
    </row>
    <row r="245">
      <c r="B245" s="30" t="n"/>
    </row>
    <row r="246">
      <c r="B246" s="30" t="n"/>
    </row>
    <row r="247">
      <c r="B247" s="30" t="n"/>
    </row>
    <row r="248">
      <c r="B248" s="30" t="n"/>
    </row>
    <row r="249">
      <c r="B249" s="30" t="n"/>
    </row>
    <row r="250">
      <c r="B250" s="30" t="n"/>
    </row>
    <row r="251">
      <c r="B251" s="30" t="n"/>
    </row>
    <row r="252">
      <c r="B252" s="30" t="n"/>
    </row>
    <row r="253">
      <c r="B253" s="30" t="n"/>
    </row>
    <row r="254">
      <c r="B254" s="30" t="n"/>
    </row>
    <row r="255">
      <c r="B255" s="30" t="n"/>
    </row>
    <row r="256">
      <c r="B256" s="30" t="n"/>
    </row>
    <row r="257">
      <c r="B257" s="30" t="n"/>
    </row>
    <row r="258">
      <c r="B258" s="30" t="n"/>
    </row>
    <row r="259">
      <c r="B259" s="30" t="n"/>
    </row>
    <row r="260">
      <c r="B260" s="30" t="n"/>
    </row>
    <row r="261">
      <c r="B261" s="30" t="n"/>
    </row>
    <row r="262">
      <c r="B262" s="30" t="n"/>
    </row>
    <row r="263">
      <c r="B263" s="30" t="n"/>
    </row>
    <row r="264">
      <c r="B264" s="30" t="n"/>
    </row>
    <row r="265">
      <c r="B265" s="30" t="n"/>
    </row>
    <row r="266">
      <c r="B266" s="30" t="n"/>
    </row>
    <row r="267">
      <c r="B267" s="30" t="n"/>
    </row>
    <row r="268">
      <c r="B268" s="30" t="n"/>
    </row>
    <row r="269">
      <c r="B269" s="30" t="n"/>
    </row>
    <row r="270">
      <c r="B270" s="30" t="n"/>
    </row>
    <row r="271">
      <c r="B271" s="30" t="n"/>
    </row>
    <row r="272">
      <c r="B272" s="30" t="n"/>
    </row>
    <row r="273">
      <c r="B273" s="30" t="n"/>
    </row>
    <row r="274">
      <c r="B274" s="30" t="n"/>
    </row>
    <row r="275">
      <c r="B275" s="30" t="n"/>
    </row>
    <row r="276">
      <c r="B276" s="30" t="n"/>
    </row>
    <row r="277">
      <c r="B277" s="30" t="n"/>
    </row>
    <row r="278">
      <c r="B278" s="30" t="n"/>
    </row>
    <row r="279">
      <c r="B279" s="30" t="n"/>
    </row>
    <row r="280">
      <c r="B280" s="30" t="n"/>
    </row>
    <row r="281">
      <c r="B281" s="30" t="n"/>
    </row>
    <row r="282">
      <c r="B282" s="30" t="n"/>
    </row>
    <row r="283">
      <c r="B283" s="30" t="n"/>
    </row>
    <row r="284">
      <c r="B284" s="30" t="n"/>
    </row>
    <row r="285">
      <c r="B285" s="30" t="n"/>
    </row>
    <row r="286">
      <c r="B286" s="30" t="n"/>
    </row>
    <row r="287">
      <c r="B287" s="30" t="n"/>
    </row>
    <row r="288">
      <c r="B288" s="30" t="n"/>
    </row>
    <row r="289">
      <c r="B289" s="30" t="n"/>
    </row>
    <row r="290">
      <c r="B290" s="30" t="n"/>
    </row>
    <row r="291">
      <c r="B291" s="30" t="n"/>
    </row>
    <row r="292">
      <c r="B292" s="30" t="n"/>
    </row>
    <row r="293">
      <c r="B293" s="30" t="n"/>
    </row>
    <row r="294">
      <c r="B294" s="30" t="n"/>
    </row>
    <row r="295">
      <c r="B295" s="30" t="n"/>
    </row>
    <row r="296">
      <c r="B296" s="30" t="n"/>
    </row>
    <row r="297">
      <c r="B297" s="30" t="n"/>
    </row>
    <row r="298">
      <c r="B298" s="30" t="n"/>
    </row>
    <row r="299">
      <c r="B299" s="30" t="n"/>
    </row>
    <row r="300">
      <c r="B300" s="30" t="n"/>
    </row>
    <row r="301">
      <c r="B301" s="30" t="n"/>
    </row>
    <row r="302">
      <c r="B302" s="30" t="n"/>
    </row>
    <row r="303">
      <c r="B303" s="30" t="n"/>
    </row>
    <row r="304">
      <c r="B304" s="30" t="n"/>
    </row>
    <row r="305">
      <c r="B305" s="30" t="n"/>
    </row>
    <row r="306">
      <c r="B306" s="30" t="n"/>
    </row>
    <row r="307">
      <c r="B307" s="30" t="n"/>
    </row>
    <row r="308">
      <c r="B308" s="30" t="n"/>
    </row>
    <row r="309">
      <c r="B309" s="30" t="n"/>
    </row>
    <row r="310">
      <c r="B310" s="30" t="n"/>
    </row>
    <row r="311">
      <c r="B311" s="30" t="n"/>
    </row>
    <row r="312">
      <c r="B312" s="30" t="n"/>
    </row>
    <row r="313">
      <c r="B313" s="30" t="n"/>
    </row>
    <row r="314">
      <c r="B314" s="30" t="n"/>
    </row>
    <row r="315">
      <c r="B315" s="30" t="n"/>
    </row>
    <row r="316">
      <c r="B316" s="30" t="n"/>
    </row>
    <row r="317">
      <c r="B317" s="30" t="n"/>
    </row>
    <row r="318">
      <c r="B318" s="30" t="n"/>
    </row>
    <row r="319">
      <c r="B319" s="30" t="n"/>
    </row>
    <row r="320">
      <c r="B320" s="30" t="n"/>
    </row>
    <row r="321">
      <c r="B321" s="30" t="n"/>
    </row>
    <row r="322">
      <c r="B322" s="30" t="n"/>
    </row>
    <row r="323">
      <c r="B323" s="30" t="n"/>
    </row>
    <row r="324">
      <c r="B324" s="30" t="n"/>
    </row>
    <row r="325">
      <c r="B325" s="30" t="n"/>
    </row>
    <row r="326">
      <c r="B326" s="30" t="n"/>
    </row>
    <row r="327">
      <c r="B327" s="30" t="n"/>
    </row>
    <row r="328">
      <c r="B328" s="30" t="n"/>
    </row>
    <row r="329">
      <c r="B329" s="30" t="n"/>
    </row>
    <row r="330">
      <c r="B330" s="30" t="n"/>
    </row>
    <row r="331">
      <c r="B331" s="30" t="n"/>
    </row>
    <row r="332">
      <c r="B332" s="30" t="n"/>
    </row>
    <row r="333">
      <c r="B333" s="30" t="n"/>
    </row>
    <row r="334">
      <c r="B334" s="30" t="n"/>
    </row>
    <row r="335">
      <c r="B335" s="30" t="n"/>
    </row>
    <row r="336">
      <c r="B336" s="30" t="n"/>
    </row>
    <row r="337">
      <c r="B337" s="30" t="n"/>
    </row>
    <row r="338">
      <c r="B338" s="30" t="n"/>
    </row>
    <row r="339">
      <c r="B339" s="30" t="n"/>
    </row>
    <row r="340">
      <c r="B340" s="30" t="n"/>
    </row>
    <row r="341">
      <c r="B341" s="30" t="n"/>
    </row>
    <row r="342">
      <c r="B342" s="30" t="n"/>
    </row>
    <row r="343">
      <c r="B343" s="30" t="n"/>
    </row>
    <row r="344">
      <c r="B344" s="30" t="n"/>
    </row>
    <row r="345">
      <c r="B345" s="30" t="n"/>
    </row>
    <row r="346">
      <c r="B346" s="30" t="n"/>
    </row>
    <row r="347">
      <c r="B347" s="30" t="n"/>
    </row>
    <row r="348">
      <c r="B348" s="30" t="n"/>
    </row>
    <row r="349">
      <c r="B349" s="30" t="n"/>
    </row>
    <row r="350">
      <c r="B350" s="30" t="n"/>
    </row>
    <row r="351">
      <c r="B351" s="30" t="n"/>
    </row>
    <row r="352">
      <c r="B352" s="30" t="n"/>
    </row>
    <row r="353">
      <c r="B353" s="30" t="n"/>
    </row>
    <row r="354">
      <c r="B354" s="30" t="n"/>
    </row>
    <row r="355">
      <c r="B355" s="30" t="n"/>
    </row>
    <row r="356">
      <c r="B356" s="30" t="n"/>
    </row>
    <row r="357">
      <c r="B357" s="30" t="n"/>
    </row>
    <row r="358">
      <c r="B358" s="30" t="n"/>
    </row>
    <row r="359">
      <c r="B359" s="30" t="n"/>
    </row>
    <row r="360">
      <c r="B360" s="30" t="n"/>
    </row>
    <row r="361">
      <c r="B361" s="30" t="n"/>
    </row>
    <row r="362">
      <c r="B362" s="30" t="n"/>
    </row>
    <row r="363">
      <c r="B363" s="30" t="n"/>
    </row>
    <row r="364">
      <c r="B364" s="30" t="n"/>
    </row>
    <row r="365">
      <c r="B365" s="30" t="n"/>
    </row>
    <row r="366">
      <c r="B366" s="30" t="n"/>
    </row>
    <row r="367">
      <c r="B367" s="30" t="n"/>
    </row>
    <row r="368">
      <c r="B368" s="30" t="n"/>
    </row>
    <row r="369">
      <c r="B369" s="30" t="n"/>
    </row>
    <row r="370">
      <c r="B370" s="30" t="n"/>
    </row>
    <row r="371">
      <c r="B371" s="30" t="n"/>
    </row>
    <row r="372">
      <c r="B372" s="30" t="n"/>
    </row>
    <row r="373">
      <c r="B373" s="30" t="n"/>
    </row>
    <row r="374">
      <c r="B374" s="30" t="n"/>
    </row>
    <row r="375">
      <c r="B375" s="30" t="n"/>
    </row>
    <row r="376">
      <c r="B376" s="30" t="n"/>
    </row>
    <row r="377">
      <c r="B377" s="30" t="n"/>
    </row>
    <row r="378">
      <c r="B378" s="30" t="n"/>
    </row>
    <row r="379">
      <c r="B379" s="30" t="n"/>
    </row>
    <row r="380">
      <c r="B380" s="30" t="n"/>
    </row>
    <row r="381">
      <c r="B381" s="30" t="n"/>
    </row>
    <row r="382">
      <c r="B382" s="30" t="n"/>
    </row>
    <row r="383">
      <c r="B383" s="30" t="n"/>
    </row>
    <row r="384">
      <c r="B384" s="30" t="n"/>
    </row>
    <row r="385">
      <c r="B385" s="30" t="n"/>
    </row>
    <row r="386">
      <c r="B386" s="30" t="n"/>
    </row>
    <row r="387">
      <c r="B387" s="30" t="n"/>
    </row>
    <row r="388">
      <c r="B388" s="30" t="n"/>
    </row>
    <row r="389">
      <c r="B389" s="30" t="n"/>
    </row>
    <row r="390">
      <c r="B390" s="30" t="n"/>
    </row>
    <row r="391">
      <c r="B391" s="30" t="n"/>
    </row>
    <row r="392">
      <c r="B392" s="30" t="n"/>
    </row>
    <row r="393">
      <c r="B393" s="30" t="n"/>
    </row>
    <row r="394">
      <c r="B394" s="30" t="n"/>
    </row>
    <row r="395">
      <c r="B395" s="30" t="n"/>
    </row>
    <row r="396">
      <c r="B396" s="30" t="n"/>
    </row>
    <row r="397">
      <c r="B397" s="30" t="n"/>
    </row>
    <row r="398">
      <c r="B398" s="30" t="n"/>
    </row>
    <row r="399">
      <c r="B399" s="30" t="n"/>
    </row>
    <row r="400">
      <c r="B400" s="30" t="n"/>
    </row>
    <row r="401">
      <c r="B401" s="30" t="n"/>
    </row>
    <row r="402">
      <c r="B402" s="30" t="n"/>
    </row>
    <row r="403">
      <c r="B403" s="30" t="n"/>
    </row>
    <row r="404">
      <c r="B404" s="30" t="n"/>
    </row>
    <row r="405">
      <c r="B405" s="30" t="n"/>
    </row>
    <row r="406">
      <c r="B406" s="30" t="n"/>
    </row>
    <row r="407">
      <c r="B407" s="30" t="n"/>
    </row>
    <row r="408">
      <c r="B408" s="30" t="n"/>
    </row>
    <row r="409">
      <c r="B409" s="30" t="n"/>
    </row>
    <row r="410">
      <c r="B410" s="30" t="n"/>
    </row>
    <row r="411">
      <c r="B411" s="30" t="n"/>
    </row>
    <row r="412">
      <c r="B412" s="30" t="n"/>
    </row>
    <row r="413">
      <c r="B413" s="30" t="n"/>
    </row>
    <row r="414">
      <c r="B414" s="30" t="n"/>
    </row>
    <row r="415">
      <c r="B415" s="30" t="n"/>
    </row>
    <row r="416">
      <c r="B416" s="30" t="n"/>
    </row>
    <row r="417">
      <c r="B417" s="30" t="n"/>
    </row>
    <row r="418">
      <c r="B418" s="30" t="n"/>
    </row>
    <row r="419">
      <c r="B419" s="30" t="n"/>
    </row>
    <row r="420">
      <c r="B420" s="30" t="n"/>
    </row>
    <row r="421">
      <c r="B421" s="30" t="n"/>
    </row>
    <row r="422">
      <c r="B422" s="30" t="n"/>
    </row>
    <row r="423">
      <c r="B423" s="30" t="n"/>
    </row>
    <row r="424">
      <c r="B424" s="30" t="n"/>
    </row>
    <row r="425">
      <c r="B425" s="30" t="n"/>
    </row>
    <row r="426">
      <c r="B426" s="30" t="n"/>
    </row>
    <row r="427">
      <c r="B427" s="30" t="n"/>
    </row>
    <row r="428">
      <c r="B428" s="30" t="n"/>
    </row>
    <row r="429">
      <c r="B429" s="30" t="n"/>
    </row>
    <row r="430">
      <c r="B430" s="30" t="n"/>
    </row>
    <row r="431">
      <c r="B431" s="30" t="n"/>
    </row>
    <row r="432">
      <c r="B432" s="30" t="n"/>
    </row>
    <row r="433">
      <c r="B433" s="30" t="n"/>
    </row>
    <row r="434">
      <c r="B434" s="30" t="n"/>
    </row>
    <row r="435">
      <c r="B435" s="30" t="n"/>
    </row>
    <row r="436">
      <c r="B436" s="30" t="n"/>
    </row>
    <row r="437">
      <c r="B437" s="30" t="n"/>
    </row>
    <row r="438">
      <c r="B438" s="30" t="n"/>
    </row>
    <row r="439">
      <c r="B439" s="30" t="n"/>
    </row>
    <row r="440">
      <c r="B440" s="30" t="n"/>
    </row>
    <row r="441">
      <c r="B441" s="30" t="n"/>
    </row>
    <row r="442">
      <c r="B442" s="30" t="n"/>
    </row>
    <row r="443">
      <c r="B443" s="30" t="n"/>
    </row>
    <row r="444">
      <c r="B444" s="30" t="n"/>
    </row>
    <row r="445">
      <c r="B445" s="30" t="n"/>
    </row>
    <row r="446">
      <c r="B446" s="30" t="n"/>
    </row>
    <row r="447">
      <c r="B447" s="30" t="n"/>
    </row>
    <row r="448">
      <c r="B448" s="30" t="n"/>
    </row>
    <row r="449">
      <c r="B449" s="30" t="n"/>
    </row>
    <row r="450">
      <c r="B450" s="30" t="n"/>
    </row>
    <row r="451">
      <c r="B451" s="30" t="n"/>
    </row>
    <row r="452">
      <c r="B452" s="30" t="n"/>
    </row>
    <row r="453">
      <c r="B453" s="30" t="n"/>
    </row>
    <row r="454">
      <c r="B454" s="30" t="n"/>
    </row>
    <row r="455">
      <c r="B455" s="30" t="n"/>
    </row>
    <row r="456">
      <c r="B456" s="30" t="n"/>
    </row>
    <row r="457">
      <c r="B457" s="30" t="n"/>
    </row>
    <row r="458">
      <c r="B458" s="30" t="n"/>
    </row>
    <row r="459">
      <c r="B459" s="30" t="n"/>
    </row>
    <row r="460">
      <c r="B460" s="30" t="n"/>
    </row>
    <row r="461">
      <c r="B461" s="30" t="n"/>
    </row>
    <row r="462">
      <c r="B462" s="30" t="n"/>
    </row>
    <row r="463">
      <c r="B463" s="30" t="n"/>
    </row>
    <row r="464">
      <c r="B464" s="30" t="n"/>
    </row>
    <row r="465">
      <c r="B465" s="30" t="n"/>
    </row>
    <row r="466">
      <c r="B466" s="30" t="n"/>
    </row>
    <row r="467">
      <c r="B467" s="30" t="n"/>
    </row>
    <row r="468">
      <c r="B468" s="30" t="n"/>
    </row>
    <row r="469">
      <c r="B469" s="30" t="n"/>
    </row>
    <row r="470">
      <c r="B470" s="30" t="n"/>
    </row>
    <row r="471">
      <c r="B471" s="30" t="n"/>
    </row>
    <row r="472">
      <c r="B472" s="30" t="n"/>
    </row>
    <row r="473">
      <c r="B473" s="30" t="n"/>
    </row>
    <row r="474">
      <c r="B474" s="30" t="n"/>
    </row>
    <row r="475">
      <c r="B475" s="30" t="n"/>
    </row>
    <row r="476">
      <c r="B476" s="30" t="n"/>
    </row>
    <row r="477">
      <c r="B477" s="30" t="n"/>
    </row>
    <row r="478">
      <c r="B478" s="30" t="n"/>
    </row>
    <row r="479">
      <c r="B479" s="30" t="n"/>
    </row>
    <row r="480">
      <c r="B480" s="30" t="n"/>
    </row>
    <row r="481">
      <c r="B481" s="30" t="n"/>
    </row>
    <row r="482">
      <c r="B482" s="30" t="n"/>
    </row>
    <row r="483">
      <c r="B483" s="30" t="n"/>
    </row>
    <row r="484">
      <c r="B484" s="30" t="n"/>
    </row>
    <row r="485">
      <c r="B485" s="30" t="n"/>
    </row>
    <row r="486">
      <c r="B486" s="30" t="n"/>
    </row>
    <row r="487">
      <c r="B487" s="30" t="n"/>
    </row>
    <row r="488">
      <c r="B488" s="30" t="n"/>
    </row>
    <row r="489">
      <c r="B489" s="30" t="n"/>
    </row>
    <row r="490">
      <c r="B490" s="30" t="n"/>
    </row>
    <row r="491">
      <c r="B491" s="30" t="n"/>
    </row>
    <row r="492">
      <c r="B492" s="30" t="n"/>
    </row>
    <row r="493">
      <c r="B493" s="30" t="n"/>
    </row>
    <row r="494">
      <c r="B494" s="30" t="n"/>
    </row>
    <row r="495">
      <c r="B495" s="30" t="n"/>
    </row>
    <row r="496">
      <c r="B496" s="30" t="n"/>
    </row>
    <row r="497">
      <c r="B497" s="30" t="n"/>
    </row>
    <row r="498">
      <c r="B498" s="30" t="n"/>
    </row>
    <row r="499">
      <c r="B499" s="30" t="n"/>
    </row>
    <row r="500">
      <c r="B500" s="30" t="n"/>
    </row>
    <row r="501">
      <c r="B501" s="30" t="n"/>
    </row>
    <row r="502">
      <c r="B502" s="30" t="n"/>
    </row>
    <row r="503">
      <c r="B503" s="30" t="n"/>
    </row>
    <row r="504">
      <c r="B504" s="30" t="n"/>
    </row>
    <row r="505">
      <c r="B505" s="30" t="n"/>
    </row>
    <row r="506">
      <c r="B506" s="30" t="n"/>
    </row>
    <row r="507">
      <c r="B507" s="30" t="n"/>
    </row>
    <row r="508">
      <c r="B508" s="30" t="n"/>
    </row>
    <row r="509">
      <c r="B509" s="30" t="n"/>
    </row>
    <row r="510">
      <c r="B510" s="30" t="n"/>
    </row>
    <row r="511">
      <c r="B511" s="30" t="n"/>
    </row>
    <row r="512">
      <c r="B512" s="30" t="n"/>
    </row>
    <row r="513">
      <c r="B513" s="30" t="n"/>
    </row>
    <row r="514">
      <c r="B514" s="30" t="n"/>
    </row>
    <row r="515">
      <c r="B515" s="30" t="n"/>
    </row>
    <row r="516">
      <c r="B516" s="30" t="n"/>
    </row>
    <row r="517">
      <c r="B517" s="30" t="n"/>
    </row>
    <row r="518">
      <c r="B518" s="30" t="n"/>
    </row>
    <row r="519">
      <c r="B519" s="30" t="n"/>
    </row>
    <row r="520">
      <c r="B520" s="30" t="n"/>
    </row>
    <row r="521">
      <c r="B521" s="30" t="n"/>
    </row>
    <row r="522">
      <c r="B522" s="30" t="n"/>
    </row>
    <row r="523">
      <c r="B523" s="30" t="n"/>
    </row>
    <row r="524">
      <c r="B524" s="30" t="n"/>
    </row>
    <row r="525">
      <c r="B525" s="30" t="n"/>
    </row>
    <row r="526">
      <c r="B526" s="30" t="n"/>
    </row>
    <row r="527">
      <c r="B527" s="30" t="n"/>
    </row>
    <row r="528">
      <c r="B528" s="30" t="n"/>
    </row>
    <row r="529">
      <c r="B529" s="30" t="n"/>
    </row>
    <row r="530">
      <c r="B530" s="30" t="n"/>
    </row>
    <row r="531">
      <c r="B531" s="30" t="n"/>
    </row>
    <row r="532">
      <c r="B532" s="30" t="n"/>
    </row>
    <row r="533">
      <c r="B533" s="30" t="n"/>
    </row>
    <row r="534">
      <c r="B534" s="30" t="n"/>
    </row>
    <row r="535">
      <c r="B535" s="30" t="n"/>
    </row>
    <row r="536">
      <c r="B536" s="30" t="n"/>
    </row>
    <row r="537">
      <c r="B537" s="30" t="n"/>
    </row>
    <row r="538">
      <c r="B538" s="30" t="n"/>
    </row>
    <row r="539">
      <c r="B539" s="30" t="n"/>
    </row>
    <row r="540">
      <c r="B540" s="30" t="n"/>
    </row>
    <row r="541">
      <c r="B541" s="30" t="n"/>
    </row>
    <row r="542">
      <c r="B542" s="30" t="n"/>
    </row>
    <row r="543">
      <c r="B543" s="30" t="n"/>
    </row>
    <row r="544">
      <c r="B544" s="30" t="n"/>
    </row>
    <row r="545">
      <c r="B545" s="30" t="n"/>
    </row>
    <row r="546">
      <c r="B546" s="30" t="n"/>
    </row>
    <row r="547">
      <c r="B547" s="30" t="n"/>
    </row>
    <row r="548">
      <c r="B548" s="30" t="n"/>
    </row>
    <row r="549">
      <c r="B549" s="30" t="n"/>
    </row>
    <row r="550">
      <c r="B550" s="30" t="n"/>
    </row>
    <row r="551">
      <c r="B551" s="30" t="n"/>
    </row>
    <row r="552">
      <c r="B552" s="30" t="n"/>
    </row>
    <row r="553">
      <c r="B553" s="30" t="n"/>
    </row>
    <row r="554">
      <c r="B554" s="30" t="n"/>
    </row>
    <row r="555">
      <c r="B555" s="30" t="n"/>
    </row>
    <row r="556">
      <c r="B556" s="30" t="n"/>
    </row>
    <row r="557">
      <c r="B557" s="30" t="n"/>
    </row>
    <row r="558">
      <c r="B558" s="30" t="n"/>
    </row>
    <row r="559">
      <c r="B559" s="30" t="n"/>
    </row>
    <row r="560">
      <c r="B560" s="30" t="n"/>
    </row>
    <row r="561">
      <c r="B561" s="30" t="n"/>
    </row>
    <row r="562">
      <c r="B562" s="30" t="n"/>
    </row>
    <row r="563">
      <c r="B563" s="30" t="n"/>
    </row>
    <row r="564">
      <c r="B564" s="30" t="n"/>
    </row>
    <row r="565">
      <c r="B565" s="30" t="n"/>
    </row>
    <row r="566">
      <c r="B566" s="30" t="n"/>
    </row>
    <row r="567">
      <c r="B567" s="30" t="n"/>
    </row>
    <row r="568">
      <c r="B568" s="30" t="n"/>
    </row>
    <row r="569">
      <c r="B569" s="30" t="n"/>
    </row>
    <row r="570">
      <c r="B570" s="30" t="n"/>
    </row>
    <row r="571">
      <c r="B571" s="30" t="n"/>
    </row>
    <row r="572">
      <c r="B572" s="30" t="n"/>
    </row>
    <row r="573">
      <c r="B573" s="30" t="n"/>
    </row>
    <row r="574">
      <c r="B574" s="30" t="n"/>
    </row>
    <row r="575">
      <c r="B575" s="30" t="n"/>
    </row>
    <row r="576">
      <c r="B576" s="30" t="n"/>
    </row>
    <row r="577">
      <c r="B577" s="30" t="n"/>
    </row>
    <row r="578">
      <c r="B578" s="30" t="n"/>
    </row>
    <row r="579">
      <c r="B579" s="30" t="n"/>
    </row>
    <row r="580">
      <c r="B580" s="30" t="n"/>
    </row>
    <row r="581">
      <c r="B581" s="30" t="n"/>
    </row>
    <row r="582">
      <c r="B582" s="30" t="n"/>
    </row>
    <row r="583">
      <c r="B583" s="30" t="n"/>
    </row>
    <row r="584">
      <c r="B584" s="30" t="n"/>
    </row>
    <row r="585">
      <c r="B585" s="30" t="n"/>
    </row>
    <row r="586">
      <c r="B586" s="30" t="n"/>
    </row>
    <row r="587">
      <c r="B587" s="30" t="n"/>
    </row>
    <row r="588">
      <c r="B588" s="30" t="n"/>
    </row>
    <row r="589">
      <c r="B589" s="30" t="n"/>
    </row>
    <row r="590">
      <c r="B590" s="30" t="n"/>
    </row>
    <row r="591">
      <c r="B591" s="30" t="n"/>
    </row>
    <row r="592">
      <c r="B592" s="30" t="n"/>
    </row>
    <row r="593">
      <c r="B593" s="30" t="n"/>
    </row>
    <row r="594">
      <c r="B594" s="30" t="n"/>
    </row>
    <row r="595">
      <c r="B595" s="30" t="n"/>
    </row>
    <row r="596">
      <c r="B596" s="30" t="n"/>
    </row>
    <row r="597">
      <c r="B597" s="30" t="n"/>
    </row>
    <row r="598">
      <c r="B598" s="30" t="n"/>
    </row>
    <row r="599">
      <c r="B599" s="30" t="n"/>
    </row>
    <row r="600">
      <c r="B600" s="30" t="n"/>
    </row>
    <row r="601">
      <c r="B601" s="30" t="n"/>
    </row>
    <row r="602">
      <c r="B602" s="30" t="n"/>
    </row>
    <row r="603">
      <c r="B603" s="30" t="n"/>
    </row>
    <row r="604">
      <c r="B604" s="30" t="n"/>
    </row>
    <row r="605">
      <c r="B605" s="30" t="n"/>
    </row>
    <row r="606">
      <c r="B606" s="30" t="n"/>
    </row>
    <row r="607">
      <c r="B607" s="30" t="n"/>
    </row>
    <row r="608">
      <c r="B608" s="30" t="n"/>
    </row>
    <row r="609">
      <c r="B609" s="30" t="n"/>
    </row>
    <row r="610">
      <c r="B610" s="30" t="n"/>
    </row>
    <row r="611">
      <c r="B611" s="30" t="n"/>
    </row>
    <row r="612">
      <c r="B612" s="30" t="n"/>
    </row>
    <row r="613">
      <c r="B613" s="30" t="n"/>
    </row>
    <row r="614">
      <c r="B614" s="30" t="n"/>
    </row>
    <row r="615">
      <c r="B615" s="30" t="n"/>
    </row>
    <row r="616">
      <c r="B616" s="30" t="n"/>
    </row>
    <row r="617">
      <c r="B617" s="30" t="n"/>
    </row>
    <row r="618">
      <c r="B618" s="30" t="n"/>
    </row>
    <row r="619">
      <c r="B619" s="30" t="n"/>
    </row>
    <row r="620">
      <c r="B620" s="30" t="n"/>
    </row>
    <row r="621">
      <c r="B621" s="30" t="n"/>
    </row>
    <row r="622">
      <c r="B622" s="30" t="n"/>
    </row>
    <row r="623">
      <c r="B623" s="30" t="n"/>
    </row>
    <row r="624">
      <c r="B624" s="30" t="n"/>
    </row>
    <row r="625">
      <c r="B625" s="30" t="n"/>
    </row>
    <row r="626">
      <c r="B626" s="30" t="n"/>
    </row>
    <row r="627">
      <c r="B627" s="30" t="n"/>
    </row>
    <row r="628">
      <c r="B628" s="30" t="n"/>
    </row>
    <row r="629">
      <c r="B629" s="30" t="n"/>
    </row>
    <row r="630">
      <c r="B630" s="30" t="n"/>
    </row>
    <row r="631">
      <c r="B631" s="30" t="n"/>
    </row>
    <row r="632">
      <c r="B632" s="30" t="n"/>
    </row>
    <row r="633">
      <c r="B633" s="30" t="n"/>
    </row>
    <row r="634">
      <c r="B634" s="30" t="n"/>
    </row>
    <row r="635">
      <c r="B635" s="30" t="n"/>
    </row>
    <row r="636">
      <c r="B636" s="30" t="n"/>
    </row>
    <row r="637">
      <c r="B637" s="30" t="n"/>
    </row>
    <row r="638">
      <c r="B638" s="30" t="n"/>
    </row>
    <row r="639">
      <c r="B639" s="30" t="n"/>
    </row>
    <row r="640">
      <c r="B640" s="30" t="n"/>
    </row>
    <row r="641">
      <c r="B641" s="30" t="n"/>
    </row>
    <row r="642">
      <c r="B642" s="30" t="n"/>
    </row>
    <row r="643">
      <c r="B643" s="30" t="n"/>
    </row>
    <row r="644">
      <c r="B644" s="30" t="n"/>
    </row>
    <row r="645">
      <c r="B645" s="30" t="n"/>
    </row>
    <row r="646">
      <c r="B646" s="30" t="n"/>
    </row>
    <row r="647">
      <c r="B647" s="30" t="n"/>
    </row>
    <row r="648">
      <c r="B648" s="30" t="n"/>
    </row>
    <row r="649">
      <c r="B649" s="30" t="n"/>
    </row>
    <row r="650">
      <c r="B650" s="30" t="n"/>
    </row>
    <row r="651">
      <c r="B651" s="30" t="n"/>
    </row>
    <row r="652">
      <c r="B652" s="30" t="n"/>
    </row>
    <row r="653">
      <c r="B653" s="30" t="n"/>
    </row>
    <row r="654">
      <c r="B654" s="30" t="n"/>
    </row>
    <row r="655">
      <c r="B655" s="30" t="n"/>
    </row>
    <row r="656">
      <c r="B656" s="30" t="n"/>
    </row>
    <row r="657">
      <c r="B657" s="30" t="n"/>
    </row>
    <row r="658">
      <c r="B658" s="30" t="n"/>
    </row>
    <row r="659">
      <c r="B659" s="30" t="n"/>
    </row>
    <row r="660">
      <c r="B660" s="30" t="n"/>
    </row>
    <row r="661">
      <c r="B661" s="30" t="n"/>
    </row>
    <row r="662">
      <c r="B662" s="30" t="n"/>
    </row>
    <row r="663">
      <c r="B663" s="30" t="n"/>
    </row>
    <row r="664">
      <c r="B664" s="30" t="n"/>
    </row>
    <row r="665">
      <c r="B665" s="30" t="n"/>
    </row>
    <row r="666">
      <c r="B666" s="30" t="n"/>
    </row>
    <row r="667">
      <c r="B667" s="30" t="n"/>
    </row>
    <row r="668">
      <c r="B668" s="30" t="n"/>
    </row>
    <row r="669">
      <c r="B669" s="30" t="n"/>
    </row>
    <row r="670">
      <c r="B670" s="30" t="n"/>
    </row>
    <row r="671">
      <c r="B671" s="30" t="n"/>
    </row>
    <row r="672">
      <c r="B672" s="30" t="n"/>
    </row>
    <row r="673">
      <c r="B673" s="30" t="n"/>
    </row>
    <row r="674">
      <c r="B674" s="30" t="n"/>
    </row>
    <row r="675">
      <c r="B675" s="30" t="n"/>
    </row>
    <row r="676">
      <c r="B676" s="30" t="n"/>
    </row>
    <row r="677">
      <c r="B677" s="30" t="n"/>
    </row>
    <row r="678">
      <c r="B678" s="30" t="n"/>
    </row>
    <row r="679">
      <c r="B679" s="30" t="n"/>
    </row>
    <row r="680">
      <c r="B680" s="30" t="n"/>
    </row>
    <row r="681">
      <c r="B681" s="30" t="n"/>
    </row>
    <row r="682">
      <c r="B682" s="30" t="n"/>
    </row>
    <row r="683">
      <c r="B683" s="30" t="n"/>
    </row>
    <row r="684">
      <c r="B684" s="30" t="n"/>
    </row>
    <row r="685">
      <c r="B685" s="30" t="n"/>
    </row>
    <row r="686">
      <c r="B686" s="30" t="n"/>
    </row>
    <row r="687">
      <c r="B687" s="30" t="n"/>
    </row>
    <row r="688">
      <c r="B688" s="30" t="n"/>
    </row>
    <row r="689">
      <c r="B689" s="30" t="n"/>
    </row>
    <row r="690">
      <c r="B690" s="30" t="n"/>
    </row>
    <row r="691">
      <c r="B691" s="30" t="n"/>
    </row>
    <row r="692">
      <c r="B692" s="30" t="n"/>
    </row>
    <row r="693">
      <c r="B693" s="30" t="n"/>
    </row>
    <row r="694">
      <c r="B694" s="30" t="n"/>
    </row>
    <row r="695">
      <c r="B695" s="30" t="n"/>
    </row>
    <row r="696">
      <c r="B696" s="30" t="n"/>
    </row>
    <row r="697">
      <c r="B697" s="30" t="n"/>
    </row>
    <row r="698">
      <c r="B698" s="30" t="n"/>
    </row>
    <row r="699">
      <c r="B699" s="30" t="n"/>
    </row>
    <row r="700">
      <c r="B700" s="30" t="n"/>
    </row>
    <row r="701">
      <c r="B701" s="30" t="n"/>
    </row>
    <row r="702">
      <c r="B702" s="30" t="n"/>
    </row>
    <row r="703">
      <c r="B703" s="30" t="n"/>
    </row>
    <row r="704">
      <c r="B704" s="30" t="n"/>
    </row>
    <row r="705">
      <c r="B705" s="30" t="n"/>
    </row>
    <row r="706">
      <c r="B706" s="30" t="n"/>
    </row>
    <row r="707">
      <c r="B707" s="30" t="n"/>
    </row>
    <row r="708">
      <c r="B708" s="30" t="n"/>
    </row>
    <row r="709">
      <c r="B709" s="30" t="n"/>
    </row>
    <row r="710">
      <c r="B710" s="30" t="n"/>
    </row>
    <row r="711">
      <c r="B711" s="30" t="n"/>
    </row>
    <row r="712">
      <c r="B712" s="30" t="n"/>
    </row>
    <row r="713">
      <c r="B713" s="30" t="n"/>
    </row>
    <row r="714">
      <c r="B714" s="30" t="n"/>
    </row>
    <row r="715">
      <c r="B715" s="30" t="n"/>
    </row>
    <row r="716">
      <c r="B716" s="30" t="n"/>
    </row>
    <row r="717">
      <c r="B717" s="30" t="n"/>
    </row>
    <row r="718">
      <c r="B718" s="30" t="n"/>
    </row>
    <row r="719">
      <c r="B719" s="30" t="n"/>
    </row>
    <row r="720">
      <c r="B720" s="30" t="n"/>
    </row>
    <row r="721">
      <c r="B721" s="30" t="n"/>
    </row>
    <row r="722">
      <c r="B722" s="30" t="n"/>
    </row>
    <row r="723">
      <c r="B723" s="30" t="n"/>
    </row>
    <row r="724">
      <c r="B724" s="30" t="n"/>
    </row>
    <row r="725">
      <c r="B725" s="30" t="n"/>
    </row>
    <row r="726">
      <c r="B726" s="30" t="n"/>
    </row>
    <row r="727">
      <c r="B727" s="30" t="n"/>
    </row>
    <row r="728">
      <c r="B728" s="30" t="n"/>
    </row>
    <row r="729">
      <c r="B729" s="30" t="n"/>
    </row>
    <row r="730">
      <c r="B730" s="30" t="n"/>
    </row>
    <row r="731">
      <c r="B731" s="30" t="n"/>
    </row>
    <row r="732">
      <c r="B732" s="30" t="n"/>
    </row>
    <row r="733">
      <c r="B733" s="30" t="n"/>
    </row>
    <row r="734">
      <c r="B734" s="30" t="n"/>
    </row>
    <row r="735">
      <c r="B735" s="30" t="n"/>
    </row>
    <row r="736">
      <c r="B736" s="30" t="n"/>
    </row>
    <row r="737">
      <c r="B737" s="30" t="n"/>
    </row>
    <row r="738">
      <c r="B738" s="30" t="n"/>
    </row>
    <row r="739">
      <c r="B739" s="30" t="n"/>
    </row>
    <row r="740">
      <c r="B740" s="30" t="n"/>
    </row>
    <row r="741">
      <c r="B741" s="30" t="n"/>
    </row>
    <row r="742">
      <c r="B742" s="30" t="n"/>
    </row>
    <row r="743">
      <c r="B743" s="30" t="n"/>
    </row>
    <row r="744">
      <c r="B744" s="30" t="n"/>
    </row>
    <row r="745">
      <c r="B745" s="30" t="n"/>
    </row>
    <row r="746">
      <c r="B746" s="30" t="n"/>
    </row>
    <row r="747">
      <c r="B747" s="30" t="n"/>
    </row>
    <row r="748">
      <c r="B748" s="30" t="n"/>
    </row>
    <row r="749">
      <c r="B749" s="30" t="n"/>
    </row>
    <row r="750">
      <c r="B750" s="30" t="n"/>
    </row>
    <row r="751">
      <c r="B751" s="30" t="n"/>
    </row>
    <row r="752">
      <c r="B752" s="30" t="n"/>
    </row>
    <row r="753">
      <c r="B753" s="30" t="n"/>
    </row>
    <row r="754">
      <c r="B754" s="30" t="n"/>
    </row>
    <row r="755">
      <c r="B755" s="30" t="n"/>
    </row>
    <row r="756">
      <c r="B756" s="30" t="n"/>
    </row>
    <row r="757">
      <c r="B757" s="30" t="n"/>
    </row>
    <row r="758">
      <c r="B758" s="30" t="n"/>
    </row>
    <row r="759">
      <c r="B759" s="30" t="n"/>
    </row>
    <row r="760">
      <c r="B760" s="30" t="n"/>
    </row>
    <row r="761">
      <c r="B761" s="30" t="n"/>
    </row>
    <row r="762">
      <c r="B762" s="30" t="n"/>
    </row>
    <row r="763">
      <c r="B763" s="30" t="n"/>
    </row>
    <row r="764">
      <c r="B764" s="30" t="n"/>
    </row>
    <row r="765">
      <c r="B765" s="30" t="n"/>
    </row>
    <row r="766">
      <c r="B766" s="30" t="n"/>
    </row>
    <row r="767">
      <c r="B767" s="30" t="n"/>
    </row>
    <row r="768">
      <c r="B768" s="30" t="n"/>
    </row>
    <row r="769">
      <c r="B769" s="30" t="n"/>
    </row>
    <row r="770">
      <c r="B770" s="30" t="n"/>
    </row>
    <row r="771">
      <c r="B771" s="30" t="n"/>
    </row>
    <row r="772">
      <c r="B772" s="30" t="n"/>
    </row>
    <row r="773">
      <c r="B773" s="30" t="n"/>
    </row>
    <row r="774">
      <c r="B774" s="30" t="n"/>
    </row>
    <row r="775">
      <c r="B775" s="30" t="n"/>
    </row>
    <row r="776">
      <c r="B776" s="30" t="n"/>
    </row>
    <row r="777">
      <c r="B777" s="30" t="n"/>
    </row>
    <row r="778">
      <c r="B778" s="30" t="n"/>
    </row>
    <row r="779">
      <c r="B779" s="30" t="n"/>
    </row>
    <row r="780">
      <c r="B780" s="30" t="n"/>
    </row>
    <row r="781">
      <c r="B781" s="30" t="n"/>
    </row>
    <row r="782">
      <c r="B782" s="30" t="n"/>
    </row>
    <row r="783">
      <c r="B783" s="30" t="n"/>
    </row>
    <row r="784">
      <c r="B784" s="30" t="n"/>
    </row>
    <row r="785">
      <c r="B785" s="30" t="n"/>
    </row>
    <row r="786">
      <c r="B786" s="30" t="n"/>
    </row>
    <row r="787">
      <c r="B787" s="30" t="n"/>
    </row>
    <row r="788">
      <c r="B788" s="30" t="n"/>
    </row>
    <row r="789">
      <c r="B789" s="30" t="n"/>
    </row>
    <row r="790">
      <c r="B790" s="30" t="n"/>
    </row>
    <row r="791">
      <c r="B791" s="30" t="n"/>
    </row>
    <row r="792">
      <c r="B792" s="30" t="n"/>
    </row>
    <row r="793">
      <c r="B793" s="30" t="n"/>
    </row>
    <row r="794">
      <c r="B794" s="30" t="n"/>
    </row>
    <row r="795">
      <c r="B795" s="30" t="n"/>
    </row>
    <row r="796">
      <c r="B796" s="30" t="n"/>
    </row>
    <row r="797">
      <c r="B797" s="30" t="n"/>
    </row>
    <row r="798">
      <c r="B798" s="30" t="n"/>
    </row>
    <row r="799">
      <c r="B799" s="30" t="n"/>
    </row>
    <row r="800">
      <c r="B800" s="30" t="n"/>
    </row>
    <row r="801">
      <c r="B801" s="30" t="n"/>
    </row>
    <row r="802">
      <c r="B802" s="30" t="n"/>
    </row>
    <row r="803">
      <c r="B803" s="30" t="n"/>
    </row>
    <row r="804">
      <c r="B804" s="30" t="n"/>
    </row>
    <row r="805">
      <c r="B805" s="30" t="n"/>
    </row>
    <row r="806">
      <c r="B806" s="30" t="n"/>
    </row>
    <row r="807">
      <c r="B807" s="30" t="n"/>
    </row>
    <row r="808">
      <c r="B808" s="30" t="n"/>
    </row>
    <row r="809">
      <c r="B809" s="30" t="n"/>
    </row>
    <row r="810">
      <c r="B810" s="30" t="n"/>
    </row>
    <row r="811">
      <c r="B811" s="30" t="n"/>
    </row>
    <row r="812">
      <c r="B812" s="30" t="n"/>
    </row>
    <row r="813">
      <c r="B813" s="30" t="n"/>
    </row>
    <row r="814">
      <c r="B814" s="30" t="n"/>
    </row>
    <row r="815">
      <c r="B815" s="30" t="n"/>
    </row>
    <row r="816">
      <c r="B816" s="30" t="n"/>
    </row>
    <row r="817">
      <c r="B817" s="30" t="n"/>
    </row>
    <row r="818">
      <c r="B818" s="30" t="n"/>
    </row>
    <row r="819">
      <c r="B819" s="30" t="n"/>
    </row>
    <row r="820">
      <c r="B820" s="30" t="n"/>
    </row>
    <row r="821">
      <c r="B821" s="30" t="n"/>
    </row>
    <row r="822">
      <c r="B822" s="30" t="n"/>
    </row>
    <row r="823">
      <c r="B823" s="30" t="n"/>
    </row>
    <row r="824">
      <c r="B824" s="30" t="n"/>
    </row>
    <row r="825">
      <c r="B825" s="30" t="n"/>
    </row>
    <row r="826">
      <c r="B826" s="30" t="n"/>
    </row>
    <row r="827">
      <c r="B827" s="30" t="n"/>
    </row>
    <row r="828">
      <c r="B828" s="30" t="n"/>
    </row>
    <row r="829">
      <c r="B829" s="30" t="n"/>
    </row>
    <row r="830">
      <c r="B830" s="30" t="n"/>
    </row>
    <row r="831">
      <c r="B831" s="30" t="n"/>
    </row>
    <row r="832">
      <c r="B832" s="30" t="n"/>
    </row>
    <row r="833">
      <c r="B833" s="30" t="n"/>
    </row>
    <row r="834">
      <c r="B834" s="30" t="n"/>
    </row>
    <row r="835">
      <c r="B835" s="30" t="n"/>
    </row>
    <row r="836">
      <c r="B836" s="30" t="n"/>
    </row>
    <row r="837">
      <c r="B837" s="30" t="n"/>
    </row>
    <row r="838">
      <c r="B838" s="30" t="n"/>
    </row>
    <row r="839">
      <c r="B839" s="30" t="n"/>
    </row>
    <row r="840">
      <c r="B840" s="30" t="n"/>
    </row>
    <row r="841">
      <c r="B841" s="30" t="n"/>
    </row>
    <row r="842">
      <c r="B842" s="30" t="n"/>
    </row>
    <row r="843">
      <c r="B843" s="30" t="n"/>
    </row>
    <row r="844">
      <c r="B844" s="30" t="n"/>
    </row>
    <row r="845">
      <c r="B845" s="30" t="n"/>
    </row>
    <row r="846">
      <c r="B846" s="30" t="n"/>
    </row>
    <row r="847">
      <c r="B847" s="30" t="n"/>
    </row>
    <row r="848">
      <c r="B848" s="30" t="n"/>
    </row>
    <row r="849">
      <c r="B849" s="30" t="n"/>
    </row>
    <row r="850">
      <c r="B850" s="30" t="n"/>
    </row>
    <row r="851">
      <c r="B851" s="30" t="n"/>
    </row>
    <row r="852">
      <c r="B852" s="30" t="n"/>
    </row>
    <row r="853">
      <c r="B853" s="30" t="n"/>
    </row>
    <row r="854">
      <c r="B854" s="30" t="n"/>
    </row>
    <row r="855">
      <c r="B855" s="30" t="n"/>
    </row>
    <row r="856">
      <c r="B856" s="30" t="n"/>
    </row>
    <row r="857">
      <c r="B857" s="30" t="n"/>
    </row>
    <row r="858">
      <c r="B858" s="30" t="n"/>
    </row>
    <row r="859">
      <c r="B859" s="30" t="n"/>
    </row>
    <row r="860">
      <c r="B860" s="30" t="n"/>
    </row>
    <row r="861">
      <c r="B861" s="30" t="n"/>
    </row>
    <row r="862">
      <c r="B862" s="30" t="n"/>
    </row>
    <row r="863">
      <c r="B863" s="30" t="n"/>
    </row>
    <row r="864">
      <c r="B864" s="30" t="n"/>
    </row>
    <row r="865">
      <c r="B865" s="30" t="n"/>
    </row>
    <row r="866">
      <c r="B866" s="30" t="n"/>
    </row>
    <row r="867">
      <c r="B867" s="30" t="n"/>
    </row>
    <row r="868">
      <c r="B868" s="30" t="n"/>
    </row>
    <row r="869">
      <c r="B869" s="30" t="n"/>
    </row>
    <row r="870">
      <c r="B870" s="30" t="n"/>
    </row>
    <row r="871">
      <c r="B871" s="30" t="n"/>
    </row>
    <row r="872">
      <c r="B872" s="30" t="n"/>
    </row>
    <row r="873">
      <c r="B873" s="30" t="n"/>
    </row>
    <row r="874">
      <c r="B874" s="30" t="n"/>
    </row>
    <row r="875">
      <c r="B875" s="30" t="n"/>
    </row>
    <row r="876">
      <c r="B876" s="30" t="n"/>
    </row>
    <row r="877">
      <c r="B877" s="30" t="n"/>
    </row>
    <row r="878">
      <c r="B878" s="30" t="n"/>
    </row>
    <row r="879">
      <c r="B879" s="30" t="n"/>
    </row>
    <row r="880">
      <c r="B880" s="30" t="n"/>
    </row>
    <row r="881">
      <c r="B881" s="30" t="n"/>
    </row>
    <row r="882">
      <c r="B882" s="30" t="n"/>
    </row>
    <row r="883">
      <c r="B883" s="30" t="n"/>
    </row>
    <row r="884">
      <c r="B884" s="30" t="n"/>
    </row>
    <row r="885">
      <c r="B885" s="30" t="n"/>
    </row>
    <row r="886">
      <c r="B886" s="30" t="n"/>
    </row>
    <row r="887">
      <c r="B887" s="30" t="n"/>
    </row>
    <row r="888">
      <c r="B888" s="30" t="n"/>
    </row>
    <row r="889">
      <c r="B889" s="30" t="n"/>
    </row>
    <row r="890">
      <c r="B890" s="30" t="n"/>
    </row>
    <row r="891">
      <c r="B891" s="30" t="n"/>
    </row>
    <row r="892">
      <c r="B892" s="30" t="n"/>
    </row>
    <row r="893">
      <c r="B893" s="30" t="n"/>
    </row>
    <row r="894">
      <c r="B894" s="30" t="n"/>
    </row>
    <row r="895">
      <c r="B895" s="30" t="n"/>
    </row>
    <row r="896">
      <c r="B896" s="30" t="n"/>
    </row>
    <row r="897">
      <c r="B897" s="30" t="n"/>
    </row>
    <row r="898">
      <c r="B898" s="30" t="n"/>
    </row>
    <row r="899">
      <c r="B899" s="30" t="n"/>
    </row>
    <row r="900">
      <c r="B900" s="30" t="n"/>
    </row>
    <row r="901">
      <c r="B901" s="30" t="n"/>
    </row>
    <row r="902">
      <c r="B902" s="30" t="n"/>
    </row>
    <row r="903">
      <c r="B903" s="30" t="n"/>
    </row>
    <row r="904">
      <c r="B904" s="30" t="n"/>
    </row>
    <row r="905">
      <c r="B905" s="30" t="n"/>
    </row>
    <row r="906">
      <c r="B906" s="30" t="n"/>
    </row>
    <row r="907">
      <c r="B907" s="30" t="n"/>
    </row>
    <row r="908">
      <c r="B908" s="30" t="n"/>
    </row>
    <row r="909">
      <c r="B909" s="30" t="n"/>
    </row>
    <row r="910">
      <c r="B910" s="30" t="n"/>
    </row>
    <row r="911">
      <c r="B911" s="30" t="n"/>
    </row>
    <row r="912">
      <c r="B912" s="30" t="n"/>
    </row>
    <row r="913">
      <c r="B913" s="30" t="n"/>
    </row>
    <row r="914">
      <c r="B914" s="30" t="n"/>
    </row>
    <row r="915">
      <c r="B915" s="30" t="n"/>
    </row>
    <row r="916">
      <c r="B916" s="30" t="n"/>
    </row>
    <row r="917">
      <c r="B917" s="30" t="n"/>
    </row>
    <row r="918">
      <c r="B918" s="30" t="n"/>
    </row>
    <row r="919">
      <c r="B919" s="30" t="n"/>
    </row>
    <row r="920">
      <c r="B920" s="30" t="n"/>
    </row>
    <row r="921">
      <c r="B921" s="30" t="n"/>
    </row>
    <row r="922">
      <c r="B922" s="30" t="n"/>
    </row>
    <row r="923">
      <c r="B923" s="30" t="n"/>
    </row>
    <row r="924">
      <c r="B924" s="30" t="n"/>
    </row>
    <row r="925">
      <c r="B925" s="30" t="n"/>
    </row>
    <row r="926">
      <c r="B926" s="30" t="n"/>
    </row>
    <row r="927">
      <c r="B927" s="30" t="n"/>
    </row>
    <row r="928">
      <c r="B928" s="30" t="n"/>
    </row>
    <row r="929">
      <c r="B929" s="30" t="n"/>
    </row>
    <row r="930">
      <c r="B930" s="30" t="n"/>
    </row>
    <row r="931">
      <c r="B931" s="30" t="n"/>
    </row>
    <row r="932">
      <c r="B932" s="30" t="n"/>
    </row>
    <row r="933">
      <c r="B933" s="30" t="n"/>
    </row>
    <row r="934">
      <c r="B934" s="30" t="n"/>
    </row>
    <row r="935">
      <c r="B935" s="30" t="n"/>
    </row>
    <row r="936">
      <c r="B936" s="30" t="n"/>
    </row>
    <row r="937">
      <c r="B937" s="30" t="n"/>
    </row>
    <row r="938">
      <c r="B938" s="30" t="n"/>
    </row>
    <row r="939">
      <c r="B939" s="30" t="n"/>
    </row>
    <row r="940">
      <c r="B940" s="30" t="n"/>
    </row>
    <row r="941">
      <c r="B941" s="30" t="n"/>
    </row>
    <row r="942">
      <c r="B942" s="30" t="n"/>
    </row>
    <row r="943">
      <c r="B943" s="30" t="n"/>
    </row>
    <row r="944">
      <c r="B944" s="30" t="n"/>
    </row>
    <row r="945">
      <c r="B945" s="30" t="n"/>
    </row>
    <row r="946">
      <c r="B946" s="30" t="n"/>
    </row>
    <row r="947">
      <c r="B947" s="30" t="n"/>
    </row>
    <row r="948">
      <c r="B948" s="30" t="n"/>
    </row>
    <row r="949">
      <c r="B949" s="30" t="n"/>
    </row>
    <row r="950">
      <c r="B950" s="30" t="n"/>
    </row>
    <row r="951">
      <c r="B951" s="30" t="n"/>
    </row>
    <row r="952">
      <c r="B952" s="30" t="n"/>
    </row>
    <row r="953">
      <c r="B953" s="30" t="n"/>
    </row>
    <row r="954">
      <c r="B954" s="30" t="n"/>
    </row>
    <row r="955">
      <c r="B955" s="30" t="n"/>
    </row>
    <row r="956">
      <c r="B956" s="30" t="n"/>
    </row>
    <row r="957">
      <c r="B957" s="30" t="n"/>
    </row>
    <row r="958">
      <c r="B958" s="30" t="n"/>
    </row>
    <row r="959">
      <c r="B959" s="30" t="n"/>
    </row>
    <row r="960">
      <c r="B960" s="30" t="n"/>
    </row>
    <row r="961">
      <c r="B961" s="30" t="n"/>
    </row>
    <row r="962">
      <c r="B962" s="30" t="n"/>
    </row>
    <row r="963">
      <c r="B963" s="30" t="n"/>
    </row>
    <row r="964">
      <c r="B964" s="30" t="n"/>
    </row>
    <row r="965">
      <c r="B965" s="30" t="n"/>
    </row>
    <row r="966">
      <c r="B966" s="30" t="n"/>
    </row>
    <row r="967">
      <c r="B967" s="30" t="n"/>
    </row>
    <row r="968">
      <c r="B968" s="30" t="n"/>
    </row>
    <row r="969">
      <c r="B969" s="30" t="n"/>
    </row>
    <row r="970">
      <c r="B970" s="30" t="n"/>
    </row>
    <row r="971">
      <c r="B971" s="30" t="n"/>
    </row>
    <row r="972">
      <c r="B972" s="30" t="n"/>
    </row>
    <row r="973">
      <c r="B973" s="30" t="n"/>
    </row>
    <row r="974">
      <c r="B974" s="30" t="n"/>
    </row>
    <row r="975">
      <c r="B975" s="30" t="n"/>
    </row>
    <row r="976">
      <c r="B976" s="30" t="n"/>
    </row>
    <row r="977">
      <c r="B977" s="30" t="n"/>
    </row>
    <row r="978">
      <c r="B978" s="30" t="n"/>
    </row>
    <row r="979">
      <c r="B979" s="30" t="n"/>
    </row>
    <row r="980">
      <c r="B980" s="30" t="n"/>
    </row>
    <row r="981">
      <c r="B981" s="30" t="n"/>
    </row>
    <row r="982">
      <c r="B982" s="30" t="n"/>
    </row>
    <row r="983">
      <c r="B983" s="30" t="n"/>
    </row>
    <row r="984">
      <c r="B984" s="30" t="n"/>
    </row>
    <row r="985">
      <c r="B985" s="30" t="n"/>
    </row>
    <row r="986">
      <c r="B986" s="30" t="n"/>
    </row>
    <row r="987">
      <c r="B987" s="30" t="n"/>
    </row>
    <row r="988">
      <c r="B988" s="30" t="n"/>
    </row>
    <row r="989">
      <c r="B989" s="30" t="n"/>
    </row>
    <row r="990">
      <c r="B990" s="30" t="n"/>
    </row>
    <row r="991">
      <c r="B991" s="30" t="n"/>
    </row>
    <row r="992">
      <c r="B992" s="30" t="n"/>
    </row>
    <row r="993">
      <c r="B993" s="30" t="n"/>
    </row>
    <row r="994">
      <c r="B994" s="30" t="n"/>
    </row>
    <row r="995">
      <c r="B995" s="30" t="n"/>
    </row>
    <row r="996">
      <c r="B996" s="30" t="n"/>
    </row>
    <row r="997">
      <c r="B997" s="30" t="n"/>
    </row>
    <row r="998">
      <c r="B998" s="30" t="n"/>
    </row>
    <row r="999">
      <c r="B999" s="30" t="n"/>
    </row>
    <row r="1000">
      <c r="B1000" s="30" t="n"/>
    </row>
    <row r="1001">
      <c r="B1001" s="30" t="n"/>
    </row>
    <row r="1002">
      <c r="B1002" s="30" t="n"/>
    </row>
    <row r="1003">
      <c r="B1003" s="30" t="n"/>
    </row>
    <row r="1004">
      <c r="B1004" s="30" t="n"/>
    </row>
    <row r="1005">
      <c r="B1005" s="30" t="n"/>
    </row>
    <row r="1006">
      <c r="B1006" s="30" t="n"/>
    </row>
    <row r="1007">
      <c r="B1007" s="30" t="n"/>
    </row>
    <row r="1008">
      <c r="B1008" s="30" t="n"/>
    </row>
    <row r="1009">
      <c r="B1009" s="30" t="n"/>
    </row>
    <row r="1010">
      <c r="B1010" s="30" t="n"/>
    </row>
    <row r="1011">
      <c r="B1011" s="30" t="n"/>
    </row>
    <row r="1012">
      <c r="B1012" s="30" t="n"/>
    </row>
    <row r="1013">
      <c r="B1013" s="30" t="n"/>
    </row>
    <row r="1014">
      <c r="B1014" s="30" t="n"/>
    </row>
    <row r="1015">
      <c r="B1015" s="30" t="n"/>
    </row>
    <row r="1016">
      <c r="B1016" s="30" t="n"/>
    </row>
    <row r="1017">
      <c r="B1017" s="30" t="n"/>
    </row>
    <row r="1018">
      <c r="B1018" s="30" t="n"/>
    </row>
    <row r="1019">
      <c r="B1019" s="30" t="n"/>
    </row>
    <row r="1020">
      <c r="B1020" s="30" t="n"/>
    </row>
    <row r="1021">
      <c r="B1021" s="30" t="n"/>
    </row>
    <row r="1022">
      <c r="B1022" s="30" t="n"/>
    </row>
    <row r="1023">
      <c r="B1023" s="30" t="n"/>
    </row>
    <row r="1024">
      <c r="B1024" s="30" t="n"/>
    </row>
    <row r="1025">
      <c r="B1025" s="30" t="n"/>
    </row>
    <row r="1026">
      <c r="B1026" s="30" t="n"/>
    </row>
    <row r="1027">
      <c r="B1027" s="30" t="n"/>
    </row>
    <row r="1028">
      <c r="B1028" s="30" t="n"/>
    </row>
    <row r="1029">
      <c r="B1029" s="30" t="n"/>
    </row>
    <row r="1030">
      <c r="B1030" s="30" t="n"/>
    </row>
    <row r="1031">
      <c r="B1031" s="30" t="n"/>
    </row>
    <row r="1032">
      <c r="B1032" s="30" t="n"/>
    </row>
    <row r="1033">
      <c r="B1033" s="30" t="n"/>
    </row>
    <row r="1034">
      <c r="B1034" s="30" t="n"/>
    </row>
    <row r="1035">
      <c r="B1035" s="30" t="n"/>
    </row>
    <row r="1036">
      <c r="B1036" s="30" t="n"/>
    </row>
    <row r="1037">
      <c r="B1037" s="30" t="n"/>
    </row>
    <row r="1038">
      <c r="B1038" s="30" t="n"/>
    </row>
    <row r="1039">
      <c r="B1039" s="30" t="n"/>
    </row>
    <row r="1040">
      <c r="B1040" s="30" t="n"/>
    </row>
    <row r="1041">
      <c r="B1041" s="30" t="n"/>
    </row>
    <row r="1042">
      <c r="B1042" s="30" t="n"/>
    </row>
    <row r="1043">
      <c r="B1043" s="30" t="n"/>
    </row>
    <row r="1044">
      <c r="B1044" s="30" t="n"/>
    </row>
    <row r="1045">
      <c r="B1045" s="30" t="n"/>
    </row>
    <row r="1046">
      <c r="B1046" s="30" t="n"/>
    </row>
    <row r="1047">
      <c r="B1047" s="30" t="n"/>
    </row>
    <row r="1048">
      <c r="B1048" s="30" t="n"/>
    </row>
    <row r="1049">
      <c r="B1049" s="30" t="n"/>
    </row>
    <row r="1050">
      <c r="B1050" s="30" t="n"/>
    </row>
    <row r="1051">
      <c r="B1051" s="30" t="n"/>
    </row>
    <row r="1052">
      <c r="B1052" s="30" t="n"/>
    </row>
    <row r="1053">
      <c r="B1053" s="30" t="n"/>
    </row>
    <row r="1054">
      <c r="B1054" s="30" t="n"/>
    </row>
    <row r="1055">
      <c r="B1055" s="30" t="n"/>
    </row>
    <row r="1056">
      <c r="B1056" s="30" t="n"/>
    </row>
    <row r="1057">
      <c r="B1057" s="30" t="n"/>
    </row>
    <row r="1058">
      <c r="B1058" s="30" t="n"/>
    </row>
    <row r="1059">
      <c r="B1059" s="30" t="n"/>
    </row>
    <row r="1060">
      <c r="B1060" s="30" t="n"/>
    </row>
    <row r="1061">
      <c r="B1061" s="30" t="n"/>
    </row>
    <row r="1062">
      <c r="B1062" s="30" t="n"/>
    </row>
    <row r="1063">
      <c r="B1063" s="30" t="n"/>
    </row>
    <row r="1064">
      <c r="B1064" s="30" t="n"/>
    </row>
    <row r="1065">
      <c r="B1065" s="30" t="n"/>
    </row>
    <row r="1066">
      <c r="B1066" s="30" t="n"/>
    </row>
    <row r="1067">
      <c r="B1067" s="30" t="n"/>
    </row>
    <row r="1068">
      <c r="B1068" s="30" t="n"/>
    </row>
    <row r="1069">
      <c r="B1069" s="30" t="n"/>
    </row>
    <row r="1070">
      <c r="B1070" s="30" t="n"/>
    </row>
    <row r="1071">
      <c r="B1071" s="30" t="n"/>
    </row>
    <row r="1072">
      <c r="B1072" s="30" t="n"/>
    </row>
    <row r="1073">
      <c r="B1073" s="30" t="n"/>
    </row>
    <row r="1074">
      <c r="B1074" s="30" t="n"/>
    </row>
    <row r="1075">
      <c r="B1075" s="30" t="n"/>
    </row>
    <row r="1076">
      <c r="B1076" s="30" t="n"/>
    </row>
    <row r="1077">
      <c r="B1077" s="30" t="n"/>
    </row>
    <row r="1078">
      <c r="B1078" s="30" t="n"/>
    </row>
    <row r="1079">
      <c r="B1079" s="30" t="n"/>
    </row>
    <row r="1080">
      <c r="B1080" s="30" t="n"/>
    </row>
    <row r="1081">
      <c r="B1081" s="30" t="n"/>
    </row>
    <row r="1082">
      <c r="B1082" s="30" t="n"/>
    </row>
    <row r="1083">
      <c r="B1083" s="30" t="n"/>
    </row>
    <row r="1084">
      <c r="B1084" s="30" t="n"/>
    </row>
    <row r="1085">
      <c r="B1085" s="30" t="n"/>
    </row>
    <row r="1086">
      <c r="B1086" s="30" t="n"/>
    </row>
    <row r="1087">
      <c r="B1087" s="30" t="n"/>
    </row>
    <row r="1088">
      <c r="B1088" s="30" t="n"/>
    </row>
    <row r="1089">
      <c r="B1089" s="30" t="n"/>
    </row>
    <row r="1090">
      <c r="B1090" s="30" t="n"/>
    </row>
    <row r="1091">
      <c r="B1091" s="30" t="n"/>
    </row>
    <row r="1092">
      <c r="B1092" s="30" t="n"/>
    </row>
    <row r="1093">
      <c r="B1093" s="30" t="n"/>
    </row>
    <row r="1094">
      <c r="B1094" s="30" t="n"/>
    </row>
    <row r="1095">
      <c r="B1095" s="30" t="n"/>
    </row>
    <row r="1096">
      <c r="B1096" s="30" t="n"/>
    </row>
    <row r="1097">
      <c r="B1097" s="30" t="n"/>
    </row>
    <row r="1098">
      <c r="B1098" s="30" t="n"/>
    </row>
    <row r="1099">
      <c r="B1099" s="30" t="n"/>
    </row>
    <row r="1100">
      <c r="B1100" s="30" t="n"/>
    </row>
    <row r="1101">
      <c r="B1101" s="30" t="n"/>
    </row>
    <row r="1102">
      <c r="B1102" s="30" t="n"/>
    </row>
    <row r="1103">
      <c r="B1103" s="30" t="n"/>
    </row>
    <row r="1104">
      <c r="B1104" s="30" t="n"/>
    </row>
    <row r="1105">
      <c r="B1105" s="30" t="n"/>
    </row>
    <row r="1106">
      <c r="B1106" s="30" t="n"/>
    </row>
    <row r="1107">
      <c r="B1107" s="30" t="n"/>
    </row>
    <row r="1108">
      <c r="B1108" s="30" t="n"/>
    </row>
    <row r="1109">
      <c r="B1109" s="30" t="n"/>
    </row>
    <row r="1110">
      <c r="B1110" s="30" t="n"/>
    </row>
    <row r="1111">
      <c r="B1111" s="30" t="n"/>
    </row>
    <row r="1112">
      <c r="B1112" s="30" t="n"/>
    </row>
    <row r="1113">
      <c r="B1113" s="30" t="n"/>
    </row>
    <row r="1114">
      <c r="B1114" s="30" t="n"/>
    </row>
    <row r="1115">
      <c r="B1115" s="30" t="n"/>
    </row>
    <row r="1116">
      <c r="B1116" s="30" t="n"/>
    </row>
    <row r="1117">
      <c r="B1117" s="30" t="n"/>
    </row>
    <row r="1118">
      <c r="B1118" s="30" t="n"/>
    </row>
    <row r="1119">
      <c r="B1119" s="30" t="n"/>
    </row>
    <row r="1120">
      <c r="B1120" s="30" t="n"/>
    </row>
    <row r="1121">
      <c r="B1121" s="30" t="n"/>
    </row>
    <row r="1122">
      <c r="B1122" s="30" t="n"/>
    </row>
    <row r="1123">
      <c r="B1123" s="30" t="n"/>
    </row>
    <row r="1124">
      <c r="B1124" s="30" t="n"/>
    </row>
    <row r="1125">
      <c r="B1125" s="30" t="n"/>
    </row>
    <row r="1126">
      <c r="B1126" s="30" t="n"/>
    </row>
    <row r="1127">
      <c r="B1127" s="30" t="n"/>
    </row>
    <row r="1128">
      <c r="B1128" s="30" t="n"/>
    </row>
    <row r="1129">
      <c r="B1129" s="30" t="n"/>
    </row>
    <row r="1130">
      <c r="B1130" s="30" t="n"/>
    </row>
    <row r="1131">
      <c r="B1131" s="30" t="n"/>
    </row>
    <row r="1132">
      <c r="B1132" s="30" t="n"/>
    </row>
    <row r="1133">
      <c r="B1133" s="30" t="n"/>
    </row>
    <row r="1134">
      <c r="B1134" s="30" t="n"/>
    </row>
    <row r="1135">
      <c r="B1135" s="30" t="n"/>
    </row>
    <row r="1136">
      <c r="B1136" s="30" t="n"/>
    </row>
    <row r="1137">
      <c r="B1137" s="30" t="n"/>
    </row>
    <row r="1138">
      <c r="B1138" s="30" t="n"/>
    </row>
    <row r="1139">
      <c r="B1139" s="30" t="n"/>
    </row>
    <row r="1140">
      <c r="B1140" s="30" t="n"/>
    </row>
    <row r="1141">
      <c r="B1141" s="30" t="n"/>
    </row>
    <row r="1142">
      <c r="B1142" s="30" t="n"/>
    </row>
    <row r="1143">
      <c r="B1143" s="30" t="n"/>
    </row>
    <row r="1144">
      <c r="B1144" s="30" t="n"/>
    </row>
    <row r="1145">
      <c r="B1145" s="30" t="n"/>
    </row>
    <row r="1146">
      <c r="B1146" s="30" t="n"/>
    </row>
    <row r="1147">
      <c r="B1147" s="30" t="n"/>
    </row>
    <row r="1148">
      <c r="B1148" s="30" t="n"/>
    </row>
    <row r="1149">
      <c r="B1149" s="30" t="n"/>
    </row>
    <row r="1150">
      <c r="B1150" s="30" t="n"/>
    </row>
    <row r="1151">
      <c r="B1151" s="30" t="n"/>
    </row>
    <row r="1152">
      <c r="B1152" s="30" t="n"/>
    </row>
    <row r="1153">
      <c r="B1153" s="30" t="n"/>
    </row>
    <row r="1154">
      <c r="B1154" s="30" t="n"/>
    </row>
    <row r="1155">
      <c r="B1155" s="30" t="n"/>
    </row>
    <row r="1156">
      <c r="B1156" s="30" t="n"/>
    </row>
    <row r="1157">
      <c r="B1157" s="30" t="n"/>
    </row>
    <row r="1158">
      <c r="B1158" s="30" t="n"/>
    </row>
    <row r="1159">
      <c r="B1159" s="30" t="n"/>
    </row>
    <row r="1160">
      <c r="B1160" s="30" t="n"/>
    </row>
    <row r="1161">
      <c r="B1161" s="30" t="n"/>
    </row>
    <row r="1162">
      <c r="B1162" s="30" t="n"/>
    </row>
    <row r="1163">
      <c r="B1163" s="30" t="n"/>
    </row>
    <row r="1164">
      <c r="B1164" s="30" t="n"/>
    </row>
    <row r="1165">
      <c r="B1165" s="30" t="n"/>
    </row>
    <row r="1166">
      <c r="B1166" s="30" t="n"/>
    </row>
    <row r="1167">
      <c r="B1167" s="30" t="n"/>
    </row>
    <row r="1168">
      <c r="B1168" s="30" t="n"/>
    </row>
    <row r="1169">
      <c r="B1169" s="30" t="n"/>
    </row>
    <row r="1170">
      <c r="B1170" s="30" t="n"/>
    </row>
    <row r="1171">
      <c r="B1171" s="30" t="n"/>
    </row>
    <row r="1172">
      <c r="B1172" s="30" t="n"/>
    </row>
    <row r="1173">
      <c r="B1173" s="30" t="n"/>
    </row>
    <row r="1174">
      <c r="B1174" s="30" t="n"/>
    </row>
    <row r="1175">
      <c r="B1175" s="30" t="n"/>
    </row>
    <row r="1176">
      <c r="B1176" s="30" t="n"/>
    </row>
    <row r="1177">
      <c r="B1177" s="30" t="n"/>
    </row>
    <row r="1178">
      <c r="B1178" s="30" t="n"/>
    </row>
    <row r="1179">
      <c r="B1179" s="30" t="n"/>
    </row>
    <row r="1180">
      <c r="B1180" s="30" t="n"/>
    </row>
    <row r="1181">
      <c r="B1181" s="30" t="n"/>
    </row>
    <row r="1182">
      <c r="B1182" s="30" t="n"/>
    </row>
    <row r="1183">
      <c r="B1183" s="30" t="n"/>
    </row>
    <row r="1184">
      <c r="B1184" s="30" t="n"/>
    </row>
    <row r="1185">
      <c r="B1185" s="30" t="n"/>
    </row>
    <row r="1186">
      <c r="B1186" s="30" t="n"/>
    </row>
    <row r="1187">
      <c r="B1187" s="30" t="n"/>
    </row>
    <row r="1188">
      <c r="B1188" s="30" t="n"/>
    </row>
    <row r="1189">
      <c r="B1189" s="30" t="n"/>
    </row>
    <row r="1190">
      <c r="B1190" s="30" t="n"/>
    </row>
    <row r="1191">
      <c r="B1191" s="30" t="n"/>
    </row>
    <row r="1192">
      <c r="B1192" s="30" t="n"/>
    </row>
    <row r="1193">
      <c r="B1193" s="30" t="n"/>
    </row>
    <row r="1194">
      <c r="B1194" s="30" t="n"/>
    </row>
    <row r="1195">
      <c r="B1195" s="30" t="n"/>
    </row>
    <row r="1196">
      <c r="B1196" s="30" t="n"/>
    </row>
    <row r="1197">
      <c r="B1197" s="30" t="n"/>
    </row>
    <row r="1198">
      <c r="B1198" s="30" t="n"/>
    </row>
    <row r="1199">
      <c r="B1199" s="30" t="n"/>
    </row>
    <row r="1200">
      <c r="B1200" s="30" t="n"/>
    </row>
    <row r="1201">
      <c r="B1201" s="30" t="n"/>
    </row>
    <row r="1202">
      <c r="B1202" s="30" t="n"/>
    </row>
    <row r="1203">
      <c r="B1203" s="30" t="n"/>
    </row>
    <row r="1204">
      <c r="B1204" s="30" t="n"/>
    </row>
    <row r="1205">
      <c r="B1205" s="30" t="n"/>
    </row>
    <row r="1206">
      <c r="B1206" s="30" t="n"/>
    </row>
    <row r="1207">
      <c r="B1207" s="30" t="n"/>
    </row>
    <row r="1208">
      <c r="B1208" s="30" t="n"/>
    </row>
    <row r="1209">
      <c r="B1209" s="30" t="n"/>
    </row>
    <row r="1210">
      <c r="B1210" s="30" t="n"/>
    </row>
    <row r="1211">
      <c r="B1211" s="30" t="n"/>
    </row>
    <row r="1212">
      <c r="B1212" s="30" t="n"/>
    </row>
    <row r="1213">
      <c r="B1213" s="30" t="n"/>
    </row>
    <row r="1214">
      <c r="B1214" s="30" t="n"/>
    </row>
    <row r="1215">
      <c r="B1215" s="30" t="n"/>
    </row>
    <row r="1216">
      <c r="B1216" s="30" t="n"/>
    </row>
    <row r="1217">
      <c r="B1217" s="30" t="n"/>
    </row>
    <row r="1218">
      <c r="B1218" s="30" t="n"/>
    </row>
    <row r="1219">
      <c r="B1219" s="30" t="n"/>
    </row>
    <row r="1220">
      <c r="B1220" s="30" t="n"/>
    </row>
    <row r="1221">
      <c r="B1221" s="30" t="n"/>
    </row>
    <row r="1222">
      <c r="B1222" s="30" t="n"/>
    </row>
    <row r="1223">
      <c r="B1223" s="30" t="n"/>
    </row>
    <row r="1224">
      <c r="B1224" s="30" t="n"/>
    </row>
    <row r="1225">
      <c r="B1225" s="30" t="n"/>
    </row>
    <row r="1226">
      <c r="B1226" s="30" t="n"/>
    </row>
    <row r="1227">
      <c r="B1227" s="30" t="n"/>
    </row>
    <row r="1228">
      <c r="B1228" s="30" t="n"/>
    </row>
    <row r="1229">
      <c r="B1229" s="30" t="n"/>
    </row>
    <row r="1230">
      <c r="B1230" s="30" t="n"/>
    </row>
    <row r="1231">
      <c r="B1231" s="30" t="n"/>
    </row>
    <row r="1232">
      <c r="B1232" s="30" t="n"/>
    </row>
    <row r="1233">
      <c r="B1233" s="30" t="n"/>
    </row>
    <row r="1234">
      <c r="B1234" s="30" t="n"/>
    </row>
    <row r="1235">
      <c r="B1235" s="30" t="n"/>
    </row>
    <row r="1236">
      <c r="B1236" s="30" t="n"/>
    </row>
    <row r="1237">
      <c r="B1237" s="30" t="n"/>
    </row>
    <row r="1238">
      <c r="B1238" s="30" t="n"/>
    </row>
    <row r="1239">
      <c r="B1239" s="30" t="n"/>
    </row>
    <row r="1240">
      <c r="B1240" s="30" t="n"/>
    </row>
    <row r="1241">
      <c r="B1241" s="30" t="n"/>
    </row>
    <row r="1242">
      <c r="B1242" s="30" t="n"/>
    </row>
    <row r="1243">
      <c r="B1243" s="30" t="n"/>
    </row>
    <row r="1244">
      <c r="B1244" s="30" t="n"/>
    </row>
    <row r="1245">
      <c r="B1245" s="30" t="n"/>
    </row>
    <row r="1246">
      <c r="B1246" s="30" t="n"/>
    </row>
    <row r="1247">
      <c r="B1247" s="30" t="n"/>
    </row>
    <row r="1248">
      <c r="B1248" s="30" t="n"/>
    </row>
    <row r="1249">
      <c r="B1249" s="30" t="n"/>
    </row>
    <row r="1250">
      <c r="B1250" s="30" t="n"/>
    </row>
    <row r="1251">
      <c r="B1251" s="30" t="n"/>
    </row>
    <row r="1252">
      <c r="B1252" s="30" t="n"/>
    </row>
    <row r="1253">
      <c r="B1253" s="30" t="n"/>
    </row>
    <row r="1254">
      <c r="B1254" s="30" t="n"/>
    </row>
    <row r="1255">
      <c r="B1255" s="30" t="n"/>
    </row>
    <row r="1256">
      <c r="B1256" s="30" t="n"/>
    </row>
    <row r="1257">
      <c r="B1257" s="30" t="n"/>
    </row>
    <row r="1258">
      <c r="B1258" s="30" t="n"/>
    </row>
    <row r="1259">
      <c r="B1259" s="30" t="n"/>
    </row>
    <row r="1260">
      <c r="B1260" s="30" t="n"/>
    </row>
    <row r="1261">
      <c r="B1261" s="30" t="n"/>
    </row>
    <row r="1262">
      <c r="B1262" s="30" t="n"/>
    </row>
    <row r="1263">
      <c r="B1263" s="30" t="n"/>
    </row>
    <row r="1264">
      <c r="B1264" s="30" t="n"/>
    </row>
    <row r="1265">
      <c r="B1265" s="30" t="n"/>
    </row>
    <row r="1266">
      <c r="B1266" s="30" t="n"/>
    </row>
    <row r="1267">
      <c r="B1267" s="30" t="n"/>
    </row>
    <row r="1268">
      <c r="B1268" s="30" t="n"/>
    </row>
    <row r="1269">
      <c r="B1269" s="30" t="n"/>
    </row>
    <row r="1270">
      <c r="B1270" s="30" t="n"/>
    </row>
    <row r="1271">
      <c r="B1271" s="30" t="n"/>
    </row>
    <row r="1272">
      <c r="B1272" s="30" t="n"/>
    </row>
    <row r="1273">
      <c r="B1273" s="30" t="n"/>
    </row>
    <row r="1274">
      <c r="B1274" s="30" t="n"/>
    </row>
    <row r="1275">
      <c r="B1275" s="30" t="n"/>
    </row>
    <row r="1276">
      <c r="B1276" s="30" t="n"/>
    </row>
    <row r="1277">
      <c r="B1277" s="30" t="n"/>
    </row>
    <row r="1278">
      <c r="B1278" s="30" t="n"/>
    </row>
    <row r="1279">
      <c r="B1279" s="30" t="n"/>
    </row>
    <row r="1280">
      <c r="B1280" s="30" t="n"/>
    </row>
    <row r="1281">
      <c r="B1281" s="30" t="n"/>
    </row>
    <row r="1282">
      <c r="B1282" s="30" t="n"/>
    </row>
    <row r="1283">
      <c r="B1283" s="30" t="n"/>
    </row>
    <row r="1284">
      <c r="B1284" s="30" t="n"/>
    </row>
    <row r="1285">
      <c r="B1285" s="30" t="n"/>
    </row>
    <row r="1286">
      <c r="B1286" s="30" t="n"/>
    </row>
    <row r="1287">
      <c r="B1287" s="30" t="n"/>
    </row>
    <row r="1288">
      <c r="B1288" s="30" t="n"/>
    </row>
    <row r="1289">
      <c r="B1289" s="30" t="n"/>
    </row>
    <row r="1290">
      <c r="B1290" s="30" t="n"/>
    </row>
    <row r="1291">
      <c r="B1291" s="30" t="n"/>
    </row>
    <row r="1292">
      <c r="B1292" s="30" t="n"/>
    </row>
    <row r="1293">
      <c r="B1293" s="30" t="n"/>
    </row>
    <row r="1294">
      <c r="B1294" s="30" t="n"/>
    </row>
    <row r="1295">
      <c r="B1295" s="30" t="n"/>
    </row>
    <row r="1296">
      <c r="B1296" s="30" t="n"/>
    </row>
    <row r="1297">
      <c r="B1297" s="30" t="n"/>
    </row>
    <row r="1298">
      <c r="B1298" s="30" t="n"/>
    </row>
    <row r="1299">
      <c r="B1299" s="30" t="n"/>
    </row>
    <row r="1300">
      <c r="B1300" s="30" t="n"/>
    </row>
    <row r="1301">
      <c r="B1301" s="30" t="n"/>
    </row>
    <row r="1302">
      <c r="B1302" s="30" t="n"/>
    </row>
    <row r="1303">
      <c r="B1303" s="30" t="n"/>
    </row>
    <row r="1304">
      <c r="B1304" s="30" t="n"/>
    </row>
    <row r="1305">
      <c r="B1305" s="30" t="n"/>
    </row>
    <row r="1306">
      <c r="B1306" s="30" t="n"/>
    </row>
    <row r="1307">
      <c r="B1307" s="30" t="n"/>
    </row>
    <row r="1308">
      <c r="B1308" s="30" t="n"/>
    </row>
    <row r="1309">
      <c r="B1309" s="30" t="n"/>
    </row>
    <row r="1310">
      <c r="B1310" s="30" t="n"/>
    </row>
    <row r="1311">
      <c r="B1311" s="30" t="n"/>
    </row>
    <row r="1312">
      <c r="B1312" s="30" t="n"/>
    </row>
    <row r="1313">
      <c r="B1313" s="30" t="n"/>
    </row>
    <row r="1314">
      <c r="B1314" s="30" t="n"/>
    </row>
    <row r="1315">
      <c r="B1315" s="30" t="n"/>
    </row>
    <row r="1316">
      <c r="B1316" s="30" t="n"/>
    </row>
    <row r="1317">
      <c r="B1317" s="30" t="n"/>
    </row>
    <row r="1318">
      <c r="B1318" s="30" t="n"/>
    </row>
    <row r="1319">
      <c r="B1319" s="30" t="n"/>
    </row>
    <row r="1320">
      <c r="B1320" s="30" t="n"/>
    </row>
    <row r="1321">
      <c r="B1321" s="30" t="n"/>
    </row>
    <row r="1322">
      <c r="B1322" s="30" t="n"/>
    </row>
    <row r="1323">
      <c r="B1323" s="30" t="n"/>
    </row>
    <row r="1324">
      <c r="B1324" s="30" t="n"/>
    </row>
    <row r="1325">
      <c r="B1325" s="30" t="n"/>
    </row>
    <row r="1326">
      <c r="B1326" s="30" t="n"/>
    </row>
    <row r="1327">
      <c r="B1327" s="30" t="n"/>
    </row>
    <row r="1328">
      <c r="B1328" s="30" t="n"/>
    </row>
    <row r="1329">
      <c r="B1329" s="30" t="n"/>
    </row>
    <row r="1330">
      <c r="B1330" s="30" t="n"/>
    </row>
    <row r="1331">
      <c r="B1331" s="30" t="n"/>
    </row>
    <row r="1332">
      <c r="B1332" s="30" t="n"/>
    </row>
    <row r="1333">
      <c r="B1333" s="30" t="n"/>
    </row>
    <row r="1334">
      <c r="B1334" s="30" t="n"/>
    </row>
    <row r="1335">
      <c r="B1335" s="30" t="n"/>
    </row>
    <row r="1336">
      <c r="B1336" s="30" t="n"/>
    </row>
    <row r="1337">
      <c r="B1337" s="30" t="n"/>
    </row>
    <row r="1338">
      <c r="B1338" s="30" t="n"/>
    </row>
    <row r="1339">
      <c r="B1339" s="30" t="n"/>
    </row>
    <row r="1340">
      <c r="B1340" s="30" t="n"/>
    </row>
    <row r="1341">
      <c r="B1341" s="30" t="n"/>
    </row>
    <row r="1342">
      <c r="B1342" s="30" t="n"/>
    </row>
    <row r="1343">
      <c r="B1343" s="30" t="n"/>
    </row>
    <row r="1344">
      <c r="B1344" s="30" t="n"/>
    </row>
    <row r="1345">
      <c r="B1345" s="30" t="n"/>
    </row>
    <row r="1346">
      <c r="B1346" s="30" t="n"/>
    </row>
    <row r="1347">
      <c r="B1347" s="30" t="n"/>
    </row>
    <row r="1348">
      <c r="B1348" s="30" t="n"/>
    </row>
    <row r="1349">
      <c r="B1349" s="30" t="n"/>
    </row>
    <row r="1350">
      <c r="B1350" s="30" t="n"/>
    </row>
    <row r="1351">
      <c r="B1351" s="30" t="n"/>
    </row>
    <row r="1352">
      <c r="B1352" s="30" t="n"/>
    </row>
    <row r="1353">
      <c r="B1353" s="30" t="n"/>
    </row>
    <row r="1354">
      <c r="B1354" s="30" t="n"/>
    </row>
    <row r="1355">
      <c r="B1355" s="30" t="n"/>
    </row>
    <row r="1356">
      <c r="B1356" s="30" t="n"/>
    </row>
    <row r="1357">
      <c r="B1357" s="30" t="n"/>
    </row>
    <row r="1358">
      <c r="B1358" s="30" t="n"/>
    </row>
    <row r="1359">
      <c r="B1359" s="30" t="n"/>
    </row>
    <row r="1360">
      <c r="B1360" s="30" t="n"/>
    </row>
    <row r="1361">
      <c r="B1361" s="30" t="n"/>
    </row>
    <row r="1362">
      <c r="B1362" s="30" t="n"/>
    </row>
    <row r="1363">
      <c r="B1363" s="30" t="n"/>
    </row>
    <row r="1364">
      <c r="B1364" s="30" t="n"/>
    </row>
    <row r="1365">
      <c r="B1365" s="30" t="n"/>
    </row>
    <row r="1366">
      <c r="B1366" s="30" t="n"/>
    </row>
    <row r="1367">
      <c r="B1367" s="30" t="n"/>
    </row>
    <row r="1368">
      <c r="B1368" s="30" t="n"/>
    </row>
    <row r="1369">
      <c r="B1369" s="30" t="n"/>
    </row>
    <row r="1370">
      <c r="B1370" s="30" t="n"/>
    </row>
    <row r="1371">
      <c r="B1371" s="30" t="n"/>
    </row>
    <row r="1372">
      <c r="B1372" s="30" t="n"/>
    </row>
    <row r="1373">
      <c r="B1373" s="30" t="n"/>
    </row>
    <row r="1374">
      <c r="B1374" s="30" t="n"/>
    </row>
    <row r="1375">
      <c r="B1375" s="30" t="n"/>
    </row>
    <row r="1376">
      <c r="B1376" s="30" t="n"/>
    </row>
    <row r="1377">
      <c r="B1377" s="30" t="n"/>
    </row>
    <row r="1378">
      <c r="B1378" s="30" t="n"/>
    </row>
    <row r="1379">
      <c r="B1379" s="30" t="n"/>
    </row>
    <row r="1380">
      <c r="B1380" s="30" t="n"/>
    </row>
    <row r="1381">
      <c r="B1381" s="30" t="n"/>
    </row>
    <row r="1382">
      <c r="B1382" s="30" t="n"/>
    </row>
    <row r="1383">
      <c r="B1383" s="30" t="n"/>
    </row>
    <row r="1384">
      <c r="B1384" s="30" t="n"/>
    </row>
    <row r="1385">
      <c r="B1385" s="30" t="n"/>
    </row>
    <row r="1386">
      <c r="B1386" s="30" t="n"/>
    </row>
    <row r="1387">
      <c r="B1387" s="30" t="n"/>
    </row>
    <row r="1388">
      <c r="B1388" s="30" t="n"/>
    </row>
    <row r="1389">
      <c r="B1389" s="30" t="n"/>
    </row>
    <row r="1390">
      <c r="B1390" s="30" t="n"/>
    </row>
    <row r="1391">
      <c r="B1391" s="30" t="n"/>
    </row>
    <row r="1392">
      <c r="B1392" s="30" t="n"/>
    </row>
    <row r="1393">
      <c r="B1393" s="30" t="n"/>
    </row>
    <row r="1394">
      <c r="B1394" s="30" t="n"/>
    </row>
    <row r="1395">
      <c r="B1395" s="30" t="n"/>
    </row>
    <row r="1396">
      <c r="B1396" s="30" t="n"/>
    </row>
    <row r="1397">
      <c r="B1397" s="30" t="n"/>
    </row>
    <row r="1398">
      <c r="B1398" s="30" t="n"/>
    </row>
    <row r="1399">
      <c r="B1399" s="30" t="n"/>
    </row>
    <row r="1400">
      <c r="B1400" s="30" t="n"/>
    </row>
    <row r="1401">
      <c r="B1401" s="30" t="n"/>
    </row>
    <row r="1402">
      <c r="B1402" s="30" t="n"/>
    </row>
    <row r="1403">
      <c r="B1403" s="30" t="n"/>
    </row>
    <row r="1404">
      <c r="B1404" s="30" t="n"/>
    </row>
    <row r="1405">
      <c r="B1405" s="30" t="n"/>
    </row>
    <row r="1406">
      <c r="B1406" s="30" t="n"/>
    </row>
    <row r="1407">
      <c r="B1407" s="30" t="n"/>
    </row>
    <row r="1408">
      <c r="B1408" s="30" t="n"/>
    </row>
    <row r="1409">
      <c r="B1409" s="30" t="n"/>
    </row>
    <row r="1410">
      <c r="B1410" s="30" t="n"/>
    </row>
    <row r="1411">
      <c r="B1411" s="30" t="n"/>
    </row>
    <row r="1412">
      <c r="B1412" s="30" t="n"/>
    </row>
    <row r="1413">
      <c r="B1413" s="30" t="n"/>
    </row>
    <row r="1414">
      <c r="B1414" s="30" t="n"/>
    </row>
    <row r="1415">
      <c r="B1415" s="30" t="n"/>
    </row>
    <row r="1416">
      <c r="B1416" s="30" t="n"/>
    </row>
    <row r="1417">
      <c r="B1417" s="30" t="n"/>
    </row>
    <row r="1418">
      <c r="B1418" s="30" t="n"/>
    </row>
    <row r="1419">
      <c r="B1419" s="30" t="n"/>
    </row>
    <row r="1420">
      <c r="B1420" s="30" t="n"/>
    </row>
    <row r="1421">
      <c r="B1421" s="30" t="n"/>
    </row>
    <row r="1422">
      <c r="B1422" s="30" t="n"/>
    </row>
    <row r="1423">
      <c r="B1423" s="30" t="n"/>
    </row>
    <row r="1424">
      <c r="B1424" s="30" t="n"/>
    </row>
    <row r="1425">
      <c r="B1425" s="30" t="n"/>
    </row>
    <row r="1426">
      <c r="B1426" s="30" t="n"/>
    </row>
    <row r="1427">
      <c r="B1427" s="30" t="n"/>
    </row>
    <row r="1428">
      <c r="B1428" s="30" t="n"/>
    </row>
    <row r="1429">
      <c r="B1429" s="30" t="n"/>
    </row>
    <row r="1430">
      <c r="B1430" s="30" t="n"/>
    </row>
    <row r="1431">
      <c r="B1431" s="30" t="n"/>
    </row>
    <row r="1432">
      <c r="B1432" s="30" t="n"/>
    </row>
    <row r="1433">
      <c r="B1433" s="30" t="n"/>
    </row>
    <row r="1434">
      <c r="B1434" s="30" t="n"/>
    </row>
    <row r="1435">
      <c r="B1435" s="30" t="n"/>
    </row>
    <row r="1436">
      <c r="B1436" s="30" t="n"/>
    </row>
    <row r="1437">
      <c r="B1437" s="30" t="n"/>
    </row>
    <row r="1438">
      <c r="B1438" s="30" t="n"/>
    </row>
    <row r="1439">
      <c r="B1439" s="30" t="n"/>
    </row>
    <row r="1440">
      <c r="B1440" s="30" t="n"/>
    </row>
    <row r="1441">
      <c r="B1441" s="30" t="n"/>
    </row>
    <row r="1442">
      <c r="B1442" s="30" t="n"/>
    </row>
    <row r="1443">
      <c r="B1443" s="30" t="n"/>
    </row>
    <row r="1444">
      <c r="B1444" s="30" t="n"/>
    </row>
    <row r="1445">
      <c r="B1445" s="30" t="n"/>
    </row>
    <row r="1446">
      <c r="B1446" s="30" t="n"/>
    </row>
    <row r="1447">
      <c r="B1447" s="30" t="n"/>
    </row>
    <row r="1448">
      <c r="B1448" s="30" t="n"/>
    </row>
    <row r="1449">
      <c r="B1449" s="30" t="n"/>
    </row>
    <row r="1450">
      <c r="B1450" s="30" t="n"/>
    </row>
    <row r="1451">
      <c r="B1451" s="30" t="n"/>
    </row>
    <row r="1452">
      <c r="B1452" s="30" t="n"/>
    </row>
    <row r="1453">
      <c r="B1453" s="30" t="n"/>
    </row>
    <row r="1454">
      <c r="B1454" s="30" t="n"/>
    </row>
    <row r="1455">
      <c r="B1455" s="30" t="n"/>
    </row>
    <row r="1456">
      <c r="B1456" s="30" t="n"/>
    </row>
    <row r="1457">
      <c r="B1457" s="30" t="n"/>
    </row>
    <row r="1458">
      <c r="B1458" s="30" t="n"/>
    </row>
    <row r="1459">
      <c r="B1459" s="30" t="n"/>
    </row>
    <row r="1460">
      <c r="B1460" s="30" t="n"/>
    </row>
    <row r="1461">
      <c r="B1461" s="30" t="n"/>
    </row>
    <row r="1462">
      <c r="B1462" s="30" t="n"/>
    </row>
    <row r="1463">
      <c r="B1463" s="30" t="n"/>
    </row>
    <row r="1464">
      <c r="B1464" s="30" t="n"/>
    </row>
    <row r="1465">
      <c r="B1465" s="30" t="n"/>
    </row>
    <row r="1466">
      <c r="B1466" s="30" t="n"/>
    </row>
    <row r="1467">
      <c r="B1467" s="30" t="n"/>
    </row>
    <row r="1468">
      <c r="B1468" s="30" t="n"/>
    </row>
    <row r="1469">
      <c r="B1469" s="30" t="n"/>
    </row>
    <row r="1470">
      <c r="B1470" s="30" t="n"/>
    </row>
    <row r="1471">
      <c r="B1471" s="30" t="n"/>
    </row>
    <row r="1472">
      <c r="B1472" s="30" t="n"/>
    </row>
    <row r="1473">
      <c r="B1473" s="30" t="n"/>
    </row>
    <row r="1474">
      <c r="B1474" s="30" t="n"/>
    </row>
    <row r="1475">
      <c r="B1475" s="30" t="n"/>
    </row>
    <row r="1476">
      <c r="B1476" s="30" t="n"/>
    </row>
    <row r="1477">
      <c r="B1477" s="30" t="n"/>
    </row>
    <row r="1478">
      <c r="B1478" s="30" t="n"/>
    </row>
    <row r="1479">
      <c r="B1479" s="30" t="n"/>
    </row>
    <row r="1480">
      <c r="B1480" s="30" t="n"/>
    </row>
    <row r="1481">
      <c r="B1481" s="30" t="n"/>
    </row>
    <row r="1482">
      <c r="B1482" s="30" t="n"/>
    </row>
    <row r="1483">
      <c r="B1483" s="30" t="n"/>
    </row>
    <row r="1484">
      <c r="B1484" s="30" t="n"/>
    </row>
    <row r="1485">
      <c r="B1485" s="30" t="n"/>
    </row>
    <row r="1486">
      <c r="B1486" s="30" t="n"/>
    </row>
    <row r="1487">
      <c r="B1487" s="30" t="n"/>
    </row>
    <row r="1488">
      <c r="B1488" s="30" t="n"/>
    </row>
    <row r="1489">
      <c r="B1489" s="30" t="n"/>
    </row>
    <row r="1490">
      <c r="B1490" s="30" t="n"/>
    </row>
    <row r="1491">
      <c r="B1491" s="30" t="n"/>
    </row>
    <row r="1492">
      <c r="B1492" s="30" t="n"/>
    </row>
    <row r="1493">
      <c r="B1493" s="30" t="n"/>
    </row>
    <row r="1494">
      <c r="B1494" s="30" t="n"/>
    </row>
    <row r="1495">
      <c r="B1495" s="30" t="n"/>
    </row>
    <row r="1496">
      <c r="B1496" s="30" t="n"/>
    </row>
    <row r="1497">
      <c r="B1497" s="30" t="n"/>
    </row>
    <row r="1498">
      <c r="B1498" s="30" t="n"/>
    </row>
    <row r="1499">
      <c r="B1499" s="30" t="n"/>
    </row>
    <row r="1500">
      <c r="B1500" s="30" t="n"/>
    </row>
    <row r="1501">
      <c r="B1501" s="30" t="n"/>
    </row>
    <row r="1502">
      <c r="B1502" s="30" t="n"/>
    </row>
    <row r="1503">
      <c r="B1503" s="30" t="n"/>
    </row>
    <row r="1504">
      <c r="B1504" s="30" t="n"/>
    </row>
    <row r="1505">
      <c r="B1505" s="30" t="n"/>
    </row>
    <row r="1506">
      <c r="B1506" s="30" t="n"/>
    </row>
    <row r="1507">
      <c r="B1507" s="30" t="n"/>
    </row>
    <row r="1508">
      <c r="B1508" s="30" t="n"/>
    </row>
    <row r="1509">
      <c r="B1509" s="30" t="n"/>
    </row>
    <row r="1510">
      <c r="B1510" s="30" t="n"/>
    </row>
    <row r="1511">
      <c r="B1511" s="30" t="n"/>
    </row>
    <row r="1512">
      <c r="B1512" s="30" t="n"/>
    </row>
    <row r="1513">
      <c r="B1513" s="30" t="n"/>
    </row>
    <row r="1514">
      <c r="B1514" s="30" t="n"/>
    </row>
    <row r="1515">
      <c r="B1515" s="30" t="n"/>
    </row>
    <row r="1516">
      <c r="B1516" s="30" t="n"/>
    </row>
    <row r="1517">
      <c r="B1517" s="30" t="n"/>
    </row>
    <row r="1518">
      <c r="B1518" s="30" t="n"/>
    </row>
    <row r="1519">
      <c r="B1519" s="30" t="n"/>
    </row>
    <row r="1520">
      <c r="B1520" s="30" t="n"/>
    </row>
    <row r="1521">
      <c r="B1521" s="30" t="n"/>
    </row>
    <row r="1522">
      <c r="B1522" s="30" t="n"/>
    </row>
    <row r="1523">
      <c r="B1523" s="30" t="n"/>
    </row>
    <row r="1524">
      <c r="B1524" s="30" t="n"/>
    </row>
    <row r="1525">
      <c r="B1525" s="30" t="n"/>
    </row>
    <row r="1526">
      <c r="B1526" s="30" t="n"/>
    </row>
    <row r="1527">
      <c r="B1527" s="30" t="n"/>
    </row>
    <row r="1528">
      <c r="B1528" s="30" t="n"/>
    </row>
    <row r="1529">
      <c r="B1529" s="30" t="n"/>
    </row>
    <row r="1530">
      <c r="B1530" s="30" t="n"/>
    </row>
    <row r="1531">
      <c r="B1531" s="30" t="n"/>
    </row>
    <row r="1532">
      <c r="B1532" s="30" t="n"/>
    </row>
    <row r="1533">
      <c r="B1533" s="30" t="n"/>
    </row>
    <row r="1534">
      <c r="B1534" s="30" t="n"/>
    </row>
    <row r="1535">
      <c r="B1535" s="30" t="n"/>
    </row>
    <row r="1536">
      <c r="B1536" s="30" t="n"/>
    </row>
    <row r="1537">
      <c r="B1537" s="30" t="n"/>
    </row>
    <row r="1538">
      <c r="B1538" s="30" t="n"/>
    </row>
    <row r="1539">
      <c r="B1539" s="30" t="n"/>
    </row>
    <row r="1540">
      <c r="B1540" s="30" t="n"/>
    </row>
    <row r="1541">
      <c r="B1541" s="30" t="n"/>
    </row>
    <row r="1542">
      <c r="B1542" s="30" t="n"/>
    </row>
    <row r="1543">
      <c r="B1543" s="30" t="n"/>
    </row>
    <row r="1544">
      <c r="B1544" s="30" t="n"/>
    </row>
    <row r="1545">
      <c r="B1545" s="30" t="n"/>
    </row>
    <row r="1546">
      <c r="B1546" s="30" t="n"/>
    </row>
    <row r="1547">
      <c r="B1547" s="30" t="n"/>
    </row>
    <row r="1548">
      <c r="B1548" s="30" t="n"/>
    </row>
    <row r="1549">
      <c r="B1549" s="30" t="n"/>
    </row>
    <row r="1550">
      <c r="B1550" s="30" t="n"/>
    </row>
    <row r="1551">
      <c r="B1551" s="30" t="n"/>
    </row>
    <row r="1552">
      <c r="B1552" s="30" t="n"/>
    </row>
    <row r="1553">
      <c r="B1553" s="30" t="n"/>
    </row>
    <row r="1554">
      <c r="B1554" s="30" t="n"/>
    </row>
    <row r="1555">
      <c r="B1555" s="30" t="n"/>
    </row>
    <row r="1556">
      <c r="B1556" s="30" t="n"/>
    </row>
    <row r="1557">
      <c r="B1557" s="30" t="n"/>
    </row>
    <row r="1558">
      <c r="B1558" s="30" t="n"/>
    </row>
    <row r="1559">
      <c r="B1559" s="30" t="n"/>
    </row>
    <row r="1560">
      <c r="B1560" s="30" t="n"/>
    </row>
    <row r="1561">
      <c r="B1561" s="30" t="n"/>
    </row>
    <row r="1562">
      <c r="B1562" s="30" t="n"/>
    </row>
    <row r="1563">
      <c r="B1563" s="30" t="n"/>
    </row>
    <row r="1564">
      <c r="B1564" s="30" t="n"/>
    </row>
    <row r="1565">
      <c r="B1565" s="30" t="n"/>
    </row>
    <row r="1566">
      <c r="B1566" s="30" t="n"/>
    </row>
    <row r="1567">
      <c r="B1567" s="30" t="n"/>
    </row>
    <row r="1568">
      <c r="B1568" s="30" t="n"/>
    </row>
    <row r="1569">
      <c r="B1569" s="30" t="n"/>
    </row>
    <row r="1570">
      <c r="B1570" s="30" t="n"/>
    </row>
    <row r="1571">
      <c r="B1571" s="30" t="n"/>
    </row>
    <row r="1572">
      <c r="B1572" s="30" t="n"/>
    </row>
    <row r="1573">
      <c r="B1573" s="30" t="n"/>
    </row>
    <row r="1574">
      <c r="B1574" s="30" t="n"/>
    </row>
    <row r="1575">
      <c r="B1575" s="30" t="n"/>
    </row>
    <row r="1576">
      <c r="B1576" s="30" t="n"/>
    </row>
    <row r="1577">
      <c r="B1577" s="30" t="n"/>
    </row>
    <row r="1578">
      <c r="B1578" s="30" t="n"/>
    </row>
    <row r="1579">
      <c r="B1579" s="30" t="n"/>
    </row>
    <row r="1580">
      <c r="B1580" s="30" t="n"/>
    </row>
    <row r="1581">
      <c r="B1581" s="30" t="n"/>
    </row>
    <row r="1582">
      <c r="B1582" s="30" t="n"/>
    </row>
    <row r="1583">
      <c r="B1583" s="30" t="n"/>
    </row>
    <row r="1584">
      <c r="B1584" s="30" t="n"/>
    </row>
    <row r="1585">
      <c r="B1585" s="30" t="n"/>
    </row>
    <row r="1586">
      <c r="B1586" s="30" t="n"/>
    </row>
    <row r="1587">
      <c r="B1587" s="30" t="n"/>
    </row>
    <row r="1588">
      <c r="B1588" s="30" t="n"/>
    </row>
    <row r="1589">
      <c r="B1589" s="30" t="n"/>
    </row>
    <row r="1590">
      <c r="B1590" s="30" t="n"/>
    </row>
    <row r="1591">
      <c r="B1591" s="30" t="n"/>
    </row>
    <row r="1592">
      <c r="B1592" s="30" t="n"/>
    </row>
    <row r="1593">
      <c r="B1593" s="30" t="n"/>
    </row>
    <row r="1594">
      <c r="B1594" s="30" t="n"/>
    </row>
    <row r="1595">
      <c r="B1595" s="30" t="n"/>
    </row>
    <row r="1596">
      <c r="B1596" s="30" t="n"/>
    </row>
    <row r="1597">
      <c r="B1597" s="30" t="n"/>
    </row>
    <row r="1598">
      <c r="B1598" s="30" t="n"/>
    </row>
    <row r="1599">
      <c r="B1599" s="30" t="n"/>
    </row>
    <row r="1600">
      <c r="B1600" s="30" t="n"/>
    </row>
    <row r="1601">
      <c r="B1601" s="30" t="n"/>
    </row>
    <row r="1602">
      <c r="B1602" s="30" t="n"/>
    </row>
    <row r="1603">
      <c r="B1603" s="30" t="n"/>
    </row>
    <row r="1604">
      <c r="B1604" s="30" t="n"/>
    </row>
    <row r="1605">
      <c r="B1605" s="30" t="n"/>
    </row>
    <row r="1606">
      <c r="B1606" s="30" t="n"/>
    </row>
    <row r="1607">
      <c r="B1607" s="30" t="n"/>
    </row>
    <row r="1608">
      <c r="B1608" s="30" t="n"/>
    </row>
    <row r="1609">
      <c r="B1609" s="30" t="n"/>
    </row>
    <row r="1610">
      <c r="B1610" s="30" t="n"/>
    </row>
    <row r="1611">
      <c r="B1611" s="30" t="n"/>
    </row>
    <row r="1612">
      <c r="B1612" s="30" t="n"/>
    </row>
    <row r="1613">
      <c r="B1613" s="30" t="n"/>
    </row>
    <row r="1614">
      <c r="B1614" s="30" t="n"/>
    </row>
    <row r="1615">
      <c r="B1615" s="30" t="n"/>
    </row>
    <row r="1616">
      <c r="B1616" s="30" t="n"/>
    </row>
    <row r="1617">
      <c r="B1617" s="30" t="n"/>
    </row>
    <row r="1618">
      <c r="B1618" s="30" t="n"/>
    </row>
    <row r="1619">
      <c r="B1619" s="30" t="n"/>
    </row>
    <row r="1620">
      <c r="B1620" s="30" t="n"/>
    </row>
    <row r="1621">
      <c r="B1621" s="30" t="n"/>
    </row>
    <row r="1622">
      <c r="B1622" s="30" t="n"/>
    </row>
    <row r="1623">
      <c r="B1623" s="30" t="n"/>
    </row>
    <row r="1624">
      <c r="B1624" s="30" t="n"/>
    </row>
    <row r="1625">
      <c r="B1625" s="30" t="n"/>
    </row>
    <row r="1626">
      <c r="B1626" s="30" t="n"/>
    </row>
    <row r="1627">
      <c r="B1627" s="30" t="n"/>
    </row>
    <row r="1628">
      <c r="B1628" s="30" t="n"/>
    </row>
    <row r="1629">
      <c r="B1629" s="30" t="n"/>
    </row>
    <row r="1630">
      <c r="B1630" s="30" t="n"/>
    </row>
    <row r="1631">
      <c r="B1631" s="30" t="n"/>
    </row>
    <row r="1632">
      <c r="B1632" s="30" t="n"/>
    </row>
    <row r="1633">
      <c r="B1633" s="30" t="n"/>
    </row>
    <row r="1634">
      <c r="B1634" s="30" t="n"/>
    </row>
    <row r="1635">
      <c r="B1635" s="30" t="n"/>
    </row>
    <row r="1636">
      <c r="B1636" s="30" t="n"/>
    </row>
    <row r="1637">
      <c r="B1637" s="30" t="n"/>
    </row>
    <row r="1638">
      <c r="B1638" s="30" t="n"/>
    </row>
    <row r="1639">
      <c r="B1639" s="30" t="n"/>
    </row>
    <row r="1640">
      <c r="B1640" s="30" t="n"/>
    </row>
    <row r="1641">
      <c r="B1641" s="30" t="n"/>
    </row>
    <row r="1642">
      <c r="B1642" s="30" t="n"/>
    </row>
    <row r="1643">
      <c r="B1643" s="30" t="n"/>
    </row>
    <row r="1644">
      <c r="B1644" s="30" t="n"/>
    </row>
    <row r="1645">
      <c r="B1645" s="30" t="n"/>
    </row>
    <row r="1646">
      <c r="B1646" s="30" t="n"/>
    </row>
    <row r="1647">
      <c r="B1647" s="30" t="n"/>
    </row>
    <row r="1648">
      <c r="B1648" s="30" t="n"/>
    </row>
    <row r="1649">
      <c r="B1649" s="30" t="n"/>
    </row>
    <row r="1650">
      <c r="B1650" s="30" t="n"/>
    </row>
    <row r="1651">
      <c r="B1651" s="30" t="n"/>
    </row>
    <row r="1652">
      <c r="B1652" s="30" t="n"/>
    </row>
    <row r="1653">
      <c r="B1653" s="30" t="n"/>
    </row>
    <row r="1654">
      <c r="B1654" s="30" t="n"/>
    </row>
    <row r="1655">
      <c r="B1655" s="30" t="n"/>
    </row>
    <row r="1656">
      <c r="B1656" s="30" t="n"/>
    </row>
    <row r="1657">
      <c r="B1657" s="30" t="n"/>
    </row>
    <row r="1658">
      <c r="B1658" s="30" t="n"/>
    </row>
    <row r="1659">
      <c r="B1659" s="30" t="n"/>
    </row>
    <row r="1660">
      <c r="B1660" s="30" t="n"/>
    </row>
    <row r="1661">
      <c r="B1661" s="30" t="n"/>
    </row>
    <row r="1662">
      <c r="B1662" s="30" t="n"/>
    </row>
    <row r="1663">
      <c r="B1663" s="30" t="n"/>
    </row>
    <row r="1664">
      <c r="B1664" s="30" t="n"/>
    </row>
    <row r="1665">
      <c r="B1665" s="30" t="n"/>
    </row>
    <row r="1666">
      <c r="B1666" s="30" t="n"/>
    </row>
    <row r="1667">
      <c r="B1667" s="30" t="n"/>
    </row>
    <row r="1668">
      <c r="B1668" s="30" t="n"/>
    </row>
    <row r="1669">
      <c r="B1669" s="30" t="n"/>
    </row>
    <row r="1670">
      <c r="B1670" s="30" t="n"/>
    </row>
    <row r="1671">
      <c r="B1671" s="30" t="n"/>
    </row>
    <row r="1672">
      <c r="B1672" s="30" t="n"/>
    </row>
    <row r="1673">
      <c r="B1673" s="30" t="n"/>
    </row>
    <row r="1674">
      <c r="B1674" s="30" t="n"/>
    </row>
    <row r="1675">
      <c r="B1675" s="30" t="n"/>
    </row>
    <row r="1676">
      <c r="B1676" s="30" t="n"/>
    </row>
    <row r="1677">
      <c r="B1677" s="30" t="n"/>
    </row>
    <row r="1678">
      <c r="B1678" s="30" t="n"/>
    </row>
    <row r="1679">
      <c r="B1679" s="30" t="n"/>
    </row>
    <row r="1680">
      <c r="B1680" s="30" t="n"/>
    </row>
    <row r="1681">
      <c r="B1681" s="30" t="n"/>
    </row>
    <row r="1682">
      <c r="B1682" s="30" t="n"/>
    </row>
    <row r="1683">
      <c r="B1683" s="30" t="n"/>
    </row>
    <row r="1684">
      <c r="B1684" s="30" t="n"/>
    </row>
    <row r="1685">
      <c r="B1685" s="30" t="n"/>
    </row>
    <row r="1686">
      <c r="B1686" s="30" t="n"/>
    </row>
    <row r="1687">
      <c r="B1687" s="30" t="n"/>
    </row>
    <row r="1688">
      <c r="B1688" s="30" t="n"/>
    </row>
    <row r="1689">
      <c r="B1689" s="30" t="n"/>
    </row>
    <row r="1690">
      <c r="B1690" s="30" t="n"/>
    </row>
    <row r="1691">
      <c r="B1691" s="30" t="n"/>
    </row>
    <row r="1692">
      <c r="B1692" s="30" t="n"/>
    </row>
    <row r="1693">
      <c r="B1693" s="30" t="n"/>
    </row>
    <row r="1694">
      <c r="B1694" s="30" t="n"/>
    </row>
    <row r="1695">
      <c r="B1695" s="30" t="n"/>
    </row>
    <row r="1696">
      <c r="B1696" s="30" t="n"/>
    </row>
    <row r="1697">
      <c r="B1697" s="30" t="n"/>
    </row>
    <row r="1698">
      <c r="B1698" s="30" t="n"/>
    </row>
    <row r="1699">
      <c r="B1699" s="30" t="n"/>
    </row>
    <row r="1700">
      <c r="B1700" s="30" t="n"/>
    </row>
    <row r="1701">
      <c r="B1701" s="30" t="n"/>
    </row>
    <row r="1702">
      <c r="B1702" s="30" t="n"/>
    </row>
    <row r="1703">
      <c r="B1703" s="30" t="n"/>
    </row>
    <row r="1704">
      <c r="B1704" s="30" t="n"/>
    </row>
    <row r="1705">
      <c r="B1705" s="30" t="n"/>
    </row>
    <row r="1706">
      <c r="B1706" s="30" t="n"/>
    </row>
    <row r="1707">
      <c r="B1707" s="30" t="n"/>
    </row>
    <row r="1708">
      <c r="B1708" s="30" t="n"/>
    </row>
    <row r="1709">
      <c r="B1709" s="30" t="n"/>
    </row>
    <row r="1710">
      <c r="B1710" s="30" t="n"/>
    </row>
    <row r="1711">
      <c r="B1711" s="30" t="n"/>
    </row>
    <row r="1712">
      <c r="B1712" s="30" t="n"/>
    </row>
    <row r="1713">
      <c r="B1713" s="30" t="n"/>
    </row>
    <row r="1714">
      <c r="B1714" s="30" t="n"/>
    </row>
    <row r="1715">
      <c r="B1715" s="30" t="n"/>
    </row>
    <row r="1716">
      <c r="B1716" s="30" t="n"/>
    </row>
    <row r="1717">
      <c r="B1717" s="30" t="n"/>
    </row>
    <row r="1718">
      <c r="B1718" s="30" t="n"/>
    </row>
    <row r="1719">
      <c r="B1719" s="30" t="n"/>
    </row>
    <row r="1720">
      <c r="B1720" s="30" t="n"/>
    </row>
    <row r="1721">
      <c r="B1721" s="30" t="n"/>
    </row>
    <row r="1722">
      <c r="B1722" s="30" t="n"/>
    </row>
    <row r="1723">
      <c r="B1723" s="30" t="n"/>
    </row>
    <row r="1724">
      <c r="B1724" s="30" t="n"/>
    </row>
    <row r="1725">
      <c r="B1725" s="30" t="n"/>
    </row>
    <row r="1726">
      <c r="B1726" s="30" t="n"/>
    </row>
    <row r="1727">
      <c r="B1727" s="30" t="n"/>
    </row>
    <row r="1728">
      <c r="B1728" s="30" t="n"/>
    </row>
    <row r="1729">
      <c r="B1729" s="30" t="n"/>
    </row>
    <row r="1730">
      <c r="B1730" s="30" t="n"/>
    </row>
    <row r="1731">
      <c r="B1731" s="30" t="n"/>
    </row>
    <row r="1732">
      <c r="B1732" s="30" t="n"/>
    </row>
    <row r="1733">
      <c r="B1733" s="30" t="n"/>
    </row>
    <row r="1734">
      <c r="B1734" s="30" t="n"/>
    </row>
    <row r="1735">
      <c r="B1735" s="30" t="n"/>
    </row>
    <row r="1736">
      <c r="B1736" s="30" t="n"/>
    </row>
    <row r="1737">
      <c r="B1737" s="30" t="n"/>
    </row>
    <row r="1738">
      <c r="B1738" s="30" t="n"/>
    </row>
    <row r="1739">
      <c r="B1739" s="30" t="n"/>
    </row>
    <row r="1740">
      <c r="B1740" s="30" t="n"/>
    </row>
    <row r="1741">
      <c r="B1741" s="30" t="n"/>
    </row>
    <row r="1742">
      <c r="B1742" s="30" t="n"/>
    </row>
    <row r="1743">
      <c r="B1743" s="30" t="n"/>
    </row>
    <row r="1744">
      <c r="B1744" s="30" t="n"/>
    </row>
    <row r="1745">
      <c r="B1745" s="30" t="n"/>
    </row>
    <row r="1746">
      <c r="B1746" s="30" t="n"/>
    </row>
    <row r="1747">
      <c r="B1747" s="30" t="n"/>
    </row>
    <row r="1748">
      <c r="B1748" s="30" t="n"/>
    </row>
    <row r="1749">
      <c r="B1749" s="30" t="n"/>
    </row>
    <row r="1750">
      <c r="B1750" s="30" t="n"/>
    </row>
    <row r="1751">
      <c r="B1751" s="30" t="n"/>
    </row>
    <row r="1752">
      <c r="B1752" s="30" t="n"/>
    </row>
    <row r="1753">
      <c r="B1753" s="30" t="n"/>
    </row>
    <row r="1754">
      <c r="B1754" s="30" t="n"/>
    </row>
    <row r="1755">
      <c r="B1755" s="30" t="n"/>
    </row>
    <row r="1756">
      <c r="B1756" s="30" t="n"/>
    </row>
    <row r="1757">
      <c r="B1757" s="30" t="n"/>
    </row>
    <row r="1758">
      <c r="B1758" s="30" t="n"/>
    </row>
    <row r="1759">
      <c r="B1759" s="30" t="n"/>
    </row>
    <row r="1760">
      <c r="B1760" s="30" t="n"/>
    </row>
    <row r="1761">
      <c r="B1761" s="30" t="n"/>
    </row>
    <row r="1762">
      <c r="B1762" s="30" t="n"/>
    </row>
    <row r="1763">
      <c r="B1763" s="30" t="n"/>
    </row>
    <row r="1764">
      <c r="B1764" s="30" t="n"/>
    </row>
    <row r="1765">
      <c r="B1765" s="30" t="n"/>
    </row>
    <row r="1766">
      <c r="B1766" s="30" t="n"/>
    </row>
    <row r="1767">
      <c r="B1767" s="30" t="n"/>
    </row>
    <row r="1768">
      <c r="B1768" s="30" t="n"/>
    </row>
    <row r="1769">
      <c r="B1769" s="30" t="n"/>
    </row>
    <row r="1770">
      <c r="B1770" s="30" t="n"/>
    </row>
    <row r="1771">
      <c r="B1771" s="30" t="n"/>
    </row>
    <row r="1772">
      <c r="B1772" s="30" t="n"/>
    </row>
    <row r="1773">
      <c r="B1773" s="30" t="n"/>
    </row>
    <row r="1774">
      <c r="B1774" s="30" t="n"/>
    </row>
    <row r="1775">
      <c r="B1775" s="30" t="n"/>
    </row>
    <row r="1776">
      <c r="B1776" s="30" t="n"/>
    </row>
    <row r="1777">
      <c r="B1777" s="30" t="n"/>
    </row>
    <row r="1778">
      <c r="B1778" s="30" t="n"/>
    </row>
    <row r="1779">
      <c r="B1779" s="30" t="n"/>
    </row>
    <row r="1780">
      <c r="B1780" s="30" t="n"/>
    </row>
    <row r="1781">
      <c r="B1781" s="30" t="n"/>
    </row>
    <row r="1782">
      <c r="B1782" s="30" t="n"/>
    </row>
    <row r="1783">
      <c r="B1783" s="30" t="n"/>
    </row>
    <row r="1784">
      <c r="B1784" s="30" t="n"/>
    </row>
    <row r="1785">
      <c r="B1785" s="30" t="n"/>
    </row>
    <row r="1786">
      <c r="B1786" s="30" t="n"/>
    </row>
    <row r="1787">
      <c r="B1787" s="30" t="n"/>
    </row>
    <row r="1788">
      <c r="B1788" s="30" t="n"/>
    </row>
    <row r="1789">
      <c r="B1789" s="30" t="n"/>
    </row>
    <row r="1790">
      <c r="B1790" s="30" t="n"/>
    </row>
    <row r="1791">
      <c r="B1791" s="30" t="n"/>
    </row>
    <row r="1792">
      <c r="B1792" s="30" t="n"/>
    </row>
    <row r="1793">
      <c r="B1793" s="30" t="n"/>
    </row>
    <row r="1794">
      <c r="B1794" s="30" t="n"/>
    </row>
    <row r="1795">
      <c r="B1795" s="30" t="n"/>
    </row>
    <row r="1796">
      <c r="B1796" s="30" t="n"/>
    </row>
    <row r="1797">
      <c r="B1797" s="30" t="n"/>
    </row>
    <row r="1798">
      <c r="B1798" s="30" t="n"/>
    </row>
    <row r="1799">
      <c r="B1799" s="30" t="n"/>
    </row>
    <row r="1800">
      <c r="B1800" s="30" t="n"/>
    </row>
    <row r="1801">
      <c r="B1801" s="30" t="n"/>
    </row>
    <row r="1802">
      <c r="B1802" s="30" t="n"/>
    </row>
    <row r="1803">
      <c r="B1803" s="30" t="n"/>
    </row>
    <row r="1804">
      <c r="B1804" s="30" t="n"/>
    </row>
    <row r="1805">
      <c r="B1805" s="30" t="n"/>
    </row>
    <row r="1806">
      <c r="B1806" s="30" t="n"/>
    </row>
    <row r="1807">
      <c r="B1807" s="30" t="n"/>
    </row>
    <row r="1808">
      <c r="B1808" s="30" t="n"/>
    </row>
    <row r="1809">
      <c r="B1809" s="30" t="n"/>
    </row>
    <row r="1810">
      <c r="B1810" s="30" t="n"/>
    </row>
    <row r="1811">
      <c r="B1811" s="30" t="n"/>
    </row>
    <row r="1812">
      <c r="B1812" s="30" t="n"/>
    </row>
    <row r="1813">
      <c r="B1813" s="30" t="n"/>
    </row>
    <row r="1814">
      <c r="B1814" s="30" t="n"/>
    </row>
    <row r="1815">
      <c r="B1815" s="30" t="n"/>
    </row>
    <row r="1816">
      <c r="B1816" s="30" t="n"/>
    </row>
    <row r="1817">
      <c r="B1817" s="30" t="n"/>
    </row>
    <row r="1818">
      <c r="B1818" s="30" t="n"/>
    </row>
    <row r="1819">
      <c r="B1819" s="30" t="n"/>
    </row>
    <row r="1820">
      <c r="B1820" s="30" t="n"/>
    </row>
    <row r="1821">
      <c r="B1821" s="30" t="n"/>
    </row>
    <row r="1822">
      <c r="B1822" s="30" t="n"/>
    </row>
    <row r="1823">
      <c r="B1823" s="30" t="n"/>
    </row>
    <row r="1824">
      <c r="B1824" s="30" t="n"/>
    </row>
    <row r="1825">
      <c r="B1825" s="30" t="n"/>
    </row>
    <row r="1826">
      <c r="B1826" s="30" t="n"/>
    </row>
    <row r="1827">
      <c r="B1827" s="30" t="n"/>
    </row>
    <row r="1828">
      <c r="B1828" s="30" t="n"/>
    </row>
    <row r="1829">
      <c r="B1829" s="30" t="n"/>
    </row>
    <row r="1830">
      <c r="B1830" s="30" t="n"/>
    </row>
    <row r="1831">
      <c r="B1831" s="30" t="n"/>
    </row>
    <row r="1832">
      <c r="B1832" s="30" t="n"/>
    </row>
    <row r="1833">
      <c r="B1833" s="30" t="n"/>
    </row>
    <row r="1834">
      <c r="B1834" s="30" t="n"/>
    </row>
    <row r="1835">
      <c r="B1835" s="30" t="n"/>
    </row>
    <row r="1836">
      <c r="B1836" s="30" t="n"/>
    </row>
    <row r="1837">
      <c r="B1837" s="30" t="n"/>
    </row>
    <row r="1838">
      <c r="B1838" s="30" t="n"/>
    </row>
    <row r="1839">
      <c r="B1839" s="30" t="n"/>
    </row>
    <row r="1840">
      <c r="B1840" s="30" t="n"/>
    </row>
    <row r="1841">
      <c r="B1841" s="30" t="n"/>
    </row>
    <row r="1842">
      <c r="B1842" s="30" t="n"/>
    </row>
    <row r="1843">
      <c r="B1843" s="30" t="n"/>
    </row>
    <row r="1844">
      <c r="B1844" s="30" t="n"/>
    </row>
    <row r="1845">
      <c r="B1845" s="30" t="n"/>
    </row>
    <row r="1846">
      <c r="B1846" s="30" t="n"/>
    </row>
    <row r="1847">
      <c r="B1847" s="30" t="n"/>
    </row>
    <row r="1848">
      <c r="B1848" s="30" t="n"/>
    </row>
    <row r="1849">
      <c r="B1849" s="30" t="n"/>
    </row>
    <row r="1850">
      <c r="B1850" s="30" t="n"/>
    </row>
    <row r="1851">
      <c r="B1851" s="30" t="n"/>
    </row>
    <row r="1852">
      <c r="B1852" s="30" t="n"/>
    </row>
    <row r="1853">
      <c r="B1853" s="30" t="n"/>
    </row>
    <row r="1854">
      <c r="B1854" s="30" t="n"/>
    </row>
    <row r="1855">
      <c r="B1855" s="30" t="n"/>
    </row>
    <row r="1856">
      <c r="B1856" s="30" t="n"/>
    </row>
    <row r="1857">
      <c r="B1857" s="30" t="n"/>
    </row>
    <row r="1858">
      <c r="B1858" s="30" t="n"/>
    </row>
    <row r="1859">
      <c r="B1859" s="30" t="n"/>
    </row>
    <row r="1860">
      <c r="B1860" s="30" t="n"/>
    </row>
    <row r="1861">
      <c r="B1861" s="30" t="n"/>
    </row>
    <row r="1862">
      <c r="B1862" s="30" t="n"/>
    </row>
    <row r="1863">
      <c r="B1863" s="30" t="n"/>
    </row>
    <row r="1864">
      <c r="B1864" s="30" t="n"/>
    </row>
    <row r="1865">
      <c r="B1865" s="30" t="n"/>
    </row>
    <row r="1866">
      <c r="B1866" s="30" t="n"/>
    </row>
    <row r="1867">
      <c r="B1867" s="30" t="n"/>
    </row>
    <row r="1868">
      <c r="B1868" s="30" t="n"/>
    </row>
    <row r="1869">
      <c r="B1869" s="30" t="n"/>
    </row>
    <row r="1870">
      <c r="B1870" s="30" t="n"/>
    </row>
    <row r="1871">
      <c r="B1871" s="30" t="n"/>
    </row>
    <row r="1872">
      <c r="B1872" s="30" t="n"/>
    </row>
    <row r="1873">
      <c r="B1873" s="30" t="n"/>
    </row>
    <row r="1874">
      <c r="B1874" s="30" t="n"/>
    </row>
    <row r="1875">
      <c r="B1875" s="30" t="n"/>
    </row>
    <row r="1876">
      <c r="B1876" s="30" t="n"/>
    </row>
    <row r="1877">
      <c r="B1877" s="30" t="n"/>
    </row>
    <row r="1878">
      <c r="B1878" s="30" t="n"/>
    </row>
    <row r="1879">
      <c r="B1879" s="30" t="n"/>
    </row>
    <row r="1880">
      <c r="B1880" s="30" t="n"/>
    </row>
    <row r="1881">
      <c r="B1881" s="30" t="n"/>
    </row>
    <row r="1882">
      <c r="B1882" s="30" t="n"/>
    </row>
    <row r="1883">
      <c r="B1883" s="30" t="n"/>
    </row>
    <row r="1884">
      <c r="B1884" s="30" t="n"/>
    </row>
    <row r="1885">
      <c r="B1885" s="30" t="n"/>
    </row>
    <row r="1886">
      <c r="B1886" s="30" t="n"/>
    </row>
    <row r="1887">
      <c r="B1887" s="30" t="n"/>
    </row>
    <row r="1888">
      <c r="B1888" s="30" t="n"/>
    </row>
    <row r="1889">
      <c r="B1889" s="30" t="n"/>
    </row>
    <row r="1890">
      <c r="B1890" s="30" t="n"/>
    </row>
    <row r="1891">
      <c r="B1891" s="30" t="n"/>
    </row>
    <row r="1892">
      <c r="B1892" s="30" t="n"/>
    </row>
    <row r="1893">
      <c r="B1893" s="30" t="n"/>
    </row>
    <row r="1894">
      <c r="B1894" s="30" t="n"/>
    </row>
    <row r="1895">
      <c r="B1895" s="30" t="n"/>
    </row>
    <row r="1896">
      <c r="B1896" s="30" t="n"/>
    </row>
    <row r="1897">
      <c r="B1897" s="30" t="n"/>
    </row>
    <row r="1898">
      <c r="B1898" s="30" t="n"/>
    </row>
    <row r="1899">
      <c r="B1899" s="30" t="n"/>
    </row>
    <row r="1900">
      <c r="B1900" s="30" t="n"/>
    </row>
    <row r="1901">
      <c r="B1901" s="30" t="n"/>
    </row>
    <row r="1902">
      <c r="B1902" s="30" t="n"/>
    </row>
    <row r="1903">
      <c r="B1903" s="30" t="n"/>
    </row>
    <row r="1904">
      <c r="B1904" s="30" t="n"/>
    </row>
    <row r="1905">
      <c r="B1905" s="30" t="n"/>
    </row>
    <row r="1906">
      <c r="B1906" s="30" t="n"/>
    </row>
    <row r="1907">
      <c r="B1907" s="30" t="n"/>
    </row>
    <row r="1908">
      <c r="B1908" s="30" t="n"/>
    </row>
    <row r="1909">
      <c r="B1909" s="30" t="n"/>
    </row>
    <row r="1910">
      <c r="B1910" s="30" t="n"/>
    </row>
    <row r="1911">
      <c r="B1911" s="30" t="n"/>
    </row>
    <row r="1912">
      <c r="B1912" s="30" t="n"/>
    </row>
    <row r="1913">
      <c r="B1913" s="30" t="n"/>
    </row>
    <row r="1914">
      <c r="B1914" s="30" t="n"/>
    </row>
    <row r="1915">
      <c r="B1915" s="30" t="n"/>
    </row>
    <row r="1916">
      <c r="B1916" s="30" t="n"/>
    </row>
    <row r="1917">
      <c r="B1917" s="30" t="n"/>
    </row>
    <row r="1918">
      <c r="B1918" s="30" t="n"/>
    </row>
    <row r="1919">
      <c r="B1919" s="30" t="n"/>
    </row>
    <row r="1920">
      <c r="B1920" s="30" t="n"/>
    </row>
    <row r="1921">
      <c r="B1921" s="30" t="n"/>
    </row>
    <row r="1922">
      <c r="B1922" s="30" t="n"/>
    </row>
    <row r="1923">
      <c r="B1923" s="30" t="n"/>
    </row>
    <row r="1924">
      <c r="B1924" s="30" t="n"/>
    </row>
    <row r="1925">
      <c r="B1925" s="30" t="n"/>
    </row>
    <row r="1926">
      <c r="B1926" s="30" t="n"/>
    </row>
    <row r="1927">
      <c r="B1927" s="30" t="n"/>
    </row>
    <row r="1928">
      <c r="B1928" s="30" t="n"/>
    </row>
    <row r="1929">
      <c r="B1929" s="30" t="n"/>
    </row>
    <row r="1930">
      <c r="B1930" s="30" t="n"/>
    </row>
    <row r="1931">
      <c r="B1931" s="30" t="n"/>
    </row>
    <row r="1932">
      <c r="B1932" s="30" t="n"/>
    </row>
    <row r="1933">
      <c r="B1933" s="30" t="n"/>
    </row>
    <row r="1934">
      <c r="B1934" s="30" t="n"/>
    </row>
    <row r="1935">
      <c r="B1935" s="30" t="n"/>
    </row>
    <row r="1936">
      <c r="B1936" s="30" t="n"/>
    </row>
    <row r="1937">
      <c r="B1937" s="30" t="n"/>
    </row>
    <row r="1938">
      <c r="B1938" s="30" t="n"/>
    </row>
    <row r="1939">
      <c r="B1939" s="30" t="n"/>
    </row>
    <row r="1940">
      <c r="B1940" s="30" t="n"/>
    </row>
    <row r="1941">
      <c r="B1941" s="30" t="n"/>
    </row>
    <row r="1942">
      <c r="B1942" s="30" t="n"/>
    </row>
    <row r="1943">
      <c r="B1943" s="30" t="n"/>
    </row>
    <row r="1944">
      <c r="B1944" s="30" t="n"/>
    </row>
    <row r="1945">
      <c r="B1945" s="30" t="n"/>
    </row>
    <row r="1946">
      <c r="B1946" s="30" t="n"/>
    </row>
    <row r="1947">
      <c r="B1947" s="30" t="n"/>
    </row>
    <row r="1948">
      <c r="B1948" s="30" t="n"/>
    </row>
    <row r="1949">
      <c r="B1949" s="30" t="n"/>
    </row>
    <row r="1950">
      <c r="B1950" s="30" t="n"/>
    </row>
    <row r="1951">
      <c r="B1951" s="30" t="n"/>
    </row>
    <row r="1952">
      <c r="B1952" s="30" t="n"/>
    </row>
    <row r="1953">
      <c r="B1953" s="30" t="n"/>
    </row>
    <row r="1954">
      <c r="B1954" s="30" t="n"/>
    </row>
    <row r="1955">
      <c r="B1955" s="30" t="n"/>
    </row>
    <row r="1956">
      <c r="B1956" s="30" t="n"/>
    </row>
    <row r="1957">
      <c r="B1957" s="30" t="n"/>
    </row>
    <row r="1958">
      <c r="B1958" s="30" t="n"/>
    </row>
    <row r="1959">
      <c r="B1959" s="30" t="n"/>
    </row>
    <row r="1960">
      <c r="B1960" s="30" t="n"/>
    </row>
    <row r="1961">
      <c r="B1961" s="30" t="n"/>
    </row>
    <row r="1962">
      <c r="B1962" s="30" t="n"/>
    </row>
    <row r="1963">
      <c r="B1963" s="30" t="n"/>
    </row>
    <row r="1964">
      <c r="B1964" s="30" t="n"/>
    </row>
    <row r="1965">
      <c r="B1965" s="30" t="n"/>
    </row>
    <row r="1966">
      <c r="B1966" s="30" t="n"/>
    </row>
    <row r="1967">
      <c r="B1967" s="30" t="n"/>
    </row>
    <row r="1968">
      <c r="B1968" s="30" t="n"/>
    </row>
    <row r="1969">
      <c r="B1969" s="30" t="n"/>
    </row>
    <row r="1970">
      <c r="B1970" s="30" t="n"/>
    </row>
    <row r="1971">
      <c r="B1971" s="30" t="n"/>
    </row>
    <row r="1972">
      <c r="B1972" s="30" t="n"/>
    </row>
    <row r="1973">
      <c r="B1973" s="30" t="n"/>
    </row>
    <row r="1974">
      <c r="B1974" s="30" t="n"/>
    </row>
    <row r="1975">
      <c r="B1975" s="30" t="n"/>
    </row>
    <row r="1976">
      <c r="B1976" s="30" t="n"/>
    </row>
    <row r="1977">
      <c r="B1977" s="30" t="n"/>
    </row>
    <row r="1978">
      <c r="B1978" s="30" t="n"/>
    </row>
    <row r="1979">
      <c r="B1979" s="30" t="n"/>
    </row>
    <row r="1980">
      <c r="B1980" s="30" t="n"/>
    </row>
    <row r="1981">
      <c r="B1981" s="30" t="n"/>
    </row>
    <row r="1982">
      <c r="B1982" s="30" t="n"/>
    </row>
    <row r="1983">
      <c r="B1983" s="30" t="n"/>
    </row>
    <row r="1984">
      <c r="B1984" s="30" t="n"/>
    </row>
    <row r="1985">
      <c r="B1985" s="30" t="n"/>
    </row>
    <row r="1986">
      <c r="B1986" s="30" t="n"/>
    </row>
    <row r="1987">
      <c r="B1987" s="30" t="n"/>
    </row>
    <row r="1988">
      <c r="B1988" s="30" t="n"/>
    </row>
    <row r="1989">
      <c r="B1989" s="30" t="n"/>
    </row>
    <row r="1990">
      <c r="B1990" s="30" t="n"/>
    </row>
    <row r="1991">
      <c r="B1991" s="30" t="n"/>
    </row>
    <row r="1992">
      <c r="B1992" s="30" t="n"/>
    </row>
    <row r="1993">
      <c r="B1993" s="30" t="n"/>
    </row>
    <row r="1994">
      <c r="B1994" s="30" t="n"/>
    </row>
    <row r="1995">
      <c r="B1995" s="30" t="n"/>
    </row>
    <row r="1996">
      <c r="B1996" s="30" t="n"/>
    </row>
    <row r="1997">
      <c r="B1997" s="30" t="n"/>
    </row>
    <row r="1998">
      <c r="B1998" s="30" t="n"/>
    </row>
    <row r="1999">
      <c r="B1999" s="30" t="n"/>
    </row>
    <row r="2000">
      <c r="B2000" s="30" t="n"/>
    </row>
    <row r="2001">
      <c r="B2001" s="30" t="n"/>
    </row>
    <row r="2002">
      <c r="B2002" s="30" t="n"/>
    </row>
    <row r="2003">
      <c r="B2003" s="30" t="n"/>
    </row>
    <row r="2004">
      <c r="B2004" s="30" t="n"/>
    </row>
    <row r="2005">
      <c r="B2005" s="30" t="n"/>
    </row>
    <row r="2006">
      <c r="B2006" s="30" t="n"/>
    </row>
    <row r="2007">
      <c r="B2007" s="30" t="n"/>
    </row>
    <row r="2008">
      <c r="B2008" s="30" t="n"/>
    </row>
    <row r="2009">
      <c r="B2009" s="30" t="n"/>
    </row>
    <row r="2010">
      <c r="B2010" s="30" t="n"/>
    </row>
    <row r="2011">
      <c r="B2011" s="30" t="n"/>
    </row>
    <row r="2012">
      <c r="B2012" s="30" t="n"/>
    </row>
    <row r="2013">
      <c r="B2013" s="30" t="n"/>
    </row>
    <row r="2014">
      <c r="B2014" s="30" t="n"/>
    </row>
    <row r="2015">
      <c r="B2015" s="30" t="n"/>
    </row>
    <row r="2016">
      <c r="B2016" s="30" t="n"/>
    </row>
    <row r="2017">
      <c r="B2017" s="30" t="n"/>
    </row>
    <row r="2018">
      <c r="B2018" s="30" t="n"/>
    </row>
    <row r="2019">
      <c r="B2019" s="30" t="n"/>
    </row>
    <row r="2020">
      <c r="B2020" s="30" t="n"/>
    </row>
    <row r="2021">
      <c r="B2021" s="30" t="n"/>
    </row>
    <row r="2022">
      <c r="B2022" s="30" t="n"/>
    </row>
    <row r="2023">
      <c r="B2023" s="30" t="n"/>
    </row>
    <row r="2024">
      <c r="B2024" s="30" t="n"/>
    </row>
    <row r="2025">
      <c r="B2025" s="30" t="n"/>
    </row>
    <row r="2026">
      <c r="B2026" s="30" t="n"/>
    </row>
    <row r="2027">
      <c r="B2027" s="30" t="n"/>
    </row>
    <row r="2028">
      <c r="B2028" s="30" t="n"/>
    </row>
    <row r="2029">
      <c r="B2029" s="30" t="n"/>
    </row>
    <row r="2030">
      <c r="B2030" s="30" t="n"/>
    </row>
    <row r="2031">
      <c r="B2031" s="30" t="n"/>
    </row>
    <row r="2032">
      <c r="B2032" s="30" t="n"/>
    </row>
    <row r="2033">
      <c r="B2033" s="30" t="n"/>
    </row>
    <row r="2034">
      <c r="B2034" s="30" t="n"/>
    </row>
    <row r="2035">
      <c r="B2035" s="30" t="n"/>
    </row>
    <row r="2036">
      <c r="B2036" s="30" t="n"/>
    </row>
    <row r="2037">
      <c r="B2037" s="30" t="n"/>
    </row>
    <row r="2038">
      <c r="B2038" s="30" t="n"/>
    </row>
    <row r="2039">
      <c r="B2039" s="30" t="n"/>
    </row>
    <row r="2040">
      <c r="B2040" s="30" t="n"/>
    </row>
    <row r="2041">
      <c r="B2041" s="30" t="n"/>
    </row>
    <row r="2042">
      <c r="B2042" s="30" t="n"/>
    </row>
    <row r="2043">
      <c r="B2043" s="30" t="n"/>
    </row>
    <row r="2044">
      <c r="B2044" s="30" t="n"/>
    </row>
    <row r="2045">
      <c r="B2045" s="30" t="n"/>
    </row>
    <row r="2046">
      <c r="B2046" s="30" t="n"/>
    </row>
    <row r="2047">
      <c r="B2047" s="30" t="n"/>
    </row>
    <row r="2048">
      <c r="B2048" s="30" t="n"/>
    </row>
    <row r="2049">
      <c r="B2049" s="30" t="n"/>
    </row>
    <row r="2050">
      <c r="B2050" s="30" t="n"/>
    </row>
    <row r="2051">
      <c r="B2051" s="30" t="n"/>
    </row>
    <row r="2052">
      <c r="B2052" s="30" t="n"/>
    </row>
    <row r="2053">
      <c r="B2053" s="30" t="n"/>
    </row>
    <row r="2054">
      <c r="B2054" s="30" t="n"/>
    </row>
    <row r="2055">
      <c r="B2055" s="30" t="n"/>
    </row>
    <row r="2056">
      <c r="B2056" s="30" t="n"/>
    </row>
    <row r="2057">
      <c r="B2057" s="30" t="n"/>
    </row>
    <row r="2058">
      <c r="B2058" s="30" t="n"/>
    </row>
    <row r="2059">
      <c r="B2059" s="30" t="n"/>
    </row>
    <row r="2060">
      <c r="B2060" s="30" t="n"/>
    </row>
    <row r="2061">
      <c r="B2061" s="30" t="n"/>
    </row>
    <row r="2062">
      <c r="B2062" s="30" t="n"/>
    </row>
    <row r="2063">
      <c r="B2063" s="30" t="n"/>
    </row>
    <row r="2064">
      <c r="B2064" s="30" t="n"/>
    </row>
    <row r="2065">
      <c r="B2065" s="30" t="n"/>
    </row>
    <row r="2066">
      <c r="B2066" s="30" t="n"/>
    </row>
    <row r="2067">
      <c r="B2067" s="30" t="n"/>
    </row>
    <row r="2068">
      <c r="B2068" s="30" t="n"/>
    </row>
    <row r="2069">
      <c r="B2069" s="30" t="n"/>
    </row>
    <row r="2070">
      <c r="B2070" s="30" t="n"/>
    </row>
    <row r="2071">
      <c r="B2071" s="30" t="n"/>
    </row>
    <row r="2072">
      <c r="B2072" s="30" t="n"/>
    </row>
    <row r="2073">
      <c r="B2073" s="30" t="n"/>
    </row>
    <row r="2074">
      <c r="B2074" s="30" t="n"/>
    </row>
    <row r="2075">
      <c r="B2075" s="30" t="n"/>
    </row>
    <row r="2076">
      <c r="B2076" s="30" t="n"/>
    </row>
    <row r="2077">
      <c r="B2077" s="30" t="n"/>
    </row>
    <row r="2078">
      <c r="B2078" s="30" t="n"/>
    </row>
    <row r="2079">
      <c r="B2079" s="30" t="n"/>
    </row>
    <row r="2080">
      <c r="B2080" s="30" t="n"/>
    </row>
    <row r="2081">
      <c r="B2081" s="30" t="n"/>
    </row>
    <row r="2082">
      <c r="B2082" s="30" t="n"/>
    </row>
    <row r="2083">
      <c r="B2083" s="30" t="n"/>
    </row>
    <row r="2084">
      <c r="B2084" s="30" t="n"/>
    </row>
    <row r="2085">
      <c r="B2085" s="30" t="n"/>
    </row>
    <row r="2086">
      <c r="B2086" s="30" t="n"/>
    </row>
    <row r="2087">
      <c r="B2087" s="30" t="n"/>
    </row>
    <row r="2088">
      <c r="B2088" s="30" t="n"/>
    </row>
    <row r="2089">
      <c r="B2089" s="30" t="n"/>
    </row>
    <row r="2090">
      <c r="B2090" s="30" t="n"/>
    </row>
    <row r="2091">
      <c r="B2091" s="30" t="n"/>
    </row>
    <row r="2092">
      <c r="B2092" s="30" t="n"/>
    </row>
    <row r="2093">
      <c r="B2093" s="30" t="n"/>
    </row>
    <row r="2094">
      <c r="B2094" s="30" t="n"/>
    </row>
    <row r="2095">
      <c r="B2095" s="30" t="n"/>
    </row>
    <row r="2096">
      <c r="B2096" s="30" t="n"/>
    </row>
    <row r="2097">
      <c r="B2097" s="30" t="n"/>
    </row>
    <row r="2098">
      <c r="B2098" s="30" t="n"/>
    </row>
    <row r="2099">
      <c r="B2099" s="30" t="n"/>
    </row>
    <row r="2100">
      <c r="B2100" s="30" t="n"/>
    </row>
    <row r="2101">
      <c r="B2101" s="30" t="n"/>
    </row>
    <row r="2102">
      <c r="B2102" s="30" t="n"/>
    </row>
    <row r="2103">
      <c r="B2103" s="30" t="n"/>
    </row>
    <row r="2104">
      <c r="B2104" s="30" t="n"/>
    </row>
    <row r="2105">
      <c r="B2105" s="30" t="n"/>
    </row>
    <row r="2106">
      <c r="B2106" s="30" t="n"/>
    </row>
    <row r="2107">
      <c r="B2107" s="30" t="n"/>
    </row>
    <row r="2108">
      <c r="B2108" s="30" t="n"/>
    </row>
    <row r="2109">
      <c r="B2109" s="30" t="n"/>
    </row>
    <row r="2110">
      <c r="B2110" s="30" t="n"/>
    </row>
    <row r="2111">
      <c r="B2111" s="30" t="n"/>
    </row>
    <row r="2112">
      <c r="B2112" s="30" t="n"/>
    </row>
    <row r="2113">
      <c r="B2113" s="30" t="n"/>
    </row>
    <row r="2114">
      <c r="B2114" s="30" t="n"/>
    </row>
    <row r="2115">
      <c r="B2115" s="30" t="n"/>
    </row>
    <row r="2116">
      <c r="B2116" s="30" t="n"/>
    </row>
    <row r="2117">
      <c r="B2117" s="30" t="n"/>
    </row>
    <row r="2118">
      <c r="B2118" s="30" t="n"/>
    </row>
    <row r="2119">
      <c r="B2119" s="30" t="n"/>
    </row>
    <row r="2120">
      <c r="B2120" s="30" t="n"/>
    </row>
    <row r="2121">
      <c r="B2121" s="30" t="n"/>
    </row>
    <row r="2122">
      <c r="B2122" s="30" t="n"/>
    </row>
    <row r="2123">
      <c r="B2123" s="30" t="n"/>
    </row>
    <row r="2124">
      <c r="B2124" s="30" t="n"/>
    </row>
    <row r="2125">
      <c r="B2125" s="30" t="n"/>
    </row>
    <row r="2126">
      <c r="B2126" s="30" t="n"/>
    </row>
    <row r="2127">
      <c r="B2127" s="30" t="n"/>
    </row>
    <row r="2128">
      <c r="B2128" s="30" t="n"/>
    </row>
    <row r="2129">
      <c r="B2129" s="30" t="n"/>
    </row>
    <row r="2130">
      <c r="B2130" s="30" t="n"/>
    </row>
    <row r="2131">
      <c r="B2131" s="30" t="n"/>
    </row>
    <row r="2132">
      <c r="B2132" s="30" t="n"/>
    </row>
    <row r="2133">
      <c r="B2133" s="30" t="n"/>
    </row>
    <row r="2134">
      <c r="B2134" s="30" t="n"/>
    </row>
    <row r="2135">
      <c r="B2135" s="30" t="n"/>
    </row>
    <row r="2136">
      <c r="B2136" s="30" t="n"/>
    </row>
    <row r="2137">
      <c r="B2137" s="30" t="n"/>
    </row>
    <row r="2138">
      <c r="B2138" s="30" t="n"/>
    </row>
    <row r="2139">
      <c r="B2139" s="30" t="n"/>
    </row>
    <row r="2140">
      <c r="B2140" s="30" t="n"/>
    </row>
    <row r="2141">
      <c r="B2141" s="30" t="n"/>
    </row>
    <row r="2142">
      <c r="B2142" s="30" t="n"/>
    </row>
    <row r="2143">
      <c r="B2143" s="30" t="n"/>
    </row>
    <row r="2144">
      <c r="B2144" s="30" t="n"/>
    </row>
    <row r="2145">
      <c r="B2145" s="30" t="n"/>
    </row>
    <row r="2146">
      <c r="B2146" s="30" t="n"/>
    </row>
    <row r="2147">
      <c r="B2147" s="30" t="n"/>
    </row>
    <row r="2148">
      <c r="B2148" s="30" t="n"/>
    </row>
    <row r="2149">
      <c r="B2149" s="30" t="n"/>
    </row>
    <row r="2150">
      <c r="B2150" s="30" t="n"/>
    </row>
    <row r="2151">
      <c r="B2151" s="30" t="n"/>
    </row>
    <row r="2152">
      <c r="B2152" s="30" t="n"/>
    </row>
    <row r="2153">
      <c r="B2153" s="30" t="n"/>
    </row>
    <row r="2154">
      <c r="B2154" s="30" t="n"/>
    </row>
    <row r="2155">
      <c r="B2155" s="30" t="n"/>
    </row>
    <row r="2156">
      <c r="B2156" s="30" t="n"/>
    </row>
    <row r="2157">
      <c r="B2157" s="30" t="n"/>
    </row>
    <row r="2158">
      <c r="B2158" s="30" t="n"/>
    </row>
    <row r="2159">
      <c r="B2159" s="30" t="n"/>
    </row>
    <row r="2160">
      <c r="B2160" s="30" t="n"/>
    </row>
    <row r="2161">
      <c r="B2161" s="30" t="n"/>
    </row>
    <row r="2162">
      <c r="B2162" s="30" t="n"/>
    </row>
    <row r="2163">
      <c r="B2163" s="30" t="n"/>
    </row>
    <row r="2164">
      <c r="B2164" s="30" t="n"/>
    </row>
    <row r="2165">
      <c r="B2165" s="30" t="n"/>
    </row>
    <row r="2166">
      <c r="B2166" s="30" t="n"/>
    </row>
    <row r="2167">
      <c r="B2167" s="30" t="n"/>
    </row>
    <row r="2168">
      <c r="B2168" s="30" t="n"/>
    </row>
    <row r="2169">
      <c r="B2169" s="30" t="n"/>
    </row>
    <row r="2170">
      <c r="B2170" s="30" t="n"/>
    </row>
    <row r="2171">
      <c r="B2171" s="30" t="n"/>
    </row>
    <row r="2172">
      <c r="B2172" s="30" t="n"/>
    </row>
    <row r="2173">
      <c r="B2173" s="30" t="n"/>
    </row>
    <row r="2174">
      <c r="B2174" s="30" t="n"/>
    </row>
    <row r="2175">
      <c r="B2175" s="30" t="n"/>
    </row>
    <row r="2176">
      <c r="B2176" s="30" t="n"/>
    </row>
    <row r="2177">
      <c r="B2177" s="30" t="n"/>
    </row>
    <row r="2178">
      <c r="B2178" s="30" t="n"/>
    </row>
    <row r="2179">
      <c r="B2179" s="30" t="n"/>
    </row>
    <row r="2180">
      <c r="B2180" s="30" t="n"/>
    </row>
    <row r="2181">
      <c r="B2181" s="30" t="n"/>
    </row>
    <row r="2182">
      <c r="B2182" s="30" t="n"/>
    </row>
    <row r="2183">
      <c r="B2183" s="30" t="n"/>
    </row>
    <row r="2184">
      <c r="B2184" s="30" t="n"/>
    </row>
    <row r="2185">
      <c r="B2185" s="30" t="n"/>
    </row>
    <row r="2186">
      <c r="B2186" s="30" t="n"/>
    </row>
    <row r="2187">
      <c r="B2187" s="30" t="n"/>
    </row>
    <row r="2188">
      <c r="B2188" s="30" t="n"/>
    </row>
    <row r="2189">
      <c r="B2189" s="30" t="n"/>
    </row>
    <row r="2190">
      <c r="B2190" s="30" t="n"/>
    </row>
    <row r="2191">
      <c r="B2191" s="30" t="n"/>
    </row>
    <row r="2192">
      <c r="B2192" s="30" t="n"/>
    </row>
    <row r="2193">
      <c r="B2193" s="30" t="n"/>
    </row>
    <row r="2194">
      <c r="B2194" s="30" t="n"/>
    </row>
    <row r="2195">
      <c r="B2195" s="30" t="n"/>
    </row>
    <row r="2196">
      <c r="B2196" s="30" t="n"/>
    </row>
    <row r="2197">
      <c r="B2197" s="30" t="n"/>
    </row>
    <row r="2198">
      <c r="B2198" s="30" t="n"/>
    </row>
    <row r="2199">
      <c r="B2199" s="30" t="n"/>
    </row>
    <row r="2200">
      <c r="B2200" s="30" t="n"/>
    </row>
    <row r="2201">
      <c r="B2201" s="30" t="n"/>
    </row>
    <row r="2202">
      <c r="B2202" s="30" t="n"/>
    </row>
    <row r="2203">
      <c r="B2203" s="30" t="n"/>
    </row>
    <row r="2204">
      <c r="B2204" s="30" t="n"/>
    </row>
    <row r="2205">
      <c r="B2205" s="30" t="n"/>
    </row>
    <row r="2206">
      <c r="B2206" s="30" t="n"/>
    </row>
    <row r="2207">
      <c r="B2207" s="30" t="n"/>
    </row>
    <row r="2208">
      <c r="B2208" s="30" t="n"/>
    </row>
    <row r="2209">
      <c r="B2209" s="30" t="n"/>
    </row>
    <row r="2210">
      <c r="B2210" s="30" t="n"/>
    </row>
    <row r="2211">
      <c r="B2211" s="30" t="n"/>
    </row>
    <row r="2212">
      <c r="B2212" s="30" t="n"/>
    </row>
    <row r="2213">
      <c r="B2213" s="30" t="n"/>
    </row>
    <row r="2214">
      <c r="B2214" s="30" t="n"/>
    </row>
    <row r="2215">
      <c r="B2215" s="30" t="n"/>
    </row>
    <row r="2216">
      <c r="B2216" s="30" t="n"/>
    </row>
    <row r="2217">
      <c r="B2217" s="30" t="n"/>
    </row>
    <row r="2218">
      <c r="B2218" s="30" t="n"/>
    </row>
    <row r="2219">
      <c r="B2219" s="30" t="n"/>
    </row>
    <row r="2220">
      <c r="B2220" s="30" t="n"/>
    </row>
    <row r="2221">
      <c r="B2221" s="30" t="n"/>
    </row>
    <row r="2222">
      <c r="B2222" s="30" t="n"/>
    </row>
    <row r="2223">
      <c r="B2223" s="30" t="n"/>
    </row>
    <row r="2224">
      <c r="B2224" s="30" t="n"/>
    </row>
    <row r="2225">
      <c r="B2225" s="30" t="n"/>
    </row>
    <row r="2226">
      <c r="B2226" s="30" t="n"/>
    </row>
    <row r="2227">
      <c r="B2227" s="30" t="n"/>
    </row>
    <row r="2228">
      <c r="B2228" s="30" t="n"/>
    </row>
    <row r="2229">
      <c r="B2229" s="30" t="n"/>
    </row>
    <row r="2230">
      <c r="B2230" s="30" t="n"/>
    </row>
    <row r="2231">
      <c r="B2231" s="30" t="n"/>
    </row>
    <row r="2232">
      <c r="B2232" s="30" t="n"/>
    </row>
    <row r="2233">
      <c r="B2233" s="30" t="n"/>
    </row>
    <row r="2234">
      <c r="B2234" s="30" t="n"/>
    </row>
    <row r="2235">
      <c r="B2235" s="30" t="n"/>
    </row>
    <row r="2236">
      <c r="B2236" s="30" t="n"/>
    </row>
    <row r="2237">
      <c r="B2237" s="30" t="n"/>
    </row>
    <row r="2238">
      <c r="B2238" s="30" t="n"/>
    </row>
    <row r="2239">
      <c r="B2239" s="30" t="n"/>
    </row>
    <row r="2240">
      <c r="B2240" s="30" t="n"/>
    </row>
    <row r="2241">
      <c r="B2241" s="30" t="n"/>
    </row>
    <row r="2242">
      <c r="B2242" s="30" t="n"/>
    </row>
    <row r="2243">
      <c r="B2243" s="30" t="n"/>
    </row>
    <row r="2244">
      <c r="B2244" s="30" t="n"/>
    </row>
    <row r="2245">
      <c r="B2245" s="30" t="n"/>
    </row>
    <row r="2246">
      <c r="B2246" s="30" t="n"/>
    </row>
    <row r="2247">
      <c r="B2247" s="30" t="n"/>
    </row>
    <row r="2248">
      <c r="B2248" s="30" t="n"/>
    </row>
    <row r="2249">
      <c r="B2249" s="30" t="n"/>
    </row>
    <row r="2250">
      <c r="B2250" s="30" t="n"/>
    </row>
    <row r="2251">
      <c r="B2251" s="30" t="n"/>
    </row>
    <row r="2252">
      <c r="B2252" s="30" t="n"/>
    </row>
    <row r="2253">
      <c r="B2253" s="30" t="n"/>
    </row>
    <row r="2254">
      <c r="B2254" s="30" t="n"/>
    </row>
    <row r="2255">
      <c r="B2255" s="30" t="n"/>
    </row>
    <row r="2256">
      <c r="B2256" s="30" t="n"/>
    </row>
    <row r="2257">
      <c r="B2257" s="30" t="n"/>
    </row>
    <row r="2258">
      <c r="B2258" s="30" t="n"/>
    </row>
    <row r="2259">
      <c r="B2259" s="30" t="n"/>
    </row>
    <row r="2260">
      <c r="B2260" s="30" t="n"/>
    </row>
    <row r="2261">
      <c r="B2261" s="30" t="n"/>
    </row>
    <row r="2262">
      <c r="B2262" s="30" t="n"/>
    </row>
    <row r="2263">
      <c r="B2263" s="30" t="n"/>
    </row>
    <row r="2264">
      <c r="B2264" s="30" t="n"/>
    </row>
    <row r="2265">
      <c r="B2265" s="30" t="n"/>
    </row>
    <row r="2266">
      <c r="B2266" s="30" t="n"/>
    </row>
    <row r="2267">
      <c r="B2267" s="30" t="n"/>
    </row>
    <row r="2268">
      <c r="B2268" s="30" t="n"/>
    </row>
    <row r="2269">
      <c r="B2269" s="30" t="n"/>
    </row>
    <row r="2270">
      <c r="B2270" s="30" t="n"/>
    </row>
    <row r="2271">
      <c r="B2271" s="30" t="n"/>
    </row>
    <row r="2272">
      <c r="B2272" s="30" t="n"/>
    </row>
    <row r="2273">
      <c r="B2273" s="30" t="n"/>
    </row>
    <row r="2274">
      <c r="B2274" s="30" t="n"/>
    </row>
    <row r="2275">
      <c r="B2275" s="30" t="n"/>
    </row>
    <row r="2276">
      <c r="B2276" s="30" t="n"/>
    </row>
    <row r="2277">
      <c r="B2277" s="30" t="n"/>
    </row>
    <row r="2278">
      <c r="B2278" s="30" t="n"/>
    </row>
    <row r="2279">
      <c r="B2279" s="30" t="n"/>
    </row>
    <row r="2280">
      <c r="B2280" s="30" t="n"/>
    </row>
    <row r="2281">
      <c r="B2281" s="30" t="n"/>
    </row>
    <row r="2282">
      <c r="B2282" s="30" t="n"/>
    </row>
    <row r="2283">
      <c r="B2283" s="30" t="n"/>
    </row>
    <row r="2284">
      <c r="B2284" s="30" t="n"/>
    </row>
    <row r="2285">
      <c r="B2285" s="30" t="n"/>
    </row>
    <row r="2286">
      <c r="B2286" s="30" t="n"/>
    </row>
    <row r="2287">
      <c r="B2287" s="30" t="n"/>
    </row>
    <row r="2288">
      <c r="B2288" s="30" t="n"/>
    </row>
    <row r="2289">
      <c r="B2289" s="30" t="n"/>
    </row>
    <row r="2290">
      <c r="B2290" s="30" t="n"/>
    </row>
    <row r="2291">
      <c r="B2291" s="30" t="n"/>
    </row>
    <row r="2292">
      <c r="B2292" s="30" t="n"/>
    </row>
    <row r="2293">
      <c r="B2293" s="30" t="n"/>
    </row>
    <row r="2294">
      <c r="B2294" s="30" t="n"/>
    </row>
    <row r="2295">
      <c r="B2295" s="30" t="n"/>
    </row>
    <row r="2296">
      <c r="B2296" s="30" t="n"/>
    </row>
    <row r="2297">
      <c r="B2297" s="30" t="n"/>
    </row>
    <row r="2298">
      <c r="B2298" s="30" t="n"/>
    </row>
    <row r="2299">
      <c r="B2299" s="30" t="n"/>
    </row>
    <row r="2300">
      <c r="B2300" s="30" t="n"/>
    </row>
    <row r="2301">
      <c r="B2301" s="30" t="n"/>
    </row>
    <row r="2302">
      <c r="B2302" s="30" t="n"/>
    </row>
    <row r="2303">
      <c r="B2303" s="30" t="n"/>
    </row>
    <row r="2304">
      <c r="B2304" s="30" t="n"/>
    </row>
    <row r="2305">
      <c r="B2305" s="30" t="n"/>
    </row>
    <row r="2306">
      <c r="B2306" s="30" t="n"/>
    </row>
    <row r="2307">
      <c r="B2307" s="30" t="n"/>
    </row>
    <row r="2308">
      <c r="B2308" s="30" t="n"/>
    </row>
    <row r="2309">
      <c r="B2309" s="30" t="n"/>
    </row>
    <row r="2310">
      <c r="B2310" s="30" t="n"/>
    </row>
    <row r="2311">
      <c r="B2311" s="30" t="n"/>
    </row>
    <row r="2312">
      <c r="B2312" s="30" t="n"/>
    </row>
    <row r="2313">
      <c r="B2313" s="30" t="n"/>
    </row>
    <row r="2314">
      <c r="B2314" s="30" t="n"/>
    </row>
    <row r="2315">
      <c r="B2315" s="30" t="n"/>
    </row>
    <row r="2316">
      <c r="B2316" s="30" t="n"/>
    </row>
    <row r="2317">
      <c r="B2317" s="30" t="n"/>
    </row>
    <row r="2318">
      <c r="B2318" s="30" t="n"/>
    </row>
    <row r="2319">
      <c r="B2319" s="30" t="n"/>
    </row>
    <row r="2320">
      <c r="B2320" s="30" t="n"/>
    </row>
    <row r="2321">
      <c r="B2321" s="30" t="n"/>
    </row>
    <row r="2322">
      <c r="B2322" s="30" t="n"/>
    </row>
    <row r="2323">
      <c r="B2323" s="30" t="n"/>
    </row>
    <row r="2324">
      <c r="B2324" s="30" t="n"/>
    </row>
    <row r="2325">
      <c r="B2325" s="30" t="n"/>
    </row>
    <row r="2326">
      <c r="B2326" s="30" t="n"/>
    </row>
    <row r="2327">
      <c r="B2327" s="30" t="n"/>
    </row>
    <row r="2328">
      <c r="B2328" s="30" t="n"/>
    </row>
    <row r="2329">
      <c r="B2329" s="30" t="n"/>
    </row>
    <row r="2330">
      <c r="B2330" s="30" t="n"/>
    </row>
    <row r="2331">
      <c r="B2331" s="30" t="n"/>
    </row>
    <row r="2332">
      <c r="B2332" s="30" t="n"/>
    </row>
    <row r="2333">
      <c r="B2333" s="30" t="n"/>
    </row>
    <row r="2334">
      <c r="B2334" s="30" t="n"/>
    </row>
    <row r="2335">
      <c r="B2335" s="30" t="n"/>
    </row>
    <row r="2336">
      <c r="B2336" s="30" t="n"/>
    </row>
    <row r="2337">
      <c r="B2337" s="30" t="n"/>
    </row>
    <row r="2338">
      <c r="B2338" s="30" t="n"/>
    </row>
    <row r="2339">
      <c r="B2339" s="30" t="n"/>
    </row>
    <row r="2340">
      <c r="B2340" s="30" t="n"/>
    </row>
    <row r="2341">
      <c r="B2341" s="30" t="n"/>
    </row>
    <row r="2342">
      <c r="B2342" s="30" t="n"/>
    </row>
    <row r="2343">
      <c r="B2343" s="30" t="n"/>
    </row>
    <row r="2344">
      <c r="B2344" s="30" t="n"/>
    </row>
    <row r="2345">
      <c r="B2345" s="30" t="n"/>
    </row>
    <row r="2346">
      <c r="B2346" s="30" t="n"/>
    </row>
    <row r="2347">
      <c r="B2347" s="30" t="n"/>
    </row>
    <row r="2348">
      <c r="B2348" s="30" t="n"/>
    </row>
    <row r="2349">
      <c r="B2349" s="30" t="n"/>
    </row>
    <row r="2350">
      <c r="B2350" s="30" t="n"/>
    </row>
    <row r="2351">
      <c r="B2351" s="30" t="n"/>
    </row>
    <row r="2352">
      <c r="B2352" s="30" t="n"/>
    </row>
    <row r="2353">
      <c r="B2353" s="30" t="n"/>
    </row>
    <row r="2354">
      <c r="B2354" s="30" t="n"/>
    </row>
    <row r="2355">
      <c r="B2355" s="30" t="n"/>
    </row>
    <row r="2356">
      <c r="B2356" s="30" t="n"/>
    </row>
    <row r="2357">
      <c r="B2357" s="30" t="n"/>
    </row>
    <row r="2358">
      <c r="B2358" s="30" t="n"/>
    </row>
    <row r="2359">
      <c r="B2359" s="30" t="n"/>
    </row>
    <row r="2360">
      <c r="B2360" s="30" t="n"/>
    </row>
    <row r="2361">
      <c r="B2361" s="30" t="n"/>
    </row>
    <row r="2362">
      <c r="B2362" s="30" t="n"/>
    </row>
    <row r="2363">
      <c r="B2363" s="30" t="n"/>
    </row>
    <row r="2364">
      <c r="B2364" s="30" t="n"/>
    </row>
    <row r="2365">
      <c r="B2365" s="30" t="n"/>
    </row>
    <row r="2366">
      <c r="B2366" s="30" t="n"/>
    </row>
    <row r="2367">
      <c r="B2367" s="30" t="n"/>
    </row>
    <row r="2368">
      <c r="B2368" s="30" t="n"/>
    </row>
    <row r="2369">
      <c r="B2369" s="30" t="n"/>
    </row>
    <row r="2370">
      <c r="B2370" s="30" t="n"/>
    </row>
    <row r="2371">
      <c r="B2371" s="30" t="n"/>
    </row>
    <row r="2372">
      <c r="B2372" s="30" t="n"/>
    </row>
    <row r="2373">
      <c r="B2373" s="30" t="n"/>
    </row>
    <row r="2374">
      <c r="B2374" s="30" t="n"/>
    </row>
    <row r="2375">
      <c r="B2375" s="30" t="n"/>
    </row>
    <row r="2376">
      <c r="B2376" s="30" t="n"/>
    </row>
    <row r="2377">
      <c r="B2377" s="30" t="n"/>
    </row>
    <row r="2378">
      <c r="B2378" s="30" t="n"/>
    </row>
    <row r="2379">
      <c r="B2379" s="30" t="n"/>
    </row>
    <row r="2380">
      <c r="B2380" s="30" t="n"/>
    </row>
    <row r="2381">
      <c r="B2381" s="30" t="n"/>
    </row>
    <row r="2382">
      <c r="B2382" s="30" t="n"/>
    </row>
    <row r="2383">
      <c r="B2383" s="30" t="n"/>
    </row>
    <row r="2384">
      <c r="B2384" s="30" t="n"/>
    </row>
    <row r="2385">
      <c r="B2385" s="30" t="n"/>
    </row>
    <row r="2386">
      <c r="B2386" s="30" t="n"/>
    </row>
    <row r="2387">
      <c r="B2387" s="30" t="n"/>
    </row>
    <row r="2388">
      <c r="B2388" s="30" t="n"/>
    </row>
    <row r="2389">
      <c r="B2389" s="30" t="n"/>
    </row>
    <row r="2390">
      <c r="B2390" s="30" t="n"/>
    </row>
    <row r="2391">
      <c r="B2391" s="30" t="n"/>
    </row>
    <row r="2392">
      <c r="B2392" s="30" t="n"/>
    </row>
    <row r="2393">
      <c r="B2393" s="30" t="n"/>
    </row>
    <row r="2394">
      <c r="B2394" s="30" t="n"/>
    </row>
    <row r="2395">
      <c r="B2395" s="30" t="n"/>
    </row>
    <row r="2396">
      <c r="B2396" s="30" t="n"/>
    </row>
    <row r="2397">
      <c r="B2397" s="30" t="n"/>
    </row>
    <row r="2398">
      <c r="B2398" s="30" t="n"/>
    </row>
    <row r="2399">
      <c r="B2399" s="30" t="n"/>
    </row>
    <row r="2400">
      <c r="B2400" s="30" t="n"/>
    </row>
    <row r="2401">
      <c r="B2401" s="30" t="n"/>
    </row>
    <row r="2402">
      <c r="B2402" s="30" t="n"/>
    </row>
    <row r="2403">
      <c r="B2403" s="30" t="n"/>
    </row>
    <row r="2404">
      <c r="B2404" s="30" t="n"/>
    </row>
    <row r="2405">
      <c r="B2405" s="30" t="n"/>
    </row>
    <row r="2406">
      <c r="B2406" s="30" t="n"/>
    </row>
    <row r="2407">
      <c r="B2407" s="30" t="n"/>
    </row>
    <row r="2408">
      <c r="B2408" s="30" t="n"/>
    </row>
    <row r="2409">
      <c r="B2409" s="30" t="n"/>
    </row>
    <row r="2410">
      <c r="B2410" s="30" t="n"/>
    </row>
    <row r="2411">
      <c r="B2411" s="30" t="n"/>
    </row>
    <row r="2412">
      <c r="B2412" s="30" t="n"/>
    </row>
    <row r="2413">
      <c r="B2413" s="30" t="n"/>
    </row>
    <row r="2414">
      <c r="B2414" s="30" t="n"/>
    </row>
    <row r="2415">
      <c r="B2415" s="30" t="n"/>
    </row>
    <row r="2416">
      <c r="B2416" s="30" t="n"/>
    </row>
    <row r="2417">
      <c r="B2417" s="30" t="n"/>
    </row>
    <row r="2418">
      <c r="B2418" s="30" t="n"/>
    </row>
    <row r="2419">
      <c r="B2419" s="30" t="n"/>
    </row>
    <row r="2420">
      <c r="B2420" s="30" t="n"/>
    </row>
    <row r="2421">
      <c r="B2421" s="30" t="n"/>
    </row>
    <row r="2422">
      <c r="B2422" s="30" t="n"/>
    </row>
    <row r="2423">
      <c r="B2423" s="30" t="n"/>
    </row>
    <row r="2424">
      <c r="B2424" s="30" t="n"/>
    </row>
    <row r="2425">
      <c r="B2425" s="30" t="n"/>
    </row>
    <row r="2426">
      <c r="B2426" s="30" t="n"/>
    </row>
    <row r="2427">
      <c r="B2427" s="30" t="n"/>
    </row>
    <row r="2428">
      <c r="B2428" s="30" t="n"/>
    </row>
    <row r="2429">
      <c r="B2429" s="30" t="n"/>
    </row>
    <row r="2430">
      <c r="B2430" s="30" t="n"/>
    </row>
    <row r="2431">
      <c r="B2431" s="30" t="n"/>
    </row>
    <row r="2432">
      <c r="B2432" s="30" t="n"/>
    </row>
    <row r="2433">
      <c r="B2433" s="30" t="n"/>
    </row>
    <row r="2434">
      <c r="B2434" s="30" t="n"/>
    </row>
    <row r="2435">
      <c r="B2435" s="30" t="n"/>
    </row>
    <row r="2436">
      <c r="B2436" s="30" t="n"/>
    </row>
    <row r="2437">
      <c r="B2437" s="30" t="n"/>
    </row>
    <row r="2438">
      <c r="B2438" s="30" t="n"/>
    </row>
    <row r="2439">
      <c r="B2439" s="30" t="n"/>
    </row>
    <row r="2440">
      <c r="B2440" s="30" t="n"/>
    </row>
    <row r="2441">
      <c r="B2441" s="30" t="n"/>
    </row>
    <row r="2442">
      <c r="B2442" s="30" t="n"/>
    </row>
    <row r="2443">
      <c r="B2443" s="30" t="n"/>
    </row>
    <row r="2444">
      <c r="B2444" s="30" t="n"/>
    </row>
    <row r="2445">
      <c r="B2445" s="30" t="n"/>
    </row>
    <row r="2446">
      <c r="B2446" s="30" t="n"/>
    </row>
    <row r="2447">
      <c r="B2447" s="30" t="n"/>
    </row>
    <row r="2448">
      <c r="B2448" s="30" t="n"/>
    </row>
    <row r="2449">
      <c r="B2449" s="30" t="n"/>
    </row>
    <row r="2450">
      <c r="B2450" s="30" t="n"/>
    </row>
    <row r="2451">
      <c r="B2451" s="30" t="n"/>
    </row>
    <row r="2452">
      <c r="B2452" s="30" t="n"/>
    </row>
    <row r="2453">
      <c r="B2453" s="30" t="n"/>
    </row>
    <row r="2454">
      <c r="B2454" s="30" t="n"/>
    </row>
    <row r="2455">
      <c r="B2455" s="30" t="n"/>
    </row>
    <row r="2456">
      <c r="B2456" s="30" t="n"/>
    </row>
    <row r="2457">
      <c r="B2457" s="30" t="n"/>
    </row>
    <row r="2458">
      <c r="B2458" s="30" t="n"/>
    </row>
    <row r="2459">
      <c r="B2459" s="30" t="n"/>
    </row>
    <row r="2460">
      <c r="B2460" s="30" t="n"/>
    </row>
    <row r="2461">
      <c r="B2461" s="30" t="n"/>
    </row>
    <row r="2462">
      <c r="B2462" s="30" t="n"/>
    </row>
    <row r="2463">
      <c r="B2463" s="30" t="n"/>
    </row>
    <row r="2464">
      <c r="B2464" s="30" t="n"/>
    </row>
    <row r="2465">
      <c r="B2465" s="30" t="n"/>
    </row>
    <row r="2466">
      <c r="B2466" s="30" t="n"/>
    </row>
    <row r="2467">
      <c r="B2467" s="30" t="n"/>
    </row>
    <row r="2468">
      <c r="B2468" s="30" t="n"/>
    </row>
    <row r="2469">
      <c r="B2469" s="30" t="n"/>
    </row>
    <row r="2470">
      <c r="B2470" s="30" t="n"/>
    </row>
    <row r="2471">
      <c r="B2471" s="30" t="n"/>
    </row>
    <row r="2472">
      <c r="B2472" s="30" t="n"/>
    </row>
    <row r="2473">
      <c r="B2473" s="30" t="n"/>
    </row>
    <row r="2474">
      <c r="B2474" s="30" t="n"/>
    </row>
    <row r="2475">
      <c r="B2475" s="30" t="n"/>
    </row>
    <row r="2476">
      <c r="B2476" s="30" t="n"/>
    </row>
    <row r="2477">
      <c r="B2477" s="30" t="n"/>
    </row>
    <row r="2478">
      <c r="B2478" s="30" t="n"/>
    </row>
    <row r="2479">
      <c r="B2479" s="30" t="n"/>
    </row>
    <row r="2480">
      <c r="B2480" s="30" t="n"/>
    </row>
    <row r="2481">
      <c r="B2481" s="30" t="n"/>
    </row>
    <row r="2482">
      <c r="B2482" s="30" t="n"/>
    </row>
    <row r="2483">
      <c r="B2483" s="30" t="n"/>
    </row>
    <row r="2484">
      <c r="B2484" s="30" t="n"/>
    </row>
    <row r="2485">
      <c r="B2485" s="30" t="n"/>
    </row>
    <row r="2486">
      <c r="B2486" s="30" t="n"/>
    </row>
    <row r="2487">
      <c r="B2487" s="30" t="n"/>
    </row>
    <row r="2488">
      <c r="B2488" s="30" t="n"/>
    </row>
    <row r="2489">
      <c r="B2489" s="30" t="n"/>
    </row>
    <row r="2490">
      <c r="B2490" s="30" t="n"/>
    </row>
    <row r="2491">
      <c r="B2491" s="30" t="n"/>
    </row>
    <row r="2492">
      <c r="B2492" s="30" t="n"/>
    </row>
    <row r="2493">
      <c r="B2493" s="30" t="n"/>
    </row>
    <row r="2494">
      <c r="B2494" s="30" t="n"/>
    </row>
    <row r="2495">
      <c r="B2495" s="30" t="n"/>
    </row>
    <row r="2496">
      <c r="B2496" s="30" t="n"/>
    </row>
    <row r="2497">
      <c r="B2497" s="30" t="n"/>
    </row>
    <row r="2498">
      <c r="B2498" s="30" t="n"/>
    </row>
    <row r="2499">
      <c r="B2499" s="30" t="n"/>
    </row>
    <row r="2500">
      <c r="B2500" s="30" t="n"/>
    </row>
    <row r="2501">
      <c r="B2501" s="30" t="n"/>
    </row>
    <row r="2502">
      <c r="B2502" s="30" t="n"/>
    </row>
    <row r="2503">
      <c r="B2503" s="30" t="n"/>
    </row>
    <row r="2504">
      <c r="B2504" s="30" t="n"/>
    </row>
    <row r="2505">
      <c r="B2505" s="30" t="n"/>
    </row>
    <row r="2506">
      <c r="B2506" s="30" t="n"/>
    </row>
    <row r="2507">
      <c r="B2507" s="30" t="n"/>
    </row>
    <row r="2508">
      <c r="B2508" s="30" t="n"/>
    </row>
    <row r="2509">
      <c r="B2509" s="30" t="n"/>
    </row>
    <row r="2510">
      <c r="B2510" s="30" t="n"/>
    </row>
    <row r="2511">
      <c r="B2511" s="30" t="n"/>
    </row>
    <row r="2512">
      <c r="B2512" s="30" t="n"/>
    </row>
    <row r="2513">
      <c r="B2513" s="30" t="n"/>
    </row>
    <row r="2514">
      <c r="B2514" s="30" t="n"/>
    </row>
    <row r="2515">
      <c r="B2515" s="30" t="n"/>
    </row>
    <row r="2516">
      <c r="B2516" s="30" t="n"/>
    </row>
    <row r="2517">
      <c r="B2517" s="30" t="n"/>
    </row>
    <row r="2518">
      <c r="B2518" s="30" t="n"/>
    </row>
    <row r="2519">
      <c r="B2519" s="30" t="n"/>
    </row>
    <row r="2520">
      <c r="B2520" s="30" t="n"/>
    </row>
    <row r="2521">
      <c r="B2521" s="30" t="n"/>
    </row>
    <row r="2522">
      <c r="B2522" s="30" t="n"/>
    </row>
    <row r="2523">
      <c r="B2523" s="30" t="n"/>
    </row>
    <row r="2524">
      <c r="B2524" s="30" t="n"/>
    </row>
    <row r="2525">
      <c r="B2525" s="30" t="n"/>
    </row>
    <row r="2526">
      <c r="B2526" s="30" t="n"/>
    </row>
    <row r="2527">
      <c r="B2527" s="30" t="n"/>
    </row>
    <row r="2528">
      <c r="B2528" s="30" t="n"/>
    </row>
    <row r="2529">
      <c r="B2529" s="30" t="n"/>
    </row>
    <row r="2530">
      <c r="B2530" s="30" t="n"/>
    </row>
    <row r="2531">
      <c r="B2531" s="30" t="n"/>
    </row>
    <row r="2532">
      <c r="B2532" s="30" t="n"/>
    </row>
    <row r="2533">
      <c r="B2533" s="30" t="n"/>
    </row>
    <row r="2534">
      <c r="B2534" s="30" t="n"/>
    </row>
    <row r="2535">
      <c r="B2535" s="30" t="n"/>
    </row>
    <row r="2536">
      <c r="B2536" s="30" t="n"/>
    </row>
    <row r="2537">
      <c r="B2537" s="30" t="n"/>
    </row>
    <row r="2538">
      <c r="B2538" s="30" t="n"/>
    </row>
    <row r="2539">
      <c r="B2539" s="30" t="n"/>
    </row>
    <row r="2540">
      <c r="B2540" s="30" t="n"/>
    </row>
    <row r="2541">
      <c r="B2541" s="30" t="n"/>
    </row>
    <row r="2542">
      <c r="B2542" s="30" t="n"/>
    </row>
    <row r="2543">
      <c r="B2543" s="30" t="n"/>
    </row>
    <row r="2544">
      <c r="B2544" s="30" t="n"/>
    </row>
    <row r="2545">
      <c r="B2545" s="30" t="n"/>
    </row>
    <row r="2546">
      <c r="B2546" s="30" t="n"/>
    </row>
    <row r="2547">
      <c r="B2547" s="30" t="n"/>
    </row>
    <row r="2548">
      <c r="B2548" s="30" t="n"/>
    </row>
    <row r="2549">
      <c r="B2549" s="30" t="n"/>
    </row>
    <row r="2550">
      <c r="B2550" s="30" t="n"/>
    </row>
    <row r="2551">
      <c r="B2551" s="30" t="n"/>
    </row>
    <row r="2552">
      <c r="B2552" s="30" t="n"/>
    </row>
    <row r="2553">
      <c r="B2553" s="30" t="n"/>
    </row>
    <row r="2554">
      <c r="B2554" s="30" t="n"/>
    </row>
    <row r="2555">
      <c r="B2555" s="30" t="n"/>
    </row>
    <row r="2556">
      <c r="B2556" s="30" t="n"/>
    </row>
    <row r="2557">
      <c r="B2557" s="30" t="n"/>
    </row>
    <row r="2558">
      <c r="B2558" s="30" t="n"/>
    </row>
    <row r="2559">
      <c r="B2559" s="30" t="n"/>
    </row>
    <row r="2560">
      <c r="B2560" s="30" t="n"/>
    </row>
    <row r="2561">
      <c r="B2561" s="30" t="n"/>
    </row>
    <row r="2562">
      <c r="B2562" s="30" t="n"/>
    </row>
    <row r="2563">
      <c r="B2563" s="30" t="n"/>
    </row>
    <row r="2564">
      <c r="B2564" s="30" t="n"/>
    </row>
    <row r="2565">
      <c r="B2565" s="30" t="n"/>
    </row>
    <row r="2566">
      <c r="B2566" s="30" t="n"/>
    </row>
    <row r="2567">
      <c r="B2567" s="30" t="n"/>
    </row>
    <row r="2568">
      <c r="B2568" s="30" t="n"/>
    </row>
    <row r="2569">
      <c r="B2569" s="30" t="n"/>
    </row>
    <row r="2570">
      <c r="B2570" s="30" t="n"/>
    </row>
    <row r="2571">
      <c r="B2571" s="30" t="n"/>
    </row>
    <row r="2572">
      <c r="B2572" s="30" t="n"/>
    </row>
    <row r="2573">
      <c r="B2573" s="30" t="n"/>
    </row>
    <row r="2574">
      <c r="B2574" s="30" t="n"/>
    </row>
    <row r="2575">
      <c r="B2575" s="30" t="n"/>
    </row>
    <row r="2576">
      <c r="B2576" s="30" t="n"/>
    </row>
    <row r="2577">
      <c r="B2577" s="30" t="n"/>
    </row>
    <row r="2578">
      <c r="B2578" s="30" t="n"/>
    </row>
    <row r="2579">
      <c r="B2579" s="30" t="n"/>
    </row>
    <row r="2580">
      <c r="B2580" s="30" t="n"/>
    </row>
    <row r="2581">
      <c r="B2581" s="30" t="n"/>
    </row>
    <row r="2582">
      <c r="B2582" s="30" t="n"/>
    </row>
    <row r="2583">
      <c r="B2583" s="30" t="n"/>
    </row>
    <row r="2584">
      <c r="B2584" s="30" t="n"/>
    </row>
    <row r="2585">
      <c r="B2585" s="30" t="n"/>
    </row>
    <row r="2586">
      <c r="B2586" s="30" t="n"/>
    </row>
    <row r="2587">
      <c r="B2587" s="30" t="n"/>
    </row>
    <row r="2588">
      <c r="B2588" s="30" t="n"/>
    </row>
    <row r="2589">
      <c r="B2589" s="30" t="n"/>
    </row>
    <row r="2590">
      <c r="B2590" s="30" t="n"/>
    </row>
    <row r="2591">
      <c r="B2591" s="30" t="n"/>
    </row>
    <row r="2592">
      <c r="B2592" s="30" t="n"/>
    </row>
    <row r="2593">
      <c r="B2593" s="30" t="n"/>
    </row>
    <row r="2594">
      <c r="B2594" s="30" t="n"/>
    </row>
    <row r="2595">
      <c r="B2595" s="30" t="n"/>
    </row>
    <row r="2596">
      <c r="B2596" s="30" t="n"/>
    </row>
    <row r="2597">
      <c r="B2597" s="30" t="n"/>
    </row>
    <row r="2598">
      <c r="B2598" s="30" t="n"/>
    </row>
    <row r="2599">
      <c r="B2599" s="30" t="n"/>
    </row>
    <row r="2600">
      <c r="B2600" s="30" t="n"/>
    </row>
    <row r="2601">
      <c r="B2601" s="30" t="n"/>
    </row>
    <row r="2602">
      <c r="B2602" s="30" t="n"/>
    </row>
    <row r="2603">
      <c r="B2603" s="30" t="n"/>
    </row>
    <row r="2604">
      <c r="B2604" s="30" t="n"/>
    </row>
    <row r="2605">
      <c r="B2605" s="30" t="n"/>
    </row>
    <row r="2606">
      <c r="B2606" s="30" t="n"/>
    </row>
    <row r="2607">
      <c r="B2607" s="30" t="n"/>
    </row>
    <row r="2608">
      <c r="B2608" s="30" t="n"/>
    </row>
    <row r="2609">
      <c r="B2609" s="30" t="n"/>
    </row>
    <row r="2610">
      <c r="B2610" s="30" t="n"/>
    </row>
    <row r="2611">
      <c r="B2611" s="30" t="n"/>
    </row>
    <row r="2612">
      <c r="B2612" s="30" t="n"/>
    </row>
    <row r="2613">
      <c r="B2613" s="30" t="n"/>
    </row>
    <row r="2614">
      <c r="B2614" s="30" t="n"/>
    </row>
    <row r="2615">
      <c r="B2615" s="30" t="n"/>
    </row>
    <row r="2616">
      <c r="B2616" s="30" t="n"/>
    </row>
    <row r="2617">
      <c r="B2617" s="30" t="n"/>
    </row>
    <row r="2618">
      <c r="B2618" s="30" t="n"/>
    </row>
    <row r="2619">
      <c r="B2619" s="30" t="n"/>
    </row>
    <row r="2620">
      <c r="B2620" s="30" t="n"/>
    </row>
    <row r="2621">
      <c r="B2621" s="30" t="n"/>
    </row>
    <row r="2622">
      <c r="B2622" s="30" t="n"/>
    </row>
    <row r="2623">
      <c r="B2623" s="30" t="n"/>
    </row>
    <row r="2624">
      <c r="B2624" s="30" t="n"/>
    </row>
    <row r="2625">
      <c r="B2625" s="30" t="n"/>
    </row>
    <row r="2626">
      <c r="B2626" s="30" t="n"/>
    </row>
    <row r="2627">
      <c r="B2627" s="30" t="n"/>
    </row>
    <row r="2628">
      <c r="B2628" s="30" t="n"/>
    </row>
    <row r="2629">
      <c r="B2629" s="30" t="n"/>
    </row>
    <row r="2630">
      <c r="B2630" s="30" t="n"/>
    </row>
    <row r="2631">
      <c r="B2631" s="30" t="n"/>
    </row>
    <row r="2632">
      <c r="B2632" s="30" t="n"/>
    </row>
    <row r="2633">
      <c r="B2633" s="30" t="n"/>
    </row>
    <row r="2634">
      <c r="B2634" s="30" t="n"/>
    </row>
    <row r="2635">
      <c r="B2635" s="30" t="n"/>
    </row>
    <row r="2636">
      <c r="B2636" s="30" t="n"/>
    </row>
    <row r="2637">
      <c r="B2637" s="30" t="n"/>
    </row>
    <row r="2638">
      <c r="B2638" s="30" t="n"/>
    </row>
    <row r="2639">
      <c r="B2639" s="30" t="n"/>
    </row>
    <row r="2640">
      <c r="B2640" s="30" t="n"/>
    </row>
    <row r="2641">
      <c r="B2641" s="30" t="n"/>
    </row>
    <row r="2642">
      <c r="B2642" s="30" t="n"/>
    </row>
    <row r="2643">
      <c r="B2643" s="30" t="n"/>
    </row>
    <row r="2644">
      <c r="B2644" s="30" t="n"/>
    </row>
    <row r="2645">
      <c r="B2645" s="30" t="n"/>
    </row>
    <row r="2646">
      <c r="B2646" s="30" t="n"/>
    </row>
    <row r="2647">
      <c r="B2647" s="30" t="n"/>
    </row>
    <row r="2648">
      <c r="B2648" s="30" t="n"/>
    </row>
    <row r="2649">
      <c r="B2649" s="30" t="n"/>
    </row>
    <row r="2650">
      <c r="B2650" s="30" t="n"/>
    </row>
    <row r="2651">
      <c r="B2651" s="30" t="n"/>
    </row>
    <row r="2652">
      <c r="B2652" s="30" t="n"/>
    </row>
    <row r="2653">
      <c r="B2653" s="30" t="n"/>
    </row>
    <row r="2654">
      <c r="B2654" s="30" t="n"/>
    </row>
    <row r="2655">
      <c r="B2655" s="30" t="n"/>
    </row>
    <row r="2656">
      <c r="B2656" s="30" t="n"/>
    </row>
    <row r="2657">
      <c r="B2657" s="30" t="n"/>
    </row>
    <row r="2658">
      <c r="B2658" s="30" t="n"/>
    </row>
    <row r="2659">
      <c r="B2659" s="30" t="n"/>
    </row>
    <row r="2660">
      <c r="B2660" s="30" t="n"/>
    </row>
    <row r="2661">
      <c r="B2661" s="30" t="n"/>
    </row>
    <row r="2662">
      <c r="B2662" s="30" t="n"/>
    </row>
    <row r="2663">
      <c r="B2663" s="30" t="n"/>
    </row>
    <row r="2664">
      <c r="B2664" s="30" t="n"/>
    </row>
    <row r="2665">
      <c r="B2665" s="30" t="n"/>
    </row>
    <row r="2666">
      <c r="B2666" s="30" t="n"/>
    </row>
    <row r="2667">
      <c r="B2667" s="30" t="n"/>
    </row>
    <row r="2668">
      <c r="B2668" s="30" t="n"/>
    </row>
    <row r="2669">
      <c r="B2669" s="30" t="n"/>
    </row>
    <row r="2670">
      <c r="B2670" s="30" t="n"/>
    </row>
    <row r="2671">
      <c r="B2671" s="30" t="n"/>
    </row>
    <row r="2672">
      <c r="B2672" s="30" t="n"/>
    </row>
    <row r="2673">
      <c r="B2673" s="30" t="n"/>
    </row>
    <row r="2674">
      <c r="B2674" s="30" t="n"/>
    </row>
    <row r="2675">
      <c r="B2675" s="30" t="n"/>
    </row>
    <row r="2676">
      <c r="B2676" s="30" t="n"/>
    </row>
    <row r="2677">
      <c r="B2677" s="30" t="n"/>
    </row>
    <row r="2678">
      <c r="B2678" s="30" t="n"/>
    </row>
    <row r="2679">
      <c r="B2679" s="30" t="n"/>
    </row>
    <row r="2680">
      <c r="B2680" s="30" t="n"/>
    </row>
    <row r="2681">
      <c r="B2681" s="30" t="n"/>
    </row>
    <row r="2682">
      <c r="B2682" s="30" t="n"/>
    </row>
    <row r="2683">
      <c r="B2683" s="30" t="n"/>
    </row>
    <row r="2684">
      <c r="B2684" s="30" t="n"/>
    </row>
    <row r="2685">
      <c r="B2685" s="30" t="n"/>
    </row>
    <row r="2686">
      <c r="B2686" s="30" t="n"/>
    </row>
    <row r="2687">
      <c r="B2687" s="30" t="n"/>
    </row>
    <row r="2688">
      <c r="B2688" s="30" t="n"/>
    </row>
    <row r="2689">
      <c r="B2689" s="30" t="n"/>
    </row>
    <row r="2690">
      <c r="B2690" s="30" t="n"/>
    </row>
    <row r="2691">
      <c r="B2691" s="30" t="n"/>
    </row>
    <row r="2692">
      <c r="B2692" s="30" t="n"/>
    </row>
    <row r="2693">
      <c r="B2693" s="30" t="n"/>
    </row>
    <row r="2694">
      <c r="B2694" s="30" t="n"/>
    </row>
    <row r="2695">
      <c r="B2695" s="30" t="n"/>
    </row>
    <row r="2696">
      <c r="B2696" s="30" t="n"/>
    </row>
    <row r="2697">
      <c r="B2697" s="30" t="n"/>
    </row>
    <row r="2698">
      <c r="B2698" s="30" t="n"/>
    </row>
    <row r="2699">
      <c r="B2699" s="30" t="n"/>
    </row>
    <row r="2700">
      <c r="B2700" s="30" t="n"/>
    </row>
    <row r="2701">
      <c r="B2701" s="30" t="n"/>
    </row>
    <row r="2702">
      <c r="B2702" s="30" t="n"/>
    </row>
    <row r="2703">
      <c r="B2703" s="30" t="n"/>
    </row>
    <row r="2704">
      <c r="B2704" s="30" t="n"/>
    </row>
    <row r="2705">
      <c r="B2705" s="30" t="n"/>
    </row>
    <row r="2706">
      <c r="B2706" s="30" t="n"/>
    </row>
    <row r="2707">
      <c r="B2707" s="30" t="n"/>
    </row>
    <row r="2708">
      <c r="B2708" s="30" t="n"/>
    </row>
    <row r="2709">
      <c r="B2709" s="30" t="n"/>
    </row>
    <row r="2710">
      <c r="B2710" s="30" t="n"/>
    </row>
    <row r="2711">
      <c r="B2711" s="30" t="n"/>
    </row>
    <row r="2712">
      <c r="B2712" s="30" t="n"/>
    </row>
    <row r="2713">
      <c r="B2713" s="30" t="n"/>
    </row>
    <row r="2714">
      <c r="B2714" s="30" t="n"/>
    </row>
    <row r="2715">
      <c r="B2715" s="30" t="n"/>
    </row>
    <row r="2716">
      <c r="B2716" s="30" t="n"/>
    </row>
    <row r="2717">
      <c r="B2717" s="30" t="n"/>
    </row>
    <row r="2718">
      <c r="B2718" s="30" t="n"/>
    </row>
    <row r="2719">
      <c r="B2719" s="30" t="n"/>
    </row>
    <row r="2720">
      <c r="B2720" s="30" t="n"/>
    </row>
    <row r="2721">
      <c r="B2721" s="30" t="n"/>
    </row>
    <row r="2722">
      <c r="B2722" s="30" t="n"/>
    </row>
    <row r="2723">
      <c r="B2723" s="30" t="n"/>
    </row>
    <row r="2724">
      <c r="B2724" s="30" t="n"/>
    </row>
    <row r="2725">
      <c r="B2725" s="30" t="n"/>
    </row>
    <row r="2726">
      <c r="B2726" s="30" t="n"/>
    </row>
    <row r="2727">
      <c r="B2727" s="30" t="n"/>
    </row>
    <row r="2728">
      <c r="B2728" s="30" t="n"/>
    </row>
    <row r="2729">
      <c r="B2729" s="30" t="n"/>
    </row>
    <row r="2730">
      <c r="B2730" s="30" t="n"/>
    </row>
    <row r="2731">
      <c r="B2731" s="30" t="n"/>
    </row>
    <row r="2732">
      <c r="B2732" s="30" t="n"/>
    </row>
    <row r="2733">
      <c r="B2733" s="30" t="n"/>
    </row>
    <row r="2734">
      <c r="B2734" s="30" t="n"/>
    </row>
    <row r="2735">
      <c r="B2735" s="30" t="n"/>
    </row>
    <row r="2736">
      <c r="B2736" s="30" t="n"/>
    </row>
    <row r="2737">
      <c r="B2737" s="30" t="n"/>
    </row>
    <row r="2738">
      <c r="B2738" s="30" t="n"/>
    </row>
    <row r="2739">
      <c r="B2739" s="30" t="n"/>
    </row>
    <row r="2740">
      <c r="B2740" s="30" t="n"/>
    </row>
    <row r="2741">
      <c r="B2741" s="30" t="n"/>
    </row>
    <row r="2742">
      <c r="B2742" s="30" t="n"/>
    </row>
    <row r="2743">
      <c r="B2743" s="30" t="n"/>
    </row>
    <row r="2744">
      <c r="B2744" s="30" t="n"/>
    </row>
    <row r="2745">
      <c r="B2745" s="30" t="n"/>
    </row>
    <row r="2746">
      <c r="B2746" s="30" t="n"/>
    </row>
    <row r="2747">
      <c r="B2747" s="30" t="n"/>
    </row>
    <row r="2748">
      <c r="B2748" s="30" t="n"/>
    </row>
    <row r="2749">
      <c r="B2749" s="30" t="n"/>
    </row>
    <row r="2750">
      <c r="B2750" s="30" t="n"/>
    </row>
    <row r="2751">
      <c r="B2751" s="30" t="n"/>
    </row>
    <row r="2752">
      <c r="B2752" s="30" t="n"/>
    </row>
    <row r="2753">
      <c r="B2753" s="30" t="n"/>
    </row>
    <row r="2754">
      <c r="B2754" s="30" t="n"/>
    </row>
    <row r="2755">
      <c r="B2755" s="30" t="n"/>
    </row>
    <row r="2756">
      <c r="B2756" s="30" t="n"/>
    </row>
    <row r="2757">
      <c r="B2757" s="30" t="n"/>
    </row>
    <row r="2758">
      <c r="B2758" s="30" t="n"/>
    </row>
    <row r="2759">
      <c r="B2759" s="30" t="n"/>
    </row>
    <row r="2760">
      <c r="B2760" s="30" t="n"/>
    </row>
    <row r="2761">
      <c r="B2761" s="30" t="n"/>
    </row>
    <row r="2762">
      <c r="B2762" s="30" t="n"/>
    </row>
    <row r="2763">
      <c r="B2763" s="30" t="n"/>
    </row>
    <row r="2764">
      <c r="B2764" s="30" t="n"/>
    </row>
    <row r="2765">
      <c r="B2765" s="30" t="n"/>
    </row>
    <row r="2766">
      <c r="B2766" s="30" t="n"/>
    </row>
    <row r="2767">
      <c r="B2767" s="30" t="n"/>
    </row>
    <row r="2768">
      <c r="B2768" s="30" t="n"/>
    </row>
    <row r="2769">
      <c r="B2769" s="30" t="n"/>
    </row>
    <row r="2770">
      <c r="B2770" s="30" t="n"/>
    </row>
    <row r="2771">
      <c r="B2771" s="30" t="n"/>
    </row>
    <row r="2772">
      <c r="B2772" s="30" t="n"/>
    </row>
    <row r="2773">
      <c r="B2773" s="30" t="n"/>
    </row>
    <row r="2774">
      <c r="B2774" s="30" t="n"/>
    </row>
    <row r="2775">
      <c r="B2775" s="30" t="n"/>
    </row>
    <row r="2776">
      <c r="B2776" s="30" t="n"/>
    </row>
    <row r="2777">
      <c r="B2777" s="30" t="n"/>
    </row>
    <row r="2778">
      <c r="B2778" s="30" t="n"/>
    </row>
    <row r="2779">
      <c r="B2779" s="30" t="n"/>
    </row>
    <row r="2780">
      <c r="B2780" s="30" t="n"/>
    </row>
    <row r="2781">
      <c r="B2781" s="30" t="n"/>
    </row>
    <row r="2782">
      <c r="B2782" s="30" t="n"/>
    </row>
    <row r="2783">
      <c r="B2783" s="30" t="n"/>
    </row>
    <row r="2784">
      <c r="B2784" s="30" t="n"/>
    </row>
    <row r="2785">
      <c r="B2785" s="30" t="n"/>
    </row>
    <row r="2786">
      <c r="B2786" s="30" t="n"/>
    </row>
    <row r="2787">
      <c r="B2787" s="30" t="n"/>
    </row>
    <row r="2788">
      <c r="B2788" s="30" t="n"/>
    </row>
    <row r="2789">
      <c r="B2789" s="30" t="n"/>
    </row>
    <row r="2790">
      <c r="B2790" s="30" t="n"/>
    </row>
    <row r="2791">
      <c r="B2791" s="30" t="n"/>
    </row>
    <row r="2792">
      <c r="B2792" s="30" t="n"/>
    </row>
    <row r="2793">
      <c r="B2793" s="30" t="n"/>
    </row>
    <row r="2794">
      <c r="B2794" s="30" t="n"/>
    </row>
    <row r="2795">
      <c r="B2795" s="30" t="n"/>
    </row>
    <row r="2796">
      <c r="B2796" s="30" t="n"/>
    </row>
    <row r="2797">
      <c r="B2797" s="30" t="n"/>
    </row>
    <row r="2798">
      <c r="B2798" s="30" t="n"/>
    </row>
    <row r="2799">
      <c r="B2799" s="30" t="n"/>
    </row>
    <row r="2800">
      <c r="B2800" s="30" t="n"/>
    </row>
    <row r="2801">
      <c r="B2801" s="30" t="n"/>
    </row>
    <row r="2802">
      <c r="B2802" s="30" t="n"/>
    </row>
    <row r="2803">
      <c r="B2803" s="30" t="n"/>
    </row>
    <row r="2804">
      <c r="B2804" s="30" t="n"/>
    </row>
    <row r="2805">
      <c r="B2805" s="30" t="n"/>
    </row>
    <row r="2806">
      <c r="B2806" s="30" t="n"/>
    </row>
    <row r="2807">
      <c r="B2807" s="30" t="n"/>
    </row>
    <row r="2808">
      <c r="B2808" s="30" t="n"/>
    </row>
    <row r="2809">
      <c r="B2809" s="30" t="n"/>
    </row>
    <row r="2810">
      <c r="B2810" s="30" t="n"/>
    </row>
    <row r="2811">
      <c r="B2811" s="30" t="n"/>
    </row>
    <row r="2812">
      <c r="B2812" s="30" t="n"/>
    </row>
    <row r="2813">
      <c r="B2813" s="30" t="n"/>
    </row>
    <row r="2814">
      <c r="B2814" s="30" t="n"/>
    </row>
    <row r="2815">
      <c r="B2815" s="30" t="n"/>
    </row>
    <row r="2816">
      <c r="B2816" s="30" t="n"/>
    </row>
    <row r="2817">
      <c r="B2817" s="30" t="n"/>
    </row>
    <row r="2818">
      <c r="B2818" s="30" t="n"/>
    </row>
    <row r="2819">
      <c r="B2819" s="30" t="n"/>
    </row>
    <row r="2820">
      <c r="B2820" s="30" t="n"/>
    </row>
    <row r="2821">
      <c r="B2821" s="30" t="n"/>
    </row>
    <row r="2822">
      <c r="B2822" s="30" t="n"/>
    </row>
    <row r="2823">
      <c r="B2823" s="30" t="n"/>
    </row>
    <row r="2824">
      <c r="B2824" s="30" t="n"/>
    </row>
    <row r="2825">
      <c r="B2825" s="30" t="n"/>
    </row>
    <row r="2826">
      <c r="B2826" s="30" t="n"/>
    </row>
    <row r="2827">
      <c r="B2827" s="30" t="n"/>
    </row>
    <row r="2828">
      <c r="B2828" s="30" t="n"/>
    </row>
    <row r="2829">
      <c r="B2829" s="30" t="n"/>
    </row>
    <row r="2830">
      <c r="B2830" s="30" t="n"/>
    </row>
    <row r="2831">
      <c r="B2831" s="30" t="n"/>
    </row>
    <row r="2832">
      <c r="B2832" s="30" t="n"/>
    </row>
    <row r="2833">
      <c r="B2833" s="30" t="n"/>
    </row>
    <row r="2834">
      <c r="B2834" s="30" t="n"/>
    </row>
    <row r="2835">
      <c r="B2835" s="30" t="n"/>
    </row>
    <row r="2836">
      <c r="B2836" s="30" t="n"/>
    </row>
    <row r="2837">
      <c r="B2837" s="30" t="n"/>
    </row>
    <row r="2838">
      <c r="B2838" s="30" t="n"/>
    </row>
    <row r="2839">
      <c r="B2839" s="30" t="n"/>
    </row>
    <row r="2840">
      <c r="B2840" s="30" t="n"/>
    </row>
    <row r="2841">
      <c r="B2841" s="30" t="n"/>
    </row>
    <row r="2842">
      <c r="B2842" s="30" t="n"/>
    </row>
    <row r="2843">
      <c r="B2843" s="30" t="n"/>
    </row>
    <row r="2844">
      <c r="B2844" s="30" t="n"/>
    </row>
    <row r="2845">
      <c r="B2845" s="30" t="n"/>
    </row>
    <row r="2846">
      <c r="B2846" s="30" t="n"/>
    </row>
    <row r="2847">
      <c r="B2847" s="30" t="n"/>
    </row>
    <row r="2848">
      <c r="B2848" s="30" t="n"/>
    </row>
    <row r="2849">
      <c r="B2849" s="30" t="n"/>
    </row>
    <row r="2850">
      <c r="B2850" s="30" t="n"/>
    </row>
    <row r="2851">
      <c r="B2851" s="30" t="n"/>
    </row>
    <row r="2852">
      <c r="B2852" s="30" t="n"/>
    </row>
    <row r="2853">
      <c r="B2853" s="30" t="n"/>
    </row>
    <row r="2854">
      <c r="B2854" s="30" t="n"/>
    </row>
    <row r="2855">
      <c r="B2855" s="30" t="n"/>
    </row>
    <row r="2856">
      <c r="B2856" s="30" t="n"/>
    </row>
    <row r="2857">
      <c r="B2857" s="30" t="n"/>
    </row>
    <row r="2858">
      <c r="B2858" s="30" t="n"/>
    </row>
    <row r="2859">
      <c r="B2859" s="30" t="n"/>
    </row>
    <row r="2860">
      <c r="B2860" s="30" t="n"/>
    </row>
    <row r="2861">
      <c r="B2861" s="30" t="n"/>
    </row>
    <row r="2862">
      <c r="B2862" s="30" t="n"/>
    </row>
    <row r="2863">
      <c r="B2863" s="30" t="n"/>
    </row>
    <row r="2864">
      <c r="B2864" s="30" t="n"/>
    </row>
    <row r="2865">
      <c r="B2865" s="30" t="n"/>
    </row>
    <row r="2866">
      <c r="B2866" s="30" t="n"/>
    </row>
    <row r="2867">
      <c r="B2867" s="30" t="n"/>
    </row>
    <row r="2868">
      <c r="B2868" s="30" t="n"/>
    </row>
    <row r="2869">
      <c r="B2869" s="30" t="n"/>
    </row>
    <row r="2870">
      <c r="B2870" s="30" t="n"/>
    </row>
    <row r="2871">
      <c r="B2871" s="30" t="n"/>
    </row>
    <row r="2872">
      <c r="B2872" s="30" t="n"/>
    </row>
    <row r="2873">
      <c r="B2873" s="30" t="n"/>
    </row>
    <row r="2874">
      <c r="B2874" s="30" t="n"/>
    </row>
    <row r="2875">
      <c r="B2875" s="30" t="n"/>
    </row>
    <row r="2876">
      <c r="B2876" s="30" t="n"/>
    </row>
    <row r="2877">
      <c r="B2877" s="30" t="n"/>
    </row>
    <row r="2878">
      <c r="B2878" s="30" t="n"/>
    </row>
    <row r="2879">
      <c r="B2879" s="30" t="n"/>
    </row>
    <row r="2880">
      <c r="B2880" s="30" t="n"/>
    </row>
    <row r="2881">
      <c r="B2881" s="30" t="n"/>
    </row>
    <row r="2882">
      <c r="B2882" s="30" t="n"/>
    </row>
    <row r="2883">
      <c r="B2883" s="30" t="n"/>
    </row>
    <row r="2884">
      <c r="B2884" s="30" t="n"/>
    </row>
    <row r="2885">
      <c r="B2885" s="30" t="n"/>
    </row>
    <row r="2886">
      <c r="B2886" s="30" t="n"/>
    </row>
    <row r="2887">
      <c r="B2887" s="30" t="n"/>
    </row>
    <row r="2888">
      <c r="B2888" s="30" t="n"/>
    </row>
    <row r="2889">
      <c r="B2889" s="30" t="n"/>
    </row>
    <row r="2890">
      <c r="B2890" s="30" t="n"/>
    </row>
    <row r="2891">
      <c r="B2891" s="30" t="n"/>
    </row>
    <row r="2892">
      <c r="B2892" s="30" t="n"/>
    </row>
    <row r="2893">
      <c r="B2893" s="30" t="n"/>
    </row>
    <row r="2894">
      <c r="B2894" s="30" t="n"/>
    </row>
    <row r="2895">
      <c r="B2895" s="30" t="n"/>
    </row>
    <row r="2896">
      <c r="B2896" s="30" t="n"/>
    </row>
    <row r="2897">
      <c r="B2897" s="30" t="n"/>
    </row>
    <row r="2898">
      <c r="B2898" s="30" t="n"/>
    </row>
    <row r="2899">
      <c r="B2899" s="30" t="n"/>
    </row>
    <row r="2900">
      <c r="B2900" s="30" t="n"/>
    </row>
    <row r="2901">
      <c r="B2901" s="30" t="n"/>
    </row>
    <row r="2902">
      <c r="B2902" s="30" t="n"/>
    </row>
    <row r="2903">
      <c r="B2903" s="30" t="n"/>
    </row>
    <row r="2904">
      <c r="B2904" s="30" t="n"/>
    </row>
    <row r="2905">
      <c r="B2905" s="30" t="n"/>
    </row>
    <row r="2906">
      <c r="B2906" s="30" t="n"/>
    </row>
    <row r="2907">
      <c r="B2907" s="30" t="n"/>
    </row>
    <row r="2908">
      <c r="B2908" s="30" t="n"/>
    </row>
    <row r="2909">
      <c r="B2909" s="30" t="n"/>
    </row>
    <row r="2910">
      <c r="B2910" s="30" t="n"/>
    </row>
    <row r="2911">
      <c r="B2911" s="30" t="n"/>
    </row>
    <row r="2912">
      <c r="B2912" s="30" t="n"/>
    </row>
    <row r="2913">
      <c r="B2913" s="30" t="n"/>
    </row>
    <row r="2914">
      <c r="B2914" s="30" t="n"/>
    </row>
    <row r="2915">
      <c r="B2915" s="30" t="n"/>
    </row>
    <row r="2916">
      <c r="B2916" s="30" t="n"/>
    </row>
    <row r="2917">
      <c r="B2917" s="30" t="n"/>
    </row>
    <row r="2918">
      <c r="B2918" s="30" t="n"/>
    </row>
    <row r="2919">
      <c r="B2919" s="30" t="n"/>
    </row>
    <row r="2920">
      <c r="B2920" s="30" t="n"/>
    </row>
    <row r="2921">
      <c r="B2921" s="30" t="n"/>
    </row>
    <row r="2922">
      <c r="B2922" s="30" t="n"/>
    </row>
    <row r="2923">
      <c r="B2923" s="30" t="n"/>
    </row>
    <row r="2924">
      <c r="B2924" s="30" t="n"/>
    </row>
    <row r="2925">
      <c r="B2925" s="30" t="n"/>
    </row>
    <row r="2926">
      <c r="B2926" s="30" t="n"/>
    </row>
    <row r="2927">
      <c r="B2927" s="30" t="n"/>
    </row>
    <row r="2928">
      <c r="B2928" s="30" t="n"/>
    </row>
    <row r="2929">
      <c r="B2929" s="30" t="n"/>
    </row>
    <row r="2930">
      <c r="B2930" s="30" t="n"/>
    </row>
    <row r="2931">
      <c r="B2931" s="30" t="n"/>
    </row>
    <row r="2932">
      <c r="B2932" s="30" t="n"/>
    </row>
    <row r="2933">
      <c r="B2933" s="30" t="n"/>
    </row>
    <row r="2934">
      <c r="B2934" s="30" t="n"/>
    </row>
    <row r="2935">
      <c r="B2935" s="30" t="n"/>
    </row>
    <row r="2936">
      <c r="B2936" s="30" t="n"/>
    </row>
    <row r="2937">
      <c r="B2937" s="30" t="n"/>
    </row>
    <row r="2938">
      <c r="B2938" s="30" t="n"/>
    </row>
    <row r="2939">
      <c r="B2939" s="30" t="n"/>
    </row>
    <row r="2940">
      <c r="B2940" s="30" t="n"/>
    </row>
    <row r="2941">
      <c r="B2941" s="30" t="n"/>
    </row>
    <row r="2942">
      <c r="B2942" s="30" t="n"/>
    </row>
    <row r="2943">
      <c r="B2943" s="30" t="n"/>
    </row>
    <row r="2944">
      <c r="B2944" s="30" t="n"/>
    </row>
    <row r="2945">
      <c r="B2945" s="30" t="n"/>
    </row>
    <row r="2946">
      <c r="B2946" s="30" t="n"/>
    </row>
    <row r="2947">
      <c r="B2947" s="30" t="n"/>
    </row>
    <row r="2948">
      <c r="B2948" s="30" t="n"/>
    </row>
    <row r="2949">
      <c r="B2949" s="30" t="n"/>
    </row>
    <row r="2950">
      <c r="B2950" s="30" t="n"/>
    </row>
    <row r="2951">
      <c r="B2951" s="30" t="n"/>
    </row>
    <row r="2952">
      <c r="B2952" s="30" t="n"/>
    </row>
    <row r="2953">
      <c r="B2953" s="30" t="n"/>
    </row>
    <row r="2954">
      <c r="B2954" s="30" t="n"/>
    </row>
    <row r="2955">
      <c r="B2955" s="30" t="n"/>
    </row>
    <row r="2956">
      <c r="B2956" s="30" t="n"/>
    </row>
    <row r="2957">
      <c r="B2957" s="30" t="n"/>
    </row>
    <row r="2958">
      <c r="B2958" s="30" t="n"/>
    </row>
    <row r="2959">
      <c r="B2959" s="30" t="n"/>
    </row>
    <row r="2960">
      <c r="B2960" s="30" t="n"/>
    </row>
    <row r="2961">
      <c r="B2961" s="30" t="n"/>
    </row>
    <row r="2962">
      <c r="B2962" s="30" t="n"/>
    </row>
    <row r="2963">
      <c r="B2963" s="30" t="n"/>
    </row>
    <row r="2964">
      <c r="B2964" s="30" t="n"/>
    </row>
    <row r="2965">
      <c r="B2965" s="30" t="n"/>
    </row>
    <row r="2966">
      <c r="B2966" s="30" t="n"/>
    </row>
    <row r="2967">
      <c r="B2967" s="30" t="n"/>
    </row>
    <row r="2968">
      <c r="B2968" s="30" t="n"/>
    </row>
    <row r="2969">
      <c r="B2969" s="30" t="n"/>
    </row>
    <row r="2970">
      <c r="B2970" s="30" t="n"/>
    </row>
    <row r="2971">
      <c r="B2971" s="30" t="n"/>
    </row>
    <row r="2972">
      <c r="B2972" s="30" t="n"/>
    </row>
    <row r="2973">
      <c r="B2973" s="30" t="n"/>
    </row>
    <row r="2974">
      <c r="B2974" s="30" t="n"/>
    </row>
    <row r="2975">
      <c r="B2975" s="30" t="n"/>
    </row>
    <row r="2976">
      <c r="B2976" s="30" t="n"/>
    </row>
    <row r="2977">
      <c r="B2977" s="30" t="n"/>
    </row>
    <row r="2978">
      <c r="B2978" s="30" t="n"/>
    </row>
    <row r="2979">
      <c r="B2979" s="30" t="n"/>
    </row>
    <row r="2980">
      <c r="B2980" s="30" t="n"/>
    </row>
    <row r="2981">
      <c r="B2981" s="30" t="n"/>
    </row>
    <row r="2982">
      <c r="B2982" s="30" t="n"/>
    </row>
    <row r="2983">
      <c r="B2983" s="30" t="n"/>
    </row>
    <row r="2984">
      <c r="B2984" s="30" t="n"/>
    </row>
    <row r="2985">
      <c r="B2985" s="30" t="n"/>
    </row>
    <row r="2986">
      <c r="B2986" s="30" t="n"/>
    </row>
    <row r="2987">
      <c r="B2987" s="30" t="n"/>
    </row>
    <row r="2988">
      <c r="B2988" s="30" t="n"/>
    </row>
    <row r="2989">
      <c r="B2989" s="30" t="n"/>
    </row>
    <row r="2990">
      <c r="B2990" s="30" t="n"/>
    </row>
    <row r="2991">
      <c r="B2991" s="30" t="n"/>
    </row>
    <row r="2992">
      <c r="B2992" s="30" t="n"/>
    </row>
    <row r="2993">
      <c r="B2993" s="30" t="n"/>
    </row>
    <row r="2994">
      <c r="B2994" s="30" t="n"/>
    </row>
    <row r="2995">
      <c r="B2995" s="30" t="n"/>
    </row>
    <row r="2996">
      <c r="B2996" s="30" t="n"/>
    </row>
    <row r="2997">
      <c r="B2997" s="30" t="n"/>
    </row>
    <row r="2998">
      <c r="B2998" s="30" t="n"/>
    </row>
    <row r="2999">
      <c r="B2999" s="30" t="n"/>
    </row>
    <row r="3000">
      <c r="B3000" s="30" t="n"/>
    </row>
    <row r="3001">
      <c r="B3001" s="30" t="n"/>
    </row>
    <row r="3002">
      <c r="B3002" s="30" t="n"/>
    </row>
    <row r="3003">
      <c r="B3003" s="30" t="n"/>
    </row>
    <row r="3004">
      <c r="B3004" s="30" t="n"/>
    </row>
    <row r="3005">
      <c r="B3005" s="30" t="n"/>
    </row>
    <row r="3006">
      <c r="B3006" s="30" t="n"/>
    </row>
    <row r="3007">
      <c r="B3007" s="30" t="n"/>
    </row>
    <row r="3008">
      <c r="B3008" s="30" t="n"/>
    </row>
    <row r="3009">
      <c r="B3009" s="30" t="n"/>
    </row>
    <row r="3010">
      <c r="B3010" s="30" t="n"/>
    </row>
    <row r="3011">
      <c r="B3011" s="30" t="n"/>
    </row>
    <row r="3012">
      <c r="B3012" s="30" t="n"/>
    </row>
    <row r="3013">
      <c r="B3013" s="30" t="n"/>
    </row>
    <row r="3014">
      <c r="B3014" s="30" t="n"/>
    </row>
    <row r="3015">
      <c r="B3015" s="30" t="n"/>
    </row>
    <row r="3016">
      <c r="B3016" s="30" t="n"/>
    </row>
    <row r="3017">
      <c r="B3017" s="30" t="n"/>
    </row>
    <row r="3018">
      <c r="B3018" s="30" t="n"/>
    </row>
    <row r="3019">
      <c r="B3019" s="30" t="n"/>
    </row>
    <row r="3020">
      <c r="B3020" s="30" t="n"/>
    </row>
    <row r="3021">
      <c r="B3021" s="30" t="n"/>
    </row>
    <row r="3022">
      <c r="B3022" s="30" t="n"/>
    </row>
    <row r="3023">
      <c r="B3023" s="30" t="n"/>
    </row>
    <row r="3024">
      <c r="B3024" s="30" t="n"/>
    </row>
    <row r="3025">
      <c r="B3025" s="30" t="n"/>
    </row>
    <row r="3026">
      <c r="B3026" s="30" t="n"/>
    </row>
    <row r="3027">
      <c r="B3027" s="30" t="n"/>
    </row>
    <row r="3028">
      <c r="B3028" s="30" t="n"/>
    </row>
    <row r="3029">
      <c r="B3029" s="30" t="n"/>
    </row>
    <row r="3030">
      <c r="B3030" s="30" t="n"/>
    </row>
    <row r="3031">
      <c r="B3031" s="30" t="n"/>
    </row>
    <row r="3032">
      <c r="B3032" s="30" t="n"/>
    </row>
    <row r="3033">
      <c r="B3033" s="30" t="n"/>
    </row>
    <row r="3034">
      <c r="B3034" s="30" t="n"/>
    </row>
    <row r="3035">
      <c r="B3035" s="30" t="n"/>
    </row>
    <row r="3036">
      <c r="B3036" s="30" t="n"/>
    </row>
    <row r="3037">
      <c r="B3037" s="30" t="n"/>
    </row>
    <row r="3038">
      <c r="B3038" s="30" t="n"/>
    </row>
    <row r="3039">
      <c r="B3039" s="30" t="n"/>
    </row>
    <row r="3040">
      <c r="B3040" s="30" t="n"/>
    </row>
    <row r="3041">
      <c r="B3041" s="30" t="n"/>
    </row>
    <row r="3042">
      <c r="B3042" s="30" t="n"/>
    </row>
    <row r="3043">
      <c r="B3043" s="30" t="n"/>
    </row>
    <row r="3044">
      <c r="B3044" s="30" t="n"/>
    </row>
    <row r="3045">
      <c r="B3045" s="30" t="n"/>
    </row>
    <row r="3046">
      <c r="B3046" s="30" t="n"/>
    </row>
    <row r="3047">
      <c r="B3047" s="30" t="n"/>
    </row>
    <row r="3048">
      <c r="B3048" s="30" t="n"/>
    </row>
    <row r="3049">
      <c r="B3049" s="30" t="n"/>
    </row>
    <row r="3050">
      <c r="B3050" s="30" t="n"/>
    </row>
    <row r="3051">
      <c r="B3051" s="30" t="n"/>
    </row>
    <row r="3052">
      <c r="B3052" s="30" t="n"/>
    </row>
    <row r="3053">
      <c r="B3053" s="30" t="n"/>
    </row>
    <row r="3054">
      <c r="B3054" s="30" t="n"/>
    </row>
    <row r="3055">
      <c r="B3055" s="30" t="n"/>
    </row>
    <row r="3056">
      <c r="B3056" s="30" t="n"/>
    </row>
    <row r="3057">
      <c r="B3057" s="30" t="n"/>
    </row>
    <row r="3058">
      <c r="B3058" s="30" t="n"/>
    </row>
    <row r="3059">
      <c r="B3059" s="30" t="n"/>
    </row>
    <row r="3060">
      <c r="B3060" s="30" t="n"/>
    </row>
    <row r="3061">
      <c r="B3061" s="30" t="n"/>
    </row>
    <row r="3062">
      <c r="B3062" s="30" t="n"/>
    </row>
    <row r="3063">
      <c r="B3063" s="30" t="n"/>
    </row>
    <row r="3064">
      <c r="B3064" s="30" t="n"/>
    </row>
    <row r="3065">
      <c r="B3065" s="30" t="n"/>
    </row>
    <row r="3066">
      <c r="B3066" s="30" t="n"/>
    </row>
    <row r="3067">
      <c r="B3067" s="30" t="n"/>
    </row>
    <row r="3068">
      <c r="B3068" s="30" t="n"/>
    </row>
    <row r="3069">
      <c r="B3069" s="30" t="n"/>
    </row>
    <row r="3070">
      <c r="B3070" s="30" t="n"/>
    </row>
    <row r="3071">
      <c r="B3071" s="30" t="n"/>
    </row>
    <row r="3072">
      <c r="B3072" s="30" t="n"/>
    </row>
    <row r="3073">
      <c r="B3073" s="30" t="n"/>
    </row>
    <row r="3074">
      <c r="B3074" s="30" t="n"/>
    </row>
    <row r="3075">
      <c r="B3075" s="30" t="n"/>
    </row>
    <row r="3076">
      <c r="B3076" s="30" t="n"/>
    </row>
    <row r="3077">
      <c r="B3077" s="30" t="n"/>
    </row>
    <row r="3078">
      <c r="B3078" s="30" t="n"/>
    </row>
    <row r="3079">
      <c r="B3079" s="30" t="n"/>
    </row>
    <row r="3080">
      <c r="B3080" s="30" t="n"/>
    </row>
    <row r="3081">
      <c r="B3081" s="30" t="n"/>
    </row>
    <row r="3082">
      <c r="B3082" s="30" t="n"/>
    </row>
    <row r="3083">
      <c r="B3083" s="30" t="n"/>
    </row>
    <row r="3084">
      <c r="B3084" s="30" t="n"/>
    </row>
    <row r="3085">
      <c r="B3085" s="30" t="n"/>
    </row>
    <row r="3086">
      <c r="B3086" s="30" t="n"/>
    </row>
    <row r="3087">
      <c r="B3087" s="30" t="n"/>
    </row>
    <row r="3088">
      <c r="B3088" s="30" t="n"/>
    </row>
    <row r="3089">
      <c r="B3089" s="30" t="n"/>
    </row>
    <row r="3090">
      <c r="B3090" s="30" t="n"/>
    </row>
    <row r="3091">
      <c r="B3091" s="30" t="n"/>
    </row>
    <row r="3092">
      <c r="B3092" s="30" t="n"/>
    </row>
    <row r="3093">
      <c r="B3093" s="30" t="n"/>
    </row>
    <row r="3094">
      <c r="B3094" s="30" t="n"/>
    </row>
    <row r="3095">
      <c r="B3095" s="30" t="n"/>
    </row>
    <row r="3096">
      <c r="B3096" s="30" t="n"/>
    </row>
    <row r="3097">
      <c r="B3097" s="30" t="n"/>
    </row>
    <row r="3098">
      <c r="B3098" s="30" t="n"/>
    </row>
    <row r="3099">
      <c r="B3099" s="30" t="n"/>
    </row>
    <row r="3100">
      <c r="B3100" s="30" t="n"/>
    </row>
    <row r="3101">
      <c r="B3101" s="30" t="n"/>
    </row>
    <row r="3102">
      <c r="B3102" s="30" t="n"/>
    </row>
    <row r="3103">
      <c r="B3103" s="30" t="n"/>
    </row>
    <row r="3104">
      <c r="B3104" s="30" t="n"/>
    </row>
    <row r="3105">
      <c r="B3105" s="30" t="n"/>
    </row>
    <row r="3106">
      <c r="B3106" s="30" t="n"/>
    </row>
    <row r="3107">
      <c r="B3107" s="30" t="n"/>
    </row>
    <row r="3108">
      <c r="B3108" s="30" t="n"/>
    </row>
    <row r="3109">
      <c r="B3109" s="30" t="n"/>
    </row>
    <row r="3110">
      <c r="B3110" s="30" t="n"/>
    </row>
    <row r="3111">
      <c r="B3111" s="30" t="n"/>
    </row>
    <row r="3112">
      <c r="B3112" s="30" t="n"/>
    </row>
    <row r="3113">
      <c r="B3113" s="30" t="n"/>
    </row>
    <row r="3114">
      <c r="B3114" s="30" t="n"/>
    </row>
    <row r="3115">
      <c r="B3115" s="30" t="n"/>
    </row>
    <row r="3116">
      <c r="B3116" s="30" t="n"/>
    </row>
    <row r="3117">
      <c r="B3117" s="30" t="n"/>
    </row>
    <row r="3118">
      <c r="B3118" s="30" t="n"/>
    </row>
    <row r="3119">
      <c r="B3119" s="30" t="n"/>
    </row>
    <row r="3120">
      <c r="B3120" s="30" t="n"/>
    </row>
    <row r="3121">
      <c r="B3121" s="30" t="n"/>
    </row>
    <row r="3122">
      <c r="B3122" s="30" t="n"/>
    </row>
    <row r="3123">
      <c r="B3123" s="30" t="n"/>
    </row>
    <row r="3124">
      <c r="B3124" s="30" t="n"/>
    </row>
    <row r="3125">
      <c r="B3125" s="30" t="n"/>
    </row>
    <row r="3126">
      <c r="B3126" s="30" t="n"/>
    </row>
    <row r="3127">
      <c r="B3127" s="30" t="n"/>
    </row>
    <row r="3128">
      <c r="B3128" s="30" t="n"/>
    </row>
    <row r="3129">
      <c r="B3129" s="30" t="n"/>
    </row>
    <row r="3130">
      <c r="B3130" s="30" t="n"/>
    </row>
    <row r="3131">
      <c r="B3131" s="30" t="n"/>
    </row>
    <row r="3132">
      <c r="B3132" s="30" t="n"/>
    </row>
    <row r="3133">
      <c r="B3133" s="30" t="n"/>
    </row>
    <row r="3134">
      <c r="B3134" s="30" t="n"/>
    </row>
    <row r="3135">
      <c r="B3135" s="30" t="n"/>
    </row>
    <row r="3136">
      <c r="B3136" s="30" t="n"/>
    </row>
    <row r="3137">
      <c r="B3137" s="30" t="n"/>
    </row>
    <row r="3138">
      <c r="B3138" s="30" t="n"/>
    </row>
    <row r="3139">
      <c r="B3139" s="30" t="n"/>
    </row>
    <row r="3140">
      <c r="B3140" s="30" t="n"/>
    </row>
    <row r="3141">
      <c r="B3141" s="30" t="n"/>
    </row>
    <row r="3142">
      <c r="B3142" s="30" t="n"/>
    </row>
    <row r="3143">
      <c r="B3143" s="30" t="n"/>
    </row>
    <row r="3144">
      <c r="B3144" s="30" t="n"/>
    </row>
    <row r="3145">
      <c r="B3145" s="30" t="n"/>
    </row>
    <row r="3146">
      <c r="B3146" s="30" t="n"/>
    </row>
    <row r="3147">
      <c r="B3147" s="30" t="n"/>
    </row>
    <row r="3148">
      <c r="B3148" s="30" t="n"/>
    </row>
    <row r="3149">
      <c r="B3149" s="30" t="n"/>
    </row>
    <row r="3150">
      <c r="B3150" s="30" t="n"/>
    </row>
    <row r="3151">
      <c r="B3151" s="30" t="n"/>
    </row>
    <row r="3152">
      <c r="B3152" s="30" t="n"/>
    </row>
    <row r="3153">
      <c r="B3153" s="30" t="n"/>
    </row>
    <row r="3154">
      <c r="B3154" s="30" t="n"/>
    </row>
    <row r="3155">
      <c r="B3155" s="30" t="n"/>
    </row>
    <row r="3156">
      <c r="B3156" s="30" t="n"/>
    </row>
    <row r="3157">
      <c r="B3157" s="30" t="n"/>
    </row>
    <row r="3158">
      <c r="B3158" s="30" t="n"/>
    </row>
    <row r="3159">
      <c r="B3159" s="30" t="n"/>
    </row>
    <row r="3160">
      <c r="B3160" s="30" t="n"/>
    </row>
    <row r="3161">
      <c r="B3161" s="30" t="n"/>
    </row>
    <row r="3162">
      <c r="B3162" s="30" t="n"/>
    </row>
    <row r="3163">
      <c r="B3163" s="30" t="n"/>
    </row>
    <row r="3164">
      <c r="B3164" s="30" t="n"/>
    </row>
    <row r="3165">
      <c r="B3165" s="30" t="n"/>
    </row>
    <row r="3166">
      <c r="B3166" s="30" t="n"/>
    </row>
    <row r="3167">
      <c r="B3167" s="30" t="n"/>
    </row>
    <row r="3168">
      <c r="B3168" s="30" t="n"/>
    </row>
    <row r="3169">
      <c r="B3169" s="30" t="n"/>
    </row>
    <row r="3170">
      <c r="B3170" s="30" t="n"/>
    </row>
    <row r="3171">
      <c r="B3171" s="30" t="n"/>
    </row>
    <row r="3172">
      <c r="B3172" s="30" t="n"/>
    </row>
    <row r="3173">
      <c r="B3173" s="30" t="n"/>
    </row>
    <row r="3174">
      <c r="B3174" s="30" t="n"/>
    </row>
    <row r="3175">
      <c r="B3175" s="30" t="n"/>
    </row>
    <row r="3176">
      <c r="B3176" s="30" t="n"/>
    </row>
    <row r="3177">
      <c r="B3177" s="30" t="n"/>
    </row>
    <row r="3178">
      <c r="B3178" s="30" t="n"/>
    </row>
    <row r="3179">
      <c r="B3179" s="30" t="n"/>
    </row>
    <row r="3180">
      <c r="B3180" s="30" t="n"/>
    </row>
    <row r="3181">
      <c r="B3181" s="30" t="n"/>
    </row>
    <row r="3182">
      <c r="B3182" s="30" t="n"/>
    </row>
    <row r="3183">
      <c r="B3183" s="30" t="n"/>
    </row>
    <row r="3184">
      <c r="B3184" s="30" t="n"/>
    </row>
    <row r="3185">
      <c r="B3185" s="30" t="n"/>
    </row>
    <row r="3186">
      <c r="B3186" s="30" t="n"/>
    </row>
    <row r="3187">
      <c r="B3187" s="30" t="n"/>
    </row>
    <row r="3188">
      <c r="B3188" s="30" t="n"/>
    </row>
    <row r="3189">
      <c r="B3189" s="30" t="n"/>
    </row>
    <row r="3190">
      <c r="B3190" s="30" t="n"/>
    </row>
    <row r="3191">
      <c r="B3191" s="30" t="n"/>
    </row>
    <row r="3192">
      <c r="B3192" s="30" t="n"/>
    </row>
    <row r="3193">
      <c r="B3193" s="30" t="n"/>
    </row>
    <row r="3194">
      <c r="B3194" s="30" t="n"/>
    </row>
    <row r="3195">
      <c r="B3195" s="30" t="n"/>
    </row>
    <row r="3196">
      <c r="B3196" s="30" t="n"/>
    </row>
    <row r="3197">
      <c r="B3197" s="30" t="n"/>
    </row>
    <row r="3198">
      <c r="B3198" s="30" t="n"/>
    </row>
    <row r="3199">
      <c r="B3199" s="30" t="n"/>
    </row>
    <row r="3200">
      <c r="B3200" s="30" t="n"/>
    </row>
    <row r="3201">
      <c r="B3201" s="30" t="n"/>
    </row>
    <row r="3202">
      <c r="B3202" s="30" t="n"/>
    </row>
    <row r="3203">
      <c r="B3203" s="30" t="n"/>
    </row>
    <row r="3204">
      <c r="B3204" s="30" t="n"/>
    </row>
    <row r="3205">
      <c r="B3205" s="30" t="n"/>
    </row>
    <row r="3206">
      <c r="B3206" s="30" t="n"/>
    </row>
    <row r="3207">
      <c r="B3207" s="30" t="n"/>
    </row>
    <row r="3208">
      <c r="B3208" s="30" t="n"/>
    </row>
    <row r="3209">
      <c r="B3209" s="30" t="n"/>
    </row>
    <row r="3210">
      <c r="B3210" s="30" t="n"/>
    </row>
    <row r="3211">
      <c r="B3211" s="30" t="n"/>
    </row>
    <row r="3212">
      <c r="B3212" s="30" t="n"/>
    </row>
    <row r="3213">
      <c r="B3213" s="30" t="n"/>
    </row>
    <row r="3214">
      <c r="B3214" s="30" t="n"/>
    </row>
    <row r="3215">
      <c r="B3215" s="30" t="n"/>
    </row>
    <row r="3216">
      <c r="B3216" s="30" t="n"/>
    </row>
    <row r="3217">
      <c r="B3217" s="30" t="n"/>
    </row>
    <row r="3218">
      <c r="B3218" s="30" t="n"/>
    </row>
    <row r="3219">
      <c r="B3219" s="30" t="n"/>
    </row>
    <row r="3220">
      <c r="B3220" s="30" t="n"/>
    </row>
    <row r="3221">
      <c r="B3221" s="30" t="n"/>
    </row>
    <row r="3222">
      <c r="B3222" s="30" t="n"/>
    </row>
    <row r="3223">
      <c r="B3223" s="30" t="n"/>
    </row>
    <row r="3224">
      <c r="B3224" s="30" t="n"/>
    </row>
    <row r="3225">
      <c r="B3225" s="30" t="n"/>
    </row>
    <row r="3226">
      <c r="B3226" s="30" t="n"/>
    </row>
    <row r="3227">
      <c r="B3227" s="30" t="n"/>
    </row>
    <row r="3228">
      <c r="B3228" s="30" t="n"/>
    </row>
    <row r="3229">
      <c r="B3229" s="30" t="n"/>
    </row>
    <row r="3230">
      <c r="B3230" s="30" t="n"/>
    </row>
    <row r="3231">
      <c r="B3231" s="30" t="n"/>
    </row>
    <row r="3232">
      <c r="B3232" s="30" t="n"/>
    </row>
    <row r="3233">
      <c r="B3233" s="30" t="n"/>
    </row>
    <row r="3234">
      <c r="B3234" s="30" t="n"/>
    </row>
    <row r="3235">
      <c r="B3235" s="30" t="n"/>
    </row>
    <row r="3236">
      <c r="B3236" s="30" t="n"/>
    </row>
    <row r="3237">
      <c r="B3237" s="30" t="n"/>
    </row>
    <row r="3238">
      <c r="B3238" s="30" t="n"/>
    </row>
    <row r="3239">
      <c r="B3239" s="30" t="n"/>
    </row>
    <row r="3240">
      <c r="B3240" s="30" t="n"/>
    </row>
    <row r="3241">
      <c r="B3241" s="30" t="n"/>
    </row>
    <row r="3242">
      <c r="B3242" s="30" t="n"/>
    </row>
    <row r="3243">
      <c r="B3243" s="30" t="n"/>
    </row>
    <row r="3244">
      <c r="B3244" s="30" t="n"/>
    </row>
    <row r="3245">
      <c r="B3245" s="30" t="n"/>
    </row>
    <row r="3246">
      <c r="B3246" s="30" t="n"/>
    </row>
    <row r="3247">
      <c r="B3247" s="30" t="n"/>
    </row>
    <row r="3248">
      <c r="B3248" s="30" t="n"/>
    </row>
    <row r="3249">
      <c r="B3249" s="30" t="n"/>
    </row>
    <row r="3250">
      <c r="B3250" s="30" t="n"/>
    </row>
    <row r="3251">
      <c r="B3251" s="30" t="n"/>
    </row>
    <row r="3252">
      <c r="B3252" s="30" t="n"/>
    </row>
    <row r="3253">
      <c r="B3253" s="30" t="n"/>
    </row>
    <row r="3254">
      <c r="B3254" s="30" t="n"/>
    </row>
    <row r="3255">
      <c r="B3255" s="30" t="n"/>
    </row>
    <row r="3256">
      <c r="B3256" s="30" t="n"/>
    </row>
    <row r="3257">
      <c r="B3257" s="30" t="n"/>
    </row>
    <row r="3258">
      <c r="B3258" s="30" t="n"/>
    </row>
    <row r="3259">
      <c r="B3259" s="30" t="n"/>
    </row>
    <row r="3260">
      <c r="B3260" s="30" t="n"/>
    </row>
    <row r="3261">
      <c r="B3261" s="30" t="n"/>
    </row>
    <row r="3262">
      <c r="B3262" s="30" t="n"/>
    </row>
    <row r="3263">
      <c r="B3263" s="30" t="n"/>
    </row>
    <row r="3264">
      <c r="B3264" s="30" t="n"/>
    </row>
    <row r="3265">
      <c r="B3265" s="30" t="n"/>
    </row>
    <row r="3266">
      <c r="B3266" s="30" t="n"/>
    </row>
    <row r="3267">
      <c r="B3267" s="30" t="n"/>
    </row>
    <row r="3268">
      <c r="B3268" s="30" t="n"/>
    </row>
    <row r="3269">
      <c r="B3269" s="30" t="n"/>
    </row>
    <row r="3270">
      <c r="B3270" s="30" t="n"/>
    </row>
    <row r="3271">
      <c r="B3271" s="30" t="n"/>
    </row>
    <row r="3272">
      <c r="B3272" s="30" t="n"/>
    </row>
    <row r="3273">
      <c r="B3273" s="30" t="n"/>
    </row>
    <row r="3274">
      <c r="B3274" s="30" t="n"/>
    </row>
    <row r="3275">
      <c r="B3275" s="30" t="n"/>
    </row>
    <row r="3276">
      <c r="B3276" s="30" t="n"/>
    </row>
    <row r="3277">
      <c r="B3277" s="30" t="n"/>
    </row>
    <row r="3278">
      <c r="B3278" s="30" t="n"/>
    </row>
    <row r="3279">
      <c r="B3279" s="30" t="n"/>
    </row>
    <row r="3280">
      <c r="B3280" s="30" t="n"/>
    </row>
    <row r="3281">
      <c r="B3281" s="30" t="n"/>
    </row>
    <row r="3282">
      <c r="B3282" s="30" t="n"/>
    </row>
    <row r="3283">
      <c r="B3283" s="30" t="n"/>
    </row>
    <row r="3284">
      <c r="B3284" s="30" t="n"/>
    </row>
    <row r="3285">
      <c r="B3285" s="30" t="n"/>
    </row>
    <row r="3286">
      <c r="B3286" s="30" t="n"/>
    </row>
    <row r="3287">
      <c r="B3287" s="30" t="n"/>
    </row>
    <row r="3288">
      <c r="B3288" s="30" t="n"/>
    </row>
    <row r="3289">
      <c r="B3289" s="30" t="n"/>
    </row>
    <row r="3290">
      <c r="B3290" s="30" t="n"/>
    </row>
    <row r="3291">
      <c r="B3291" s="30" t="n"/>
    </row>
    <row r="3292">
      <c r="B3292" s="30" t="n"/>
    </row>
    <row r="3293">
      <c r="B3293" s="30" t="n"/>
    </row>
    <row r="3294">
      <c r="B3294" s="30" t="n"/>
    </row>
    <row r="3295">
      <c r="B3295" s="30" t="n"/>
    </row>
    <row r="3296">
      <c r="B3296" s="30" t="n"/>
    </row>
    <row r="3297">
      <c r="B3297" s="30" t="n"/>
    </row>
    <row r="3298">
      <c r="B3298" s="30" t="n"/>
    </row>
    <row r="3299">
      <c r="B3299" s="30" t="n"/>
    </row>
    <row r="3300">
      <c r="B3300" s="30" t="n"/>
    </row>
    <row r="3301">
      <c r="B3301" s="30" t="n"/>
    </row>
    <row r="3302">
      <c r="B3302" s="30" t="n"/>
    </row>
    <row r="3303">
      <c r="B3303" s="30" t="n"/>
    </row>
    <row r="3304">
      <c r="B3304" s="30" t="n"/>
    </row>
    <row r="3305">
      <c r="B3305" s="30" t="n"/>
    </row>
    <row r="3306">
      <c r="B3306" s="30" t="n"/>
    </row>
    <row r="3307">
      <c r="B3307" s="30" t="n"/>
    </row>
    <row r="3308">
      <c r="B3308" s="30" t="n"/>
    </row>
    <row r="3309">
      <c r="B3309" s="30" t="n"/>
    </row>
    <row r="3310">
      <c r="B3310" s="30" t="n"/>
    </row>
    <row r="3311">
      <c r="B3311" s="30" t="n"/>
    </row>
    <row r="3312">
      <c r="B3312" s="30" t="n"/>
    </row>
    <row r="3313">
      <c r="B3313" s="30" t="n"/>
    </row>
    <row r="3314">
      <c r="B3314" s="30" t="n"/>
    </row>
    <row r="3315">
      <c r="B3315" s="30" t="n"/>
    </row>
    <row r="3316">
      <c r="B3316" s="30" t="n"/>
    </row>
    <row r="3317">
      <c r="B3317" s="30" t="n"/>
    </row>
    <row r="3318">
      <c r="B3318" s="30" t="n"/>
    </row>
    <row r="3319">
      <c r="B3319" s="30" t="n"/>
    </row>
    <row r="3320">
      <c r="B3320" s="30" t="n"/>
    </row>
    <row r="3321">
      <c r="B3321" s="30" t="n"/>
    </row>
    <row r="3322">
      <c r="B3322" s="30" t="n"/>
    </row>
    <row r="3323">
      <c r="B3323" s="30" t="n"/>
    </row>
    <row r="3324">
      <c r="B3324" s="30" t="n"/>
    </row>
    <row r="3325">
      <c r="B3325" s="30" t="n"/>
    </row>
    <row r="3326">
      <c r="B3326" s="30" t="n"/>
    </row>
    <row r="3327">
      <c r="B3327" s="30" t="n"/>
    </row>
    <row r="3328">
      <c r="B3328" s="30" t="n"/>
    </row>
    <row r="3329">
      <c r="B3329" s="30" t="n"/>
    </row>
    <row r="3330">
      <c r="B3330" s="30" t="n"/>
    </row>
    <row r="3331">
      <c r="B3331" s="30" t="n"/>
    </row>
    <row r="3332">
      <c r="B3332" s="30" t="n"/>
    </row>
    <row r="3333">
      <c r="B3333" s="30" t="n"/>
    </row>
    <row r="3334">
      <c r="B3334" s="30" t="n"/>
    </row>
    <row r="3335">
      <c r="B3335" s="30" t="n"/>
    </row>
    <row r="3336">
      <c r="B3336" s="30" t="n"/>
    </row>
    <row r="3337">
      <c r="B3337" s="30" t="n"/>
    </row>
    <row r="3338">
      <c r="B3338" s="30" t="n"/>
    </row>
    <row r="3339">
      <c r="B3339" s="30" t="n"/>
    </row>
    <row r="3340">
      <c r="B3340" s="30" t="n"/>
    </row>
    <row r="3341">
      <c r="B3341" s="30" t="n"/>
    </row>
    <row r="3342">
      <c r="B3342" s="30" t="n"/>
    </row>
    <row r="3343">
      <c r="B3343" s="30" t="n"/>
    </row>
    <row r="3344">
      <c r="B3344" s="30" t="n"/>
    </row>
    <row r="3345">
      <c r="B3345" s="30" t="n"/>
    </row>
    <row r="3346">
      <c r="B3346" s="30" t="n"/>
    </row>
    <row r="3347">
      <c r="B3347" s="30" t="n"/>
    </row>
    <row r="3348">
      <c r="B3348" s="30" t="n"/>
    </row>
    <row r="3349">
      <c r="B3349" s="30" t="n"/>
    </row>
    <row r="3350">
      <c r="B3350" s="30" t="n"/>
    </row>
    <row r="3351">
      <c r="B3351" s="30" t="n"/>
    </row>
    <row r="3352">
      <c r="B3352" s="30" t="n"/>
    </row>
    <row r="3353">
      <c r="B3353" s="30" t="n"/>
    </row>
    <row r="3354">
      <c r="B3354" s="30" t="n"/>
    </row>
    <row r="3355">
      <c r="B3355" s="30" t="n"/>
    </row>
    <row r="3356">
      <c r="B3356" s="30" t="n"/>
    </row>
    <row r="3357">
      <c r="B3357" s="30" t="n"/>
    </row>
    <row r="3358">
      <c r="B3358" s="30" t="n"/>
    </row>
    <row r="3359">
      <c r="B3359" s="30" t="n"/>
    </row>
    <row r="3360">
      <c r="B3360" s="30" t="n"/>
    </row>
    <row r="3361">
      <c r="B3361" s="30" t="n"/>
    </row>
    <row r="3362">
      <c r="B3362" s="30" t="n"/>
    </row>
    <row r="3363">
      <c r="B3363" s="30" t="n"/>
    </row>
    <row r="3364">
      <c r="B3364" s="30" t="n"/>
    </row>
    <row r="3365">
      <c r="B3365" s="30" t="n"/>
    </row>
    <row r="3366">
      <c r="B3366" s="30" t="n"/>
    </row>
    <row r="3367">
      <c r="B3367" s="30" t="n"/>
    </row>
    <row r="3368">
      <c r="B3368" s="30" t="n"/>
    </row>
    <row r="3369">
      <c r="B3369" s="30" t="n"/>
    </row>
    <row r="3370">
      <c r="B3370" s="30" t="n"/>
    </row>
    <row r="3371">
      <c r="B3371" s="30" t="n"/>
    </row>
    <row r="3372">
      <c r="B3372" s="30" t="n"/>
    </row>
    <row r="3373">
      <c r="B3373" s="30" t="n"/>
    </row>
    <row r="3374">
      <c r="B3374" s="30" t="n"/>
    </row>
    <row r="3375">
      <c r="B3375" s="30" t="n"/>
    </row>
    <row r="3376">
      <c r="B3376" s="30" t="n"/>
    </row>
    <row r="3377">
      <c r="B3377" s="30" t="n"/>
    </row>
    <row r="3378">
      <c r="B3378" s="30" t="n"/>
    </row>
    <row r="3379">
      <c r="B3379" s="30" t="n"/>
    </row>
    <row r="3380">
      <c r="B3380" s="30" t="n"/>
    </row>
    <row r="3381">
      <c r="B3381" s="30" t="n"/>
    </row>
    <row r="3382">
      <c r="B3382" s="30" t="n"/>
    </row>
    <row r="3383">
      <c r="B3383" s="30" t="n"/>
    </row>
    <row r="3384">
      <c r="B3384" s="30" t="n"/>
    </row>
    <row r="3385">
      <c r="B3385" s="30" t="n"/>
    </row>
    <row r="3386">
      <c r="B3386" s="30" t="n"/>
    </row>
    <row r="3387">
      <c r="B3387" s="30" t="n"/>
    </row>
    <row r="3388">
      <c r="B3388" s="30" t="n"/>
    </row>
    <row r="3389">
      <c r="B3389" s="30" t="n"/>
    </row>
    <row r="3390">
      <c r="B3390" s="30" t="n"/>
    </row>
    <row r="3391">
      <c r="B3391" s="30" t="n"/>
    </row>
    <row r="3392">
      <c r="B3392" s="30" t="n"/>
    </row>
    <row r="3393">
      <c r="B3393" s="30" t="n"/>
    </row>
    <row r="3394">
      <c r="B3394" s="30" t="n"/>
    </row>
    <row r="3395">
      <c r="B3395" s="30" t="n"/>
    </row>
    <row r="3396">
      <c r="B3396" s="30" t="n"/>
    </row>
    <row r="3397">
      <c r="B3397" s="30" t="n"/>
    </row>
    <row r="3398">
      <c r="B3398" s="30" t="n"/>
    </row>
    <row r="3399">
      <c r="B3399" s="30" t="n"/>
    </row>
    <row r="3400">
      <c r="B3400" s="30" t="n"/>
    </row>
    <row r="3401">
      <c r="B3401" s="30" t="n"/>
    </row>
    <row r="3402">
      <c r="B3402" s="30" t="n"/>
    </row>
    <row r="3403">
      <c r="B3403" s="30" t="n"/>
    </row>
    <row r="3404">
      <c r="B3404" s="30" t="n"/>
    </row>
    <row r="3405">
      <c r="B3405" s="30" t="n"/>
    </row>
    <row r="3406">
      <c r="B3406" s="30" t="n"/>
    </row>
    <row r="3407">
      <c r="B3407" s="30" t="n"/>
    </row>
    <row r="3408">
      <c r="B3408" s="30" t="n"/>
    </row>
    <row r="3409">
      <c r="B3409" s="30" t="n"/>
    </row>
    <row r="3410">
      <c r="B3410" s="30" t="n"/>
    </row>
    <row r="3411">
      <c r="B3411" s="30" t="n"/>
    </row>
    <row r="3412">
      <c r="B3412" s="30" t="n"/>
    </row>
    <row r="3413">
      <c r="B3413" s="30" t="n"/>
    </row>
    <row r="3414">
      <c r="B3414" s="30" t="n"/>
    </row>
    <row r="3415">
      <c r="B3415" s="30" t="n"/>
    </row>
    <row r="3416">
      <c r="B3416" s="30" t="n"/>
    </row>
    <row r="3417">
      <c r="B3417" s="30" t="n"/>
    </row>
    <row r="3418">
      <c r="B3418" s="30" t="n"/>
    </row>
    <row r="3419">
      <c r="B3419" s="30" t="n"/>
    </row>
    <row r="3420">
      <c r="B3420" s="30" t="n"/>
    </row>
    <row r="3421">
      <c r="B3421" s="30" t="n"/>
    </row>
    <row r="3422">
      <c r="B3422" s="30" t="n"/>
    </row>
    <row r="3423">
      <c r="B3423" s="30" t="n"/>
    </row>
    <row r="3424">
      <c r="B3424" s="30" t="n"/>
    </row>
    <row r="3425">
      <c r="B3425" s="30" t="n"/>
    </row>
    <row r="3426">
      <c r="B3426" s="30" t="n"/>
    </row>
    <row r="3427">
      <c r="B3427" s="30" t="n"/>
    </row>
    <row r="3428">
      <c r="B3428" s="30" t="n"/>
    </row>
    <row r="3429">
      <c r="B3429" s="30" t="n"/>
    </row>
    <row r="3430">
      <c r="B3430" s="30" t="n"/>
    </row>
    <row r="3431">
      <c r="B3431" s="30" t="n"/>
    </row>
    <row r="3432">
      <c r="B3432" s="30" t="n"/>
    </row>
    <row r="3433">
      <c r="B3433" s="30" t="n"/>
    </row>
    <row r="3434">
      <c r="B3434" s="30" t="n"/>
    </row>
    <row r="3435">
      <c r="B3435" s="30" t="n"/>
    </row>
    <row r="3436">
      <c r="B3436" s="30" t="n"/>
    </row>
    <row r="3437">
      <c r="B3437" s="30" t="n"/>
    </row>
    <row r="3438">
      <c r="B3438" s="30" t="n"/>
    </row>
    <row r="3439">
      <c r="B3439" s="30" t="n"/>
    </row>
    <row r="3440">
      <c r="B3440" s="30" t="n"/>
    </row>
    <row r="3441">
      <c r="B3441" s="30" t="n"/>
    </row>
    <row r="3442">
      <c r="B3442" s="30" t="n"/>
    </row>
    <row r="3443">
      <c r="B3443" s="30" t="n"/>
    </row>
    <row r="3444">
      <c r="B3444" s="30" t="n"/>
    </row>
    <row r="3445">
      <c r="B3445" s="30" t="n"/>
    </row>
    <row r="3446">
      <c r="B3446" s="30" t="n"/>
    </row>
    <row r="3447">
      <c r="B3447" s="30" t="n"/>
    </row>
    <row r="3448">
      <c r="B3448" s="30" t="n"/>
    </row>
    <row r="3449">
      <c r="B3449" s="30" t="n"/>
    </row>
    <row r="3450">
      <c r="B3450" s="30" t="n"/>
    </row>
    <row r="3451">
      <c r="B3451" s="30" t="n"/>
    </row>
    <row r="3452">
      <c r="B3452" s="30" t="n"/>
    </row>
    <row r="3453">
      <c r="B3453" s="30" t="n"/>
    </row>
    <row r="3454">
      <c r="B3454" s="30" t="n"/>
    </row>
    <row r="3455">
      <c r="B3455" s="30" t="n"/>
    </row>
    <row r="3456">
      <c r="B3456" s="30" t="n"/>
    </row>
    <row r="3457">
      <c r="B3457" s="30" t="n"/>
    </row>
    <row r="3458">
      <c r="B3458" s="30" t="n"/>
    </row>
    <row r="3459">
      <c r="B3459" s="30" t="n"/>
    </row>
    <row r="3460">
      <c r="B3460" s="30" t="n"/>
    </row>
    <row r="3461">
      <c r="B3461" s="30" t="n"/>
    </row>
    <row r="3462">
      <c r="B3462" s="30" t="n"/>
    </row>
    <row r="3463">
      <c r="B3463" s="30" t="n"/>
    </row>
    <row r="3464">
      <c r="B3464" s="30" t="n"/>
    </row>
    <row r="3465">
      <c r="B3465" s="30" t="n"/>
    </row>
    <row r="3466">
      <c r="B3466" s="30" t="n"/>
    </row>
    <row r="3467">
      <c r="B3467" s="30" t="n"/>
    </row>
    <row r="3468">
      <c r="B3468" s="30" t="n"/>
    </row>
    <row r="3469">
      <c r="B3469" s="30" t="n"/>
    </row>
    <row r="3470">
      <c r="B3470" s="30" t="n"/>
    </row>
    <row r="3471">
      <c r="B3471" s="30" t="n"/>
    </row>
    <row r="3472">
      <c r="B3472" s="30" t="n"/>
    </row>
    <row r="3473">
      <c r="B3473" s="30" t="n"/>
    </row>
    <row r="3474">
      <c r="B3474" s="30" t="n"/>
    </row>
    <row r="3475">
      <c r="B3475" s="30" t="n"/>
    </row>
    <row r="3476">
      <c r="B3476" s="30" t="n"/>
    </row>
    <row r="3477">
      <c r="B3477" s="30" t="n"/>
    </row>
    <row r="3478">
      <c r="B3478" s="30" t="n"/>
    </row>
    <row r="3479">
      <c r="B3479" s="30" t="n"/>
    </row>
    <row r="3480">
      <c r="B3480" s="30" t="n"/>
    </row>
    <row r="3481">
      <c r="B3481" s="30" t="n"/>
    </row>
    <row r="3482">
      <c r="B3482" s="30" t="n"/>
    </row>
    <row r="3483">
      <c r="B3483" s="30" t="n"/>
    </row>
    <row r="3484">
      <c r="B3484" s="30" t="n"/>
    </row>
    <row r="3485">
      <c r="B3485" s="30" t="n"/>
    </row>
    <row r="3486">
      <c r="B3486" s="30" t="n"/>
    </row>
    <row r="3487">
      <c r="B3487" s="30" t="n"/>
    </row>
    <row r="3488">
      <c r="B3488" s="30" t="n"/>
    </row>
    <row r="3489">
      <c r="B3489" s="30" t="n"/>
    </row>
    <row r="3490">
      <c r="B3490" s="30" t="n"/>
    </row>
    <row r="3491">
      <c r="B3491" s="30" t="n"/>
    </row>
    <row r="3492">
      <c r="B3492" s="30" t="n"/>
    </row>
    <row r="3493">
      <c r="B3493" s="30" t="n"/>
    </row>
    <row r="3494">
      <c r="B3494" s="30" t="n"/>
    </row>
    <row r="3495">
      <c r="B3495" s="30" t="n"/>
    </row>
    <row r="3496">
      <c r="B3496" s="30" t="n"/>
    </row>
    <row r="3497">
      <c r="B3497" s="30" t="n"/>
    </row>
    <row r="3498">
      <c r="B3498" s="30" t="n"/>
    </row>
    <row r="3499">
      <c r="B3499" s="30" t="n"/>
    </row>
    <row r="3500">
      <c r="B3500" s="30" t="n"/>
    </row>
    <row r="3501">
      <c r="B3501" s="30" t="n"/>
    </row>
    <row r="3502">
      <c r="B3502" s="30" t="n"/>
    </row>
    <row r="3503">
      <c r="B3503" s="30" t="n"/>
    </row>
    <row r="3504">
      <c r="B3504" s="30" t="n"/>
    </row>
    <row r="3505">
      <c r="B3505" s="30" t="n"/>
    </row>
    <row r="3506">
      <c r="B3506" s="30" t="n"/>
    </row>
    <row r="3507">
      <c r="B3507" s="30" t="n"/>
    </row>
    <row r="3508">
      <c r="B3508" s="30" t="n"/>
    </row>
    <row r="3509">
      <c r="B3509" s="30" t="n"/>
    </row>
    <row r="3510">
      <c r="B3510" s="30" t="n"/>
    </row>
    <row r="3511">
      <c r="B3511" s="30" t="n"/>
    </row>
    <row r="3512">
      <c r="B3512" s="30" t="n"/>
    </row>
    <row r="3513">
      <c r="B3513" s="30" t="n"/>
    </row>
    <row r="3514">
      <c r="B3514" s="30" t="n"/>
    </row>
    <row r="3515">
      <c r="B3515" s="30" t="n"/>
    </row>
    <row r="3516">
      <c r="B3516" s="30" t="n"/>
    </row>
    <row r="3517">
      <c r="B3517" s="30" t="n"/>
    </row>
    <row r="3518">
      <c r="B3518" s="30" t="n"/>
    </row>
    <row r="3519">
      <c r="B3519" s="30" t="n"/>
    </row>
    <row r="3520">
      <c r="B3520" s="30" t="n"/>
    </row>
    <row r="3521">
      <c r="B3521" s="30" t="n"/>
    </row>
    <row r="3522">
      <c r="B3522" s="30" t="n"/>
    </row>
    <row r="3523">
      <c r="B3523" s="30" t="n"/>
    </row>
    <row r="3524">
      <c r="B3524" s="30" t="n"/>
    </row>
    <row r="3525">
      <c r="B3525" s="30" t="n"/>
    </row>
    <row r="3526">
      <c r="B3526" s="30" t="n"/>
    </row>
    <row r="3527">
      <c r="B3527" s="30" t="n"/>
    </row>
    <row r="3528">
      <c r="B3528" s="30" t="n"/>
    </row>
    <row r="3529">
      <c r="B3529" s="30" t="n"/>
    </row>
    <row r="3530">
      <c r="B3530" s="30" t="n"/>
    </row>
    <row r="3531">
      <c r="B3531" s="30" t="n"/>
    </row>
    <row r="3532">
      <c r="B3532" s="30" t="n"/>
    </row>
    <row r="3533">
      <c r="B3533" s="30" t="n"/>
    </row>
    <row r="3534">
      <c r="B3534" s="30" t="n"/>
    </row>
    <row r="3535">
      <c r="B3535" s="30" t="n"/>
    </row>
    <row r="3536">
      <c r="B3536" s="30" t="n"/>
    </row>
    <row r="3537">
      <c r="B3537" s="30" t="n"/>
    </row>
    <row r="3538">
      <c r="B3538" s="30" t="n"/>
    </row>
    <row r="3539">
      <c r="B3539" s="30" t="n"/>
    </row>
    <row r="3540">
      <c r="B3540" s="30" t="n"/>
    </row>
    <row r="3541">
      <c r="B3541" s="30" t="n"/>
    </row>
    <row r="3542">
      <c r="B3542" s="30" t="n"/>
    </row>
    <row r="3543">
      <c r="B3543" s="30" t="n"/>
    </row>
    <row r="3544">
      <c r="B3544" s="30" t="n"/>
    </row>
    <row r="3545">
      <c r="B3545" s="30" t="n"/>
    </row>
    <row r="3546">
      <c r="B3546" s="30" t="n"/>
    </row>
    <row r="3547">
      <c r="B3547" s="30" t="n"/>
    </row>
    <row r="3548">
      <c r="B3548" s="30" t="n"/>
    </row>
    <row r="3549">
      <c r="B3549" s="30" t="n"/>
    </row>
    <row r="3550">
      <c r="B3550" s="30" t="n"/>
    </row>
    <row r="3551">
      <c r="B3551" s="30" t="n"/>
    </row>
    <row r="3552">
      <c r="B3552" s="30" t="n"/>
    </row>
    <row r="3553">
      <c r="B3553" s="30" t="n"/>
    </row>
    <row r="3554">
      <c r="B3554" s="30" t="n"/>
    </row>
    <row r="3555">
      <c r="B3555" s="30" t="n"/>
    </row>
    <row r="3556">
      <c r="B3556" s="30" t="n"/>
    </row>
    <row r="3557">
      <c r="B3557" s="30" t="n"/>
    </row>
    <row r="3558">
      <c r="B3558" s="30" t="n"/>
    </row>
    <row r="3559">
      <c r="B3559" s="30" t="n"/>
    </row>
    <row r="3560">
      <c r="B3560" s="30" t="n"/>
    </row>
    <row r="3561">
      <c r="B3561" s="30" t="n"/>
    </row>
    <row r="3562">
      <c r="B3562" s="30" t="n"/>
    </row>
    <row r="3563">
      <c r="B3563" s="30" t="n"/>
    </row>
    <row r="3564">
      <c r="B3564" s="30" t="n"/>
    </row>
    <row r="3565">
      <c r="B3565" s="30" t="n"/>
    </row>
    <row r="3566">
      <c r="B3566" s="30" t="n"/>
    </row>
    <row r="3567">
      <c r="B3567" s="30" t="n"/>
    </row>
    <row r="3568">
      <c r="B3568" s="30" t="n"/>
    </row>
    <row r="3569">
      <c r="B3569" s="30" t="n"/>
    </row>
    <row r="3570">
      <c r="B3570" s="30" t="n"/>
    </row>
    <row r="3571">
      <c r="B3571" s="30" t="n"/>
    </row>
    <row r="3572">
      <c r="B3572" s="30" t="n"/>
    </row>
    <row r="3573">
      <c r="B3573" s="30" t="n"/>
    </row>
    <row r="3574">
      <c r="B3574" s="30" t="n"/>
    </row>
    <row r="3575">
      <c r="B3575" s="30" t="n"/>
    </row>
    <row r="3576">
      <c r="B3576" s="30" t="n"/>
    </row>
    <row r="3577">
      <c r="B3577" s="30" t="n"/>
    </row>
    <row r="3578">
      <c r="B3578" s="30" t="n"/>
    </row>
    <row r="3579">
      <c r="B3579" s="30" t="n"/>
    </row>
    <row r="3580">
      <c r="B3580" s="30" t="n"/>
    </row>
    <row r="3581">
      <c r="B3581" s="30" t="n"/>
    </row>
    <row r="3582">
      <c r="B3582" s="30" t="n"/>
    </row>
    <row r="3583">
      <c r="B3583" s="30" t="n"/>
    </row>
    <row r="3584">
      <c r="B3584" s="30" t="n"/>
    </row>
    <row r="3585">
      <c r="B3585" s="30" t="n"/>
    </row>
    <row r="3586">
      <c r="B3586" s="30" t="n"/>
    </row>
    <row r="3587">
      <c r="B3587" s="30" t="n"/>
    </row>
    <row r="3588">
      <c r="B3588" s="30" t="n"/>
    </row>
    <row r="3589">
      <c r="B3589" s="30" t="n"/>
    </row>
    <row r="3590">
      <c r="B3590" s="30" t="n"/>
    </row>
    <row r="3591">
      <c r="B3591" s="30" t="n"/>
    </row>
    <row r="3592">
      <c r="B3592" s="30" t="n"/>
    </row>
    <row r="3593">
      <c r="B3593" s="30" t="n"/>
    </row>
    <row r="3594">
      <c r="B3594" s="30" t="n"/>
    </row>
    <row r="3595">
      <c r="B3595" s="30" t="n"/>
    </row>
    <row r="3596">
      <c r="B3596" s="30" t="n"/>
    </row>
    <row r="3597">
      <c r="B3597" s="30" t="n"/>
    </row>
    <row r="3598">
      <c r="B3598" s="30" t="n"/>
    </row>
    <row r="3599">
      <c r="B3599" s="30" t="n"/>
    </row>
    <row r="3600">
      <c r="B3600" s="30" t="n"/>
    </row>
    <row r="3601">
      <c r="B3601" s="30" t="n"/>
    </row>
    <row r="3602">
      <c r="B3602" s="30" t="n"/>
    </row>
    <row r="3603">
      <c r="B3603" s="30" t="n"/>
    </row>
    <row r="3604">
      <c r="B3604" s="30" t="n"/>
    </row>
    <row r="3605">
      <c r="B3605" s="30" t="n"/>
    </row>
    <row r="3606">
      <c r="B3606" s="30" t="n"/>
    </row>
    <row r="3607">
      <c r="B3607" s="30" t="n"/>
    </row>
    <row r="3608">
      <c r="B3608" s="30" t="n"/>
    </row>
    <row r="3609">
      <c r="B3609" s="30" t="n"/>
    </row>
    <row r="3610">
      <c r="B3610" s="30" t="n"/>
    </row>
    <row r="3611">
      <c r="B3611" s="30" t="n"/>
    </row>
    <row r="3612">
      <c r="B3612" s="30" t="n"/>
    </row>
    <row r="3613">
      <c r="B3613" s="30" t="n"/>
    </row>
    <row r="3614">
      <c r="B3614" s="30" t="n"/>
    </row>
    <row r="3615">
      <c r="B3615" s="30" t="n"/>
    </row>
    <row r="3616">
      <c r="B3616" s="30" t="n"/>
    </row>
    <row r="3617">
      <c r="B3617" s="30" t="n"/>
    </row>
    <row r="3618">
      <c r="B3618" s="30" t="n"/>
    </row>
    <row r="3619">
      <c r="B3619" s="30" t="n"/>
    </row>
    <row r="3620">
      <c r="B3620" s="30" t="n"/>
    </row>
    <row r="3621">
      <c r="B3621" s="30" t="n"/>
    </row>
    <row r="3622">
      <c r="B3622" s="30" t="n"/>
    </row>
    <row r="3623">
      <c r="B3623" s="30" t="n"/>
    </row>
    <row r="3624">
      <c r="B3624" s="30" t="n"/>
    </row>
    <row r="3625">
      <c r="B3625" s="30" t="n"/>
    </row>
    <row r="3626">
      <c r="B3626" s="30" t="n"/>
    </row>
    <row r="3627">
      <c r="B3627" s="30" t="n"/>
    </row>
    <row r="3628">
      <c r="B3628" s="30" t="n"/>
    </row>
    <row r="3629">
      <c r="B3629" s="30" t="n"/>
    </row>
    <row r="3630">
      <c r="B3630" s="30" t="n"/>
    </row>
    <row r="3631">
      <c r="B3631" s="30" t="n"/>
    </row>
    <row r="3632">
      <c r="B3632" s="30" t="n"/>
    </row>
    <row r="3633">
      <c r="B3633" s="30" t="n"/>
    </row>
    <row r="3634">
      <c r="B3634" s="30" t="n"/>
    </row>
    <row r="3635">
      <c r="B3635" s="30" t="n"/>
    </row>
    <row r="3636">
      <c r="B3636" s="30" t="n"/>
    </row>
    <row r="3637">
      <c r="B3637" s="30" t="n"/>
    </row>
    <row r="3638">
      <c r="B3638" s="30" t="n"/>
    </row>
    <row r="3639">
      <c r="B3639" s="30" t="n"/>
    </row>
    <row r="3640">
      <c r="B3640" s="30" t="n"/>
    </row>
    <row r="3641">
      <c r="B3641" s="30" t="n"/>
    </row>
    <row r="3642">
      <c r="B3642" s="30" t="n"/>
    </row>
    <row r="3643">
      <c r="B3643" s="30" t="n"/>
    </row>
    <row r="3644">
      <c r="B3644" s="30" t="n"/>
    </row>
    <row r="3645">
      <c r="B3645" s="30" t="n"/>
    </row>
    <row r="3646">
      <c r="B3646" s="30" t="n"/>
    </row>
    <row r="3647">
      <c r="B3647" s="30" t="n"/>
    </row>
    <row r="3648">
      <c r="B3648" s="30" t="n"/>
    </row>
    <row r="3649">
      <c r="B3649" s="30" t="n"/>
    </row>
    <row r="3650">
      <c r="B3650" s="30" t="n"/>
    </row>
    <row r="3651">
      <c r="B3651" s="30" t="n"/>
    </row>
    <row r="3652">
      <c r="B3652" s="30" t="n"/>
    </row>
    <row r="3653">
      <c r="B3653" s="30" t="n"/>
    </row>
    <row r="3654">
      <c r="B3654" s="30" t="n"/>
    </row>
    <row r="3655">
      <c r="B3655" s="30" t="n"/>
    </row>
    <row r="3656">
      <c r="B3656" s="30" t="n"/>
    </row>
    <row r="3657">
      <c r="B3657" s="30" t="n"/>
    </row>
    <row r="3658">
      <c r="B3658" s="30" t="n"/>
    </row>
    <row r="3659">
      <c r="B3659" s="30" t="n"/>
    </row>
    <row r="3660">
      <c r="B3660" s="30" t="n"/>
    </row>
    <row r="3661">
      <c r="B3661" s="30" t="n"/>
    </row>
    <row r="3662">
      <c r="B3662" s="30" t="n"/>
    </row>
    <row r="3663">
      <c r="B3663" s="30" t="n"/>
    </row>
    <row r="3664">
      <c r="B3664" s="30" t="n"/>
    </row>
    <row r="3665">
      <c r="B3665" s="30" t="n"/>
    </row>
    <row r="3666">
      <c r="B3666" s="30" t="n"/>
    </row>
    <row r="3667">
      <c r="B3667" s="30" t="n"/>
    </row>
    <row r="3668">
      <c r="B3668" s="30" t="n"/>
    </row>
    <row r="3669">
      <c r="B3669" s="30" t="n"/>
    </row>
    <row r="3670">
      <c r="B3670" s="30" t="n"/>
    </row>
    <row r="3671">
      <c r="B3671" s="30" t="n"/>
    </row>
    <row r="3672">
      <c r="B3672" s="30" t="n"/>
    </row>
    <row r="3673">
      <c r="B3673" s="30" t="n"/>
    </row>
    <row r="3674">
      <c r="B3674" s="30" t="n"/>
    </row>
    <row r="3675">
      <c r="B3675" s="30" t="n"/>
    </row>
    <row r="3676">
      <c r="B3676" s="30" t="n"/>
    </row>
    <row r="3677">
      <c r="B3677" s="30" t="n"/>
    </row>
    <row r="3678">
      <c r="B3678" s="30" t="n"/>
    </row>
    <row r="3679">
      <c r="B3679" s="30" t="n"/>
    </row>
    <row r="3680">
      <c r="B3680" s="30" t="n"/>
    </row>
    <row r="3681">
      <c r="B3681" s="30" t="n"/>
    </row>
    <row r="3682">
      <c r="B3682" s="30" t="n"/>
    </row>
    <row r="3683">
      <c r="B3683" s="30" t="n"/>
    </row>
    <row r="3684">
      <c r="B3684" s="30" t="n"/>
    </row>
    <row r="3685">
      <c r="B3685" s="30" t="n"/>
    </row>
    <row r="3686">
      <c r="B3686" s="30" t="n"/>
    </row>
    <row r="3687">
      <c r="B3687" s="30" t="n"/>
    </row>
    <row r="3688">
      <c r="B3688" s="30" t="n"/>
    </row>
    <row r="3689">
      <c r="B3689" s="30" t="n"/>
    </row>
    <row r="3690">
      <c r="B3690" s="30" t="n"/>
    </row>
    <row r="3691">
      <c r="B3691" s="30" t="n"/>
    </row>
    <row r="3692">
      <c r="B3692" s="30" t="n"/>
    </row>
    <row r="3693">
      <c r="B3693" s="30" t="n"/>
    </row>
    <row r="3694">
      <c r="B3694" s="30" t="n"/>
    </row>
    <row r="3695">
      <c r="B3695" s="30" t="n"/>
    </row>
    <row r="3696">
      <c r="B3696" s="30" t="n"/>
    </row>
    <row r="3697">
      <c r="B3697" s="30" t="n"/>
    </row>
    <row r="3698">
      <c r="B3698" s="30" t="n"/>
    </row>
    <row r="3699">
      <c r="B3699" s="30" t="n"/>
    </row>
    <row r="3700">
      <c r="B3700" s="30" t="n"/>
    </row>
    <row r="3701">
      <c r="B3701" s="30" t="n"/>
    </row>
    <row r="3702">
      <c r="B3702" s="30" t="n"/>
    </row>
    <row r="3703">
      <c r="B3703" s="30" t="n"/>
    </row>
    <row r="3704">
      <c r="B3704" s="30" t="n"/>
    </row>
    <row r="3705">
      <c r="B3705" s="30" t="n"/>
    </row>
    <row r="3706">
      <c r="B3706" s="30" t="n"/>
    </row>
    <row r="3707">
      <c r="B3707" s="30" t="n"/>
    </row>
    <row r="3708">
      <c r="B3708" s="30" t="n"/>
    </row>
    <row r="3709">
      <c r="B3709" s="30" t="n"/>
    </row>
    <row r="3710">
      <c r="B3710" s="30" t="n"/>
    </row>
    <row r="3711">
      <c r="B3711" s="30" t="n"/>
    </row>
    <row r="3712">
      <c r="B3712" s="30" t="n"/>
    </row>
    <row r="3713">
      <c r="B3713" s="30" t="n"/>
    </row>
    <row r="3714">
      <c r="B3714" s="30" t="n"/>
    </row>
    <row r="3715">
      <c r="B3715" s="30" t="n"/>
    </row>
    <row r="3716">
      <c r="B3716" s="30" t="n"/>
    </row>
    <row r="3717">
      <c r="B3717" s="30" t="n"/>
    </row>
    <row r="3718">
      <c r="B3718" s="30" t="n"/>
    </row>
    <row r="3719">
      <c r="B3719" s="30" t="n"/>
    </row>
    <row r="3720">
      <c r="B3720" s="30" t="n"/>
    </row>
    <row r="3721">
      <c r="B3721" s="30" t="n"/>
    </row>
    <row r="3722">
      <c r="B3722" s="30" t="n"/>
    </row>
    <row r="3723">
      <c r="B3723" s="30" t="n"/>
    </row>
    <row r="3724">
      <c r="B3724" s="30" t="n"/>
    </row>
    <row r="3725">
      <c r="B3725" s="30" t="n"/>
    </row>
    <row r="3726">
      <c r="B3726" s="30" t="n"/>
    </row>
    <row r="3727">
      <c r="B3727" s="30" t="n"/>
    </row>
    <row r="3728">
      <c r="B3728" s="30" t="n"/>
    </row>
    <row r="3729">
      <c r="B3729" s="30" t="n"/>
    </row>
    <row r="3730">
      <c r="B3730" s="30" t="n"/>
    </row>
    <row r="3731">
      <c r="B3731" s="30" t="n"/>
    </row>
    <row r="3732">
      <c r="B3732" s="30" t="n"/>
    </row>
    <row r="3733">
      <c r="B3733" s="30" t="n"/>
    </row>
    <row r="3734">
      <c r="B3734" s="30" t="n"/>
    </row>
    <row r="3735">
      <c r="B3735" s="30" t="n"/>
    </row>
    <row r="3736">
      <c r="B3736" s="30" t="n"/>
    </row>
    <row r="3737">
      <c r="B3737" s="30" t="n"/>
    </row>
    <row r="3738">
      <c r="B3738" s="30" t="n"/>
    </row>
    <row r="3739">
      <c r="B3739" s="30" t="n"/>
    </row>
    <row r="3740">
      <c r="B3740" s="30" t="n"/>
    </row>
    <row r="3741">
      <c r="B3741" s="30" t="n"/>
    </row>
    <row r="3742">
      <c r="B3742" s="30" t="n"/>
    </row>
    <row r="3743">
      <c r="B3743" s="30" t="n"/>
    </row>
    <row r="3744">
      <c r="B3744" s="30" t="n"/>
    </row>
    <row r="3745">
      <c r="B3745" s="30" t="n"/>
    </row>
    <row r="3746">
      <c r="B3746" s="30" t="n"/>
    </row>
    <row r="3747">
      <c r="B3747" s="30" t="n"/>
    </row>
    <row r="3748">
      <c r="B3748" s="30" t="n"/>
    </row>
    <row r="3749">
      <c r="B3749" s="30" t="n"/>
    </row>
    <row r="3750">
      <c r="B3750" s="30" t="n"/>
    </row>
    <row r="3751">
      <c r="B3751" s="30" t="n"/>
    </row>
    <row r="3752">
      <c r="B3752" s="30" t="n"/>
    </row>
    <row r="3753">
      <c r="B3753" s="30" t="n"/>
    </row>
    <row r="3754">
      <c r="B3754" s="30" t="n"/>
    </row>
    <row r="3755">
      <c r="B3755" s="30" t="n"/>
    </row>
    <row r="3756">
      <c r="B3756" s="30" t="n"/>
    </row>
    <row r="3757">
      <c r="B3757" s="30" t="n"/>
    </row>
    <row r="3758">
      <c r="B3758" s="30" t="n"/>
    </row>
    <row r="3759">
      <c r="B3759" s="30" t="n"/>
    </row>
    <row r="3760">
      <c r="B3760" s="30" t="n"/>
    </row>
    <row r="3761">
      <c r="B3761" s="30" t="n"/>
    </row>
    <row r="3762">
      <c r="B3762" s="30" t="n"/>
    </row>
    <row r="3763">
      <c r="B3763" s="30" t="n"/>
    </row>
    <row r="3764">
      <c r="B3764" s="30" t="n"/>
    </row>
    <row r="3765">
      <c r="B3765" s="30" t="n"/>
    </row>
    <row r="3766">
      <c r="B3766" s="30" t="n"/>
    </row>
    <row r="3767">
      <c r="B3767" s="30" t="n"/>
    </row>
    <row r="3768">
      <c r="B3768" s="30" t="n"/>
    </row>
    <row r="3769">
      <c r="B3769" s="30" t="n"/>
    </row>
    <row r="3770">
      <c r="B3770" s="30" t="n"/>
    </row>
    <row r="3771">
      <c r="B3771" s="30" t="n"/>
    </row>
    <row r="3772">
      <c r="B3772" s="30" t="n"/>
    </row>
    <row r="3773">
      <c r="B3773" s="30" t="n"/>
    </row>
    <row r="3774">
      <c r="B3774" s="30" t="n"/>
    </row>
    <row r="3775">
      <c r="B3775" s="30" t="n"/>
    </row>
    <row r="3776">
      <c r="B3776" s="30" t="n"/>
    </row>
    <row r="3777">
      <c r="B3777" s="30" t="n"/>
    </row>
    <row r="3778">
      <c r="B3778" s="30" t="n"/>
    </row>
    <row r="3779">
      <c r="B3779" s="30" t="n"/>
    </row>
    <row r="3780">
      <c r="B3780" s="30" t="n"/>
    </row>
    <row r="3781">
      <c r="B3781" s="30" t="n"/>
    </row>
    <row r="3782">
      <c r="B3782" s="30" t="n"/>
    </row>
    <row r="3783">
      <c r="B3783" s="30" t="n"/>
    </row>
    <row r="3784">
      <c r="B3784" s="30" t="n"/>
    </row>
    <row r="3785">
      <c r="B3785" s="30" t="n"/>
    </row>
    <row r="3786">
      <c r="B3786" s="30" t="n"/>
    </row>
    <row r="3787">
      <c r="B3787" s="30" t="n"/>
    </row>
    <row r="3788">
      <c r="B3788" s="30" t="n"/>
    </row>
    <row r="3789">
      <c r="B3789" s="30" t="n"/>
    </row>
    <row r="3790">
      <c r="B3790" s="30" t="n"/>
    </row>
    <row r="3791">
      <c r="B3791" s="30" t="n"/>
    </row>
    <row r="3792">
      <c r="B3792" s="30" t="n"/>
    </row>
    <row r="3793">
      <c r="B3793" s="30" t="n"/>
    </row>
    <row r="3794">
      <c r="B3794" s="30" t="n"/>
    </row>
    <row r="3795">
      <c r="B3795" s="30" t="n"/>
    </row>
    <row r="3796">
      <c r="B3796" s="30" t="n"/>
    </row>
    <row r="3797">
      <c r="B3797" s="30" t="n"/>
    </row>
    <row r="3798">
      <c r="B3798" s="30" t="n"/>
    </row>
    <row r="3799">
      <c r="B3799" s="30" t="n"/>
    </row>
    <row r="3800">
      <c r="B3800" s="30" t="n"/>
    </row>
    <row r="3801">
      <c r="B3801" s="30" t="n"/>
    </row>
    <row r="3802">
      <c r="B3802" s="30" t="n"/>
    </row>
    <row r="3803">
      <c r="B3803" s="30" t="n"/>
    </row>
    <row r="3804">
      <c r="B3804" s="30" t="n"/>
    </row>
    <row r="3805">
      <c r="B3805" s="30" t="n"/>
    </row>
    <row r="3806">
      <c r="B3806" s="30" t="n"/>
    </row>
    <row r="3807">
      <c r="B3807" s="30" t="n"/>
    </row>
    <row r="3808">
      <c r="B3808" s="30" t="n"/>
    </row>
    <row r="3809">
      <c r="B3809" s="30" t="n"/>
    </row>
    <row r="3810">
      <c r="B3810" s="30" t="n"/>
    </row>
    <row r="3811">
      <c r="B3811" s="30" t="n"/>
    </row>
    <row r="3812">
      <c r="B3812" s="30" t="n"/>
    </row>
    <row r="3813">
      <c r="B3813" s="30" t="n"/>
    </row>
    <row r="3814">
      <c r="B3814" s="30" t="n"/>
    </row>
    <row r="3815">
      <c r="B3815" s="30" t="n"/>
    </row>
    <row r="3816">
      <c r="B3816" s="30" t="n"/>
    </row>
    <row r="3817">
      <c r="B3817" s="30" t="n"/>
    </row>
    <row r="3818">
      <c r="B3818" s="30" t="n"/>
    </row>
    <row r="3819">
      <c r="B3819" s="30" t="n"/>
    </row>
    <row r="3820">
      <c r="B3820" s="30" t="n"/>
    </row>
    <row r="3821">
      <c r="B3821" s="30" t="n"/>
    </row>
    <row r="3822">
      <c r="B3822" s="30" t="n"/>
    </row>
    <row r="3823">
      <c r="B3823" s="30" t="n"/>
    </row>
    <row r="3824">
      <c r="B3824" s="30" t="n"/>
    </row>
    <row r="3825">
      <c r="B3825" s="30" t="n"/>
    </row>
    <row r="3826">
      <c r="B3826" s="30" t="n"/>
    </row>
    <row r="3827">
      <c r="B3827" s="30" t="n"/>
    </row>
    <row r="3828">
      <c r="B3828" s="30" t="n"/>
    </row>
    <row r="3829">
      <c r="B3829" s="30" t="n"/>
    </row>
    <row r="3830">
      <c r="B3830" s="30" t="n"/>
    </row>
    <row r="3831">
      <c r="B3831" s="30" t="n"/>
    </row>
    <row r="3832">
      <c r="B3832" s="30" t="n"/>
    </row>
    <row r="3833">
      <c r="B3833" s="30" t="n"/>
    </row>
    <row r="3834">
      <c r="B3834" s="30" t="n"/>
    </row>
    <row r="3835">
      <c r="B3835" s="30" t="n"/>
    </row>
    <row r="3836">
      <c r="B3836" s="30" t="n"/>
    </row>
    <row r="3837">
      <c r="B3837" s="30" t="n"/>
    </row>
    <row r="3838">
      <c r="B3838" s="30" t="n"/>
    </row>
    <row r="3839">
      <c r="B3839" s="30" t="n"/>
    </row>
    <row r="3840">
      <c r="B3840" s="30" t="n"/>
    </row>
    <row r="3841">
      <c r="B3841" s="30" t="n"/>
    </row>
    <row r="3842">
      <c r="B3842" s="30" t="n"/>
    </row>
    <row r="3843">
      <c r="B3843" s="30" t="n"/>
    </row>
    <row r="3844">
      <c r="B3844" s="30" t="n"/>
    </row>
    <row r="3845">
      <c r="B3845" s="30" t="n"/>
    </row>
    <row r="3846">
      <c r="B3846" s="30" t="n"/>
    </row>
    <row r="3847">
      <c r="B3847" s="30" t="n"/>
    </row>
    <row r="3848">
      <c r="B3848" s="30" t="n"/>
    </row>
    <row r="3849">
      <c r="B3849" s="30" t="n"/>
    </row>
    <row r="3850">
      <c r="B3850" s="30" t="n"/>
    </row>
    <row r="3851">
      <c r="B3851" s="30" t="n"/>
    </row>
    <row r="3852">
      <c r="B3852" s="30" t="n"/>
    </row>
    <row r="3853">
      <c r="B3853" s="30" t="n"/>
    </row>
    <row r="3854">
      <c r="B3854" s="30" t="n"/>
    </row>
    <row r="3855">
      <c r="B3855" s="30" t="n"/>
    </row>
    <row r="3856">
      <c r="B3856" s="30" t="n"/>
    </row>
    <row r="3857">
      <c r="B3857" s="30" t="n"/>
    </row>
    <row r="3858">
      <c r="B3858" s="30" t="n"/>
    </row>
    <row r="3859">
      <c r="B3859" s="30" t="n"/>
    </row>
    <row r="3860">
      <c r="B3860" s="30" t="n"/>
    </row>
    <row r="3861">
      <c r="B3861" s="30" t="n"/>
    </row>
    <row r="3862">
      <c r="B3862" s="30" t="n"/>
    </row>
    <row r="3863">
      <c r="B3863" s="30" t="n"/>
    </row>
    <row r="3864">
      <c r="B3864" s="30" t="n"/>
    </row>
    <row r="3865">
      <c r="B3865" s="30" t="n"/>
    </row>
    <row r="3866">
      <c r="B3866" s="30" t="n"/>
    </row>
    <row r="3867">
      <c r="B3867" s="30" t="n"/>
    </row>
    <row r="3868">
      <c r="B3868" s="30" t="n"/>
    </row>
    <row r="3869">
      <c r="B3869" s="30" t="n"/>
    </row>
    <row r="3870">
      <c r="B3870" s="30" t="n"/>
    </row>
    <row r="3871">
      <c r="B3871" s="30" t="n"/>
    </row>
    <row r="3872">
      <c r="B3872" s="30" t="n"/>
    </row>
    <row r="3873">
      <c r="B3873" s="30" t="n"/>
    </row>
    <row r="3874">
      <c r="B3874" s="30" t="n"/>
    </row>
    <row r="3875">
      <c r="B3875" s="30" t="n"/>
    </row>
    <row r="3876">
      <c r="B3876" s="30" t="n"/>
    </row>
    <row r="3877">
      <c r="B3877" s="30" t="n"/>
    </row>
    <row r="3878">
      <c r="B3878" s="30" t="n"/>
    </row>
    <row r="3879">
      <c r="B3879" s="30" t="n"/>
    </row>
    <row r="3880">
      <c r="B3880" s="30" t="n"/>
    </row>
    <row r="3881">
      <c r="B3881" s="30" t="n"/>
    </row>
    <row r="3882">
      <c r="B3882" s="30" t="n"/>
    </row>
    <row r="3883">
      <c r="B3883" s="30" t="n"/>
    </row>
    <row r="3884">
      <c r="B3884" s="30" t="n"/>
    </row>
    <row r="3885">
      <c r="B3885" s="30" t="n"/>
    </row>
    <row r="3886">
      <c r="B3886" s="30" t="n"/>
    </row>
    <row r="3887">
      <c r="B3887" s="30" t="n"/>
    </row>
    <row r="3888">
      <c r="B3888" s="30" t="n"/>
    </row>
    <row r="3889">
      <c r="B3889" s="30" t="n"/>
    </row>
    <row r="3890">
      <c r="B3890" s="30" t="n"/>
    </row>
    <row r="3891">
      <c r="B3891" s="30" t="n"/>
    </row>
    <row r="3892">
      <c r="B3892" s="30" t="n"/>
    </row>
    <row r="3893">
      <c r="B3893" s="30" t="n"/>
    </row>
    <row r="3894">
      <c r="B3894" s="30" t="n"/>
    </row>
    <row r="3895">
      <c r="B3895" s="30" t="n"/>
    </row>
    <row r="3896">
      <c r="B3896" s="30" t="n"/>
    </row>
    <row r="3897">
      <c r="B3897" s="30" t="n"/>
    </row>
    <row r="3898">
      <c r="B3898" s="30" t="n"/>
    </row>
    <row r="3899">
      <c r="B3899" s="30" t="n"/>
    </row>
    <row r="3900">
      <c r="B3900" s="30" t="n"/>
    </row>
    <row r="3901">
      <c r="B3901" s="30" t="n"/>
    </row>
    <row r="3902">
      <c r="B3902" s="30" t="n"/>
    </row>
    <row r="3903">
      <c r="B3903" s="30" t="n"/>
    </row>
    <row r="3904">
      <c r="B3904" s="30" t="n"/>
    </row>
    <row r="3905">
      <c r="B3905" s="30" t="n"/>
    </row>
    <row r="3906">
      <c r="B3906" s="30" t="n"/>
    </row>
    <row r="3907">
      <c r="B3907" s="30" t="n"/>
    </row>
    <row r="3908">
      <c r="B3908" s="30" t="n"/>
    </row>
    <row r="3909">
      <c r="B3909" s="30" t="n"/>
    </row>
    <row r="3910">
      <c r="B3910" s="30" t="n"/>
    </row>
    <row r="3911">
      <c r="B3911" s="30" t="n"/>
    </row>
    <row r="3912">
      <c r="B3912" s="30" t="n"/>
    </row>
    <row r="3913">
      <c r="B3913" s="30" t="n"/>
    </row>
    <row r="3914">
      <c r="B3914" s="30" t="n"/>
    </row>
    <row r="3915">
      <c r="B3915" s="30" t="n"/>
    </row>
    <row r="3916">
      <c r="B3916" s="30" t="n"/>
    </row>
    <row r="3917">
      <c r="B3917" s="30" t="n"/>
    </row>
    <row r="3918">
      <c r="B3918" s="30" t="n"/>
    </row>
    <row r="3919">
      <c r="B3919" s="30" t="n"/>
    </row>
    <row r="3920">
      <c r="B3920" s="30" t="n"/>
    </row>
    <row r="3921">
      <c r="B3921" s="30" t="n"/>
    </row>
    <row r="3922">
      <c r="B3922" s="30" t="n"/>
    </row>
    <row r="3923">
      <c r="B3923" s="30" t="n"/>
    </row>
    <row r="3924">
      <c r="B3924" s="30" t="n"/>
    </row>
    <row r="3925">
      <c r="B3925" s="30" t="n"/>
    </row>
    <row r="3926">
      <c r="B3926" s="30" t="n"/>
    </row>
    <row r="3927">
      <c r="B3927" s="30" t="n"/>
    </row>
    <row r="3928">
      <c r="B3928" s="30" t="n"/>
    </row>
    <row r="3929">
      <c r="B3929" s="30" t="n"/>
    </row>
    <row r="3930">
      <c r="B3930" s="30" t="n"/>
    </row>
    <row r="3931">
      <c r="B3931" s="30" t="n"/>
    </row>
    <row r="3932">
      <c r="B3932" s="30" t="n"/>
    </row>
    <row r="3933">
      <c r="B3933" s="30" t="n"/>
    </row>
    <row r="3934">
      <c r="B3934" s="30" t="n"/>
    </row>
    <row r="3935">
      <c r="B3935" s="30" t="n"/>
    </row>
    <row r="3936">
      <c r="B3936" s="30" t="n"/>
    </row>
    <row r="3937">
      <c r="B3937" s="30" t="n"/>
    </row>
    <row r="3938">
      <c r="B3938" s="30" t="n"/>
    </row>
    <row r="3939">
      <c r="B3939" s="30" t="n"/>
    </row>
    <row r="3940">
      <c r="B3940" s="30" t="n"/>
    </row>
    <row r="3941">
      <c r="B3941" s="30" t="n"/>
    </row>
    <row r="3942">
      <c r="B3942" s="30" t="n"/>
    </row>
    <row r="3943">
      <c r="B3943" s="30" t="n"/>
    </row>
    <row r="3944">
      <c r="B3944" s="30" t="n"/>
    </row>
    <row r="3945">
      <c r="B3945" s="30" t="n"/>
    </row>
    <row r="3946">
      <c r="B3946" s="30" t="n"/>
    </row>
    <row r="3947">
      <c r="B3947" s="30" t="n"/>
    </row>
    <row r="3948">
      <c r="B3948" s="30" t="n"/>
    </row>
    <row r="3949">
      <c r="B3949" s="30" t="n"/>
    </row>
    <row r="3950">
      <c r="B3950" s="30" t="n"/>
    </row>
    <row r="3951">
      <c r="B3951" s="30" t="n"/>
    </row>
    <row r="3952">
      <c r="B3952" s="30" t="n"/>
    </row>
    <row r="3953">
      <c r="B3953" s="30" t="n"/>
    </row>
    <row r="3954">
      <c r="B3954" s="30" t="n"/>
    </row>
    <row r="3955">
      <c r="B3955" s="30" t="n"/>
    </row>
    <row r="3956">
      <c r="B3956" s="30" t="n"/>
    </row>
    <row r="3957">
      <c r="B3957" s="30" t="n"/>
    </row>
    <row r="3958">
      <c r="B3958" s="30" t="n"/>
    </row>
    <row r="3959">
      <c r="B3959" s="30" t="n"/>
    </row>
    <row r="3960">
      <c r="B3960" s="30" t="n"/>
    </row>
    <row r="3961">
      <c r="B3961" s="30" t="n"/>
    </row>
    <row r="3962">
      <c r="B3962" s="30" t="n"/>
    </row>
    <row r="3963">
      <c r="B3963" s="30" t="n"/>
    </row>
    <row r="3964">
      <c r="B3964" s="30" t="n"/>
    </row>
    <row r="3965">
      <c r="B3965" s="30" t="n"/>
    </row>
    <row r="3966">
      <c r="B3966" s="30" t="n"/>
    </row>
    <row r="3967">
      <c r="B3967" s="30" t="n"/>
    </row>
    <row r="3968">
      <c r="B3968" s="30" t="n"/>
    </row>
    <row r="3969">
      <c r="B3969" s="30" t="n"/>
    </row>
    <row r="3970">
      <c r="B3970" s="30" t="n"/>
    </row>
    <row r="3971">
      <c r="B3971" s="30" t="n"/>
    </row>
    <row r="3972">
      <c r="B3972" s="30" t="n"/>
    </row>
    <row r="3973">
      <c r="B3973" s="30" t="n"/>
    </row>
    <row r="3974">
      <c r="B3974" s="30" t="n"/>
    </row>
    <row r="3975">
      <c r="B3975" s="30" t="n"/>
    </row>
    <row r="3976">
      <c r="B3976" s="30" t="n"/>
    </row>
    <row r="3977">
      <c r="B3977" s="30" t="n"/>
    </row>
    <row r="3978">
      <c r="B3978" s="30" t="n"/>
    </row>
    <row r="3979">
      <c r="B3979" s="30" t="n"/>
    </row>
    <row r="3980">
      <c r="B3980" s="30" t="n"/>
    </row>
    <row r="3981">
      <c r="B3981" s="30" t="n"/>
    </row>
    <row r="3982">
      <c r="B3982" s="30" t="n"/>
    </row>
    <row r="3983">
      <c r="B3983" s="30" t="n"/>
    </row>
    <row r="3984">
      <c r="B3984" s="30" t="n"/>
    </row>
    <row r="3985">
      <c r="B3985" s="30" t="n"/>
    </row>
    <row r="3986">
      <c r="B3986" s="30" t="n"/>
    </row>
    <row r="3987">
      <c r="B3987" s="30" t="n"/>
    </row>
    <row r="3988">
      <c r="B3988" s="30" t="n"/>
    </row>
    <row r="3989">
      <c r="B3989" s="30" t="n"/>
    </row>
    <row r="3990">
      <c r="B3990" s="30" t="n"/>
    </row>
    <row r="3991">
      <c r="B3991" s="30" t="n"/>
    </row>
    <row r="3992">
      <c r="B3992" s="30" t="n"/>
    </row>
    <row r="3993">
      <c r="B3993" s="30" t="n"/>
    </row>
    <row r="3994">
      <c r="B3994" s="30" t="n"/>
    </row>
    <row r="3995">
      <c r="B3995" s="30" t="n"/>
    </row>
    <row r="3996">
      <c r="B3996" s="30" t="n"/>
    </row>
    <row r="3997">
      <c r="B3997" s="30" t="n"/>
    </row>
    <row r="3998">
      <c r="B3998" s="30" t="n"/>
    </row>
    <row r="3999">
      <c r="B3999" s="30" t="n"/>
    </row>
    <row r="4000">
      <c r="B4000" s="30" t="n"/>
    </row>
    <row r="4001">
      <c r="B4001" s="30" t="n"/>
    </row>
    <row r="4002">
      <c r="B4002" s="30" t="n"/>
    </row>
    <row r="4003">
      <c r="B4003" s="30" t="n"/>
    </row>
    <row r="4004">
      <c r="B4004" s="30" t="n"/>
    </row>
    <row r="4005">
      <c r="B4005" s="30" t="n"/>
    </row>
    <row r="4006">
      <c r="B4006" s="30" t="n"/>
    </row>
    <row r="4007">
      <c r="B4007" s="30" t="n"/>
    </row>
    <row r="4008">
      <c r="B4008" s="30" t="n"/>
    </row>
    <row r="4009">
      <c r="B4009" s="30" t="n"/>
    </row>
    <row r="4010">
      <c r="B4010" s="30" t="n"/>
    </row>
    <row r="4011">
      <c r="B4011" s="30" t="n"/>
    </row>
    <row r="4012">
      <c r="B4012" s="30" t="n"/>
    </row>
    <row r="4013">
      <c r="B4013" s="30" t="n"/>
    </row>
    <row r="4014">
      <c r="B4014" s="30" t="n"/>
    </row>
    <row r="4015">
      <c r="B4015" s="30" t="n"/>
    </row>
    <row r="4016">
      <c r="B4016" s="30" t="n"/>
    </row>
    <row r="4017">
      <c r="B4017" s="30" t="n"/>
    </row>
    <row r="4018">
      <c r="B4018" s="30" t="n"/>
    </row>
    <row r="4019">
      <c r="B4019" s="30" t="n"/>
    </row>
    <row r="4020">
      <c r="B4020" s="30" t="n"/>
    </row>
    <row r="4021">
      <c r="B4021" s="30" t="n"/>
    </row>
    <row r="4022">
      <c r="B4022" s="30" t="n"/>
    </row>
    <row r="4023">
      <c r="B4023" s="30" t="n"/>
    </row>
    <row r="4024">
      <c r="B4024" s="30" t="n"/>
    </row>
    <row r="4025">
      <c r="B4025" s="30" t="n"/>
    </row>
    <row r="4026">
      <c r="B4026" s="30" t="n"/>
    </row>
    <row r="4027">
      <c r="B4027" s="30" t="n"/>
    </row>
    <row r="4028">
      <c r="B4028" s="30" t="n"/>
    </row>
    <row r="4029">
      <c r="B4029" s="30" t="n"/>
    </row>
    <row r="4030">
      <c r="B4030" s="30" t="n"/>
    </row>
    <row r="4031">
      <c r="B4031" s="30" t="n"/>
    </row>
    <row r="4032">
      <c r="B4032" s="30" t="n"/>
    </row>
    <row r="4033">
      <c r="B4033" s="30" t="n"/>
    </row>
    <row r="4034">
      <c r="B4034" s="30" t="n"/>
    </row>
    <row r="4035">
      <c r="B4035" s="30" t="n"/>
    </row>
    <row r="4036">
      <c r="B4036" s="30" t="n"/>
    </row>
    <row r="4037">
      <c r="B4037" s="30" t="n"/>
    </row>
    <row r="4038">
      <c r="B4038" s="30" t="n"/>
    </row>
    <row r="4039">
      <c r="B4039" s="30" t="n"/>
    </row>
    <row r="4040">
      <c r="B4040" s="30" t="n"/>
    </row>
    <row r="4041">
      <c r="B4041" s="30" t="n"/>
    </row>
    <row r="4042">
      <c r="B4042" s="30" t="n"/>
    </row>
    <row r="4043">
      <c r="B4043" s="30" t="n"/>
    </row>
    <row r="4044">
      <c r="B4044" s="30" t="n"/>
    </row>
    <row r="4045">
      <c r="B4045" s="30" t="n"/>
    </row>
    <row r="4046">
      <c r="B4046" s="30" t="n"/>
    </row>
    <row r="4047">
      <c r="B4047" s="30" t="n"/>
    </row>
    <row r="4048">
      <c r="B4048" s="30" t="n"/>
    </row>
    <row r="4049">
      <c r="B4049" s="30" t="n"/>
    </row>
    <row r="4050">
      <c r="B4050" s="30" t="n"/>
    </row>
    <row r="4051">
      <c r="B4051" s="30" t="n"/>
    </row>
    <row r="4052">
      <c r="B4052" s="30" t="n"/>
    </row>
    <row r="4053">
      <c r="B4053" s="30" t="n"/>
    </row>
    <row r="4054">
      <c r="B4054" s="30" t="n"/>
    </row>
    <row r="4055">
      <c r="B4055" s="30" t="n"/>
    </row>
    <row r="4056">
      <c r="B4056" s="30" t="n"/>
    </row>
    <row r="4057">
      <c r="B4057" s="30" t="n"/>
    </row>
    <row r="4058">
      <c r="B4058" s="30" t="n"/>
    </row>
    <row r="4059">
      <c r="B4059" s="30" t="n"/>
    </row>
    <row r="4060">
      <c r="B4060" s="30" t="n"/>
    </row>
    <row r="4061">
      <c r="B4061" s="30" t="n"/>
    </row>
    <row r="4062">
      <c r="B4062" s="30" t="n"/>
    </row>
    <row r="4063">
      <c r="B4063" s="30" t="n"/>
    </row>
    <row r="4064">
      <c r="B4064" s="30" t="n"/>
    </row>
    <row r="4065">
      <c r="B4065" s="30" t="n"/>
    </row>
    <row r="4066">
      <c r="B4066" s="30" t="n"/>
    </row>
    <row r="4067">
      <c r="B4067" s="30" t="n"/>
    </row>
    <row r="4068">
      <c r="B4068" s="30" t="n"/>
    </row>
    <row r="4069">
      <c r="B4069" s="30" t="n"/>
    </row>
    <row r="4070">
      <c r="B4070" s="30" t="n"/>
    </row>
    <row r="4071">
      <c r="B4071" s="30" t="n"/>
    </row>
    <row r="4072">
      <c r="B4072" s="30" t="n"/>
    </row>
    <row r="4073">
      <c r="B4073" s="30" t="n"/>
    </row>
    <row r="4074">
      <c r="B4074" s="30" t="n"/>
    </row>
    <row r="4075">
      <c r="B4075" s="30" t="n"/>
    </row>
    <row r="4076">
      <c r="B4076" s="30" t="n"/>
    </row>
    <row r="4077">
      <c r="B4077" s="30" t="n"/>
    </row>
    <row r="4078">
      <c r="B4078" s="30" t="n"/>
    </row>
    <row r="4079">
      <c r="B4079" s="30" t="n"/>
    </row>
    <row r="4080">
      <c r="B4080" s="30" t="n"/>
    </row>
    <row r="4081">
      <c r="B4081" s="30" t="n"/>
    </row>
    <row r="4082">
      <c r="B4082" s="30" t="n"/>
    </row>
    <row r="4083">
      <c r="B4083" s="30" t="n"/>
    </row>
    <row r="4084">
      <c r="B4084" s="30" t="n"/>
    </row>
    <row r="4085">
      <c r="B4085" s="30" t="n"/>
    </row>
    <row r="4086">
      <c r="B4086" s="30" t="n"/>
    </row>
    <row r="4087">
      <c r="B4087" s="30" t="n"/>
    </row>
    <row r="4088">
      <c r="B4088" s="30" t="n"/>
    </row>
    <row r="4089">
      <c r="B4089" s="30" t="n"/>
    </row>
    <row r="4090">
      <c r="B4090" s="30" t="n"/>
    </row>
    <row r="4091">
      <c r="B4091" s="30" t="n"/>
    </row>
    <row r="4092">
      <c r="B4092" s="30" t="n"/>
    </row>
    <row r="4093">
      <c r="B4093" s="30" t="n"/>
    </row>
    <row r="4094">
      <c r="B4094" s="30" t="n"/>
    </row>
    <row r="4095">
      <c r="B4095" s="30" t="n"/>
    </row>
    <row r="4096">
      <c r="B4096" s="30" t="n"/>
    </row>
    <row r="4097">
      <c r="B4097" s="30" t="n"/>
    </row>
    <row r="4098">
      <c r="B4098" s="30" t="n"/>
    </row>
    <row r="4099">
      <c r="B4099" s="30" t="n"/>
    </row>
    <row r="4100">
      <c r="B4100" s="30" t="n"/>
    </row>
    <row r="4101">
      <c r="B4101" s="30" t="n"/>
    </row>
    <row r="4102">
      <c r="B4102" s="30" t="n"/>
    </row>
    <row r="4103">
      <c r="B4103" s="30" t="n"/>
    </row>
    <row r="4104">
      <c r="B4104" s="30" t="n"/>
    </row>
    <row r="4105">
      <c r="B4105" s="30" t="n"/>
    </row>
    <row r="4106">
      <c r="B4106" s="30" t="n"/>
    </row>
    <row r="4107">
      <c r="B4107" s="30" t="n"/>
    </row>
    <row r="4108">
      <c r="B4108" s="30" t="n"/>
    </row>
    <row r="4109">
      <c r="B4109" s="30" t="n"/>
    </row>
    <row r="4110">
      <c r="B4110" s="30" t="n"/>
    </row>
    <row r="4111">
      <c r="B4111" s="30" t="n"/>
    </row>
    <row r="4112">
      <c r="B4112" s="30" t="n"/>
    </row>
    <row r="4113">
      <c r="B4113" s="30" t="n"/>
    </row>
    <row r="4114">
      <c r="B4114" s="30" t="n"/>
    </row>
    <row r="4115">
      <c r="B4115" s="30" t="n"/>
    </row>
    <row r="4116">
      <c r="B4116" s="30" t="n"/>
    </row>
    <row r="4117">
      <c r="B4117" s="30" t="n"/>
    </row>
    <row r="4118">
      <c r="B4118" s="30" t="n"/>
    </row>
    <row r="4119">
      <c r="B4119" s="30" t="n"/>
    </row>
    <row r="4120">
      <c r="B4120" s="30" t="n"/>
    </row>
    <row r="4121">
      <c r="B4121" s="30" t="n"/>
    </row>
    <row r="4122">
      <c r="B4122" s="30" t="n"/>
    </row>
    <row r="4123">
      <c r="B4123" s="30" t="n"/>
    </row>
    <row r="4124">
      <c r="B4124" s="30" t="n"/>
    </row>
    <row r="4125">
      <c r="B4125" s="30" t="n"/>
    </row>
    <row r="4126">
      <c r="B4126" s="30" t="n"/>
    </row>
    <row r="4127">
      <c r="B4127" s="30" t="n"/>
    </row>
    <row r="4128">
      <c r="B4128" s="30" t="n"/>
    </row>
    <row r="4129">
      <c r="B4129" s="30" t="n"/>
    </row>
    <row r="4130">
      <c r="B4130" s="30" t="n"/>
    </row>
    <row r="4131">
      <c r="B4131" s="30" t="n"/>
    </row>
    <row r="4132">
      <c r="B4132" s="30" t="n"/>
    </row>
    <row r="4133">
      <c r="B4133" s="30" t="n"/>
    </row>
    <row r="4134">
      <c r="B4134" s="30" t="n"/>
    </row>
    <row r="4135">
      <c r="B4135" s="30" t="n"/>
    </row>
    <row r="4136">
      <c r="B4136" s="30" t="n"/>
    </row>
    <row r="4137">
      <c r="B4137" s="30" t="n"/>
    </row>
    <row r="4138">
      <c r="B4138" s="30" t="n"/>
    </row>
    <row r="4139">
      <c r="B4139" s="30" t="n"/>
    </row>
    <row r="4140">
      <c r="B4140" s="30" t="n"/>
    </row>
    <row r="4141">
      <c r="B4141" s="30" t="n"/>
    </row>
    <row r="4142">
      <c r="B4142" s="30" t="n"/>
    </row>
    <row r="4143">
      <c r="B4143" s="30" t="n"/>
    </row>
    <row r="4144">
      <c r="B4144" s="30" t="n"/>
    </row>
    <row r="4145">
      <c r="B4145" s="30" t="n"/>
    </row>
    <row r="4146">
      <c r="B4146" s="30" t="n"/>
    </row>
    <row r="4147">
      <c r="B4147" s="30" t="n"/>
    </row>
    <row r="4148">
      <c r="B4148" s="30" t="n"/>
    </row>
    <row r="4149">
      <c r="B4149" s="30" t="n"/>
    </row>
    <row r="4150">
      <c r="B4150" s="30" t="n"/>
    </row>
    <row r="4151">
      <c r="B4151" s="30" t="n"/>
    </row>
    <row r="4152">
      <c r="B4152" s="30" t="n"/>
    </row>
    <row r="4153">
      <c r="B4153" s="30" t="n"/>
    </row>
    <row r="4154">
      <c r="B4154" s="30" t="n"/>
    </row>
    <row r="4155">
      <c r="B4155" s="30" t="n"/>
    </row>
    <row r="4156">
      <c r="B4156" s="30" t="n"/>
    </row>
    <row r="4157">
      <c r="B4157" s="30" t="n"/>
    </row>
    <row r="4158">
      <c r="B4158" s="30" t="n"/>
    </row>
    <row r="4159">
      <c r="B4159" s="30" t="n"/>
    </row>
    <row r="4160">
      <c r="B4160" s="30" t="n"/>
    </row>
    <row r="4161">
      <c r="B4161" s="30" t="n"/>
    </row>
    <row r="4162">
      <c r="B4162" s="30" t="n"/>
    </row>
    <row r="4163">
      <c r="B4163" s="30" t="n"/>
    </row>
    <row r="4164">
      <c r="B4164" s="30" t="n"/>
    </row>
    <row r="4165">
      <c r="B4165" s="30" t="n"/>
    </row>
    <row r="4166">
      <c r="B4166" s="30" t="n"/>
    </row>
    <row r="4167">
      <c r="B4167" s="30" t="n"/>
    </row>
    <row r="4168">
      <c r="B4168" s="30" t="n"/>
    </row>
    <row r="4169">
      <c r="B4169" s="30" t="n"/>
    </row>
    <row r="4170">
      <c r="B4170" s="30" t="n"/>
    </row>
    <row r="4171">
      <c r="B4171" s="30" t="n"/>
    </row>
    <row r="4172">
      <c r="B4172" s="30" t="n"/>
    </row>
    <row r="4173">
      <c r="B4173" s="30" t="n"/>
    </row>
    <row r="4174">
      <c r="B4174" s="30" t="n"/>
    </row>
    <row r="4175">
      <c r="B4175" s="30" t="n"/>
    </row>
    <row r="4176">
      <c r="B4176" s="30" t="n"/>
    </row>
    <row r="4177">
      <c r="B4177" s="30" t="n"/>
    </row>
    <row r="4178">
      <c r="B4178" s="30" t="n"/>
    </row>
    <row r="4179">
      <c r="B4179" s="30" t="n"/>
    </row>
    <row r="4180">
      <c r="B4180" s="30" t="n"/>
    </row>
    <row r="4181">
      <c r="B4181" s="30" t="n"/>
    </row>
    <row r="4182">
      <c r="B4182" s="30" t="n"/>
    </row>
    <row r="4183">
      <c r="B4183" s="30" t="n"/>
    </row>
    <row r="4184">
      <c r="B4184" s="30" t="n"/>
    </row>
    <row r="4185">
      <c r="B4185" s="30" t="n"/>
    </row>
    <row r="4186">
      <c r="B4186" s="30" t="n"/>
    </row>
    <row r="4187">
      <c r="B4187" s="30" t="n"/>
    </row>
    <row r="4188">
      <c r="B4188" s="30" t="n"/>
    </row>
    <row r="4189">
      <c r="B4189" s="30" t="n"/>
    </row>
    <row r="4190">
      <c r="B4190" s="30" t="n"/>
    </row>
    <row r="4191">
      <c r="B4191" s="30" t="n"/>
    </row>
    <row r="4192">
      <c r="B4192" s="30" t="n"/>
    </row>
    <row r="4193">
      <c r="B4193" s="30" t="n"/>
    </row>
    <row r="4194">
      <c r="B4194" s="30" t="n"/>
    </row>
    <row r="4195">
      <c r="B4195" s="30" t="n"/>
    </row>
    <row r="4196">
      <c r="B4196" s="30" t="n"/>
    </row>
    <row r="4197">
      <c r="B4197" s="30" t="n"/>
    </row>
    <row r="4198">
      <c r="B4198" s="30" t="n"/>
    </row>
    <row r="4199">
      <c r="B4199" s="30" t="n"/>
    </row>
    <row r="4200">
      <c r="B4200" s="30" t="n"/>
    </row>
    <row r="4201">
      <c r="B4201" s="30" t="n"/>
    </row>
    <row r="4202">
      <c r="B4202" s="30" t="n"/>
    </row>
    <row r="4203">
      <c r="B4203" s="30" t="n"/>
    </row>
    <row r="4204">
      <c r="B4204" s="30" t="n"/>
    </row>
    <row r="4205">
      <c r="B4205" s="30" t="n"/>
    </row>
    <row r="4206">
      <c r="B4206" s="30" t="n"/>
    </row>
    <row r="4207">
      <c r="B4207" s="30" t="n"/>
    </row>
    <row r="4208">
      <c r="B4208" s="30" t="n"/>
    </row>
    <row r="4209">
      <c r="B4209" s="30" t="n"/>
    </row>
    <row r="4210">
      <c r="B4210" s="30" t="n"/>
    </row>
    <row r="4211">
      <c r="B4211" s="30" t="n"/>
    </row>
    <row r="4212">
      <c r="B4212" s="30" t="n"/>
    </row>
    <row r="4213">
      <c r="B4213" s="30" t="n"/>
    </row>
    <row r="4214">
      <c r="B4214" s="30" t="n"/>
    </row>
    <row r="4215">
      <c r="B4215" s="30" t="n"/>
    </row>
    <row r="4216">
      <c r="B4216" s="30" t="n"/>
    </row>
    <row r="4217">
      <c r="B4217" s="30" t="n"/>
    </row>
    <row r="4218">
      <c r="B4218" s="30" t="n"/>
    </row>
    <row r="4219">
      <c r="B4219" s="30" t="n"/>
    </row>
    <row r="4220">
      <c r="B4220" s="30" t="n"/>
    </row>
    <row r="4221">
      <c r="B4221" s="30" t="n"/>
    </row>
    <row r="4222">
      <c r="B4222" s="30" t="n"/>
    </row>
    <row r="4223">
      <c r="B4223" s="30" t="n"/>
    </row>
    <row r="4224">
      <c r="B4224" s="30" t="n"/>
    </row>
    <row r="4225">
      <c r="B4225" s="30" t="n"/>
    </row>
    <row r="4226">
      <c r="B4226" s="30" t="n"/>
    </row>
    <row r="4227">
      <c r="B4227" s="30" t="n"/>
    </row>
    <row r="4228">
      <c r="B4228" s="30" t="n"/>
    </row>
    <row r="4229">
      <c r="B4229" s="30" t="n"/>
    </row>
    <row r="4230">
      <c r="B4230" s="30" t="n"/>
    </row>
    <row r="4231">
      <c r="B4231" s="30" t="n"/>
    </row>
    <row r="4232">
      <c r="B4232" s="30" t="n"/>
    </row>
    <row r="4233">
      <c r="B4233" s="30" t="n"/>
    </row>
    <row r="4234">
      <c r="B4234" s="30" t="n"/>
    </row>
    <row r="4235">
      <c r="B4235" s="30" t="n"/>
    </row>
    <row r="4236">
      <c r="B4236" s="30" t="n"/>
    </row>
    <row r="4237">
      <c r="B4237" s="30" t="n"/>
    </row>
    <row r="4238">
      <c r="B4238" s="30" t="n"/>
    </row>
    <row r="4239">
      <c r="B4239" s="30" t="n"/>
    </row>
    <row r="4240">
      <c r="B4240" s="30" t="n"/>
    </row>
    <row r="4241">
      <c r="B4241" s="30" t="n"/>
    </row>
    <row r="4242">
      <c r="B4242" s="30" t="n"/>
    </row>
    <row r="4243">
      <c r="B4243" s="30" t="n"/>
    </row>
    <row r="4244">
      <c r="B4244" s="30" t="n"/>
    </row>
    <row r="4245">
      <c r="B4245" s="30" t="n"/>
    </row>
    <row r="4246">
      <c r="B4246" s="30" t="n"/>
    </row>
    <row r="4247">
      <c r="B4247" s="30" t="n"/>
    </row>
    <row r="4248">
      <c r="B4248" s="30" t="n"/>
    </row>
    <row r="4249">
      <c r="B4249" s="30" t="n"/>
    </row>
    <row r="4250">
      <c r="B4250" s="30" t="n"/>
    </row>
    <row r="4251">
      <c r="B4251" s="30" t="n"/>
    </row>
    <row r="4252">
      <c r="B4252" s="30" t="n"/>
    </row>
    <row r="4253">
      <c r="B4253" s="30" t="n"/>
    </row>
    <row r="4254">
      <c r="B4254" s="30" t="n"/>
    </row>
    <row r="4255">
      <c r="B4255" s="30" t="n"/>
    </row>
    <row r="4256">
      <c r="B4256" s="30" t="n"/>
    </row>
    <row r="4257">
      <c r="B4257" s="30" t="n"/>
    </row>
    <row r="4258">
      <c r="B4258" s="30" t="n"/>
    </row>
    <row r="4259">
      <c r="B4259" s="30" t="n"/>
    </row>
    <row r="4260">
      <c r="B4260" s="30" t="n"/>
    </row>
    <row r="4261">
      <c r="B4261" s="30" t="n"/>
    </row>
    <row r="4262">
      <c r="B4262" s="30" t="n"/>
    </row>
    <row r="4263">
      <c r="B4263" s="30" t="n"/>
    </row>
    <row r="4264">
      <c r="B4264" s="30" t="n"/>
    </row>
    <row r="4265">
      <c r="B4265" s="30" t="n"/>
    </row>
    <row r="4266">
      <c r="B4266" s="30" t="n"/>
    </row>
    <row r="4267">
      <c r="B4267" s="30" t="n"/>
    </row>
    <row r="4268">
      <c r="B4268" s="30" t="n"/>
    </row>
    <row r="4269">
      <c r="B4269" s="30" t="n"/>
    </row>
    <row r="4270">
      <c r="B4270" s="30" t="n"/>
    </row>
    <row r="4271">
      <c r="B4271" s="30" t="n"/>
    </row>
    <row r="4272">
      <c r="B4272" s="30" t="n"/>
    </row>
    <row r="4273">
      <c r="B4273" s="30" t="n"/>
    </row>
    <row r="4274">
      <c r="B4274" s="30" t="n"/>
    </row>
    <row r="4275">
      <c r="B4275" s="30" t="n"/>
    </row>
    <row r="4276">
      <c r="B4276" s="30" t="n"/>
    </row>
    <row r="4277">
      <c r="B4277" s="30" t="n"/>
    </row>
    <row r="4278">
      <c r="B4278" s="30" t="n"/>
    </row>
    <row r="4279">
      <c r="B4279" s="30" t="n"/>
    </row>
    <row r="4280">
      <c r="B4280" s="30" t="n"/>
    </row>
    <row r="4281">
      <c r="B4281" s="30" t="n"/>
    </row>
    <row r="4282">
      <c r="B4282" s="30" t="n"/>
    </row>
    <row r="4283">
      <c r="B4283" s="30" t="n"/>
    </row>
    <row r="4284">
      <c r="B4284" s="30" t="n"/>
    </row>
    <row r="4285">
      <c r="B4285" s="30" t="n"/>
    </row>
    <row r="4286">
      <c r="B4286" s="30" t="n"/>
    </row>
    <row r="4287">
      <c r="B4287" s="30" t="n"/>
    </row>
    <row r="4288">
      <c r="B4288" s="30" t="n"/>
    </row>
    <row r="4289">
      <c r="B4289" s="30" t="n"/>
    </row>
    <row r="4290">
      <c r="B4290" s="30" t="n"/>
    </row>
    <row r="4291">
      <c r="B4291" s="30" t="n"/>
    </row>
    <row r="4292">
      <c r="B4292" s="30" t="n"/>
    </row>
    <row r="4293">
      <c r="B4293" s="30" t="n"/>
    </row>
    <row r="4294">
      <c r="B4294" s="30" t="n"/>
    </row>
    <row r="4295">
      <c r="B4295" s="30" t="n"/>
    </row>
    <row r="4296">
      <c r="B4296" s="30" t="n"/>
    </row>
    <row r="4297">
      <c r="B4297" s="30" t="n"/>
    </row>
    <row r="4298">
      <c r="B4298" s="30" t="n"/>
    </row>
    <row r="4299">
      <c r="B4299" s="30" t="n"/>
    </row>
    <row r="4300">
      <c r="B4300" s="30" t="n"/>
    </row>
    <row r="4301">
      <c r="B4301" s="30" t="n"/>
    </row>
    <row r="4302">
      <c r="B4302" s="30" t="n"/>
    </row>
    <row r="4303">
      <c r="B4303" s="30" t="n"/>
    </row>
    <row r="4304">
      <c r="B4304" s="30" t="n"/>
    </row>
    <row r="4305">
      <c r="B4305" s="30" t="n"/>
    </row>
    <row r="4306">
      <c r="B4306" s="30" t="n"/>
    </row>
    <row r="4307">
      <c r="B4307" s="30" t="n"/>
    </row>
    <row r="4308">
      <c r="B4308" s="30" t="n"/>
    </row>
    <row r="4309">
      <c r="B4309" s="30" t="n"/>
    </row>
    <row r="4310">
      <c r="B4310" s="30" t="n"/>
    </row>
    <row r="4311">
      <c r="B4311" s="30" t="n"/>
    </row>
    <row r="4312">
      <c r="B4312" s="30" t="n"/>
    </row>
    <row r="4313">
      <c r="B4313" s="30" t="n"/>
    </row>
    <row r="4314">
      <c r="B4314" s="30" t="n"/>
    </row>
    <row r="4315">
      <c r="B4315" s="30" t="n"/>
    </row>
    <row r="4316">
      <c r="B4316" s="30" t="n"/>
    </row>
    <row r="4317">
      <c r="B4317" s="30" t="n"/>
    </row>
    <row r="4318">
      <c r="B4318" s="30" t="n"/>
    </row>
    <row r="4319">
      <c r="B4319" s="30" t="n"/>
    </row>
    <row r="4320">
      <c r="B4320" s="30" t="n"/>
    </row>
    <row r="4321">
      <c r="B4321" s="30" t="n"/>
    </row>
    <row r="4322">
      <c r="B4322" s="30" t="n"/>
    </row>
    <row r="4323">
      <c r="B4323" s="30" t="n"/>
    </row>
    <row r="4324">
      <c r="B4324" s="30" t="n"/>
    </row>
    <row r="4325">
      <c r="B4325" s="30" t="n"/>
    </row>
    <row r="4326">
      <c r="B4326" s="30" t="n"/>
    </row>
    <row r="4327">
      <c r="B4327" s="30" t="n"/>
    </row>
    <row r="4328">
      <c r="B4328" s="30" t="n"/>
    </row>
    <row r="4329">
      <c r="B4329" s="30" t="n"/>
    </row>
    <row r="4330">
      <c r="B4330" s="30" t="n"/>
    </row>
    <row r="4331">
      <c r="B4331" s="30" t="n"/>
    </row>
    <row r="4332">
      <c r="B4332" s="30" t="n"/>
    </row>
    <row r="4333">
      <c r="B4333" s="30" t="n"/>
    </row>
    <row r="4334">
      <c r="B4334" s="30" t="n"/>
    </row>
    <row r="4335">
      <c r="B4335" s="30" t="n"/>
    </row>
    <row r="4336">
      <c r="B4336" s="30" t="n"/>
    </row>
    <row r="4337">
      <c r="B4337" s="30" t="n"/>
    </row>
    <row r="4338">
      <c r="B4338" s="30" t="n"/>
    </row>
    <row r="4339">
      <c r="B4339" s="30" t="n"/>
    </row>
    <row r="4340">
      <c r="B4340" s="30" t="n"/>
    </row>
    <row r="4341">
      <c r="B4341" s="30" t="n"/>
    </row>
    <row r="4342">
      <c r="B4342" s="30" t="n"/>
    </row>
    <row r="4343">
      <c r="B4343" s="30" t="n"/>
    </row>
    <row r="4344">
      <c r="B4344" s="30" t="n"/>
    </row>
    <row r="4345">
      <c r="B4345" s="30" t="n"/>
    </row>
    <row r="4346">
      <c r="B4346" s="30" t="n"/>
    </row>
    <row r="4347">
      <c r="B4347" s="30" t="n"/>
    </row>
    <row r="4348">
      <c r="B4348" s="30" t="n"/>
    </row>
    <row r="4349">
      <c r="B4349" s="30" t="n"/>
    </row>
    <row r="4350">
      <c r="B4350" s="30" t="n"/>
    </row>
    <row r="4351">
      <c r="B4351" s="30" t="n"/>
    </row>
    <row r="4352">
      <c r="B4352" s="30" t="n"/>
    </row>
    <row r="4353">
      <c r="B4353" s="30" t="n"/>
    </row>
    <row r="4354">
      <c r="B4354" s="30" t="n"/>
    </row>
    <row r="4355">
      <c r="B4355" s="30" t="n"/>
    </row>
    <row r="4356">
      <c r="B4356" s="30" t="n"/>
    </row>
    <row r="4357">
      <c r="B4357" s="30" t="n"/>
    </row>
    <row r="4358">
      <c r="B4358" s="30" t="n"/>
    </row>
    <row r="4359">
      <c r="B4359" s="30" t="n"/>
    </row>
    <row r="4360">
      <c r="B4360" s="30" t="n"/>
    </row>
    <row r="4361">
      <c r="B4361" s="30" t="n"/>
    </row>
    <row r="4362">
      <c r="B4362" s="30" t="n"/>
    </row>
    <row r="4363">
      <c r="B4363" s="30" t="n"/>
    </row>
    <row r="4364">
      <c r="B4364" s="30" t="n"/>
    </row>
    <row r="4365">
      <c r="B4365" s="30" t="n"/>
    </row>
    <row r="4366">
      <c r="B4366" s="30" t="n"/>
    </row>
    <row r="4367">
      <c r="B4367" s="30" t="n"/>
    </row>
    <row r="4368">
      <c r="B4368" s="30" t="n"/>
    </row>
    <row r="4369">
      <c r="B4369" s="30" t="n"/>
    </row>
    <row r="4370">
      <c r="B4370" s="30" t="n"/>
    </row>
    <row r="4371">
      <c r="B4371" s="30" t="n"/>
    </row>
    <row r="4372">
      <c r="B4372" s="30" t="n"/>
    </row>
    <row r="4373">
      <c r="B4373" s="30" t="n"/>
    </row>
    <row r="4374">
      <c r="B4374" s="30" t="n"/>
    </row>
    <row r="4375">
      <c r="B4375" s="30" t="n"/>
    </row>
    <row r="4376">
      <c r="B4376" s="30" t="n"/>
    </row>
    <row r="4377">
      <c r="B4377" s="30" t="n"/>
    </row>
    <row r="4378">
      <c r="B4378" s="30" t="n"/>
    </row>
    <row r="4379">
      <c r="B4379" s="30" t="n"/>
    </row>
    <row r="4380">
      <c r="B4380" s="30" t="n"/>
    </row>
    <row r="4381">
      <c r="B4381" s="30" t="n"/>
    </row>
    <row r="4382">
      <c r="B4382" s="30" t="n"/>
    </row>
    <row r="4383">
      <c r="B4383" s="30" t="n"/>
    </row>
    <row r="4384">
      <c r="B4384" s="30" t="n"/>
    </row>
    <row r="4385">
      <c r="B4385" s="30" t="n"/>
    </row>
    <row r="4386">
      <c r="B4386" s="30" t="n"/>
    </row>
    <row r="4387">
      <c r="B4387" s="30" t="n"/>
    </row>
    <row r="4388">
      <c r="B4388" s="30" t="n"/>
    </row>
    <row r="4389">
      <c r="B4389" s="30" t="n"/>
    </row>
    <row r="4390">
      <c r="B4390" s="30" t="n"/>
    </row>
    <row r="4391">
      <c r="B4391" s="30" t="n"/>
    </row>
    <row r="4392">
      <c r="B4392" s="30" t="n"/>
    </row>
    <row r="4393">
      <c r="B4393" s="30" t="n"/>
    </row>
    <row r="4394">
      <c r="B4394" s="30" t="n"/>
    </row>
    <row r="4395">
      <c r="B4395" s="30" t="n"/>
    </row>
    <row r="4396">
      <c r="B4396" s="30" t="n"/>
    </row>
    <row r="4397">
      <c r="B4397" s="30" t="n"/>
    </row>
    <row r="4398">
      <c r="B4398" s="30" t="n"/>
    </row>
    <row r="4399">
      <c r="B4399" s="30" t="n"/>
    </row>
    <row r="4400">
      <c r="B4400" s="30" t="n"/>
    </row>
    <row r="4401">
      <c r="B4401" s="30" t="n"/>
    </row>
    <row r="4402">
      <c r="B4402" s="30" t="n"/>
    </row>
    <row r="4403">
      <c r="B4403" s="30" t="n"/>
    </row>
    <row r="4404">
      <c r="B4404" s="30" t="n"/>
    </row>
    <row r="4405">
      <c r="B4405" s="30" t="n"/>
    </row>
    <row r="4406">
      <c r="B4406" s="30" t="n"/>
    </row>
    <row r="4407">
      <c r="B4407" s="30" t="n"/>
    </row>
    <row r="4408">
      <c r="B4408" s="30" t="n"/>
    </row>
    <row r="4409">
      <c r="B4409" s="30" t="n"/>
    </row>
    <row r="4410">
      <c r="B4410" s="30" t="n"/>
    </row>
    <row r="4411">
      <c r="B4411" s="30" t="n"/>
    </row>
    <row r="4412">
      <c r="B4412" s="30" t="n"/>
    </row>
    <row r="4413">
      <c r="B4413" s="30" t="n"/>
    </row>
    <row r="4414">
      <c r="B4414" s="30" t="n"/>
    </row>
    <row r="4415">
      <c r="B4415" s="30" t="n"/>
    </row>
    <row r="4416">
      <c r="B4416" s="30" t="n"/>
    </row>
    <row r="4417">
      <c r="B4417" s="30" t="n"/>
    </row>
    <row r="4418">
      <c r="B4418" s="30" t="n"/>
    </row>
    <row r="4419">
      <c r="B4419" s="30" t="n"/>
    </row>
    <row r="4420">
      <c r="B4420" s="30" t="n"/>
    </row>
    <row r="4421">
      <c r="B4421" s="30" t="n"/>
    </row>
    <row r="4422">
      <c r="B4422" s="30" t="n"/>
    </row>
    <row r="4423">
      <c r="B4423" s="30" t="n"/>
    </row>
    <row r="4424">
      <c r="B4424" s="30" t="n"/>
    </row>
    <row r="4425">
      <c r="B4425" s="30" t="n"/>
    </row>
    <row r="4426">
      <c r="B4426" s="30" t="n"/>
    </row>
    <row r="4427">
      <c r="B4427" s="30" t="n"/>
    </row>
    <row r="4428">
      <c r="B4428" s="30" t="n"/>
    </row>
    <row r="4429">
      <c r="B4429" s="30" t="n"/>
    </row>
    <row r="4430">
      <c r="B4430" s="30" t="n"/>
    </row>
    <row r="4431">
      <c r="B4431" s="30" t="n"/>
    </row>
    <row r="4432">
      <c r="B4432" s="30" t="n"/>
    </row>
    <row r="4433">
      <c r="B4433" s="30" t="n"/>
    </row>
    <row r="4434">
      <c r="B4434" s="30" t="n"/>
    </row>
    <row r="4435">
      <c r="B4435" s="30" t="n"/>
    </row>
    <row r="4436">
      <c r="B4436" s="30" t="n"/>
    </row>
    <row r="4437">
      <c r="B4437" s="30" t="n"/>
    </row>
    <row r="4438">
      <c r="B4438" s="30" t="n"/>
    </row>
    <row r="4439">
      <c r="B4439" s="30" t="n"/>
    </row>
    <row r="4440">
      <c r="B4440" s="30" t="n"/>
    </row>
    <row r="4441">
      <c r="B4441" s="30" t="n"/>
    </row>
    <row r="4442">
      <c r="B4442" s="30" t="n"/>
    </row>
    <row r="4443">
      <c r="B4443" s="30" t="n"/>
    </row>
    <row r="4444">
      <c r="B4444" s="30" t="n"/>
    </row>
    <row r="4445">
      <c r="B4445" s="30" t="n"/>
    </row>
    <row r="4446">
      <c r="B4446" s="30" t="n"/>
    </row>
    <row r="4447">
      <c r="B4447" s="30" t="n"/>
    </row>
    <row r="4448">
      <c r="B4448" s="30" t="n"/>
    </row>
    <row r="4449">
      <c r="B4449" s="30" t="n"/>
    </row>
    <row r="4450">
      <c r="B4450" s="30" t="n"/>
    </row>
    <row r="4451">
      <c r="B4451" s="30" t="n"/>
    </row>
    <row r="4452">
      <c r="B4452" s="30" t="n"/>
    </row>
    <row r="4453">
      <c r="B4453" s="30" t="n"/>
    </row>
    <row r="4454">
      <c r="B4454" s="30" t="n"/>
    </row>
    <row r="4455">
      <c r="B4455" s="30" t="n"/>
    </row>
    <row r="4456">
      <c r="B4456" s="30" t="n"/>
    </row>
    <row r="4457">
      <c r="B4457" s="30" t="n"/>
    </row>
    <row r="4458">
      <c r="B4458" s="30" t="n"/>
    </row>
    <row r="4459">
      <c r="B4459" s="30" t="n"/>
    </row>
    <row r="4460">
      <c r="B4460" s="30" t="n"/>
    </row>
    <row r="4461">
      <c r="B4461" s="30" t="n"/>
    </row>
    <row r="4462">
      <c r="B4462" s="30" t="n"/>
    </row>
    <row r="4463">
      <c r="B4463" s="30" t="n"/>
    </row>
    <row r="4464">
      <c r="B4464" s="30" t="n"/>
    </row>
    <row r="4465">
      <c r="B4465" s="30" t="n"/>
    </row>
    <row r="4466">
      <c r="B4466" s="30" t="n"/>
    </row>
    <row r="4467">
      <c r="B4467" s="30" t="n"/>
    </row>
    <row r="4468">
      <c r="B4468" s="30" t="n"/>
    </row>
    <row r="4469">
      <c r="B4469" s="30" t="n"/>
    </row>
    <row r="4470">
      <c r="B4470" s="30" t="n"/>
    </row>
    <row r="4471">
      <c r="B4471" s="30" t="n"/>
    </row>
    <row r="4472">
      <c r="B4472" s="30" t="n"/>
    </row>
    <row r="4473">
      <c r="B4473" s="30" t="n"/>
    </row>
    <row r="4474">
      <c r="B4474" s="30" t="n"/>
    </row>
    <row r="4475">
      <c r="B4475" s="30" t="n"/>
    </row>
    <row r="4476">
      <c r="B4476" s="30" t="n"/>
    </row>
    <row r="4477">
      <c r="B4477" s="30" t="n"/>
    </row>
    <row r="4478">
      <c r="B4478" s="30" t="n"/>
    </row>
    <row r="4479">
      <c r="B4479" s="30" t="n"/>
    </row>
    <row r="4480">
      <c r="B4480" s="30" t="n"/>
    </row>
    <row r="4481">
      <c r="B4481" s="30" t="n"/>
    </row>
    <row r="4482">
      <c r="B4482" s="30" t="n"/>
    </row>
    <row r="4483">
      <c r="B4483" s="30" t="n"/>
    </row>
    <row r="4484">
      <c r="B4484" s="30" t="n"/>
    </row>
    <row r="4485">
      <c r="B4485" s="30" t="n"/>
    </row>
    <row r="4486">
      <c r="B4486" s="30" t="n"/>
    </row>
    <row r="4487">
      <c r="B4487" s="30" t="n"/>
    </row>
    <row r="4488">
      <c r="B4488" s="30" t="n"/>
    </row>
    <row r="4489">
      <c r="B4489" s="30" t="n"/>
    </row>
    <row r="4490">
      <c r="B4490" s="30" t="n"/>
    </row>
    <row r="4491">
      <c r="B4491" s="30" t="n"/>
    </row>
    <row r="4492">
      <c r="B4492" s="30" t="n"/>
    </row>
    <row r="4493">
      <c r="B4493" s="30" t="n"/>
    </row>
    <row r="4494">
      <c r="B4494" s="30" t="n"/>
    </row>
    <row r="4495">
      <c r="B4495" s="30" t="n"/>
    </row>
    <row r="4496">
      <c r="B4496" s="30" t="n"/>
    </row>
    <row r="4497">
      <c r="B4497" s="30" t="n"/>
    </row>
    <row r="4498">
      <c r="B4498" s="30" t="n"/>
    </row>
    <row r="4499">
      <c r="B4499" s="30" t="n"/>
    </row>
    <row r="4500">
      <c r="B4500" s="30" t="n"/>
    </row>
    <row r="4501">
      <c r="B4501" s="30" t="n"/>
    </row>
    <row r="4502">
      <c r="B4502" s="30" t="n"/>
    </row>
    <row r="4503">
      <c r="B4503" s="30" t="n"/>
    </row>
    <row r="4504">
      <c r="B4504" s="30" t="n"/>
    </row>
    <row r="4505">
      <c r="B4505" s="30" t="n"/>
    </row>
    <row r="4506">
      <c r="B4506" s="30" t="n"/>
    </row>
    <row r="4507">
      <c r="B4507" s="30" t="n"/>
    </row>
    <row r="4508">
      <c r="B4508" s="30" t="n"/>
    </row>
    <row r="4509">
      <c r="B4509" s="30" t="n"/>
    </row>
    <row r="4510">
      <c r="B4510" s="30" t="n"/>
    </row>
    <row r="4511">
      <c r="B4511" s="30" t="n"/>
    </row>
    <row r="4512">
      <c r="B4512" s="30" t="n"/>
    </row>
    <row r="4513">
      <c r="B4513" s="30" t="n"/>
    </row>
    <row r="4514">
      <c r="B4514" s="30" t="n"/>
    </row>
    <row r="4515">
      <c r="B4515" s="30" t="n"/>
    </row>
    <row r="4516">
      <c r="B4516" s="30" t="n"/>
    </row>
    <row r="4517">
      <c r="B4517" s="30" t="n"/>
    </row>
    <row r="4518">
      <c r="B4518" s="30" t="n"/>
    </row>
    <row r="4519">
      <c r="B4519" s="30" t="n"/>
    </row>
    <row r="4520">
      <c r="B4520" s="30" t="n"/>
    </row>
    <row r="4521">
      <c r="B4521" s="30" t="n"/>
    </row>
    <row r="4522">
      <c r="B4522" s="30" t="n"/>
    </row>
    <row r="4523">
      <c r="B4523" s="30" t="n"/>
    </row>
    <row r="4524">
      <c r="B4524" s="30" t="n"/>
    </row>
    <row r="4525">
      <c r="B4525" s="30" t="n"/>
    </row>
    <row r="4526">
      <c r="B4526" s="30" t="n"/>
    </row>
    <row r="4527">
      <c r="B4527" s="30" t="n"/>
    </row>
    <row r="4528">
      <c r="B4528" s="30" t="n"/>
    </row>
    <row r="4529">
      <c r="B4529" s="30" t="n"/>
    </row>
    <row r="4530">
      <c r="B4530" s="30" t="n"/>
    </row>
    <row r="4531">
      <c r="B4531" s="30" t="n"/>
    </row>
    <row r="4532">
      <c r="B4532" s="30" t="n"/>
    </row>
    <row r="4533">
      <c r="B4533" s="30" t="n"/>
    </row>
    <row r="4534">
      <c r="B4534" s="30" t="n"/>
    </row>
    <row r="4535">
      <c r="B4535" s="30" t="n"/>
    </row>
    <row r="4536">
      <c r="B4536" s="30" t="n"/>
    </row>
    <row r="4537">
      <c r="B4537" s="30" t="n"/>
    </row>
    <row r="4538">
      <c r="B4538" s="30" t="n"/>
    </row>
    <row r="4539">
      <c r="B4539" s="30" t="n"/>
    </row>
    <row r="4540">
      <c r="B4540" s="30" t="n"/>
    </row>
    <row r="4541">
      <c r="B4541" s="30" t="n"/>
    </row>
    <row r="4542">
      <c r="B4542" s="30" t="n"/>
    </row>
    <row r="4543">
      <c r="B4543" s="30" t="n"/>
    </row>
    <row r="4544">
      <c r="B4544" s="30" t="n"/>
    </row>
    <row r="4545">
      <c r="B4545" s="30" t="n"/>
    </row>
    <row r="4546">
      <c r="B4546" s="30" t="n"/>
    </row>
    <row r="4547">
      <c r="B4547" s="30" t="n"/>
    </row>
    <row r="4548">
      <c r="B4548" s="30" t="n"/>
    </row>
    <row r="4549">
      <c r="B4549" s="30" t="n"/>
    </row>
    <row r="4550">
      <c r="B4550" s="30" t="n"/>
    </row>
    <row r="4551">
      <c r="B4551" s="30" t="n"/>
    </row>
    <row r="4552">
      <c r="B4552" s="30" t="n"/>
    </row>
    <row r="4553">
      <c r="B4553" s="30" t="n"/>
    </row>
    <row r="4554">
      <c r="B4554" s="30" t="n"/>
    </row>
    <row r="4555">
      <c r="B4555" s="30" t="n"/>
    </row>
    <row r="4556">
      <c r="B4556" s="30" t="n"/>
    </row>
    <row r="4557">
      <c r="B4557" s="30" t="n"/>
    </row>
    <row r="4558">
      <c r="B4558" s="30" t="n"/>
    </row>
    <row r="4559">
      <c r="B4559" s="30" t="n"/>
    </row>
    <row r="4560">
      <c r="B4560" s="30" t="n"/>
    </row>
    <row r="4561">
      <c r="B4561" s="30" t="n"/>
    </row>
    <row r="4562">
      <c r="B4562" s="30" t="n"/>
    </row>
    <row r="4563">
      <c r="B4563" s="30" t="n"/>
    </row>
    <row r="4564">
      <c r="B4564" s="30" t="n"/>
    </row>
    <row r="4565">
      <c r="B4565" s="30" t="n"/>
    </row>
    <row r="4566">
      <c r="B4566" s="30" t="n"/>
    </row>
    <row r="4567">
      <c r="B4567" s="30" t="n"/>
    </row>
    <row r="4568">
      <c r="B4568" s="30" t="n"/>
    </row>
    <row r="4569">
      <c r="B4569" s="30" t="n"/>
    </row>
    <row r="4570">
      <c r="B4570" s="30" t="n"/>
    </row>
    <row r="4571">
      <c r="B4571" s="30" t="n"/>
    </row>
    <row r="4572">
      <c r="B4572" s="30" t="n"/>
    </row>
    <row r="4573">
      <c r="B4573" s="30" t="n"/>
    </row>
    <row r="4574">
      <c r="B4574" s="30" t="n"/>
    </row>
    <row r="4575">
      <c r="B4575" s="30" t="n"/>
    </row>
    <row r="4576">
      <c r="B4576" s="30" t="n"/>
    </row>
    <row r="4577">
      <c r="B4577" s="30" t="n"/>
    </row>
    <row r="4578">
      <c r="B4578" s="30" t="n"/>
    </row>
    <row r="4579">
      <c r="B4579" s="30" t="n"/>
    </row>
    <row r="4580">
      <c r="B4580" s="30" t="n"/>
    </row>
    <row r="4581">
      <c r="B4581" s="30" t="n"/>
    </row>
    <row r="4582">
      <c r="B4582" s="30" t="n"/>
    </row>
    <row r="4583">
      <c r="B4583" s="30" t="n"/>
    </row>
    <row r="4584">
      <c r="B4584" s="30" t="n"/>
    </row>
    <row r="4585">
      <c r="B4585" s="30" t="n"/>
    </row>
    <row r="4586">
      <c r="B4586" s="30" t="n"/>
    </row>
    <row r="4587">
      <c r="B4587" s="30" t="n"/>
    </row>
    <row r="4588">
      <c r="B4588" s="30" t="n"/>
    </row>
    <row r="4589">
      <c r="B4589" s="30" t="n"/>
    </row>
    <row r="4590">
      <c r="B4590" s="30" t="n"/>
    </row>
    <row r="4591">
      <c r="B4591" s="30" t="n"/>
    </row>
    <row r="4592">
      <c r="B4592" s="30" t="n"/>
    </row>
    <row r="4593">
      <c r="B4593" s="30" t="n"/>
    </row>
    <row r="4594">
      <c r="B4594" s="30" t="n"/>
    </row>
    <row r="4595">
      <c r="B4595" s="30" t="n"/>
    </row>
    <row r="4596">
      <c r="B4596" s="30" t="n"/>
    </row>
    <row r="4597">
      <c r="B4597" s="30" t="n"/>
    </row>
    <row r="4598">
      <c r="B4598" s="30" t="n"/>
    </row>
    <row r="4599">
      <c r="B4599" s="30" t="n"/>
    </row>
    <row r="4600">
      <c r="B4600" s="30" t="n"/>
    </row>
    <row r="4601">
      <c r="B4601" s="30" t="n"/>
    </row>
    <row r="4602">
      <c r="B4602" s="30" t="n"/>
    </row>
    <row r="4603">
      <c r="B4603" s="30" t="n"/>
    </row>
    <row r="4604">
      <c r="B4604" s="30" t="n"/>
    </row>
    <row r="4605">
      <c r="B4605" s="30" t="n"/>
    </row>
    <row r="4606">
      <c r="B4606" s="30" t="n"/>
    </row>
    <row r="4607">
      <c r="B4607" s="30" t="n"/>
    </row>
    <row r="4608">
      <c r="B4608" s="30" t="n"/>
    </row>
    <row r="4609">
      <c r="B4609" s="30" t="n"/>
    </row>
    <row r="4610">
      <c r="B4610" s="30" t="n"/>
    </row>
    <row r="4611">
      <c r="B4611" s="30" t="n"/>
    </row>
    <row r="4612">
      <c r="B4612" s="30" t="n"/>
    </row>
    <row r="4613">
      <c r="B4613" s="30" t="n"/>
    </row>
    <row r="4614">
      <c r="B4614" s="30" t="n"/>
    </row>
    <row r="4615">
      <c r="B4615" s="30" t="n"/>
    </row>
    <row r="4616">
      <c r="B4616" s="30" t="n"/>
    </row>
    <row r="4617">
      <c r="B4617" s="30" t="n"/>
    </row>
    <row r="4618">
      <c r="B4618" s="30" t="n"/>
    </row>
    <row r="4619">
      <c r="B4619" s="30" t="n"/>
    </row>
    <row r="4620">
      <c r="B4620" s="30" t="n"/>
    </row>
    <row r="4621">
      <c r="B4621" s="30" t="n"/>
    </row>
    <row r="4622">
      <c r="B4622" s="30" t="n"/>
    </row>
    <row r="4623">
      <c r="B4623" s="30" t="n"/>
    </row>
    <row r="4624">
      <c r="B4624" s="30" t="n"/>
    </row>
    <row r="4625">
      <c r="B4625" s="30" t="n"/>
    </row>
    <row r="4626">
      <c r="B4626" s="30" t="n"/>
    </row>
    <row r="4627">
      <c r="B4627" s="30" t="n"/>
    </row>
    <row r="4628">
      <c r="B4628" s="30" t="n"/>
    </row>
    <row r="4629">
      <c r="B4629" s="30" t="n"/>
    </row>
    <row r="4630">
      <c r="B4630" s="30" t="n"/>
    </row>
    <row r="4631">
      <c r="B4631" s="30" t="n"/>
    </row>
    <row r="4632">
      <c r="B4632" s="30" t="n"/>
    </row>
    <row r="4633">
      <c r="B4633" s="30" t="n"/>
    </row>
    <row r="4634">
      <c r="B4634" s="30" t="n"/>
    </row>
    <row r="4635">
      <c r="B4635" s="30" t="n"/>
    </row>
    <row r="4636">
      <c r="B4636" s="30" t="n"/>
    </row>
    <row r="4637">
      <c r="B4637" s="30" t="n"/>
    </row>
    <row r="4638">
      <c r="B4638" s="30" t="n"/>
    </row>
    <row r="4639">
      <c r="B4639" s="30" t="n"/>
    </row>
    <row r="4640">
      <c r="B4640" s="30" t="n"/>
    </row>
    <row r="4641">
      <c r="B4641" s="30" t="n"/>
    </row>
    <row r="4642">
      <c r="B4642" s="30" t="n"/>
    </row>
    <row r="4643">
      <c r="B4643" s="30" t="n"/>
    </row>
    <row r="4644">
      <c r="B4644" s="30" t="n"/>
    </row>
    <row r="4645">
      <c r="B4645" s="30" t="n"/>
    </row>
    <row r="4646">
      <c r="B4646" s="30" t="n"/>
    </row>
    <row r="4647">
      <c r="B4647" s="30" t="n"/>
    </row>
    <row r="4648">
      <c r="B4648" s="30" t="n"/>
    </row>
    <row r="4649">
      <c r="B4649" s="30" t="n"/>
    </row>
    <row r="4650">
      <c r="B4650" s="30" t="n"/>
    </row>
    <row r="4651">
      <c r="B4651" s="30" t="n"/>
    </row>
    <row r="4652">
      <c r="B4652" s="30" t="n"/>
    </row>
    <row r="4653">
      <c r="B4653" s="30" t="n"/>
    </row>
    <row r="4654">
      <c r="B4654" s="30" t="n"/>
    </row>
    <row r="4655">
      <c r="B4655" s="30" t="n"/>
    </row>
    <row r="4656">
      <c r="B4656" s="30" t="n"/>
    </row>
    <row r="4657">
      <c r="B4657" s="30" t="n"/>
    </row>
    <row r="4658">
      <c r="B4658" s="30" t="n"/>
    </row>
    <row r="4659">
      <c r="B4659" s="30" t="n"/>
    </row>
    <row r="4660">
      <c r="B4660" s="30" t="n"/>
    </row>
    <row r="4661">
      <c r="B4661" s="30" t="n"/>
    </row>
    <row r="4662">
      <c r="B4662" s="30" t="n"/>
    </row>
    <row r="4663">
      <c r="B4663" s="30" t="n"/>
    </row>
    <row r="4664">
      <c r="B4664" s="30" t="n"/>
    </row>
    <row r="4665">
      <c r="B4665" s="30" t="n"/>
    </row>
    <row r="4666">
      <c r="B4666" s="30" t="n"/>
    </row>
    <row r="4667">
      <c r="B4667" s="30" t="n"/>
    </row>
    <row r="4668">
      <c r="B4668" s="30" t="n"/>
    </row>
    <row r="4669">
      <c r="B4669" s="30" t="n"/>
    </row>
    <row r="4670">
      <c r="B4670" s="30" t="n"/>
    </row>
    <row r="4671">
      <c r="B4671" s="30" t="n"/>
    </row>
    <row r="4672">
      <c r="B4672" s="30" t="n"/>
    </row>
    <row r="4673">
      <c r="B4673" s="30" t="n"/>
    </row>
    <row r="4674">
      <c r="B4674" s="30" t="n"/>
    </row>
    <row r="4675">
      <c r="B4675" s="30" t="n"/>
    </row>
    <row r="4676">
      <c r="B4676" s="30" t="n"/>
    </row>
    <row r="4677">
      <c r="B4677" s="30" t="n"/>
    </row>
    <row r="4678">
      <c r="B4678" s="30" t="n"/>
    </row>
    <row r="4679">
      <c r="B4679" s="30" t="n"/>
    </row>
    <row r="4680">
      <c r="B4680" s="30" t="n"/>
    </row>
    <row r="4681">
      <c r="B4681" s="30" t="n"/>
    </row>
    <row r="4682">
      <c r="B4682" s="30" t="n"/>
    </row>
    <row r="4683">
      <c r="B4683" s="30" t="n"/>
    </row>
    <row r="4684">
      <c r="B4684" s="30" t="n"/>
    </row>
    <row r="4685">
      <c r="B4685" s="30" t="n"/>
    </row>
    <row r="4686">
      <c r="B4686" s="30" t="n"/>
    </row>
    <row r="4687">
      <c r="B4687" s="30" t="n"/>
    </row>
    <row r="4688">
      <c r="B4688" s="30" t="n"/>
    </row>
    <row r="4689">
      <c r="B4689" s="30" t="n"/>
    </row>
    <row r="4690">
      <c r="B4690" s="30" t="n"/>
    </row>
    <row r="4691">
      <c r="B4691" s="30" t="n"/>
    </row>
    <row r="4692">
      <c r="B4692" s="30" t="n"/>
    </row>
    <row r="4693">
      <c r="B4693" s="30" t="n"/>
    </row>
    <row r="4694">
      <c r="B4694" s="30" t="n"/>
    </row>
    <row r="4695">
      <c r="B4695" s="30" t="n"/>
    </row>
    <row r="4696">
      <c r="B4696" s="30" t="n"/>
    </row>
    <row r="4697">
      <c r="B4697" s="30" t="n"/>
    </row>
    <row r="4698">
      <c r="B4698" s="30" t="n"/>
    </row>
    <row r="4699">
      <c r="B4699" s="30" t="n"/>
    </row>
    <row r="4700">
      <c r="B4700" s="30" t="n"/>
    </row>
    <row r="4701">
      <c r="B4701" s="30" t="n"/>
    </row>
    <row r="4702">
      <c r="B4702" s="30" t="n"/>
    </row>
    <row r="4703">
      <c r="B4703" s="30" t="n"/>
    </row>
    <row r="4704">
      <c r="B4704" s="30" t="n"/>
    </row>
    <row r="4705">
      <c r="B4705" s="30" t="n"/>
    </row>
    <row r="4706">
      <c r="B4706" s="30" t="n"/>
    </row>
    <row r="4707">
      <c r="B4707" s="30" t="n"/>
    </row>
    <row r="4708">
      <c r="B4708" s="30" t="n"/>
    </row>
    <row r="4709">
      <c r="B4709" s="30" t="n"/>
    </row>
    <row r="4710">
      <c r="B4710" s="30" t="n"/>
    </row>
    <row r="4711">
      <c r="B4711" s="30" t="n"/>
    </row>
    <row r="4712">
      <c r="B4712" s="30" t="n"/>
    </row>
    <row r="4713">
      <c r="B4713" s="30" t="n"/>
    </row>
    <row r="4714">
      <c r="B4714" s="30" t="n"/>
    </row>
    <row r="4715">
      <c r="B4715" s="30" t="n"/>
    </row>
    <row r="4716">
      <c r="B4716" s="30" t="n"/>
    </row>
    <row r="4717">
      <c r="B4717" s="30" t="n"/>
    </row>
    <row r="4718">
      <c r="B4718" s="30" t="n"/>
    </row>
    <row r="4719">
      <c r="B4719" s="30" t="n"/>
    </row>
    <row r="4720">
      <c r="B4720" s="30" t="n"/>
    </row>
    <row r="4721">
      <c r="B4721" s="30" t="n"/>
    </row>
    <row r="4722">
      <c r="B4722" s="30" t="n"/>
    </row>
    <row r="4723">
      <c r="B4723" s="30" t="n"/>
    </row>
    <row r="4724">
      <c r="B4724" s="30" t="n"/>
    </row>
    <row r="4725">
      <c r="B4725" s="30" t="n"/>
    </row>
    <row r="4726">
      <c r="B4726" s="30" t="n"/>
    </row>
    <row r="4727">
      <c r="B4727" s="30" t="n"/>
    </row>
    <row r="4728">
      <c r="B4728" s="30" t="n"/>
    </row>
    <row r="4729">
      <c r="B4729" s="30" t="n"/>
    </row>
    <row r="4730">
      <c r="B4730" s="30" t="n"/>
    </row>
    <row r="4731">
      <c r="B4731" s="30" t="n"/>
    </row>
    <row r="4732">
      <c r="B4732" s="30" t="n"/>
    </row>
    <row r="4733">
      <c r="B4733" s="30" t="n"/>
    </row>
    <row r="4734">
      <c r="B4734" s="30" t="n"/>
    </row>
    <row r="4735">
      <c r="B4735" s="30" t="n"/>
    </row>
    <row r="4736">
      <c r="B4736" s="30" t="n"/>
    </row>
    <row r="4737">
      <c r="B4737" s="30" t="n"/>
    </row>
    <row r="4738">
      <c r="B4738" s="30" t="n"/>
    </row>
    <row r="4739">
      <c r="B4739" s="30" t="n"/>
    </row>
    <row r="4740">
      <c r="B4740" s="30" t="n"/>
    </row>
    <row r="4741">
      <c r="B4741" s="30" t="n"/>
    </row>
    <row r="4742">
      <c r="B4742" s="30" t="n"/>
    </row>
    <row r="4743">
      <c r="B4743" s="30" t="n"/>
    </row>
    <row r="4744">
      <c r="B4744" s="30" t="n"/>
    </row>
    <row r="4745">
      <c r="B4745" s="30" t="n"/>
    </row>
    <row r="4746">
      <c r="B4746" s="30" t="n"/>
    </row>
    <row r="4747">
      <c r="B4747" s="30" t="n"/>
    </row>
    <row r="4748">
      <c r="B4748" s="30" t="n"/>
    </row>
    <row r="4749">
      <c r="B4749" s="30" t="n"/>
    </row>
    <row r="4750">
      <c r="B4750" s="30" t="n"/>
    </row>
    <row r="4751">
      <c r="B4751" s="30" t="n"/>
    </row>
    <row r="4752">
      <c r="B4752" s="30" t="n"/>
    </row>
    <row r="4753">
      <c r="B4753" s="30" t="n"/>
    </row>
    <row r="4754">
      <c r="B4754" s="30" t="n"/>
    </row>
    <row r="4755">
      <c r="B4755" s="30" t="n"/>
    </row>
    <row r="4756">
      <c r="B4756" s="30" t="n"/>
    </row>
    <row r="4757">
      <c r="B4757" s="30" t="n"/>
    </row>
    <row r="4758">
      <c r="B4758" s="30" t="n"/>
    </row>
    <row r="4759">
      <c r="B4759" s="30" t="n"/>
    </row>
    <row r="4760">
      <c r="B4760" s="30" t="n"/>
    </row>
    <row r="4761">
      <c r="B4761" s="30" t="n"/>
    </row>
    <row r="4762">
      <c r="B4762" s="30" t="n"/>
    </row>
    <row r="4763">
      <c r="B4763" s="30" t="n"/>
    </row>
    <row r="4764">
      <c r="B4764" s="30" t="n"/>
    </row>
    <row r="4765">
      <c r="B4765" s="30" t="n"/>
    </row>
    <row r="4766">
      <c r="B4766" s="30" t="n"/>
    </row>
    <row r="4767">
      <c r="B4767" s="30" t="n"/>
    </row>
    <row r="4768">
      <c r="B4768" s="30" t="n"/>
    </row>
    <row r="4769">
      <c r="B4769" s="30" t="n"/>
    </row>
    <row r="4770">
      <c r="B4770" s="30" t="n"/>
    </row>
    <row r="4771">
      <c r="B4771" s="30" t="n"/>
    </row>
    <row r="4772">
      <c r="B4772" s="30" t="n"/>
    </row>
    <row r="4773">
      <c r="B4773" s="30" t="n"/>
    </row>
    <row r="4774">
      <c r="B4774" s="30" t="n"/>
    </row>
    <row r="4775">
      <c r="B4775" s="30" t="n"/>
    </row>
    <row r="4776">
      <c r="B4776" s="30" t="n"/>
    </row>
    <row r="4777">
      <c r="B4777" s="30" t="n"/>
    </row>
    <row r="4778">
      <c r="B4778" s="30" t="n"/>
    </row>
    <row r="4779">
      <c r="B4779" s="30" t="n"/>
    </row>
    <row r="4780">
      <c r="B4780" s="30" t="n"/>
    </row>
    <row r="4781">
      <c r="B4781" s="30" t="n"/>
    </row>
    <row r="4782">
      <c r="B4782" s="30" t="n"/>
    </row>
    <row r="4783">
      <c r="B4783" s="30" t="n"/>
    </row>
    <row r="4784">
      <c r="B4784" s="30" t="n"/>
    </row>
    <row r="4785">
      <c r="B4785" s="30" t="n"/>
    </row>
    <row r="4786">
      <c r="B4786" s="30" t="n"/>
    </row>
    <row r="4787">
      <c r="B4787" s="30" t="n"/>
    </row>
    <row r="4788">
      <c r="B4788" s="30" t="n"/>
    </row>
    <row r="4789">
      <c r="B4789" s="30" t="n"/>
    </row>
    <row r="4790">
      <c r="B4790" s="30" t="n"/>
    </row>
    <row r="4791">
      <c r="B4791" s="30" t="n"/>
    </row>
    <row r="4792">
      <c r="B4792" s="30" t="n"/>
    </row>
    <row r="4793">
      <c r="B4793" s="30" t="n"/>
    </row>
    <row r="4794">
      <c r="B4794" s="30" t="n"/>
    </row>
    <row r="4795">
      <c r="B4795" s="30" t="n"/>
    </row>
    <row r="4796">
      <c r="B4796" s="30" t="n"/>
    </row>
    <row r="4797">
      <c r="B4797" s="30" t="n"/>
    </row>
    <row r="4798">
      <c r="B4798" s="30" t="n"/>
    </row>
    <row r="4799">
      <c r="B4799" s="30" t="n"/>
    </row>
    <row r="4800">
      <c r="B4800" s="30" t="n"/>
    </row>
    <row r="4801">
      <c r="B4801" s="30" t="n"/>
    </row>
    <row r="4802">
      <c r="B4802" s="30" t="n"/>
    </row>
    <row r="4803">
      <c r="B4803" s="30" t="n"/>
    </row>
    <row r="4804">
      <c r="B4804" s="30" t="n"/>
    </row>
    <row r="4805">
      <c r="B4805" s="30" t="n"/>
    </row>
    <row r="4806">
      <c r="B4806" s="30" t="n"/>
    </row>
    <row r="4807">
      <c r="B4807" s="30" t="n"/>
    </row>
    <row r="4808">
      <c r="B4808" s="30" t="n"/>
    </row>
    <row r="4809">
      <c r="B4809" s="30" t="n"/>
    </row>
    <row r="4810">
      <c r="B4810" s="30" t="n"/>
    </row>
    <row r="4811">
      <c r="B4811" s="30" t="n"/>
    </row>
    <row r="4812">
      <c r="B4812" s="30" t="n"/>
    </row>
    <row r="4813">
      <c r="B4813" s="30" t="n"/>
    </row>
    <row r="4814">
      <c r="B4814" s="30" t="n"/>
    </row>
    <row r="4815">
      <c r="B4815" s="30" t="n"/>
    </row>
    <row r="4816">
      <c r="B4816" s="30" t="n"/>
    </row>
    <row r="4817">
      <c r="B4817" s="30" t="n"/>
    </row>
    <row r="4818">
      <c r="B4818" s="30" t="n"/>
    </row>
    <row r="4819">
      <c r="B4819" s="30" t="n"/>
    </row>
    <row r="4820">
      <c r="B4820" s="30" t="n"/>
    </row>
    <row r="4821">
      <c r="B4821" s="30" t="n"/>
    </row>
    <row r="4822">
      <c r="B4822" s="30" t="n"/>
    </row>
    <row r="4823">
      <c r="B4823" s="30" t="n"/>
    </row>
    <row r="4824">
      <c r="B4824" s="30" t="n"/>
    </row>
    <row r="4825">
      <c r="B4825" s="30" t="n"/>
    </row>
    <row r="4826">
      <c r="B4826" s="30" t="n"/>
    </row>
    <row r="4827">
      <c r="B4827" s="30" t="n"/>
    </row>
    <row r="4828">
      <c r="B4828" s="30" t="n"/>
    </row>
    <row r="4829">
      <c r="B4829" s="30" t="n"/>
    </row>
    <row r="4830">
      <c r="B4830" s="30" t="n"/>
    </row>
    <row r="4831">
      <c r="B4831" s="30" t="n"/>
    </row>
    <row r="4832">
      <c r="B4832" s="30" t="n"/>
    </row>
    <row r="4833">
      <c r="B4833" s="30" t="n"/>
    </row>
    <row r="4834">
      <c r="B4834" s="30" t="n"/>
    </row>
    <row r="4835">
      <c r="B4835" s="30" t="n"/>
    </row>
    <row r="4836">
      <c r="B4836" s="30" t="n"/>
    </row>
    <row r="4837">
      <c r="B4837" s="30" t="n"/>
    </row>
    <row r="4838">
      <c r="B4838" s="30" t="n"/>
    </row>
    <row r="4839">
      <c r="B4839" s="30" t="n"/>
    </row>
    <row r="4840">
      <c r="B4840" s="30" t="n"/>
    </row>
    <row r="4841">
      <c r="B4841" s="30" t="n"/>
    </row>
    <row r="4842">
      <c r="B4842" s="30" t="n"/>
    </row>
    <row r="4843">
      <c r="B4843" s="30" t="n"/>
    </row>
    <row r="4844">
      <c r="B4844" s="30" t="n"/>
    </row>
    <row r="4845">
      <c r="B4845" s="30" t="n"/>
    </row>
    <row r="4846">
      <c r="B4846" s="30" t="n"/>
    </row>
    <row r="4847">
      <c r="B4847" s="30" t="n"/>
    </row>
    <row r="4848">
      <c r="B4848" s="30" t="n"/>
    </row>
    <row r="4849">
      <c r="B4849" s="30" t="n"/>
    </row>
    <row r="4850">
      <c r="B4850" s="30" t="n"/>
    </row>
    <row r="4851">
      <c r="B4851" s="30" t="n"/>
    </row>
    <row r="4852">
      <c r="B4852" s="30" t="n"/>
    </row>
    <row r="4853">
      <c r="B4853" s="30" t="n"/>
    </row>
    <row r="4854">
      <c r="B4854" s="30" t="n"/>
    </row>
    <row r="4855">
      <c r="B4855" s="30" t="n"/>
    </row>
    <row r="4856">
      <c r="B4856" s="30" t="n"/>
    </row>
    <row r="4857">
      <c r="B4857" s="30" t="n"/>
    </row>
    <row r="4858">
      <c r="B4858" s="30" t="n"/>
    </row>
    <row r="4859">
      <c r="B4859" s="30" t="n"/>
    </row>
    <row r="4860">
      <c r="B4860" s="30" t="n"/>
    </row>
    <row r="4861">
      <c r="B4861" s="30" t="n"/>
    </row>
    <row r="4862">
      <c r="B4862" s="30" t="n"/>
    </row>
    <row r="4863">
      <c r="B4863" s="30" t="n"/>
    </row>
    <row r="4864">
      <c r="B4864" s="30" t="n"/>
    </row>
    <row r="4865">
      <c r="B4865" s="30" t="n"/>
    </row>
    <row r="4866">
      <c r="B4866" s="30" t="n"/>
    </row>
    <row r="4867">
      <c r="B4867" s="30" t="n"/>
    </row>
    <row r="4868">
      <c r="B4868" s="30" t="n"/>
    </row>
    <row r="4869">
      <c r="B4869" s="30" t="n"/>
    </row>
    <row r="4870">
      <c r="B4870" s="30" t="n"/>
    </row>
    <row r="4871">
      <c r="B4871" s="30" t="n"/>
    </row>
    <row r="4872">
      <c r="B4872" s="30" t="n"/>
    </row>
    <row r="4873">
      <c r="B4873" s="30" t="n"/>
    </row>
    <row r="4874">
      <c r="B4874" s="30" t="n"/>
    </row>
    <row r="4875">
      <c r="B4875" s="30" t="n"/>
    </row>
    <row r="4876">
      <c r="B4876" s="30" t="n"/>
    </row>
    <row r="4877">
      <c r="B4877" s="30" t="n"/>
    </row>
    <row r="4878">
      <c r="B4878" s="30" t="n"/>
    </row>
    <row r="4879">
      <c r="B4879" s="30" t="n"/>
    </row>
    <row r="4880">
      <c r="B4880" s="30" t="n"/>
    </row>
    <row r="4881">
      <c r="B4881" s="30" t="n"/>
    </row>
    <row r="4882">
      <c r="B4882" s="30" t="n"/>
    </row>
    <row r="4883">
      <c r="B4883" s="30" t="n"/>
    </row>
    <row r="4884">
      <c r="B4884" s="30" t="n"/>
    </row>
    <row r="4885">
      <c r="B4885" s="30" t="n"/>
    </row>
    <row r="4886">
      <c r="B4886" s="30" t="n"/>
    </row>
    <row r="4887">
      <c r="B4887" s="30" t="n"/>
    </row>
    <row r="4888">
      <c r="B4888" s="30" t="n"/>
    </row>
    <row r="4889">
      <c r="B4889" s="30" t="n"/>
    </row>
    <row r="4890">
      <c r="B4890" s="30" t="n"/>
    </row>
    <row r="4891">
      <c r="B4891" s="30" t="n"/>
    </row>
    <row r="4892">
      <c r="B4892" s="30" t="n"/>
    </row>
    <row r="4893">
      <c r="B4893" s="30" t="n"/>
    </row>
    <row r="4894">
      <c r="B4894" s="30" t="n"/>
    </row>
    <row r="4895">
      <c r="B4895" s="30" t="n"/>
    </row>
    <row r="4896">
      <c r="B4896" s="30" t="n"/>
    </row>
    <row r="4897">
      <c r="B4897" s="30" t="n"/>
    </row>
    <row r="4898">
      <c r="B4898" s="30" t="n"/>
    </row>
    <row r="4899">
      <c r="B4899" s="30" t="n"/>
    </row>
    <row r="4900">
      <c r="B4900" s="30" t="n"/>
    </row>
    <row r="4901">
      <c r="B4901" s="30" t="n"/>
    </row>
    <row r="4902">
      <c r="B4902" s="30" t="n"/>
    </row>
    <row r="4903">
      <c r="B4903" s="30" t="n"/>
    </row>
    <row r="4904">
      <c r="B4904" s="30" t="n"/>
    </row>
    <row r="4905">
      <c r="B4905" s="30" t="n"/>
    </row>
    <row r="4906">
      <c r="B4906" s="30" t="n"/>
    </row>
    <row r="4907">
      <c r="B4907" s="30" t="n"/>
    </row>
    <row r="4908">
      <c r="B4908" s="30" t="n"/>
    </row>
    <row r="4909">
      <c r="B4909" s="30" t="n"/>
    </row>
    <row r="4910">
      <c r="B4910" s="30" t="n"/>
    </row>
    <row r="4911">
      <c r="B4911" s="30" t="n"/>
    </row>
    <row r="4912">
      <c r="B4912" s="30" t="n"/>
    </row>
    <row r="4913">
      <c r="B4913" s="30" t="n"/>
    </row>
    <row r="4914">
      <c r="B4914" s="30" t="n"/>
    </row>
    <row r="4915">
      <c r="B4915" s="30" t="n"/>
    </row>
    <row r="4916">
      <c r="B4916" s="30" t="n"/>
    </row>
    <row r="4917">
      <c r="B4917" s="30" t="n"/>
    </row>
    <row r="4918">
      <c r="B4918" s="30" t="n"/>
    </row>
    <row r="4919">
      <c r="B4919" s="30" t="n"/>
    </row>
    <row r="4920">
      <c r="B4920" s="30" t="n"/>
    </row>
    <row r="4921">
      <c r="B4921" s="30" t="n"/>
    </row>
    <row r="4922">
      <c r="B4922" s="30" t="n"/>
    </row>
    <row r="4923">
      <c r="B4923" s="30" t="n"/>
    </row>
    <row r="4924">
      <c r="B4924" s="30" t="n"/>
    </row>
    <row r="4925">
      <c r="B4925" s="30" t="n"/>
    </row>
    <row r="4926">
      <c r="B4926" s="30" t="n"/>
    </row>
    <row r="4927">
      <c r="B4927" s="30" t="n"/>
    </row>
    <row r="4928">
      <c r="B4928" s="30" t="n"/>
    </row>
    <row r="4929">
      <c r="B4929" s="30" t="n"/>
    </row>
    <row r="4930">
      <c r="B4930" s="30" t="n"/>
    </row>
    <row r="4931">
      <c r="B4931" s="30" t="n"/>
    </row>
    <row r="4932">
      <c r="B4932" s="30" t="n"/>
    </row>
    <row r="4933">
      <c r="B4933" s="30" t="n"/>
    </row>
    <row r="4934">
      <c r="B4934" s="30" t="n"/>
    </row>
    <row r="4935">
      <c r="B4935" s="30" t="n"/>
    </row>
    <row r="4936">
      <c r="B4936" s="30" t="n"/>
    </row>
    <row r="4937">
      <c r="B4937" s="30" t="n"/>
    </row>
    <row r="4938">
      <c r="B4938" s="30" t="n"/>
    </row>
    <row r="4939">
      <c r="B4939" s="30" t="n"/>
    </row>
    <row r="4940">
      <c r="B4940" s="30" t="n"/>
    </row>
    <row r="4941">
      <c r="B4941" s="30" t="n"/>
    </row>
    <row r="4942">
      <c r="B4942" s="30" t="n"/>
    </row>
    <row r="4943">
      <c r="B4943" s="30" t="n"/>
    </row>
    <row r="4944">
      <c r="B4944" s="30" t="n"/>
    </row>
    <row r="4945">
      <c r="B4945" s="30" t="n"/>
    </row>
    <row r="4946">
      <c r="B4946" s="30" t="n"/>
    </row>
    <row r="4947">
      <c r="B4947" s="30" t="n"/>
    </row>
    <row r="4948">
      <c r="B4948" s="30" t="n"/>
    </row>
    <row r="4949">
      <c r="B4949" s="30" t="n"/>
    </row>
    <row r="4950">
      <c r="B4950" s="30" t="n"/>
    </row>
    <row r="4951">
      <c r="B4951" s="30" t="n"/>
    </row>
    <row r="4952">
      <c r="B4952" s="30" t="n"/>
    </row>
    <row r="4953">
      <c r="B4953" s="30" t="n"/>
    </row>
    <row r="4954">
      <c r="B4954" s="30" t="n"/>
    </row>
    <row r="4955">
      <c r="B4955" s="30" t="n"/>
    </row>
    <row r="4956">
      <c r="B4956" s="30" t="n"/>
    </row>
    <row r="4957">
      <c r="B4957" s="30" t="n"/>
    </row>
    <row r="4958">
      <c r="B4958" s="30" t="n"/>
    </row>
    <row r="4959">
      <c r="B4959" s="30" t="n"/>
    </row>
    <row r="4960">
      <c r="B4960" s="30" t="n"/>
    </row>
    <row r="4961">
      <c r="B4961" s="30" t="n"/>
    </row>
    <row r="4962">
      <c r="B4962" s="30" t="n"/>
    </row>
    <row r="4963">
      <c r="B4963" s="30" t="n"/>
    </row>
    <row r="4964">
      <c r="B4964" s="30" t="n"/>
    </row>
    <row r="4965">
      <c r="B4965" s="30" t="n"/>
    </row>
    <row r="4966">
      <c r="B4966" s="30" t="n"/>
    </row>
    <row r="4967">
      <c r="B4967" s="30" t="n"/>
    </row>
    <row r="4968">
      <c r="B4968" s="30" t="n"/>
    </row>
    <row r="4969">
      <c r="B4969" s="30" t="n"/>
    </row>
    <row r="4970">
      <c r="B4970" s="30" t="n"/>
    </row>
    <row r="4971">
      <c r="B4971" s="30" t="n"/>
    </row>
    <row r="4972">
      <c r="B4972" s="30" t="n"/>
    </row>
    <row r="4973">
      <c r="B4973" s="30" t="n"/>
    </row>
    <row r="4974">
      <c r="B4974" s="30" t="n"/>
    </row>
    <row r="4975">
      <c r="B4975" s="30" t="n"/>
    </row>
    <row r="4976">
      <c r="B4976" s="30" t="n"/>
    </row>
    <row r="4977">
      <c r="B4977" s="30" t="n"/>
    </row>
    <row r="4978">
      <c r="B4978" s="30" t="n"/>
    </row>
    <row r="4979">
      <c r="B4979" s="30" t="n"/>
    </row>
    <row r="4980">
      <c r="B4980" s="30" t="n"/>
    </row>
    <row r="4981">
      <c r="B4981" s="30" t="n"/>
    </row>
    <row r="4982">
      <c r="B4982" s="30" t="n"/>
    </row>
    <row r="4983">
      <c r="B4983" s="30" t="n"/>
    </row>
    <row r="4984">
      <c r="B4984" s="30" t="n"/>
    </row>
    <row r="4985">
      <c r="B4985" s="30" t="n"/>
    </row>
    <row r="4986">
      <c r="B4986" s="30" t="n"/>
    </row>
    <row r="4987">
      <c r="B4987" s="30" t="n"/>
    </row>
    <row r="4988">
      <c r="B4988" s="30" t="n"/>
    </row>
    <row r="4989">
      <c r="B4989" s="30" t="n"/>
    </row>
    <row r="4990">
      <c r="B4990" s="30" t="n"/>
    </row>
    <row r="4991">
      <c r="B4991" s="30" t="n"/>
    </row>
    <row r="4992">
      <c r="B4992" s="30" t="n"/>
    </row>
    <row r="4993">
      <c r="B4993" s="30" t="n"/>
    </row>
    <row r="4994">
      <c r="B4994" s="30" t="n"/>
    </row>
    <row r="4995">
      <c r="B4995" s="30" t="n"/>
    </row>
    <row r="4996">
      <c r="B4996" s="30" t="n"/>
    </row>
    <row r="4997">
      <c r="B4997" s="30" t="n"/>
    </row>
    <row r="4998">
      <c r="B4998" s="30" t="n"/>
    </row>
    <row r="4999">
      <c r="B4999" s="30" t="n"/>
    </row>
    <row r="5000">
      <c r="B5000" s="30" t="n"/>
    </row>
  </sheetData>
  <sheetProtection sheet="1" objects="1" scenarios="1" formatColumns="0" formatRows="0"/>
  <autoFilter ref="A1:E20000"/>
  <dataValidations count="1">
    <dataValidation sqref="A2:A20000" showDropDown="0" showInputMessage="0" showErrorMessage="0" allowBlank="0" type="list">
      <formula1>"দেওয়া,আদায়"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style="31" width="16" customWidth="1" min="1" max="1"/>
    <col style="31" width="16" customWidth="1" min="2" max="2"/>
    <col style="31" width="24" customWidth="1" min="3" max="3"/>
    <col style="31" width="14" customWidth="1" min="4" max="4"/>
    <col style="31" width="14" customWidth="1" min="5" max="5"/>
    <col style="31" width="32" customWidth="1" min="6" max="6"/>
    <col width="52" customWidth="1" min="8" max="8"/>
  </cols>
  <sheetData>
    <row r="1" ht="30" customHeight="1">
      <c r="A1" s="4" t="inlineStr">
        <is>
          <t>হিসাব বিভাগ *</t>
        </is>
      </c>
      <c r="B1" s="4" t="inlineStr">
        <is>
          <t>তারিখ *</t>
        </is>
      </c>
      <c r="C1" s="4" t="inlineStr">
        <is>
          <t>সরবরাহকারী *</t>
        </is>
      </c>
      <c r="D1" s="4" t="inlineStr">
        <is>
          <t>টাকা *</t>
        </is>
      </c>
      <c r="E1" s="4" t="inlineStr">
        <is>
          <t>রশিদ নং</t>
        </is>
      </c>
      <c r="F1" s="4" t="inlineStr">
        <is>
          <t>মন্তব্য</t>
        </is>
      </c>
      <c r="H1" s="6" t="inlineStr">
        <is>
          <t>বিভাগ ও সরবরাহকারী—দুটিই সংশ্লিষ্ট বকেয়া কেনার সঙ্গে মিলতে হবে।</t>
        </is>
      </c>
    </row>
    <row r="2">
      <c r="A2" s="33" t="inlineStr">
        <is>
          <t>তামিরাত</t>
        </is>
      </c>
      <c r="B2" s="32" t="n">
        <v>46115</v>
      </c>
      <c r="C2" s="33" t="inlineStr">
        <is>
          <t>রাজমিস্ত্রি করিম</t>
        </is>
      </c>
      <c r="D2" s="33" t="n">
        <v>5000</v>
      </c>
      <c r="E2" s="33" t="inlineStr"/>
      <c r="F2" s="33" t="inlineStr">
        <is>
          <t>আংশিক পরিশোধ</t>
        </is>
      </c>
    </row>
    <row r="3">
      <c r="B3" s="30" t="n"/>
    </row>
    <row r="4">
      <c r="B4" s="30" t="n"/>
    </row>
    <row r="5">
      <c r="B5" s="30" t="n"/>
    </row>
    <row r="6">
      <c r="B6" s="30" t="n"/>
    </row>
    <row r="7">
      <c r="B7" s="30" t="n"/>
    </row>
    <row r="8">
      <c r="B8" s="30" t="n"/>
    </row>
    <row r="9">
      <c r="B9" s="30" t="n"/>
    </row>
    <row r="10">
      <c r="B10" s="30" t="n"/>
    </row>
    <row r="11">
      <c r="B11" s="30" t="n"/>
    </row>
    <row r="12">
      <c r="B12" s="30" t="n"/>
    </row>
    <row r="13">
      <c r="B13" s="30" t="n"/>
    </row>
    <row r="14">
      <c r="B14" s="30" t="n"/>
    </row>
    <row r="15">
      <c r="B15" s="30" t="n"/>
    </row>
    <row r="16">
      <c r="B16" s="30" t="n"/>
    </row>
    <row r="17">
      <c r="B17" s="30" t="n"/>
    </row>
    <row r="18">
      <c r="B18" s="30" t="n"/>
    </row>
    <row r="19">
      <c r="B19" s="30" t="n"/>
    </row>
    <row r="20">
      <c r="B20" s="30" t="n"/>
    </row>
    <row r="21">
      <c r="B21" s="30" t="n"/>
    </row>
    <row r="22">
      <c r="B22" s="30" t="n"/>
    </row>
    <row r="23">
      <c r="B23" s="30" t="n"/>
    </row>
    <row r="24">
      <c r="B24" s="30" t="n"/>
    </row>
    <row r="25">
      <c r="B25" s="30" t="n"/>
    </row>
    <row r="26">
      <c r="B26" s="30" t="n"/>
    </row>
    <row r="27">
      <c r="B27" s="30" t="n"/>
    </row>
    <row r="28">
      <c r="B28" s="30" t="n"/>
    </row>
    <row r="29">
      <c r="B29" s="30" t="n"/>
    </row>
    <row r="30">
      <c r="B30" s="30" t="n"/>
    </row>
    <row r="31">
      <c r="B31" s="30" t="n"/>
    </row>
    <row r="32">
      <c r="B32" s="30" t="n"/>
    </row>
    <row r="33">
      <c r="B33" s="30" t="n"/>
    </row>
    <row r="34">
      <c r="B34" s="30" t="n"/>
    </row>
    <row r="35">
      <c r="B35" s="30" t="n"/>
    </row>
    <row r="36">
      <c r="B36" s="30" t="n"/>
    </row>
    <row r="37">
      <c r="B37" s="30" t="n"/>
    </row>
    <row r="38">
      <c r="B38" s="30" t="n"/>
    </row>
    <row r="39">
      <c r="B39" s="30" t="n"/>
    </row>
    <row r="40">
      <c r="B40" s="30" t="n"/>
    </row>
    <row r="41">
      <c r="B41" s="30" t="n"/>
    </row>
    <row r="42">
      <c r="B42" s="30" t="n"/>
    </row>
    <row r="43">
      <c r="B43" s="30" t="n"/>
    </row>
    <row r="44">
      <c r="B44" s="30" t="n"/>
    </row>
    <row r="45">
      <c r="B45" s="30" t="n"/>
    </row>
    <row r="46">
      <c r="B46" s="30" t="n"/>
    </row>
    <row r="47">
      <c r="B47" s="30" t="n"/>
    </row>
    <row r="48">
      <c r="B48" s="30" t="n"/>
    </row>
    <row r="49">
      <c r="B49" s="30" t="n"/>
    </row>
    <row r="50">
      <c r="B50" s="30" t="n"/>
    </row>
    <row r="51">
      <c r="B51" s="30" t="n"/>
    </row>
    <row r="52">
      <c r="B52" s="30" t="n"/>
    </row>
    <row r="53">
      <c r="B53" s="30" t="n"/>
    </row>
    <row r="54">
      <c r="B54" s="30" t="n"/>
    </row>
    <row r="55">
      <c r="B55" s="30" t="n"/>
    </row>
    <row r="56">
      <c r="B56" s="30" t="n"/>
    </row>
    <row r="57">
      <c r="B57" s="30" t="n"/>
    </row>
    <row r="58">
      <c r="B58" s="30" t="n"/>
    </row>
    <row r="59">
      <c r="B59" s="30" t="n"/>
    </row>
    <row r="60">
      <c r="B60" s="30" t="n"/>
    </row>
    <row r="61">
      <c r="B61" s="30" t="n"/>
    </row>
    <row r="62">
      <c r="B62" s="30" t="n"/>
    </row>
    <row r="63">
      <c r="B63" s="30" t="n"/>
    </row>
    <row r="64">
      <c r="B64" s="30" t="n"/>
    </row>
    <row r="65">
      <c r="B65" s="30" t="n"/>
    </row>
    <row r="66">
      <c r="B66" s="30" t="n"/>
    </row>
    <row r="67">
      <c r="B67" s="30" t="n"/>
    </row>
    <row r="68">
      <c r="B68" s="30" t="n"/>
    </row>
    <row r="69">
      <c r="B69" s="30" t="n"/>
    </row>
    <row r="70">
      <c r="B70" s="30" t="n"/>
    </row>
    <row r="71">
      <c r="B71" s="30" t="n"/>
    </row>
    <row r="72">
      <c r="B72" s="30" t="n"/>
    </row>
    <row r="73">
      <c r="B73" s="30" t="n"/>
    </row>
    <row r="74">
      <c r="B74" s="30" t="n"/>
    </row>
    <row r="75">
      <c r="B75" s="30" t="n"/>
    </row>
    <row r="76">
      <c r="B76" s="30" t="n"/>
    </row>
    <row r="77">
      <c r="B77" s="30" t="n"/>
    </row>
    <row r="78">
      <c r="B78" s="30" t="n"/>
    </row>
    <row r="79">
      <c r="B79" s="30" t="n"/>
    </row>
    <row r="80">
      <c r="B80" s="30" t="n"/>
    </row>
    <row r="81">
      <c r="B81" s="30" t="n"/>
    </row>
    <row r="82">
      <c r="B82" s="30" t="n"/>
    </row>
    <row r="83">
      <c r="B83" s="30" t="n"/>
    </row>
    <row r="84">
      <c r="B84" s="30" t="n"/>
    </row>
    <row r="85">
      <c r="B85" s="30" t="n"/>
    </row>
    <row r="86">
      <c r="B86" s="30" t="n"/>
    </row>
    <row r="87">
      <c r="B87" s="30" t="n"/>
    </row>
    <row r="88">
      <c r="B88" s="30" t="n"/>
    </row>
    <row r="89">
      <c r="B89" s="30" t="n"/>
    </row>
    <row r="90">
      <c r="B90" s="30" t="n"/>
    </row>
    <row r="91">
      <c r="B91" s="30" t="n"/>
    </row>
    <row r="92">
      <c r="B92" s="30" t="n"/>
    </row>
    <row r="93">
      <c r="B93" s="30" t="n"/>
    </row>
    <row r="94">
      <c r="B94" s="30" t="n"/>
    </row>
    <row r="95">
      <c r="B95" s="30" t="n"/>
    </row>
    <row r="96">
      <c r="B96" s="30" t="n"/>
    </row>
    <row r="97">
      <c r="B97" s="30" t="n"/>
    </row>
    <row r="98">
      <c r="B98" s="30" t="n"/>
    </row>
    <row r="99">
      <c r="B99" s="30" t="n"/>
    </row>
    <row r="100">
      <c r="B100" s="30" t="n"/>
    </row>
    <row r="101">
      <c r="B101" s="30" t="n"/>
    </row>
    <row r="102">
      <c r="B102" s="30" t="n"/>
    </row>
    <row r="103">
      <c r="B103" s="30" t="n"/>
    </row>
    <row r="104">
      <c r="B104" s="30" t="n"/>
    </row>
    <row r="105">
      <c r="B105" s="30" t="n"/>
    </row>
    <row r="106">
      <c r="B106" s="30" t="n"/>
    </row>
    <row r="107">
      <c r="B107" s="30" t="n"/>
    </row>
    <row r="108">
      <c r="B108" s="30" t="n"/>
    </row>
    <row r="109">
      <c r="B109" s="30" t="n"/>
    </row>
    <row r="110">
      <c r="B110" s="30" t="n"/>
    </row>
    <row r="111">
      <c r="B111" s="30" t="n"/>
    </row>
    <row r="112">
      <c r="B112" s="30" t="n"/>
    </row>
    <row r="113">
      <c r="B113" s="30" t="n"/>
    </row>
    <row r="114">
      <c r="B114" s="30" t="n"/>
    </row>
    <row r="115">
      <c r="B115" s="30" t="n"/>
    </row>
    <row r="116">
      <c r="B116" s="30" t="n"/>
    </row>
    <row r="117">
      <c r="B117" s="30" t="n"/>
    </row>
    <row r="118">
      <c r="B118" s="30" t="n"/>
    </row>
    <row r="119">
      <c r="B119" s="30" t="n"/>
    </row>
    <row r="120">
      <c r="B120" s="30" t="n"/>
    </row>
    <row r="121">
      <c r="B121" s="30" t="n"/>
    </row>
    <row r="122">
      <c r="B122" s="30" t="n"/>
    </row>
    <row r="123">
      <c r="B123" s="30" t="n"/>
    </row>
    <row r="124">
      <c r="B124" s="30" t="n"/>
    </row>
    <row r="125">
      <c r="B125" s="30" t="n"/>
    </row>
    <row r="126">
      <c r="B126" s="30" t="n"/>
    </row>
    <row r="127">
      <c r="B127" s="30" t="n"/>
    </row>
    <row r="128">
      <c r="B128" s="30" t="n"/>
    </row>
    <row r="129">
      <c r="B129" s="30" t="n"/>
    </row>
    <row r="130">
      <c r="B130" s="30" t="n"/>
    </row>
    <row r="131">
      <c r="B131" s="30" t="n"/>
    </row>
    <row r="132">
      <c r="B132" s="30" t="n"/>
    </row>
    <row r="133">
      <c r="B133" s="30" t="n"/>
    </row>
    <row r="134">
      <c r="B134" s="30" t="n"/>
    </row>
    <row r="135">
      <c r="B135" s="30" t="n"/>
    </row>
    <row r="136">
      <c r="B136" s="30" t="n"/>
    </row>
    <row r="137">
      <c r="B137" s="30" t="n"/>
    </row>
    <row r="138">
      <c r="B138" s="30" t="n"/>
    </row>
    <row r="139">
      <c r="B139" s="30" t="n"/>
    </row>
    <row r="140">
      <c r="B140" s="30" t="n"/>
    </row>
    <row r="141">
      <c r="B141" s="30" t="n"/>
    </row>
    <row r="142">
      <c r="B142" s="30" t="n"/>
    </row>
    <row r="143">
      <c r="B143" s="30" t="n"/>
    </row>
    <row r="144">
      <c r="B144" s="30" t="n"/>
    </row>
    <row r="145">
      <c r="B145" s="30" t="n"/>
    </row>
    <row r="146">
      <c r="B146" s="30" t="n"/>
    </row>
    <row r="147">
      <c r="B147" s="30" t="n"/>
    </row>
    <row r="148">
      <c r="B148" s="30" t="n"/>
    </row>
    <row r="149">
      <c r="B149" s="30" t="n"/>
    </row>
    <row r="150">
      <c r="B150" s="30" t="n"/>
    </row>
    <row r="151">
      <c r="B151" s="30" t="n"/>
    </row>
    <row r="152">
      <c r="B152" s="30" t="n"/>
    </row>
    <row r="153">
      <c r="B153" s="30" t="n"/>
    </row>
    <row r="154">
      <c r="B154" s="30" t="n"/>
    </row>
    <row r="155">
      <c r="B155" s="30" t="n"/>
    </row>
    <row r="156">
      <c r="B156" s="30" t="n"/>
    </row>
    <row r="157">
      <c r="B157" s="30" t="n"/>
    </row>
    <row r="158">
      <c r="B158" s="30" t="n"/>
    </row>
    <row r="159">
      <c r="B159" s="30" t="n"/>
    </row>
    <row r="160">
      <c r="B160" s="30" t="n"/>
    </row>
    <row r="161">
      <c r="B161" s="30" t="n"/>
    </row>
    <row r="162">
      <c r="B162" s="30" t="n"/>
    </row>
    <row r="163">
      <c r="B163" s="30" t="n"/>
    </row>
    <row r="164">
      <c r="B164" s="30" t="n"/>
    </row>
    <row r="165">
      <c r="B165" s="30" t="n"/>
    </row>
    <row r="166">
      <c r="B166" s="30" t="n"/>
    </row>
    <row r="167">
      <c r="B167" s="30" t="n"/>
    </row>
    <row r="168">
      <c r="B168" s="30" t="n"/>
    </row>
    <row r="169">
      <c r="B169" s="30" t="n"/>
    </row>
    <row r="170">
      <c r="B170" s="30" t="n"/>
    </row>
    <row r="171">
      <c r="B171" s="30" t="n"/>
    </row>
    <row r="172">
      <c r="B172" s="30" t="n"/>
    </row>
    <row r="173">
      <c r="B173" s="30" t="n"/>
    </row>
    <row r="174">
      <c r="B174" s="30" t="n"/>
    </row>
    <row r="175">
      <c r="B175" s="30" t="n"/>
    </row>
    <row r="176">
      <c r="B176" s="30" t="n"/>
    </row>
    <row r="177">
      <c r="B177" s="30" t="n"/>
    </row>
    <row r="178">
      <c r="B178" s="30" t="n"/>
    </row>
    <row r="179">
      <c r="B179" s="30" t="n"/>
    </row>
    <row r="180">
      <c r="B180" s="30" t="n"/>
    </row>
    <row r="181">
      <c r="B181" s="30" t="n"/>
    </row>
    <row r="182">
      <c r="B182" s="30" t="n"/>
    </row>
    <row r="183">
      <c r="B183" s="30" t="n"/>
    </row>
    <row r="184">
      <c r="B184" s="30" t="n"/>
    </row>
    <row r="185">
      <c r="B185" s="30" t="n"/>
    </row>
    <row r="186">
      <c r="B186" s="30" t="n"/>
    </row>
    <row r="187">
      <c r="B187" s="30" t="n"/>
    </row>
    <row r="188">
      <c r="B188" s="30" t="n"/>
    </row>
    <row r="189">
      <c r="B189" s="30" t="n"/>
    </row>
    <row r="190">
      <c r="B190" s="30" t="n"/>
    </row>
    <row r="191">
      <c r="B191" s="30" t="n"/>
    </row>
    <row r="192">
      <c r="B192" s="30" t="n"/>
    </row>
    <row r="193">
      <c r="B193" s="30" t="n"/>
    </row>
    <row r="194">
      <c r="B194" s="30" t="n"/>
    </row>
    <row r="195">
      <c r="B195" s="30" t="n"/>
    </row>
    <row r="196">
      <c r="B196" s="30" t="n"/>
    </row>
    <row r="197">
      <c r="B197" s="30" t="n"/>
    </row>
    <row r="198">
      <c r="B198" s="30" t="n"/>
    </row>
    <row r="199">
      <c r="B199" s="30" t="n"/>
    </row>
    <row r="200">
      <c r="B200" s="30" t="n"/>
    </row>
    <row r="201">
      <c r="B201" s="30" t="n"/>
    </row>
    <row r="202">
      <c r="B202" s="30" t="n"/>
    </row>
    <row r="203">
      <c r="B203" s="30" t="n"/>
    </row>
    <row r="204">
      <c r="B204" s="30" t="n"/>
    </row>
    <row r="205">
      <c r="B205" s="30" t="n"/>
    </row>
    <row r="206">
      <c r="B206" s="30" t="n"/>
    </row>
    <row r="207">
      <c r="B207" s="30" t="n"/>
    </row>
    <row r="208">
      <c r="B208" s="30" t="n"/>
    </row>
    <row r="209">
      <c r="B209" s="30" t="n"/>
    </row>
    <row r="210">
      <c r="B210" s="30" t="n"/>
    </row>
    <row r="211">
      <c r="B211" s="30" t="n"/>
    </row>
    <row r="212">
      <c r="B212" s="30" t="n"/>
    </row>
    <row r="213">
      <c r="B213" s="30" t="n"/>
    </row>
    <row r="214">
      <c r="B214" s="30" t="n"/>
    </row>
    <row r="215">
      <c r="B215" s="30" t="n"/>
    </row>
    <row r="216">
      <c r="B216" s="30" t="n"/>
    </row>
    <row r="217">
      <c r="B217" s="30" t="n"/>
    </row>
    <row r="218">
      <c r="B218" s="30" t="n"/>
    </row>
    <row r="219">
      <c r="B219" s="30" t="n"/>
    </row>
    <row r="220">
      <c r="B220" s="30" t="n"/>
    </row>
    <row r="221">
      <c r="B221" s="30" t="n"/>
    </row>
    <row r="222">
      <c r="B222" s="30" t="n"/>
    </row>
    <row r="223">
      <c r="B223" s="30" t="n"/>
    </row>
    <row r="224">
      <c r="B224" s="30" t="n"/>
    </row>
    <row r="225">
      <c r="B225" s="30" t="n"/>
    </row>
    <row r="226">
      <c r="B226" s="30" t="n"/>
    </row>
    <row r="227">
      <c r="B227" s="30" t="n"/>
    </row>
    <row r="228">
      <c r="B228" s="30" t="n"/>
    </row>
    <row r="229">
      <c r="B229" s="30" t="n"/>
    </row>
    <row r="230">
      <c r="B230" s="30" t="n"/>
    </row>
    <row r="231">
      <c r="B231" s="30" t="n"/>
    </row>
    <row r="232">
      <c r="B232" s="30" t="n"/>
    </row>
    <row r="233">
      <c r="B233" s="30" t="n"/>
    </row>
    <row r="234">
      <c r="B234" s="30" t="n"/>
    </row>
    <row r="235">
      <c r="B235" s="30" t="n"/>
    </row>
    <row r="236">
      <c r="B236" s="30" t="n"/>
    </row>
    <row r="237">
      <c r="B237" s="30" t="n"/>
    </row>
    <row r="238">
      <c r="B238" s="30" t="n"/>
    </row>
    <row r="239">
      <c r="B239" s="30" t="n"/>
    </row>
    <row r="240">
      <c r="B240" s="30" t="n"/>
    </row>
    <row r="241">
      <c r="B241" s="30" t="n"/>
    </row>
    <row r="242">
      <c r="B242" s="30" t="n"/>
    </row>
    <row r="243">
      <c r="B243" s="30" t="n"/>
    </row>
    <row r="244">
      <c r="B244" s="30" t="n"/>
    </row>
    <row r="245">
      <c r="B245" s="30" t="n"/>
    </row>
    <row r="246">
      <c r="B246" s="30" t="n"/>
    </row>
    <row r="247">
      <c r="B247" s="30" t="n"/>
    </row>
    <row r="248">
      <c r="B248" s="30" t="n"/>
    </row>
    <row r="249">
      <c r="B249" s="30" t="n"/>
    </row>
    <row r="250">
      <c r="B250" s="30" t="n"/>
    </row>
    <row r="251">
      <c r="B251" s="30" t="n"/>
    </row>
    <row r="252">
      <c r="B252" s="30" t="n"/>
    </row>
    <row r="253">
      <c r="B253" s="30" t="n"/>
    </row>
    <row r="254">
      <c r="B254" s="30" t="n"/>
    </row>
    <row r="255">
      <c r="B255" s="30" t="n"/>
    </row>
    <row r="256">
      <c r="B256" s="30" t="n"/>
    </row>
    <row r="257">
      <c r="B257" s="30" t="n"/>
    </row>
    <row r="258">
      <c r="B258" s="30" t="n"/>
    </row>
    <row r="259">
      <c r="B259" s="30" t="n"/>
    </row>
    <row r="260">
      <c r="B260" s="30" t="n"/>
    </row>
    <row r="261">
      <c r="B261" s="30" t="n"/>
    </row>
    <row r="262">
      <c r="B262" s="30" t="n"/>
    </row>
    <row r="263">
      <c r="B263" s="30" t="n"/>
    </row>
    <row r="264">
      <c r="B264" s="30" t="n"/>
    </row>
    <row r="265">
      <c r="B265" s="30" t="n"/>
    </row>
    <row r="266">
      <c r="B266" s="30" t="n"/>
    </row>
    <row r="267">
      <c r="B267" s="30" t="n"/>
    </row>
    <row r="268">
      <c r="B268" s="30" t="n"/>
    </row>
    <row r="269">
      <c r="B269" s="30" t="n"/>
    </row>
    <row r="270">
      <c r="B270" s="30" t="n"/>
    </row>
    <row r="271">
      <c r="B271" s="30" t="n"/>
    </row>
    <row r="272">
      <c r="B272" s="30" t="n"/>
    </row>
    <row r="273">
      <c r="B273" s="30" t="n"/>
    </row>
    <row r="274">
      <c r="B274" s="30" t="n"/>
    </row>
    <row r="275">
      <c r="B275" s="30" t="n"/>
    </row>
    <row r="276">
      <c r="B276" s="30" t="n"/>
    </row>
    <row r="277">
      <c r="B277" s="30" t="n"/>
    </row>
    <row r="278">
      <c r="B278" s="30" t="n"/>
    </row>
    <row r="279">
      <c r="B279" s="30" t="n"/>
    </row>
    <row r="280">
      <c r="B280" s="30" t="n"/>
    </row>
    <row r="281">
      <c r="B281" s="30" t="n"/>
    </row>
    <row r="282">
      <c r="B282" s="30" t="n"/>
    </row>
    <row r="283">
      <c r="B283" s="30" t="n"/>
    </row>
    <row r="284">
      <c r="B284" s="30" t="n"/>
    </row>
    <row r="285">
      <c r="B285" s="30" t="n"/>
    </row>
    <row r="286">
      <c r="B286" s="30" t="n"/>
    </row>
    <row r="287">
      <c r="B287" s="30" t="n"/>
    </row>
    <row r="288">
      <c r="B288" s="30" t="n"/>
    </row>
    <row r="289">
      <c r="B289" s="30" t="n"/>
    </row>
    <row r="290">
      <c r="B290" s="30" t="n"/>
    </row>
    <row r="291">
      <c r="B291" s="30" t="n"/>
    </row>
    <row r="292">
      <c r="B292" s="30" t="n"/>
    </row>
    <row r="293">
      <c r="B293" s="30" t="n"/>
    </row>
    <row r="294">
      <c r="B294" s="30" t="n"/>
    </row>
    <row r="295">
      <c r="B295" s="30" t="n"/>
    </row>
    <row r="296">
      <c r="B296" s="30" t="n"/>
    </row>
    <row r="297">
      <c r="B297" s="30" t="n"/>
    </row>
    <row r="298">
      <c r="B298" s="30" t="n"/>
    </row>
    <row r="299">
      <c r="B299" s="30" t="n"/>
    </row>
    <row r="300">
      <c r="B300" s="30" t="n"/>
    </row>
    <row r="301">
      <c r="B301" s="30" t="n"/>
    </row>
    <row r="302">
      <c r="B302" s="30" t="n"/>
    </row>
    <row r="303">
      <c r="B303" s="30" t="n"/>
    </row>
    <row r="304">
      <c r="B304" s="30" t="n"/>
    </row>
    <row r="305">
      <c r="B305" s="30" t="n"/>
    </row>
    <row r="306">
      <c r="B306" s="30" t="n"/>
    </row>
    <row r="307">
      <c r="B307" s="30" t="n"/>
    </row>
    <row r="308">
      <c r="B308" s="30" t="n"/>
    </row>
    <row r="309">
      <c r="B309" s="30" t="n"/>
    </row>
    <row r="310">
      <c r="B310" s="30" t="n"/>
    </row>
    <row r="311">
      <c r="B311" s="30" t="n"/>
    </row>
    <row r="312">
      <c r="B312" s="30" t="n"/>
    </row>
    <row r="313">
      <c r="B313" s="30" t="n"/>
    </row>
    <row r="314">
      <c r="B314" s="30" t="n"/>
    </row>
    <row r="315">
      <c r="B315" s="30" t="n"/>
    </row>
    <row r="316">
      <c r="B316" s="30" t="n"/>
    </row>
    <row r="317">
      <c r="B317" s="30" t="n"/>
    </row>
    <row r="318">
      <c r="B318" s="30" t="n"/>
    </row>
    <row r="319">
      <c r="B319" s="30" t="n"/>
    </row>
    <row r="320">
      <c r="B320" s="30" t="n"/>
    </row>
    <row r="321">
      <c r="B321" s="30" t="n"/>
    </row>
    <row r="322">
      <c r="B322" s="30" t="n"/>
    </row>
    <row r="323">
      <c r="B323" s="30" t="n"/>
    </row>
    <row r="324">
      <c r="B324" s="30" t="n"/>
    </row>
    <row r="325">
      <c r="B325" s="30" t="n"/>
    </row>
    <row r="326">
      <c r="B326" s="30" t="n"/>
    </row>
    <row r="327">
      <c r="B327" s="30" t="n"/>
    </row>
    <row r="328">
      <c r="B328" s="30" t="n"/>
    </row>
    <row r="329">
      <c r="B329" s="30" t="n"/>
    </row>
    <row r="330">
      <c r="B330" s="30" t="n"/>
    </row>
    <row r="331">
      <c r="B331" s="30" t="n"/>
    </row>
    <row r="332">
      <c r="B332" s="30" t="n"/>
    </row>
    <row r="333">
      <c r="B333" s="30" t="n"/>
    </row>
    <row r="334">
      <c r="B334" s="30" t="n"/>
    </row>
    <row r="335">
      <c r="B335" s="30" t="n"/>
    </row>
    <row r="336">
      <c r="B336" s="30" t="n"/>
    </row>
    <row r="337">
      <c r="B337" s="30" t="n"/>
    </row>
    <row r="338">
      <c r="B338" s="30" t="n"/>
    </row>
    <row r="339">
      <c r="B339" s="30" t="n"/>
    </row>
    <row r="340">
      <c r="B340" s="30" t="n"/>
    </row>
    <row r="341">
      <c r="B341" s="30" t="n"/>
    </row>
    <row r="342">
      <c r="B342" s="30" t="n"/>
    </row>
    <row r="343">
      <c r="B343" s="30" t="n"/>
    </row>
    <row r="344">
      <c r="B344" s="30" t="n"/>
    </row>
    <row r="345">
      <c r="B345" s="30" t="n"/>
    </row>
    <row r="346">
      <c r="B346" s="30" t="n"/>
    </row>
    <row r="347">
      <c r="B347" s="30" t="n"/>
    </row>
    <row r="348">
      <c r="B348" s="30" t="n"/>
    </row>
    <row r="349">
      <c r="B349" s="30" t="n"/>
    </row>
    <row r="350">
      <c r="B350" s="30" t="n"/>
    </row>
    <row r="351">
      <c r="B351" s="30" t="n"/>
    </row>
    <row r="352">
      <c r="B352" s="30" t="n"/>
    </row>
    <row r="353">
      <c r="B353" s="30" t="n"/>
    </row>
    <row r="354">
      <c r="B354" s="30" t="n"/>
    </row>
    <row r="355">
      <c r="B355" s="30" t="n"/>
    </row>
    <row r="356">
      <c r="B356" s="30" t="n"/>
    </row>
    <row r="357">
      <c r="B357" s="30" t="n"/>
    </row>
    <row r="358">
      <c r="B358" s="30" t="n"/>
    </row>
    <row r="359">
      <c r="B359" s="30" t="n"/>
    </row>
    <row r="360">
      <c r="B360" s="30" t="n"/>
    </row>
    <row r="361">
      <c r="B361" s="30" t="n"/>
    </row>
    <row r="362">
      <c r="B362" s="30" t="n"/>
    </row>
    <row r="363">
      <c r="B363" s="30" t="n"/>
    </row>
    <row r="364">
      <c r="B364" s="30" t="n"/>
    </row>
    <row r="365">
      <c r="B365" s="30" t="n"/>
    </row>
    <row r="366">
      <c r="B366" s="30" t="n"/>
    </row>
    <row r="367">
      <c r="B367" s="30" t="n"/>
    </row>
    <row r="368">
      <c r="B368" s="30" t="n"/>
    </row>
    <row r="369">
      <c r="B369" s="30" t="n"/>
    </row>
    <row r="370">
      <c r="B370" s="30" t="n"/>
    </row>
    <row r="371">
      <c r="B371" s="30" t="n"/>
    </row>
    <row r="372">
      <c r="B372" s="30" t="n"/>
    </row>
    <row r="373">
      <c r="B373" s="30" t="n"/>
    </row>
    <row r="374">
      <c r="B374" s="30" t="n"/>
    </row>
    <row r="375">
      <c r="B375" s="30" t="n"/>
    </row>
    <row r="376">
      <c r="B376" s="30" t="n"/>
    </row>
    <row r="377">
      <c r="B377" s="30" t="n"/>
    </row>
    <row r="378">
      <c r="B378" s="30" t="n"/>
    </row>
    <row r="379">
      <c r="B379" s="30" t="n"/>
    </row>
    <row r="380">
      <c r="B380" s="30" t="n"/>
    </row>
    <row r="381">
      <c r="B381" s="30" t="n"/>
    </row>
    <row r="382">
      <c r="B382" s="30" t="n"/>
    </row>
    <row r="383">
      <c r="B383" s="30" t="n"/>
    </row>
    <row r="384">
      <c r="B384" s="30" t="n"/>
    </row>
    <row r="385">
      <c r="B385" s="30" t="n"/>
    </row>
    <row r="386">
      <c r="B386" s="30" t="n"/>
    </row>
    <row r="387">
      <c r="B387" s="30" t="n"/>
    </row>
    <row r="388">
      <c r="B388" s="30" t="n"/>
    </row>
    <row r="389">
      <c r="B389" s="30" t="n"/>
    </row>
    <row r="390">
      <c r="B390" s="30" t="n"/>
    </row>
    <row r="391">
      <c r="B391" s="30" t="n"/>
    </row>
    <row r="392">
      <c r="B392" s="30" t="n"/>
    </row>
    <row r="393">
      <c r="B393" s="30" t="n"/>
    </row>
    <row r="394">
      <c r="B394" s="30" t="n"/>
    </row>
    <row r="395">
      <c r="B395" s="30" t="n"/>
    </row>
    <row r="396">
      <c r="B396" s="30" t="n"/>
    </row>
    <row r="397">
      <c r="B397" s="30" t="n"/>
    </row>
    <row r="398">
      <c r="B398" s="30" t="n"/>
    </row>
    <row r="399">
      <c r="B399" s="30" t="n"/>
    </row>
    <row r="400">
      <c r="B400" s="30" t="n"/>
    </row>
    <row r="401">
      <c r="B401" s="30" t="n"/>
    </row>
    <row r="402">
      <c r="B402" s="30" t="n"/>
    </row>
    <row r="403">
      <c r="B403" s="30" t="n"/>
    </row>
    <row r="404">
      <c r="B404" s="30" t="n"/>
    </row>
    <row r="405">
      <c r="B405" s="30" t="n"/>
    </row>
    <row r="406">
      <c r="B406" s="30" t="n"/>
    </row>
    <row r="407">
      <c r="B407" s="30" t="n"/>
    </row>
    <row r="408">
      <c r="B408" s="30" t="n"/>
    </row>
    <row r="409">
      <c r="B409" s="30" t="n"/>
    </row>
    <row r="410">
      <c r="B410" s="30" t="n"/>
    </row>
    <row r="411">
      <c r="B411" s="30" t="n"/>
    </row>
    <row r="412">
      <c r="B412" s="30" t="n"/>
    </row>
    <row r="413">
      <c r="B413" s="30" t="n"/>
    </row>
    <row r="414">
      <c r="B414" s="30" t="n"/>
    </row>
    <row r="415">
      <c r="B415" s="30" t="n"/>
    </row>
    <row r="416">
      <c r="B416" s="30" t="n"/>
    </row>
    <row r="417">
      <c r="B417" s="30" t="n"/>
    </row>
    <row r="418">
      <c r="B418" s="30" t="n"/>
    </row>
    <row r="419">
      <c r="B419" s="30" t="n"/>
    </row>
    <row r="420">
      <c r="B420" s="30" t="n"/>
    </row>
    <row r="421">
      <c r="B421" s="30" t="n"/>
    </row>
    <row r="422">
      <c r="B422" s="30" t="n"/>
    </row>
    <row r="423">
      <c r="B423" s="30" t="n"/>
    </row>
    <row r="424">
      <c r="B424" s="30" t="n"/>
    </row>
    <row r="425">
      <c r="B425" s="30" t="n"/>
    </row>
    <row r="426">
      <c r="B426" s="30" t="n"/>
    </row>
    <row r="427">
      <c r="B427" s="30" t="n"/>
    </row>
    <row r="428">
      <c r="B428" s="30" t="n"/>
    </row>
    <row r="429">
      <c r="B429" s="30" t="n"/>
    </row>
    <row r="430">
      <c r="B430" s="30" t="n"/>
    </row>
    <row r="431">
      <c r="B431" s="30" t="n"/>
    </row>
    <row r="432">
      <c r="B432" s="30" t="n"/>
    </row>
    <row r="433">
      <c r="B433" s="30" t="n"/>
    </row>
    <row r="434">
      <c r="B434" s="30" t="n"/>
    </row>
    <row r="435">
      <c r="B435" s="30" t="n"/>
    </row>
    <row r="436">
      <c r="B436" s="30" t="n"/>
    </row>
    <row r="437">
      <c r="B437" s="30" t="n"/>
    </row>
    <row r="438">
      <c r="B438" s="30" t="n"/>
    </row>
    <row r="439">
      <c r="B439" s="30" t="n"/>
    </row>
    <row r="440">
      <c r="B440" s="30" t="n"/>
    </row>
    <row r="441">
      <c r="B441" s="30" t="n"/>
    </row>
    <row r="442">
      <c r="B442" s="30" t="n"/>
    </row>
    <row r="443">
      <c r="B443" s="30" t="n"/>
    </row>
    <row r="444">
      <c r="B444" s="30" t="n"/>
    </row>
    <row r="445">
      <c r="B445" s="30" t="n"/>
    </row>
    <row r="446">
      <c r="B446" s="30" t="n"/>
    </row>
    <row r="447">
      <c r="B447" s="30" t="n"/>
    </row>
    <row r="448">
      <c r="B448" s="30" t="n"/>
    </row>
    <row r="449">
      <c r="B449" s="30" t="n"/>
    </row>
    <row r="450">
      <c r="B450" s="30" t="n"/>
    </row>
    <row r="451">
      <c r="B451" s="30" t="n"/>
    </row>
    <row r="452">
      <c r="B452" s="30" t="n"/>
    </row>
    <row r="453">
      <c r="B453" s="30" t="n"/>
    </row>
    <row r="454">
      <c r="B454" s="30" t="n"/>
    </row>
    <row r="455">
      <c r="B455" s="30" t="n"/>
    </row>
    <row r="456">
      <c r="B456" s="30" t="n"/>
    </row>
    <row r="457">
      <c r="B457" s="30" t="n"/>
    </row>
    <row r="458">
      <c r="B458" s="30" t="n"/>
    </row>
    <row r="459">
      <c r="B459" s="30" t="n"/>
    </row>
    <row r="460">
      <c r="B460" s="30" t="n"/>
    </row>
    <row r="461">
      <c r="B461" s="30" t="n"/>
    </row>
    <row r="462">
      <c r="B462" s="30" t="n"/>
    </row>
    <row r="463">
      <c r="B463" s="30" t="n"/>
    </row>
    <row r="464">
      <c r="B464" s="30" t="n"/>
    </row>
    <row r="465">
      <c r="B465" s="30" t="n"/>
    </row>
    <row r="466">
      <c r="B466" s="30" t="n"/>
    </row>
    <row r="467">
      <c r="B467" s="30" t="n"/>
    </row>
    <row r="468">
      <c r="B468" s="30" t="n"/>
    </row>
    <row r="469">
      <c r="B469" s="30" t="n"/>
    </row>
    <row r="470">
      <c r="B470" s="30" t="n"/>
    </row>
    <row r="471">
      <c r="B471" s="30" t="n"/>
    </row>
    <row r="472">
      <c r="B472" s="30" t="n"/>
    </row>
    <row r="473">
      <c r="B473" s="30" t="n"/>
    </row>
    <row r="474">
      <c r="B474" s="30" t="n"/>
    </row>
    <row r="475">
      <c r="B475" s="30" t="n"/>
    </row>
    <row r="476">
      <c r="B476" s="30" t="n"/>
    </row>
    <row r="477">
      <c r="B477" s="30" t="n"/>
    </row>
    <row r="478">
      <c r="B478" s="30" t="n"/>
    </row>
    <row r="479">
      <c r="B479" s="30" t="n"/>
    </row>
    <row r="480">
      <c r="B480" s="30" t="n"/>
    </row>
    <row r="481">
      <c r="B481" s="30" t="n"/>
    </row>
    <row r="482">
      <c r="B482" s="30" t="n"/>
    </row>
    <row r="483">
      <c r="B483" s="30" t="n"/>
    </row>
    <row r="484">
      <c r="B484" s="30" t="n"/>
    </row>
    <row r="485">
      <c r="B485" s="30" t="n"/>
    </row>
    <row r="486">
      <c r="B486" s="30" t="n"/>
    </row>
    <row r="487">
      <c r="B487" s="30" t="n"/>
    </row>
    <row r="488">
      <c r="B488" s="30" t="n"/>
    </row>
    <row r="489">
      <c r="B489" s="30" t="n"/>
    </row>
    <row r="490">
      <c r="B490" s="30" t="n"/>
    </row>
    <row r="491">
      <c r="B491" s="30" t="n"/>
    </row>
    <row r="492">
      <c r="B492" s="30" t="n"/>
    </row>
    <row r="493">
      <c r="B493" s="30" t="n"/>
    </row>
    <row r="494">
      <c r="B494" s="30" t="n"/>
    </row>
    <row r="495">
      <c r="B495" s="30" t="n"/>
    </row>
    <row r="496">
      <c r="B496" s="30" t="n"/>
    </row>
    <row r="497">
      <c r="B497" s="30" t="n"/>
    </row>
    <row r="498">
      <c r="B498" s="30" t="n"/>
    </row>
    <row r="499">
      <c r="B499" s="30" t="n"/>
    </row>
    <row r="500">
      <c r="B500" s="30" t="n"/>
    </row>
    <row r="501">
      <c r="B501" s="30" t="n"/>
    </row>
    <row r="502">
      <c r="B502" s="30" t="n"/>
    </row>
    <row r="503">
      <c r="B503" s="30" t="n"/>
    </row>
    <row r="504">
      <c r="B504" s="30" t="n"/>
    </row>
    <row r="505">
      <c r="B505" s="30" t="n"/>
    </row>
    <row r="506">
      <c r="B506" s="30" t="n"/>
    </row>
    <row r="507">
      <c r="B507" s="30" t="n"/>
    </row>
    <row r="508">
      <c r="B508" s="30" t="n"/>
    </row>
    <row r="509">
      <c r="B509" s="30" t="n"/>
    </row>
    <row r="510">
      <c r="B510" s="30" t="n"/>
    </row>
    <row r="511">
      <c r="B511" s="30" t="n"/>
    </row>
    <row r="512">
      <c r="B512" s="30" t="n"/>
    </row>
    <row r="513">
      <c r="B513" s="30" t="n"/>
    </row>
    <row r="514">
      <c r="B514" s="30" t="n"/>
    </row>
    <row r="515">
      <c r="B515" s="30" t="n"/>
    </row>
    <row r="516">
      <c r="B516" s="30" t="n"/>
    </row>
    <row r="517">
      <c r="B517" s="30" t="n"/>
    </row>
    <row r="518">
      <c r="B518" s="30" t="n"/>
    </row>
    <row r="519">
      <c r="B519" s="30" t="n"/>
    </row>
    <row r="520">
      <c r="B520" s="30" t="n"/>
    </row>
    <row r="521">
      <c r="B521" s="30" t="n"/>
    </row>
    <row r="522">
      <c r="B522" s="30" t="n"/>
    </row>
    <row r="523">
      <c r="B523" s="30" t="n"/>
    </row>
    <row r="524">
      <c r="B524" s="30" t="n"/>
    </row>
    <row r="525">
      <c r="B525" s="30" t="n"/>
    </row>
    <row r="526">
      <c r="B526" s="30" t="n"/>
    </row>
    <row r="527">
      <c r="B527" s="30" t="n"/>
    </row>
    <row r="528">
      <c r="B528" s="30" t="n"/>
    </row>
    <row r="529">
      <c r="B529" s="30" t="n"/>
    </row>
    <row r="530">
      <c r="B530" s="30" t="n"/>
    </row>
    <row r="531">
      <c r="B531" s="30" t="n"/>
    </row>
    <row r="532">
      <c r="B532" s="30" t="n"/>
    </row>
    <row r="533">
      <c r="B533" s="30" t="n"/>
    </row>
    <row r="534">
      <c r="B534" s="30" t="n"/>
    </row>
    <row r="535">
      <c r="B535" s="30" t="n"/>
    </row>
    <row r="536">
      <c r="B536" s="30" t="n"/>
    </row>
    <row r="537">
      <c r="B537" s="30" t="n"/>
    </row>
    <row r="538">
      <c r="B538" s="30" t="n"/>
    </row>
    <row r="539">
      <c r="B539" s="30" t="n"/>
    </row>
    <row r="540">
      <c r="B540" s="30" t="n"/>
    </row>
    <row r="541">
      <c r="B541" s="30" t="n"/>
    </row>
    <row r="542">
      <c r="B542" s="30" t="n"/>
    </row>
    <row r="543">
      <c r="B543" s="30" t="n"/>
    </row>
    <row r="544">
      <c r="B544" s="30" t="n"/>
    </row>
    <row r="545">
      <c r="B545" s="30" t="n"/>
    </row>
    <row r="546">
      <c r="B546" s="30" t="n"/>
    </row>
    <row r="547">
      <c r="B547" s="30" t="n"/>
    </row>
    <row r="548">
      <c r="B548" s="30" t="n"/>
    </row>
    <row r="549">
      <c r="B549" s="30" t="n"/>
    </row>
    <row r="550">
      <c r="B550" s="30" t="n"/>
    </row>
    <row r="551">
      <c r="B551" s="30" t="n"/>
    </row>
    <row r="552">
      <c r="B552" s="30" t="n"/>
    </row>
    <row r="553">
      <c r="B553" s="30" t="n"/>
    </row>
    <row r="554">
      <c r="B554" s="30" t="n"/>
    </row>
    <row r="555">
      <c r="B555" s="30" t="n"/>
    </row>
    <row r="556">
      <c r="B556" s="30" t="n"/>
    </row>
    <row r="557">
      <c r="B557" s="30" t="n"/>
    </row>
    <row r="558">
      <c r="B558" s="30" t="n"/>
    </row>
    <row r="559">
      <c r="B559" s="30" t="n"/>
    </row>
    <row r="560">
      <c r="B560" s="30" t="n"/>
    </row>
    <row r="561">
      <c r="B561" s="30" t="n"/>
    </row>
    <row r="562">
      <c r="B562" s="30" t="n"/>
    </row>
    <row r="563">
      <c r="B563" s="30" t="n"/>
    </row>
    <row r="564">
      <c r="B564" s="30" t="n"/>
    </row>
    <row r="565">
      <c r="B565" s="30" t="n"/>
    </row>
    <row r="566">
      <c r="B566" s="30" t="n"/>
    </row>
    <row r="567">
      <c r="B567" s="30" t="n"/>
    </row>
    <row r="568">
      <c r="B568" s="30" t="n"/>
    </row>
    <row r="569">
      <c r="B569" s="30" t="n"/>
    </row>
    <row r="570">
      <c r="B570" s="30" t="n"/>
    </row>
    <row r="571">
      <c r="B571" s="30" t="n"/>
    </row>
    <row r="572">
      <c r="B572" s="30" t="n"/>
    </row>
    <row r="573">
      <c r="B573" s="30" t="n"/>
    </row>
    <row r="574">
      <c r="B574" s="30" t="n"/>
    </row>
    <row r="575">
      <c r="B575" s="30" t="n"/>
    </row>
    <row r="576">
      <c r="B576" s="30" t="n"/>
    </row>
    <row r="577">
      <c r="B577" s="30" t="n"/>
    </row>
    <row r="578">
      <c r="B578" s="30" t="n"/>
    </row>
    <row r="579">
      <c r="B579" s="30" t="n"/>
    </row>
    <row r="580">
      <c r="B580" s="30" t="n"/>
    </row>
    <row r="581">
      <c r="B581" s="30" t="n"/>
    </row>
    <row r="582">
      <c r="B582" s="30" t="n"/>
    </row>
    <row r="583">
      <c r="B583" s="30" t="n"/>
    </row>
    <row r="584">
      <c r="B584" s="30" t="n"/>
    </row>
    <row r="585">
      <c r="B585" s="30" t="n"/>
    </row>
    <row r="586">
      <c r="B586" s="30" t="n"/>
    </row>
    <row r="587">
      <c r="B587" s="30" t="n"/>
    </row>
    <row r="588">
      <c r="B588" s="30" t="n"/>
    </row>
    <row r="589">
      <c r="B589" s="30" t="n"/>
    </row>
    <row r="590">
      <c r="B590" s="30" t="n"/>
    </row>
    <row r="591">
      <c r="B591" s="30" t="n"/>
    </row>
    <row r="592">
      <c r="B592" s="30" t="n"/>
    </row>
    <row r="593">
      <c r="B593" s="30" t="n"/>
    </row>
    <row r="594">
      <c r="B594" s="30" t="n"/>
    </row>
    <row r="595">
      <c r="B595" s="30" t="n"/>
    </row>
    <row r="596">
      <c r="B596" s="30" t="n"/>
    </row>
    <row r="597">
      <c r="B597" s="30" t="n"/>
    </row>
    <row r="598">
      <c r="B598" s="30" t="n"/>
    </row>
    <row r="599">
      <c r="B599" s="30" t="n"/>
    </row>
    <row r="600">
      <c r="B600" s="30" t="n"/>
    </row>
    <row r="601">
      <c r="B601" s="30" t="n"/>
    </row>
    <row r="602">
      <c r="B602" s="30" t="n"/>
    </row>
    <row r="603">
      <c r="B603" s="30" t="n"/>
    </row>
    <row r="604">
      <c r="B604" s="30" t="n"/>
    </row>
    <row r="605">
      <c r="B605" s="30" t="n"/>
    </row>
    <row r="606">
      <c r="B606" s="30" t="n"/>
    </row>
    <row r="607">
      <c r="B607" s="30" t="n"/>
    </row>
    <row r="608">
      <c r="B608" s="30" t="n"/>
    </row>
    <row r="609">
      <c r="B609" s="30" t="n"/>
    </row>
    <row r="610">
      <c r="B610" s="30" t="n"/>
    </row>
    <row r="611">
      <c r="B611" s="30" t="n"/>
    </row>
    <row r="612">
      <c r="B612" s="30" t="n"/>
    </row>
    <row r="613">
      <c r="B613" s="30" t="n"/>
    </row>
    <row r="614">
      <c r="B614" s="30" t="n"/>
    </row>
    <row r="615">
      <c r="B615" s="30" t="n"/>
    </row>
    <row r="616">
      <c r="B616" s="30" t="n"/>
    </row>
    <row r="617">
      <c r="B617" s="30" t="n"/>
    </row>
    <row r="618">
      <c r="B618" s="30" t="n"/>
    </row>
    <row r="619">
      <c r="B619" s="30" t="n"/>
    </row>
    <row r="620">
      <c r="B620" s="30" t="n"/>
    </row>
    <row r="621">
      <c r="B621" s="30" t="n"/>
    </row>
    <row r="622">
      <c r="B622" s="30" t="n"/>
    </row>
    <row r="623">
      <c r="B623" s="30" t="n"/>
    </row>
    <row r="624">
      <c r="B624" s="30" t="n"/>
    </row>
    <row r="625">
      <c r="B625" s="30" t="n"/>
    </row>
    <row r="626">
      <c r="B626" s="30" t="n"/>
    </row>
    <row r="627">
      <c r="B627" s="30" t="n"/>
    </row>
    <row r="628">
      <c r="B628" s="30" t="n"/>
    </row>
    <row r="629">
      <c r="B629" s="30" t="n"/>
    </row>
    <row r="630">
      <c r="B630" s="30" t="n"/>
    </row>
    <row r="631">
      <c r="B631" s="30" t="n"/>
    </row>
    <row r="632">
      <c r="B632" s="30" t="n"/>
    </row>
    <row r="633">
      <c r="B633" s="30" t="n"/>
    </row>
    <row r="634">
      <c r="B634" s="30" t="n"/>
    </row>
    <row r="635">
      <c r="B635" s="30" t="n"/>
    </row>
    <row r="636">
      <c r="B636" s="30" t="n"/>
    </row>
    <row r="637">
      <c r="B637" s="30" t="n"/>
    </row>
    <row r="638">
      <c r="B638" s="30" t="n"/>
    </row>
    <row r="639">
      <c r="B639" s="30" t="n"/>
    </row>
    <row r="640">
      <c r="B640" s="30" t="n"/>
    </row>
    <row r="641">
      <c r="B641" s="30" t="n"/>
    </row>
    <row r="642">
      <c r="B642" s="30" t="n"/>
    </row>
    <row r="643">
      <c r="B643" s="30" t="n"/>
    </row>
    <row r="644">
      <c r="B644" s="30" t="n"/>
    </row>
    <row r="645">
      <c r="B645" s="30" t="n"/>
    </row>
    <row r="646">
      <c r="B646" s="30" t="n"/>
    </row>
    <row r="647">
      <c r="B647" s="30" t="n"/>
    </row>
    <row r="648">
      <c r="B648" s="30" t="n"/>
    </row>
    <row r="649">
      <c r="B649" s="30" t="n"/>
    </row>
    <row r="650">
      <c r="B650" s="30" t="n"/>
    </row>
    <row r="651">
      <c r="B651" s="30" t="n"/>
    </row>
    <row r="652">
      <c r="B652" s="30" t="n"/>
    </row>
    <row r="653">
      <c r="B653" s="30" t="n"/>
    </row>
    <row r="654">
      <c r="B654" s="30" t="n"/>
    </row>
    <row r="655">
      <c r="B655" s="30" t="n"/>
    </row>
    <row r="656">
      <c r="B656" s="30" t="n"/>
    </row>
    <row r="657">
      <c r="B657" s="30" t="n"/>
    </row>
    <row r="658">
      <c r="B658" s="30" t="n"/>
    </row>
    <row r="659">
      <c r="B659" s="30" t="n"/>
    </row>
    <row r="660">
      <c r="B660" s="30" t="n"/>
    </row>
    <row r="661">
      <c r="B661" s="30" t="n"/>
    </row>
    <row r="662">
      <c r="B662" s="30" t="n"/>
    </row>
    <row r="663">
      <c r="B663" s="30" t="n"/>
    </row>
    <row r="664">
      <c r="B664" s="30" t="n"/>
    </row>
    <row r="665">
      <c r="B665" s="30" t="n"/>
    </row>
    <row r="666">
      <c r="B666" s="30" t="n"/>
    </row>
    <row r="667">
      <c r="B667" s="30" t="n"/>
    </row>
    <row r="668">
      <c r="B668" s="30" t="n"/>
    </row>
    <row r="669">
      <c r="B669" s="30" t="n"/>
    </row>
    <row r="670">
      <c r="B670" s="30" t="n"/>
    </row>
    <row r="671">
      <c r="B671" s="30" t="n"/>
    </row>
    <row r="672">
      <c r="B672" s="30" t="n"/>
    </row>
    <row r="673">
      <c r="B673" s="30" t="n"/>
    </row>
    <row r="674">
      <c r="B674" s="30" t="n"/>
    </row>
    <row r="675">
      <c r="B675" s="30" t="n"/>
    </row>
    <row r="676">
      <c r="B676" s="30" t="n"/>
    </row>
    <row r="677">
      <c r="B677" s="30" t="n"/>
    </row>
    <row r="678">
      <c r="B678" s="30" t="n"/>
    </row>
    <row r="679">
      <c r="B679" s="30" t="n"/>
    </row>
    <row r="680">
      <c r="B680" s="30" t="n"/>
    </row>
    <row r="681">
      <c r="B681" s="30" t="n"/>
    </row>
    <row r="682">
      <c r="B682" s="30" t="n"/>
    </row>
    <row r="683">
      <c r="B683" s="30" t="n"/>
    </row>
    <row r="684">
      <c r="B684" s="30" t="n"/>
    </row>
    <row r="685">
      <c r="B685" s="30" t="n"/>
    </row>
    <row r="686">
      <c r="B686" s="30" t="n"/>
    </row>
    <row r="687">
      <c r="B687" s="30" t="n"/>
    </row>
    <row r="688">
      <c r="B688" s="30" t="n"/>
    </row>
    <row r="689">
      <c r="B689" s="30" t="n"/>
    </row>
    <row r="690">
      <c r="B690" s="30" t="n"/>
    </row>
    <row r="691">
      <c r="B691" s="30" t="n"/>
    </row>
    <row r="692">
      <c r="B692" s="30" t="n"/>
    </row>
    <row r="693">
      <c r="B693" s="30" t="n"/>
    </row>
    <row r="694">
      <c r="B694" s="30" t="n"/>
    </row>
    <row r="695">
      <c r="B695" s="30" t="n"/>
    </row>
    <row r="696">
      <c r="B696" s="30" t="n"/>
    </row>
    <row r="697">
      <c r="B697" s="30" t="n"/>
    </row>
    <row r="698">
      <c r="B698" s="30" t="n"/>
    </row>
    <row r="699">
      <c r="B699" s="30" t="n"/>
    </row>
    <row r="700">
      <c r="B700" s="30" t="n"/>
    </row>
    <row r="701">
      <c r="B701" s="30" t="n"/>
    </row>
    <row r="702">
      <c r="B702" s="30" t="n"/>
    </row>
    <row r="703">
      <c r="B703" s="30" t="n"/>
    </row>
    <row r="704">
      <c r="B704" s="30" t="n"/>
    </row>
    <row r="705">
      <c r="B705" s="30" t="n"/>
    </row>
    <row r="706">
      <c r="B706" s="30" t="n"/>
    </row>
    <row r="707">
      <c r="B707" s="30" t="n"/>
    </row>
    <row r="708">
      <c r="B708" s="30" t="n"/>
    </row>
    <row r="709">
      <c r="B709" s="30" t="n"/>
    </row>
    <row r="710">
      <c r="B710" s="30" t="n"/>
    </row>
    <row r="711">
      <c r="B711" s="30" t="n"/>
    </row>
    <row r="712">
      <c r="B712" s="30" t="n"/>
    </row>
    <row r="713">
      <c r="B713" s="30" t="n"/>
    </row>
    <row r="714">
      <c r="B714" s="30" t="n"/>
    </row>
    <row r="715">
      <c r="B715" s="30" t="n"/>
    </row>
    <row r="716">
      <c r="B716" s="30" t="n"/>
    </row>
    <row r="717">
      <c r="B717" s="30" t="n"/>
    </row>
    <row r="718">
      <c r="B718" s="30" t="n"/>
    </row>
    <row r="719">
      <c r="B719" s="30" t="n"/>
    </row>
    <row r="720">
      <c r="B720" s="30" t="n"/>
    </row>
    <row r="721">
      <c r="B721" s="30" t="n"/>
    </row>
    <row r="722">
      <c r="B722" s="30" t="n"/>
    </row>
    <row r="723">
      <c r="B723" s="30" t="n"/>
    </row>
    <row r="724">
      <c r="B724" s="30" t="n"/>
    </row>
    <row r="725">
      <c r="B725" s="30" t="n"/>
    </row>
    <row r="726">
      <c r="B726" s="30" t="n"/>
    </row>
    <row r="727">
      <c r="B727" s="30" t="n"/>
    </row>
    <row r="728">
      <c r="B728" s="30" t="n"/>
    </row>
    <row r="729">
      <c r="B729" s="30" t="n"/>
    </row>
    <row r="730">
      <c r="B730" s="30" t="n"/>
    </row>
    <row r="731">
      <c r="B731" s="30" t="n"/>
    </row>
    <row r="732">
      <c r="B732" s="30" t="n"/>
    </row>
    <row r="733">
      <c r="B733" s="30" t="n"/>
    </row>
    <row r="734">
      <c r="B734" s="30" t="n"/>
    </row>
    <row r="735">
      <c r="B735" s="30" t="n"/>
    </row>
    <row r="736">
      <c r="B736" s="30" t="n"/>
    </row>
    <row r="737">
      <c r="B737" s="30" t="n"/>
    </row>
    <row r="738">
      <c r="B738" s="30" t="n"/>
    </row>
    <row r="739">
      <c r="B739" s="30" t="n"/>
    </row>
    <row r="740">
      <c r="B740" s="30" t="n"/>
    </row>
    <row r="741">
      <c r="B741" s="30" t="n"/>
    </row>
    <row r="742">
      <c r="B742" s="30" t="n"/>
    </row>
    <row r="743">
      <c r="B743" s="30" t="n"/>
    </row>
    <row r="744">
      <c r="B744" s="30" t="n"/>
    </row>
    <row r="745">
      <c r="B745" s="30" t="n"/>
    </row>
    <row r="746">
      <c r="B746" s="30" t="n"/>
    </row>
    <row r="747">
      <c r="B747" s="30" t="n"/>
    </row>
    <row r="748">
      <c r="B748" s="30" t="n"/>
    </row>
    <row r="749">
      <c r="B749" s="30" t="n"/>
    </row>
    <row r="750">
      <c r="B750" s="30" t="n"/>
    </row>
    <row r="751">
      <c r="B751" s="30" t="n"/>
    </row>
    <row r="752">
      <c r="B752" s="30" t="n"/>
    </row>
    <row r="753">
      <c r="B753" s="30" t="n"/>
    </row>
    <row r="754">
      <c r="B754" s="30" t="n"/>
    </row>
    <row r="755">
      <c r="B755" s="30" t="n"/>
    </row>
    <row r="756">
      <c r="B756" s="30" t="n"/>
    </row>
    <row r="757">
      <c r="B757" s="30" t="n"/>
    </row>
    <row r="758">
      <c r="B758" s="30" t="n"/>
    </row>
    <row r="759">
      <c r="B759" s="30" t="n"/>
    </row>
    <row r="760">
      <c r="B760" s="30" t="n"/>
    </row>
    <row r="761">
      <c r="B761" s="30" t="n"/>
    </row>
    <row r="762">
      <c r="B762" s="30" t="n"/>
    </row>
    <row r="763">
      <c r="B763" s="30" t="n"/>
    </row>
    <row r="764">
      <c r="B764" s="30" t="n"/>
    </row>
    <row r="765">
      <c r="B765" s="30" t="n"/>
    </row>
    <row r="766">
      <c r="B766" s="30" t="n"/>
    </row>
    <row r="767">
      <c r="B767" s="30" t="n"/>
    </row>
    <row r="768">
      <c r="B768" s="30" t="n"/>
    </row>
    <row r="769">
      <c r="B769" s="30" t="n"/>
    </row>
    <row r="770">
      <c r="B770" s="30" t="n"/>
    </row>
    <row r="771">
      <c r="B771" s="30" t="n"/>
    </row>
    <row r="772">
      <c r="B772" s="30" t="n"/>
    </row>
    <row r="773">
      <c r="B773" s="30" t="n"/>
    </row>
    <row r="774">
      <c r="B774" s="30" t="n"/>
    </row>
    <row r="775">
      <c r="B775" s="30" t="n"/>
    </row>
    <row r="776">
      <c r="B776" s="30" t="n"/>
    </row>
    <row r="777">
      <c r="B777" s="30" t="n"/>
    </row>
    <row r="778">
      <c r="B778" s="30" t="n"/>
    </row>
    <row r="779">
      <c r="B779" s="30" t="n"/>
    </row>
    <row r="780">
      <c r="B780" s="30" t="n"/>
    </row>
    <row r="781">
      <c r="B781" s="30" t="n"/>
    </row>
    <row r="782">
      <c r="B782" s="30" t="n"/>
    </row>
    <row r="783">
      <c r="B783" s="30" t="n"/>
    </row>
    <row r="784">
      <c r="B784" s="30" t="n"/>
    </row>
    <row r="785">
      <c r="B785" s="30" t="n"/>
    </row>
    <row r="786">
      <c r="B786" s="30" t="n"/>
    </row>
    <row r="787">
      <c r="B787" s="30" t="n"/>
    </row>
    <row r="788">
      <c r="B788" s="30" t="n"/>
    </row>
    <row r="789">
      <c r="B789" s="30" t="n"/>
    </row>
    <row r="790">
      <c r="B790" s="30" t="n"/>
    </row>
    <row r="791">
      <c r="B791" s="30" t="n"/>
    </row>
    <row r="792">
      <c r="B792" s="30" t="n"/>
    </row>
    <row r="793">
      <c r="B793" s="30" t="n"/>
    </row>
    <row r="794">
      <c r="B794" s="30" t="n"/>
    </row>
    <row r="795">
      <c r="B795" s="30" t="n"/>
    </row>
    <row r="796">
      <c r="B796" s="30" t="n"/>
    </row>
    <row r="797">
      <c r="B797" s="30" t="n"/>
    </row>
    <row r="798">
      <c r="B798" s="30" t="n"/>
    </row>
    <row r="799">
      <c r="B799" s="30" t="n"/>
    </row>
    <row r="800">
      <c r="B800" s="30" t="n"/>
    </row>
    <row r="801">
      <c r="B801" s="30" t="n"/>
    </row>
    <row r="802">
      <c r="B802" s="30" t="n"/>
    </row>
    <row r="803">
      <c r="B803" s="30" t="n"/>
    </row>
    <row r="804">
      <c r="B804" s="30" t="n"/>
    </row>
    <row r="805">
      <c r="B805" s="30" t="n"/>
    </row>
    <row r="806">
      <c r="B806" s="30" t="n"/>
    </row>
    <row r="807">
      <c r="B807" s="30" t="n"/>
    </row>
    <row r="808">
      <c r="B808" s="30" t="n"/>
    </row>
    <row r="809">
      <c r="B809" s="30" t="n"/>
    </row>
    <row r="810">
      <c r="B810" s="30" t="n"/>
    </row>
    <row r="811">
      <c r="B811" s="30" t="n"/>
    </row>
    <row r="812">
      <c r="B812" s="30" t="n"/>
    </row>
    <row r="813">
      <c r="B813" s="30" t="n"/>
    </row>
    <row r="814">
      <c r="B814" s="30" t="n"/>
    </row>
    <row r="815">
      <c r="B815" s="30" t="n"/>
    </row>
    <row r="816">
      <c r="B816" s="30" t="n"/>
    </row>
    <row r="817">
      <c r="B817" s="30" t="n"/>
    </row>
    <row r="818">
      <c r="B818" s="30" t="n"/>
    </row>
    <row r="819">
      <c r="B819" s="30" t="n"/>
    </row>
    <row r="820">
      <c r="B820" s="30" t="n"/>
    </row>
    <row r="821">
      <c r="B821" s="30" t="n"/>
    </row>
    <row r="822">
      <c r="B822" s="30" t="n"/>
    </row>
    <row r="823">
      <c r="B823" s="30" t="n"/>
    </row>
    <row r="824">
      <c r="B824" s="30" t="n"/>
    </row>
    <row r="825">
      <c r="B825" s="30" t="n"/>
    </row>
    <row r="826">
      <c r="B826" s="30" t="n"/>
    </row>
    <row r="827">
      <c r="B827" s="30" t="n"/>
    </row>
    <row r="828">
      <c r="B828" s="30" t="n"/>
    </row>
    <row r="829">
      <c r="B829" s="30" t="n"/>
    </row>
    <row r="830">
      <c r="B830" s="30" t="n"/>
    </row>
    <row r="831">
      <c r="B831" s="30" t="n"/>
    </row>
    <row r="832">
      <c r="B832" s="30" t="n"/>
    </row>
    <row r="833">
      <c r="B833" s="30" t="n"/>
    </row>
    <row r="834">
      <c r="B834" s="30" t="n"/>
    </row>
    <row r="835">
      <c r="B835" s="30" t="n"/>
    </row>
    <row r="836">
      <c r="B836" s="30" t="n"/>
    </row>
    <row r="837">
      <c r="B837" s="30" t="n"/>
    </row>
    <row r="838">
      <c r="B838" s="30" t="n"/>
    </row>
    <row r="839">
      <c r="B839" s="30" t="n"/>
    </row>
    <row r="840">
      <c r="B840" s="30" t="n"/>
    </row>
    <row r="841">
      <c r="B841" s="30" t="n"/>
    </row>
    <row r="842">
      <c r="B842" s="30" t="n"/>
    </row>
    <row r="843">
      <c r="B843" s="30" t="n"/>
    </row>
    <row r="844">
      <c r="B844" s="30" t="n"/>
    </row>
    <row r="845">
      <c r="B845" s="30" t="n"/>
    </row>
    <row r="846">
      <c r="B846" s="30" t="n"/>
    </row>
    <row r="847">
      <c r="B847" s="30" t="n"/>
    </row>
    <row r="848">
      <c r="B848" s="30" t="n"/>
    </row>
    <row r="849">
      <c r="B849" s="30" t="n"/>
    </row>
    <row r="850">
      <c r="B850" s="30" t="n"/>
    </row>
    <row r="851">
      <c r="B851" s="30" t="n"/>
    </row>
    <row r="852">
      <c r="B852" s="30" t="n"/>
    </row>
    <row r="853">
      <c r="B853" s="30" t="n"/>
    </row>
    <row r="854">
      <c r="B854" s="30" t="n"/>
    </row>
    <row r="855">
      <c r="B855" s="30" t="n"/>
    </row>
    <row r="856">
      <c r="B856" s="30" t="n"/>
    </row>
    <row r="857">
      <c r="B857" s="30" t="n"/>
    </row>
    <row r="858">
      <c r="B858" s="30" t="n"/>
    </row>
    <row r="859">
      <c r="B859" s="30" t="n"/>
    </row>
    <row r="860">
      <c r="B860" s="30" t="n"/>
    </row>
    <row r="861">
      <c r="B861" s="30" t="n"/>
    </row>
    <row r="862">
      <c r="B862" s="30" t="n"/>
    </row>
    <row r="863">
      <c r="B863" s="30" t="n"/>
    </row>
    <row r="864">
      <c r="B864" s="30" t="n"/>
    </row>
    <row r="865">
      <c r="B865" s="30" t="n"/>
    </row>
    <row r="866">
      <c r="B866" s="30" t="n"/>
    </row>
    <row r="867">
      <c r="B867" s="30" t="n"/>
    </row>
    <row r="868">
      <c r="B868" s="30" t="n"/>
    </row>
    <row r="869">
      <c r="B869" s="30" t="n"/>
    </row>
    <row r="870">
      <c r="B870" s="30" t="n"/>
    </row>
    <row r="871">
      <c r="B871" s="30" t="n"/>
    </row>
    <row r="872">
      <c r="B872" s="30" t="n"/>
    </row>
    <row r="873">
      <c r="B873" s="30" t="n"/>
    </row>
    <row r="874">
      <c r="B874" s="30" t="n"/>
    </row>
    <row r="875">
      <c r="B875" s="30" t="n"/>
    </row>
    <row r="876">
      <c r="B876" s="30" t="n"/>
    </row>
    <row r="877">
      <c r="B877" s="30" t="n"/>
    </row>
    <row r="878">
      <c r="B878" s="30" t="n"/>
    </row>
    <row r="879">
      <c r="B879" s="30" t="n"/>
    </row>
    <row r="880">
      <c r="B880" s="30" t="n"/>
    </row>
    <row r="881">
      <c r="B881" s="30" t="n"/>
    </row>
    <row r="882">
      <c r="B882" s="30" t="n"/>
    </row>
    <row r="883">
      <c r="B883" s="30" t="n"/>
    </row>
    <row r="884">
      <c r="B884" s="30" t="n"/>
    </row>
    <row r="885">
      <c r="B885" s="30" t="n"/>
    </row>
    <row r="886">
      <c r="B886" s="30" t="n"/>
    </row>
    <row r="887">
      <c r="B887" s="30" t="n"/>
    </row>
    <row r="888">
      <c r="B888" s="30" t="n"/>
    </row>
    <row r="889">
      <c r="B889" s="30" t="n"/>
    </row>
    <row r="890">
      <c r="B890" s="30" t="n"/>
    </row>
    <row r="891">
      <c r="B891" s="30" t="n"/>
    </row>
    <row r="892">
      <c r="B892" s="30" t="n"/>
    </row>
    <row r="893">
      <c r="B893" s="30" t="n"/>
    </row>
    <row r="894">
      <c r="B894" s="30" t="n"/>
    </row>
    <row r="895">
      <c r="B895" s="30" t="n"/>
    </row>
    <row r="896">
      <c r="B896" s="30" t="n"/>
    </row>
    <row r="897">
      <c r="B897" s="30" t="n"/>
    </row>
    <row r="898">
      <c r="B898" s="30" t="n"/>
    </row>
    <row r="899">
      <c r="B899" s="30" t="n"/>
    </row>
    <row r="900">
      <c r="B900" s="30" t="n"/>
    </row>
    <row r="901">
      <c r="B901" s="30" t="n"/>
    </row>
    <row r="902">
      <c r="B902" s="30" t="n"/>
    </row>
    <row r="903">
      <c r="B903" s="30" t="n"/>
    </row>
    <row r="904">
      <c r="B904" s="30" t="n"/>
    </row>
    <row r="905">
      <c r="B905" s="30" t="n"/>
    </row>
    <row r="906">
      <c r="B906" s="30" t="n"/>
    </row>
    <row r="907">
      <c r="B907" s="30" t="n"/>
    </row>
    <row r="908">
      <c r="B908" s="30" t="n"/>
    </row>
    <row r="909">
      <c r="B909" s="30" t="n"/>
    </row>
    <row r="910">
      <c r="B910" s="30" t="n"/>
    </row>
    <row r="911">
      <c r="B911" s="30" t="n"/>
    </row>
    <row r="912">
      <c r="B912" s="30" t="n"/>
    </row>
    <row r="913">
      <c r="B913" s="30" t="n"/>
    </row>
    <row r="914">
      <c r="B914" s="30" t="n"/>
    </row>
    <row r="915">
      <c r="B915" s="30" t="n"/>
    </row>
    <row r="916">
      <c r="B916" s="30" t="n"/>
    </row>
    <row r="917">
      <c r="B917" s="30" t="n"/>
    </row>
    <row r="918">
      <c r="B918" s="30" t="n"/>
    </row>
    <row r="919">
      <c r="B919" s="30" t="n"/>
    </row>
    <row r="920">
      <c r="B920" s="30" t="n"/>
    </row>
    <row r="921">
      <c r="B921" s="30" t="n"/>
    </row>
    <row r="922">
      <c r="B922" s="30" t="n"/>
    </row>
    <row r="923">
      <c r="B923" s="30" t="n"/>
    </row>
    <row r="924">
      <c r="B924" s="30" t="n"/>
    </row>
    <row r="925">
      <c r="B925" s="30" t="n"/>
    </row>
    <row r="926">
      <c r="B926" s="30" t="n"/>
    </row>
    <row r="927">
      <c r="B927" s="30" t="n"/>
    </row>
    <row r="928">
      <c r="B928" s="30" t="n"/>
    </row>
    <row r="929">
      <c r="B929" s="30" t="n"/>
    </row>
    <row r="930">
      <c r="B930" s="30" t="n"/>
    </row>
    <row r="931">
      <c r="B931" s="30" t="n"/>
    </row>
    <row r="932">
      <c r="B932" s="30" t="n"/>
    </row>
    <row r="933">
      <c r="B933" s="30" t="n"/>
    </row>
    <row r="934">
      <c r="B934" s="30" t="n"/>
    </row>
    <row r="935">
      <c r="B935" s="30" t="n"/>
    </row>
    <row r="936">
      <c r="B936" s="30" t="n"/>
    </row>
    <row r="937">
      <c r="B937" s="30" t="n"/>
    </row>
    <row r="938">
      <c r="B938" s="30" t="n"/>
    </row>
    <row r="939">
      <c r="B939" s="30" t="n"/>
    </row>
    <row r="940">
      <c r="B940" s="30" t="n"/>
    </row>
    <row r="941">
      <c r="B941" s="30" t="n"/>
    </row>
    <row r="942">
      <c r="B942" s="30" t="n"/>
    </row>
    <row r="943">
      <c r="B943" s="30" t="n"/>
    </row>
    <row r="944">
      <c r="B944" s="30" t="n"/>
    </row>
    <row r="945">
      <c r="B945" s="30" t="n"/>
    </row>
    <row r="946">
      <c r="B946" s="30" t="n"/>
    </row>
    <row r="947">
      <c r="B947" s="30" t="n"/>
    </row>
    <row r="948">
      <c r="B948" s="30" t="n"/>
    </row>
    <row r="949">
      <c r="B949" s="30" t="n"/>
    </row>
    <row r="950">
      <c r="B950" s="30" t="n"/>
    </row>
    <row r="951">
      <c r="B951" s="30" t="n"/>
    </row>
    <row r="952">
      <c r="B952" s="30" t="n"/>
    </row>
    <row r="953">
      <c r="B953" s="30" t="n"/>
    </row>
    <row r="954">
      <c r="B954" s="30" t="n"/>
    </row>
    <row r="955">
      <c r="B955" s="30" t="n"/>
    </row>
    <row r="956">
      <c r="B956" s="30" t="n"/>
    </row>
    <row r="957">
      <c r="B957" s="30" t="n"/>
    </row>
    <row r="958">
      <c r="B958" s="30" t="n"/>
    </row>
    <row r="959">
      <c r="B959" s="30" t="n"/>
    </row>
    <row r="960">
      <c r="B960" s="30" t="n"/>
    </row>
    <row r="961">
      <c r="B961" s="30" t="n"/>
    </row>
    <row r="962">
      <c r="B962" s="30" t="n"/>
    </row>
    <row r="963">
      <c r="B963" s="30" t="n"/>
    </row>
    <row r="964">
      <c r="B964" s="30" t="n"/>
    </row>
    <row r="965">
      <c r="B965" s="30" t="n"/>
    </row>
    <row r="966">
      <c r="B966" s="30" t="n"/>
    </row>
    <row r="967">
      <c r="B967" s="30" t="n"/>
    </row>
    <row r="968">
      <c r="B968" s="30" t="n"/>
    </row>
    <row r="969">
      <c r="B969" s="30" t="n"/>
    </row>
    <row r="970">
      <c r="B970" s="30" t="n"/>
    </row>
    <row r="971">
      <c r="B971" s="30" t="n"/>
    </row>
    <row r="972">
      <c r="B972" s="30" t="n"/>
    </row>
    <row r="973">
      <c r="B973" s="30" t="n"/>
    </row>
    <row r="974">
      <c r="B974" s="30" t="n"/>
    </row>
    <row r="975">
      <c r="B975" s="30" t="n"/>
    </row>
    <row r="976">
      <c r="B976" s="30" t="n"/>
    </row>
    <row r="977">
      <c r="B977" s="30" t="n"/>
    </row>
    <row r="978">
      <c r="B978" s="30" t="n"/>
    </row>
    <row r="979">
      <c r="B979" s="30" t="n"/>
    </row>
    <row r="980">
      <c r="B980" s="30" t="n"/>
    </row>
    <row r="981">
      <c r="B981" s="30" t="n"/>
    </row>
    <row r="982">
      <c r="B982" s="30" t="n"/>
    </row>
    <row r="983">
      <c r="B983" s="30" t="n"/>
    </row>
    <row r="984">
      <c r="B984" s="30" t="n"/>
    </row>
    <row r="985">
      <c r="B985" s="30" t="n"/>
    </row>
    <row r="986">
      <c r="B986" s="30" t="n"/>
    </row>
    <row r="987">
      <c r="B987" s="30" t="n"/>
    </row>
    <row r="988">
      <c r="B988" s="30" t="n"/>
    </row>
    <row r="989">
      <c r="B989" s="30" t="n"/>
    </row>
    <row r="990">
      <c r="B990" s="30" t="n"/>
    </row>
    <row r="991">
      <c r="B991" s="30" t="n"/>
    </row>
    <row r="992">
      <c r="B992" s="30" t="n"/>
    </row>
    <row r="993">
      <c r="B993" s="30" t="n"/>
    </row>
    <row r="994">
      <c r="B994" s="30" t="n"/>
    </row>
    <row r="995">
      <c r="B995" s="30" t="n"/>
    </row>
    <row r="996">
      <c r="B996" s="30" t="n"/>
    </row>
    <row r="997">
      <c r="B997" s="30" t="n"/>
    </row>
    <row r="998">
      <c r="B998" s="30" t="n"/>
    </row>
    <row r="999">
      <c r="B999" s="30" t="n"/>
    </row>
    <row r="1000">
      <c r="B1000" s="30" t="n"/>
    </row>
    <row r="1001">
      <c r="B1001" s="30" t="n"/>
    </row>
    <row r="1002">
      <c r="B1002" s="30" t="n"/>
    </row>
    <row r="1003">
      <c r="B1003" s="30" t="n"/>
    </row>
    <row r="1004">
      <c r="B1004" s="30" t="n"/>
    </row>
    <row r="1005">
      <c r="B1005" s="30" t="n"/>
    </row>
    <row r="1006">
      <c r="B1006" s="30" t="n"/>
    </row>
    <row r="1007">
      <c r="B1007" s="30" t="n"/>
    </row>
    <row r="1008">
      <c r="B1008" s="30" t="n"/>
    </row>
    <row r="1009">
      <c r="B1009" s="30" t="n"/>
    </row>
    <row r="1010">
      <c r="B1010" s="30" t="n"/>
    </row>
    <row r="1011">
      <c r="B1011" s="30" t="n"/>
    </row>
    <row r="1012">
      <c r="B1012" s="30" t="n"/>
    </row>
    <row r="1013">
      <c r="B1013" s="30" t="n"/>
    </row>
    <row r="1014">
      <c r="B1014" s="30" t="n"/>
    </row>
    <row r="1015">
      <c r="B1015" s="30" t="n"/>
    </row>
    <row r="1016">
      <c r="B1016" s="30" t="n"/>
    </row>
    <row r="1017">
      <c r="B1017" s="30" t="n"/>
    </row>
    <row r="1018">
      <c r="B1018" s="30" t="n"/>
    </row>
    <row r="1019">
      <c r="B1019" s="30" t="n"/>
    </row>
    <row r="1020">
      <c r="B1020" s="30" t="n"/>
    </row>
    <row r="1021">
      <c r="B1021" s="30" t="n"/>
    </row>
    <row r="1022">
      <c r="B1022" s="30" t="n"/>
    </row>
    <row r="1023">
      <c r="B1023" s="30" t="n"/>
    </row>
    <row r="1024">
      <c r="B1024" s="30" t="n"/>
    </row>
    <row r="1025">
      <c r="B1025" s="30" t="n"/>
    </row>
    <row r="1026">
      <c r="B1026" s="30" t="n"/>
    </row>
    <row r="1027">
      <c r="B1027" s="30" t="n"/>
    </row>
    <row r="1028">
      <c r="B1028" s="30" t="n"/>
    </row>
    <row r="1029">
      <c r="B1029" s="30" t="n"/>
    </row>
    <row r="1030">
      <c r="B1030" s="30" t="n"/>
    </row>
    <row r="1031">
      <c r="B1031" s="30" t="n"/>
    </row>
    <row r="1032">
      <c r="B1032" s="30" t="n"/>
    </row>
    <row r="1033">
      <c r="B1033" s="30" t="n"/>
    </row>
    <row r="1034">
      <c r="B1034" s="30" t="n"/>
    </row>
    <row r="1035">
      <c r="B1035" s="30" t="n"/>
    </row>
    <row r="1036">
      <c r="B1036" s="30" t="n"/>
    </row>
    <row r="1037">
      <c r="B1037" s="30" t="n"/>
    </row>
    <row r="1038">
      <c r="B1038" s="30" t="n"/>
    </row>
    <row r="1039">
      <c r="B1039" s="30" t="n"/>
    </row>
    <row r="1040">
      <c r="B1040" s="30" t="n"/>
    </row>
    <row r="1041">
      <c r="B1041" s="30" t="n"/>
    </row>
    <row r="1042">
      <c r="B1042" s="30" t="n"/>
    </row>
    <row r="1043">
      <c r="B1043" s="30" t="n"/>
    </row>
    <row r="1044">
      <c r="B1044" s="30" t="n"/>
    </row>
    <row r="1045">
      <c r="B1045" s="30" t="n"/>
    </row>
    <row r="1046">
      <c r="B1046" s="30" t="n"/>
    </row>
    <row r="1047">
      <c r="B1047" s="30" t="n"/>
    </row>
    <row r="1048">
      <c r="B1048" s="30" t="n"/>
    </row>
    <row r="1049">
      <c r="B1049" s="30" t="n"/>
    </row>
    <row r="1050">
      <c r="B1050" s="30" t="n"/>
    </row>
    <row r="1051">
      <c r="B1051" s="30" t="n"/>
    </row>
    <row r="1052">
      <c r="B1052" s="30" t="n"/>
    </row>
    <row r="1053">
      <c r="B1053" s="30" t="n"/>
    </row>
    <row r="1054">
      <c r="B1054" s="30" t="n"/>
    </row>
    <row r="1055">
      <c r="B1055" s="30" t="n"/>
    </row>
    <row r="1056">
      <c r="B1056" s="30" t="n"/>
    </row>
    <row r="1057">
      <c r="B1057" s="30" t="n"/>
    </row>
    <row r="1058">
      <c r="B1058" s="30" t="n"/>
    </row>
    <row r="1059">
      <c r="B1059" s="30" t="n"/>
    </row>
    <row r="1060">
      <c r="B1060" s="30" t="n"/>
    </row>
    <row r="1061">
      <c r="B1061" s="30" t="n"/>
    </row>
    <row r="1062">
      <c r="B1062" s="30" t="n"/>
    </row>
    <row r="1063">
      <c r="B1063" s="30" t="n"/>
    </row>
    <row r="1064">
      <c r="B1064" s="30" t="n"/>
    </row>
    <row r="1065">
      <c r="B1065" s="30" t="n"/>
    </row>
    <row r="1066">
      <c r="B1066" s="30" t="n"/>
    </row>
    <row r="1067">
      <c r="B1067" s="30" t="n"/>
    </row>
    <row r="1068">
      <c r="B1068" s="30" t="n"/>
    </row>
    <row r="1069">
      <c r="B1069" s="30" t="n"/>
    </row>
    <row r="1070">
      <c r="B1070" s="30" t="n"/>
    </row>
    <row r="1071">
      <c r="B1071" s="30" t="n"/>
    </row>
    <row r="1072">
      <c r="B1072" s="30" t="n"/>
    </row>
    <row r="1073">
      <c r="B1073" s="30" t="n"/>
    </row>
    <row r="1074">
      <c r="B1074" s="30" t="n"/>
    </row>
    <row r="1075">
      <c r="B1075" s="30" t="n"/>
    </row>
    <row r="1076">
      <c r="B1076" s="30" t="n"/>
    </row>
    <row r="1077">
      <c r="B1077" s="30" t="n"/>
    </row>
    <row r="1078">
      <c r="B1078" s="30" t="n"/>
    </row>
    <row r="1079">
      <c r="B1079" s="30" t="n"/>
    </row>
    <row r="1080">
      <c r="B1080" s="30" t="n"/>
    </row>
    <row r="1081">
      <c r="B1081" s="30" t="n"/>
    </row>
    <row r="1082">
      <c r="B1082" s="30" t="n"/>
    </row>
    <row r="1083">
      <c r="B1083" s="30" t="n"/>
    </row>
    <row r="1084">
      <c r="B1084" s="30" t="n"/>
    </row>
    <row r="1085">
      <c r="B1085" s="30" t="n"/>
    </row>
    <row r="1086">
      <c r="B1086" s="30" t="n"/>
    </row>
    <row r="1087">
      <c r="B1087" s="30" t="n"/>
    </row>
    <row r="1088">
      <c r="B1088" s="30" t="n"/>
    </row>
    <row r="1089">
      <c r="B1089" s="30" t="n"/>
    </row>
    <row r="1090">
      <c r="B1090" s="30" t="n"/>
    </row>
    <row r="1091">
      <c r="B1091" s="30" t="n"/>
    </row>
    <row r="1092">
      <c r="B1092" s="30" t="n"/>
    </row>
    <row r="1093">
      <c r="B1093" s="30" t="n"/>
    </row>
    <row r="1094">
      <c r="B1094" s="30" t="n"/>
    </row>
    <row r="1095">
      <c r="B1095" s="30" t="n"/>
    </row>
    <row r="1096">
      <c r="B1096" s="30" t="n"/>
    </row>
    <row r="1097">
      <c r="B1097" s="30" t="n"/>
    </row>
    <row r="1098">
      <c r="B1098" s="30" t="n"/>
    </row>
    <row r="1099">
      <c r="B1099" s="30" t="n"/>
    </row>
    <row r="1100">
      <c r="B1100" s="30" t="n"/>
    </row>
    <row r="1101">
      <c r="B1101" s="30" t="n"/>
    </row>
    <row r="1102">
      <c r="B1102" s="30" t="n"/>
    </row>
    <row r="1103">
      <c r="B1103" s="30" t="n"/>
    </row>
    <row r="1104">
      <c r="B1104" s="30" t="n"/>
    </row>
    <row r="1105">
      <c r="B1105" s="30" t="n"/>
    </row>
    <row r="1106">
      <c r="B1106" s="30" t="n"/>
    </row>
    <row r="1107">
      <c r="B1107" s="30" t="n"/>
    </row>
    <row r="1108">
      <c r="B1108" s="30" t="n"/>
    </row>
    <row r="1109">
      <c r="B1109" s="30" t="n"/>
    </row>
    <row r="1110">
      <c r="B1110" s="30" t="n"/>
    </row>
    <row r="1111">
      <c r="B1111" s="30" t="n"/>
    </row>
    <row r="1112">
      <c r="B1112" s="30" t="n"/>
    </row>
    <row r="1113">
      <c r="B1113" s="30" t="n"/>
    </row>
    <row r="1114">
      <c r="B1114" s="30" t="n"/>
    </row>
    <row r="1115">
      <c r="B1115" s="30" t="n"/>
    </row>
    <row r="1116">
      <c r="B1116" s="30" t="n"/>
    </row>
    <row r="1117">
      <c r="B1117" s="30" t="n"/>
    </row>
    <row r="1118">
      <c r="B1118" s="30" t="n"/>
    </row>
    <row r="1119">
      <c r="B1119" s="30" t="n"/>
    </row>
    <row r="1120">
      <c r="B1120" s="30" t="n"/>
    </row>
    <row r="1121">
      <c r="B1121" s="30" t="n"/>
    </row>
    <row r="1122">
      <c r="B1122" s="30" t="n"/>
    </row>
    <row r="1123">
      <c r="B1123" s="30" t="n"/>
    </row>
    <row r="1124">
      <c r="B1124" s="30" t="n"/>
    </row>
    <row r="1125">
      <c r="B1125" s="30" t="n"/>
    </row>
    <row r="1126">
      <c r="B1126" s="30" t="n"/>
    </row>
    <row r="1127">
      <c r="B1127" s="30" t="n"/>
    </row>
    <row r="1128">
      <c r="B1128" s="30" t="n"/>
    </row>
    <row r="1129">
      <c r="B1129" s="30" t="n"/>
    </row>
    <row r="1130">
      <c r="B1130" s="30" t="n"/>
    </row>
    <row r="1131">
      <c r="B1131" s="30" t="n"/>
    </row>
    <row r="1132">
      <c r="B1132" s="30" t="n"/>
    </row>
    <row r="1133">
      <c r="B1133" s="30" t="n"/>
    </row>
    <row r="1134">
      <c r="B1134" s="30" t="n"/>
    </row>
    <row r="1135">
      <c r="B1135" s="30" t="n"/>
    </row>
    <row r="1136">
      <c r="B1136" s="30" t="n"/>
    </row>
    <row r="1137">
      <c r="B1137" s="30" t="n"/>
    </row>
    <row r="1138">
      <c r="B1138" s="30" t="n"/>
    </row>
    <row r="1139">
      <c r="B1139" s="30" t="n"/>
    </row>
    <row r="1140">
      <c r="B1140" s="30" t="n"/>
    </row>
    <row r="1141">
      <c r="B1141" s="30" t="n"/>
    </row>
    <row r="1142">
      <c r="B1142" s="30" t="n"/>
    </row>
    <row r="1143">
      <c r="B1143" s="30" t="n"/>
    </row>
    <row r="1144">
      <c r="B1144" s="30" t="n"/>
    </row>
    <row r="1145">
      <c r="B1145" s="30" t="n"/>
    </row>
    <row r="1146">
      <c r="B1146" s="30" t="n"/>
    </row>
    <row r="1147">
      <c r="B1147" s="30" t="n"/>
    </row>
    <row r="1148">
      <c r="B1148" s="30" t="n"/>
    </row>
    <row r="1149">
      <c r="B1149" s="30" t="n"/>
    </row>
    <row r="1150">
      <c r="B1150" s="30" t="n"/>
    </row>
    <row r="1151">
      <c r="B1151" s="30" t="n"/>
    </row>
    <row r="1152">
      <c r="B1152" s="30" t="n"/>
    </row>
    <row r="1153">
      <c r="B1153" s="30" t="n"/>
    </row>
    <row r="1154">
      <c r="B1154" s="30" t="n"/>
    </row>
    <row r="1155">
      <c r="B1155" s="30" t="n"/>
    </row>
    <row r="1156">
      <c r="B1156" s="30" t="n"/>
    </row>
    <row r="1157">
      <c r="B1157" s="30" t="n"/>
    </row>
    <row r="1158">
      <c r="B1158" s="30" t="n"/>
    </row>
    <row r="1159">
      <c r="B1159" s="30" t="n"/>
    </row>
    <row r="1160">
      <c r="B1160" s="30" t="n"/>
    </row>
    <row r="1161">
      <c r="B1161" s="30" t="n"/>
    </row>
    <row r="1162">
      <c r="B1162" s="30" t="n"/>
    </row>
    <row r="1163">
      <c r="B1163" s="30" t="n"/>
    </row>
    <row r="1164">
      <c r="B1164" s="30" t="n"/>
    </row>
    <row r="1165">
      <c r="B1165" s="30" t="n"/>
    </row>
    <row r="1166">
      <c r="B1166" s="30" t="n"/>
    </row>
    <row r="1167">
      <c r="B1167" s="30" t="n"/>
    </row>
    <row r="1168">
      <c r="B1168" s="30" t="n"/>
    </row>
    <row r="1169">
      <c r="B1169" s="30" t="n"/>
    </row>
    <row r="1170">
      <c r="B1170" s="30" t="n"/>
    </row>
    <row r="1171">
      <c r="B1171" s="30" t="n"/>
    </row>
    <row r="1172">
      <c r="B1172" s="30" t="n"/>
    </row>
    <row r="1173">
      <c r="B1173" s="30" t="n"/>
    </row>
    <row r="1174">
      <c r="B1174" s="30" t="n"/>
    </row>
    <row r="1175">
      <c r="B1175" s="30" t="n"/>
    </row>
    <row r="1176">
      <c r="B1176" s="30" t="n"/>
    </row>
    <row r="1177">
      <c r="B1177" s="30" t="n"/>
    </row>
    <row r="1178">
      <c r="B1178" s="30" t="n"/>
    </row>
    <row r="1179">
      <c r="B1179" s="30" t="n"/>
    </row>
    <row r="1180">
      <c r="B1180" s="30" t="n"/>
    </row>
    <row r="1181">
      <c r="B1181" s="30" t="n"/>
    </row>
    <row r="1182">
      <c r="B1182" s="30" t="n"/>
    </row>
    <row r="1183">
      <c r="B1183" s="30" t="n"/>
    </row>
    <row r="1184">
      <c r="B1184" s="30" t="n"/>
    </row>
    <row r="1185">
      <c r="B1185" s="30" t="n"/>
    </row>
    <row r="1186">
      <c r="B1186" s="30" t="n"/>
    </row>
    <row r="1187">
      <c r="B1187" s="30" t="n"/>
    </row>
    <row r="1188">
      <c r="B1188" s="30" t="n"/>
    </row>
    <row r="1189">
      <c r="B1189" s="30" t="n"/>
    </row>
    <row r="1190">
      <c r="B1190" s="30" t="n"/>
    </row>
    <row r="1191">
      <c r="B1191" s="30" t="n"/>
    </row>
    <row r="1192">
      <c r="B1192" s="30" t="n"/>
    </row>
    <row r="1193">
      <c r="B1193" s="30" t="n"/>
    </row>
    <row r="1194">
      <c r="B1194" s="30" t="n"/>
    </row>
    <row r="1195">
      <c r="B1195" s="30" t="n"/>
    </row>
    <row r="1196">
      <c r="B1196" s="30" t="n"/>
    </row>
    <row r="1197">
      <c r="B1197" s="30" t="n"/>
    </row>
    <row r="1198">
      <c r="B1198" s="30" t="n"/>
    </row>
    <row r="1199">
      <c r="B1199" s="30" t="n"/>
    </row>
    <row r="1200">
      <c r="B1200" s="30" t="n"/>
    </row>
    <row r="1201">
      <c r="B1201" s="30" t="n"/>
    </row>
    <row r="1202">
      <c r="B1202" s="30" t="n"/>
    </row>
    <row r="1203">
      <c r="B1203" s="30" t="n"/>
    </row>
    <row r="1204">
      <c r="B1204" s="30" t="n"/>
    </row>
    <row r="1205">
      <c r="B1205" s="30" t="n"/>
    </row>
    <row r="1206">
      <c r="B1206" s="30" t="n"/>
    </row>
    <row r="1207">
      <c r="B1207" s="30" t="n"/>
    </row>
    <row r="1208">
      <c r="B1208" s="30" t="n"/>
    </row>
    <row r="1209">
      <c r="B1209" s="30" t="n"/>
    </row>
    <row r="1210">
      <c r="B1210" s="30" t="n"/>
    </row>
    <row r="1211">
      <c r="B1211" s="30" t="n"/>
    </row>
    <row r="1212">
      <c r="B1212" s="30" t="n"/>
    </row>
    <row r="1213">
      <c r="B1213" s="30" t="n"/>
    </row>
    <row r="1214">
      <c r="B1214" s="30" t="n"/>
    </row>
    <row r="1215">
      <c r="B1215" s="30" t="n"/>
    </row>
    <row r="1216">
      <c r="B1216" s="30" t="n"/>
    </row>
    <row r="1217">
      <c r="B1217" s="30" t="n"/>
    </row>
    <row r="1218">
      <c r="B1218" s="30" t="n"/>
    </row>
    <row r="1219">
      <c r="B1219" s="30" t="n"/>
    </row>
    <row r="1220">
      <c r="B1220" s="30" t="n"/>
    </row>
    <row r="1221">
      <c r="B1221" s="30" t="n"/>
    </row>
    <row r="1222">
      <c r="B1222" s="30" t="n"/>
    </row>
    <row r="1223">
      <c r="B1223" s="30" t="n"/>
    </row>
    <row r="1224">
      <c r="B1224" s="30" t="n"/>
    </row>
    <row r="1225">
      <c r="B1225" s="30" t="n"/>
    </row>
    <row r="1226">
      <c r="B1226" s="30" t="n"/>
    </row>
    <row r="1227">
      <c r="B1227" s="30" t="n"/>
    </row>
    <row r="1228">
      <c r="B1228" s="30" t="n"/>
    </row>
    <row r="1229">
      <c r="B1229" s="30" t="n"/>
    </row>
    <row r="1230">
      <c r="B1230" s="30" t="n"/>
    </row>
    <row r="1231">
      <c r="B1231" s="30" t="n"/>
    </row>
    <row r="1232">
      <c r="B1232" s="30" t="n"/>
    </row>
    <row r="1233">
      <c r="B1233" s="30" t="n"/>
    </row>
    <row r="1234">
      <c r="B1234" s="30" t="n"/>
    </row>
    <row r="1235">
      <c r="B1235" s="30" t="n"/>
    </row>
    <row r="1236">
      <c r="B1236" s="30" t="n"/>
    </row>
    <row r="1237">
      <c r="B1237" s="30" t="n"/>
    </row>
    <row r="1238">
      <c r="B1238" s="30" t="n"/>
    </row>
    <row r="1239">
      <c r="B1239" s="30" t="n"/>
    </row>
    <row r="1240">
      <c r="B1240" s="30" t="n"/>
    </row>
    <row r="1241">
      <c r="B1241" s="30" t="n"/>
    </row>
    <row r="1242">
      <c r="B1242" s="30" t="n"/>
    </row>
    <row r="1243">
      <c r="B1243" s="30" t="n"/>
    </row>
    <row r="1244">
      <c r="B1244" s="30" t="n"/>
    </row>
    <row r="1245">
      <c r="B1245" s="30" t="n"/>
    </row>
    <row r="1246">
      <c r="B1246" s="30" t="n"/>
    </row>
    <row r="1247">
      <c r="B1247" s="30" t="n"/>
    </row>
    <row r="1248">
      <c r="B1248" s="30" t="n"/>
    </row>
    <row r="1249">
      <c r="B1249" s="30" t="n"/>
    </row>
    <row r="1250">
      <c r="B1250" s="30" t="n"/>
    </row>
    <row r="1251">
      <c r="B1251" s="30" t="n"/>
    </row>
    <row r="1252">
      <c r="B1252" s="30" t="n"/>
    </row>
    <row r="1253">
      <c r="B1253" s="30" t="n"/>
    </row>
    <row r="1254">
      <c r="B1254" s="30" t="n"/>
    </row>
    <row r="1255">
      <c r="B1255" s="30" t="n"/>
    </row>
    <row r="1256">
      <c r="B1256" s="30" t="n"/>
    </row>
    <row r="1257">
      <c r="B1257" s="30" t="n"/>
    </row>
    <row r="1258">
      <c r="B1258" s="30" t="n"/>
    </row>
    <row r="1259">
      <c r="B1259" s="30" t="n"/>
    </row>
    <row r="1260">
      <c r="B1260" s="30" t="n"/>
    </row>
    <row r="1261">
      <c r="B1261" s="30" t="n"/>
    </row>
    <row r="1262">
      <c r="B1262" s="30" t="n"/>
    </row>
    <row r="1263">
      <c r="B1263" s="30" t="n"/>
    </row>
    <row r="1264">
      <c r="B1264" s="30" t="n"/>
    </row>
    <row r="1265">
      <c r="B1265" s="30" t="n"/>
    </row>
    <row r="1266">
      <c r="B1266" s="30" t="n"/>
    </row>
    <row r="1267">
      <c r="B1267" s="30" t="n"/>
    </row>
    <row r="1268">
      <c r="B1268" s="30" t="n"/>
    </row>
    <row r="1269">
      <c r="B1269" s="30" t="n"/>
    </row>
    <row r="1270">
      <c r="B1270" s="30" t="n"/>
    </row>
    <row r="1271">
      <c r="B1271" s="30" t="n"/>
    </row>
    <row r="1272">
      <c r="B1272" s="30" t="n"/>
    </row>
    <row r="1273">
      <c r="B1273" s="30" t="n"/>
    </row>
    <row r="1274">
      <c r="B1274" s="30" t="n"/>
    </row>
    <row r="1275">
      <c r="B1275" s="30" t="n"/>
    </row>
    <row r="1276">
      <c r="B1276" s="30" t="n"/>
    </row>
    <row r="1277">
      <c r="B1277" s="30" t="n"/>
    </row>
    <row r="1278">
      <c r="B1278" s="30" t="n"/>
    </row>
    <row r="1279">
      <c r="B1279" s="30" t="n"/>
    </row>
    <row r="1280">
      <c r="B1280" s="30" t="n"/>
    </row>
    <row r="1281">
      <c r="B1281" s="30" t="n"/>
    </row>
    <row r="1282">
      <c r="B1282" s="30" t="n"/>
    </row>
    <row r="1283">
      <c r="B1283" s="30" t="n"/>
    </row>
    <row r="1284">
      <c r="B1284" s="30" t="n"/>
    </row>
    <row r="1285">
      <c r="B1285" s="30" t="n"/>
    </row>
    <row r="1286">
      <c r="B1286" s="30" t="n"/>
    </row>
    <row r="1287">
      <c r="B1287" s="30" t="n"/>
    </row>
    <row r="1288">
      <c r="B1288" s="30" t="n"/>
    </row>
    <row r="1289">
      <c r="B1289" s="30" t="n"/>
    </row>
    <row r="1290">
      <c r="B1290" s="30" t="n"/>
    </row>
    <row r="1291">
      <c r="B1291" s="30" t="n"/>
    </row>
    <row r="1292">
      <c r="B1292" s="30" t="n"/>
    </row>
    <row r="1293">
      <c r="B1293" s="30" t="n"/>
    </row>
    <row r="1294">
      <c r="B1294" s="30" t="n"/>
    </row>
    <row r="1295">
      <c r="B1295" s="30" t="n"/>
    </row>
    <row r="1296">
      <c r="B1296" s="30" t="n"/>
    </row>
    <row r="1297">
      <c r="B1297" s="30" t="n"/>
    </row>
    <row r="1298">
      <c r="B1298" s="30" t="n"/>
    </row>
    <row r="1299">
      <c r="B1299" s="30" t="n"/>
    </row>
    <row r="1300">
      <c r="B1300" s="30" t="n"/>
    </row>
    <row r="1301">
      <c r="B1301" s="30" t="n"/>
    </row>
    <row r="1302">
      <c r="B1302" s="30" t="n"/>
    </row>
    <row r="1303">
      <c r="B1303" s="30" t="n"/>
    </row>
    <row r="1304">
      <c r="B1304" s="30" t="n"/>
    </row>
    <row r="1305">
      <c r="B1305" s="30" t="n"/>
    </row>
    <row r="1306">
      <c r="B1306" s="30" t="n"/>
    </row>
    <row r="1307">
      <c r="B1307" s="30" t="n"/>
    </row>
    <row r="1308">
      <c r="B1308" s="30" t="n"/>
    </row>
    <row r="1309">
      <c r="B1309" s="30" t="n"/>
    </row>
    <row r="1310">
      <c r="B1310" s="30" t="n"/>
    </row>
    <row r="1311">
      <c r="B1311" s="30" t="n"/>
    </row>
    <row r="1312">
      <c r="B1312" s="30" t="n"/>
    </row>
    <row r="1313">
      <c r="B1313" s="30" t="n"/>
    </row>
    <row r="1314">
      <c r="B1314" s="30" t="n"/>
    </row>
    <row r="1315">
      <c r="B1315" s="30" t="n"/>
    </row>
    <row r="1316">
      <c r="B1316" s="30" t="n"/>
    </row>
    <row r="1317">
      <c r="B1317" s="30" t="n"/>
    </row>
    <row r="1318">
      <c r="B1318" s="30" t="n"/>
    </row>
    <row r="1319">
      <c r="B1319" s="30" t="n"/>
    </row>
    <row r="1320">
      <c r="B1320" s="30" t="n"/>
    </row>
    <row r="1321">
      <c r="B1321" s="30" t="n"/>
    </row>
    <row r="1322">
      <c r="B1322" s="30" t="n"/>
    </row>
    <row r="1323">
      <c r="B1323" s="30" t="n"/>
    </row>
    <row r="1324">
      <c r="B1324" s="30" t="n"/>
    </row>
    <row r="1325">
      <c r="B1325" s="30" t="n"/>
    </row>
    <row r="1326">
      <c r="B1326" s="30" t="n"/>
    </row>
    <row r="1327">
      <c r="B1327" s="30" t="n"/>
    </row>
    <row r="1328">
      <c r="B1328" s="30" t="n"/>
    </row>
    <row r="1329">
      <c r="B1329" s="30" t="n"/>
    </row>
    <row r="1330">
      <c r="B1330" s="30" t="n"/>
    </row>
    <row r="1331">
      <c r="B1331" s="30" t="n"/>
    </row>
    <row r="1332">
      <c r="B1332" s="30" t="n"/>
    </row>
    <row r="1333">
      <c r="B1333" s="30" t="n"/>
    </row>
    <row r="1334">
      <c r="B1334" s="30" t="n"/>
    </row>
    <row r="1335">
      <c r="B1335" s="30" t="n"/>
    </row>
    <row r="1336">
      <c r="B1336" s="30" t="n"/>
    </row>
    <row r="1337">
      <c r="B1337" s="30" t="n"/>
    </row>
    <row r="1338">
      <c r="B1338" s="30" t="n"/>
    </row>
    <row r="1339">
      <c r="B1339" s="30" t="n"/>
    </row>
    <row r="1340">
      <c r="B1340" s="30" t="n"/>
    </row>
    <row r="1341">
      <c r="B1341" s="30" t="n"/>
    </row>
    <row r="1342">
      <c r="B1342" s="30" t="n"/>
    </row>
    <row r="1343">
      <c r="B1343" s="30" t="n"/>
    </row>
    <row r="1344">
      <c r="B1344" s="30" t="n"/>
    </row>
    <row r="1345">
      <c r="B1345" s="30" t="n"/>
    </row>
    <row r="1346">
      <c r="B1346" s="30" t="n"/>
    </row>
    <row r="1347">
      <c r="B1347" s="30" t="n"/>
    </row>
    <row r="1348">
      <c r="B1348" s="30" t="n"/>
    </row>
    <row r="1349">
      <c r="B1349" s="30" t="n"/>
    </row>
    <row r="1350">
      <c r="B1350" s="30" t="n"/>
    </row>
    <row r="1351">
      <c r="B1351" s="30" t="n"/>
    </row>
    <row r="1352">
      <c r="B1352" s="30" t="n"/>
    </row>
    <row r="1353">
      <c r="B1353" s="30" t="n"/>
    </row>
    <row r="1354">
      <c r="B1354" s="30" t="n"/>
    </row>
    <row r="1355">
      <c r="B1355" s="30" t="n"/>
    </row>
    <row r="1356">
      <c r="B1356" s="30" t="n"/>
    </row>
    <row r="1357">
      <c r="B1357" s="30" t="n"/>
    </row>
    <row r="1358">
      <c r="B1358" s="30" t="n"/>
    </row>
    <row r="1359">
      <c r="B1359" s="30" t="n"/>
    </row>
    <row r="1360">
      <c r="B1360" s="30" t="n"/>
    </row>
    <row r="1361">
      <c r="B1361" s="30" t="n"/>
    </row>
    <row r="1362">
      <c r="B1362" s="30" t="n"/>
    </row>
    <row r="1363">
      <c r="B1363" s="30" t="n"/>
    </row>
    <row r="1364">
      <c r="B1364" s="30" t="n"/>
    </row>
    <row r="1365">
      <c r="B1365" s="30" t="n"/>
    </row>
    <row r="1366">
      <c r="B1366" s="30" t="n"/>
    </row>
    <row r="1367">
      <c r="B1367" s="30" t="n"/>
    </row>
    <row r="1368">
      <c r="B1368" s="30" t="n"/>
    </row>
    <row r="1369">
      <c r="B1369" s="30" t="n"/>
    </row>
    <row r="1370">
      <c r="B1370" s="30" t="n"/>
    </row>
    <row r="1371">
      <c r="B1371" s="30" t="n"/>
    </row>
    <row r="1372">
      <c r="B1372" s="30" t="n"/>
    </row>
    <row r="1373">
      <c r="B1373" s="30" t="n"/>
    </row>
    <row r="1374">
      <c r="B1374" s="30" t="n"/>
    </row>
    <row r="1375">
      <c r="B1375" s="30" t="n"/>
    </row>
    <row r="1376">
      <c r="B1376" s="30" t="n"/>
    </row>
    <row r="1377">
      <c r="B1377" s="30" t="n"/>
    </row>
    <row r="1378">
      <c r="B1378" s="30" t="n"/>
    </row>
    <row r="1379">
      <c r="B1379" s="30" t="n"/>
    </row>
    <row r="1380">
      <c r="B1380" s="30" t="n"/>
    </row>
    <row r="1381">
      <c r="B1381" s="30" t="n"/>
    </row>
    <row r="1382">
      <c r="B1382" s="30" t="n"/>
    </row>
    <row r="1383">
      <c r="B1383" s="30" t="n"/>
    </row>
    <row r="1384">
      <c r="B1384" s="30" t="n"/>
    </row>
    <row r="1385">
      <c r="B1385" s="30" t="n"/>
    </row>
    <row r="1386">
      <c r="B1386" s="30" t="n"/>
    </row>
    <row r="1387">
      <c r="B1387" s="30" t="n"/>
    </row>
    <row r="1388">
      <c r="B1388" s="30" t="n"/>
    </row>
    <row r="1389">
      <c r="B1389" s="30" t="n"/>
    </row>
    <row r="1390">
      <c r="B1390" s="30" t="n"/>
    </row>
    <row r="1391">
      <c r="B1391" s="30" t="n"/>
    </row>
    <row r="1392">
      <c r="B1392" s="30" t="n"/>
    </row>
    <row r="1393">
      <c r="B1393" s="30" t="n"/>
    </row>
    <row r="1394">
      <c r="B1394" s="30" t="n"/>
    </row>
    <row r="1395">
      <c r="B1395" s="30" t="n"/>
    </row>
    <row r="1396">
      <c r="B1396" s="30" t="n"/>
    </row>
    <row r="1397">
      <c r="B1397" s="30" t="n"/>
    </row>
    <row r="1398">
      <c r="B1398" s="30" t="n"/>
    </row>
    <row r="1399">
      <c r="B1399" s="30" t="n"/>
    </row>
    <row r="1400">
      <c r="B1400" s="30" t="n"/>
    </row>
    <row r="1401">
      <c r="B1401" s="30" t="n"/>
    </row>
    <row r="1402">
      <c r="B1402" s="30" t="n"/>
    </row>
    <row r="1403">
      <c r="B1403" s="30" t="n"/>
    </row>
    <row r="1404">
      <c r="B1404" s="30" t="n"/>
    </row>
    <row r="1405">
      <c r="B1405" s="30" t="n"/>
    </row>
    <row r="1406">
      <c r="B1406" s="30" t="n"/>
    </row>
    <row r="1407">
      <c r="B1407" s="30" t="n"/>
    </row>
    <row r="1408">
      <c r="B1408" s="30" t="n"/>
    </row>
    <row r="1409">
      <c r="B1409" s="30" t="n"/>
    </row>
    <row r="1410">
      <c r="B1410" s="30" t="n"/>
    </row>
    <row r="1411">
      <c r="B1411" s="30" t="n"/>
    </row>
    <row r="1412">
      <c r="B1412" s="30" t="n"/>
    </row>
    <row r="1413">
      <c r="B1413" s="30" t="n"/>
    </row>
    <row r="1414">
      <c r="B1414" s="30" t="n"/>
    </row>
    <row r="1415">
      <c r="B1415" s="30" t="n"/>
    </row>
    <row r="1416">
      <c r="B1416" s="30" t="n"/>
    </row>
    <row r="1417">
      <c r="B1417" s="30" t="n"/>
    </row>
    <row r="1418">
      <c r="B1418" s="30" t="n"/>
    </row>
    <row r="1419">
      <c r="B1419" s="30" t="n"/>
    </row>
    <row r="1420">
      <c r="B1420" s="30" t="n"/>
    </row>
    <row r="1421">
      <c r="B1421" s="30" t="n"/>
    </row>
    <row r="1422">
      <c r="B1422" s="30" t="n"/>
    </row>
    <row r="1423">
      <c r="B1423" s="30" t="n"/>
    </row>
    <row r="1424">
      <c r="B1424" s="30" t="n"/>
    </row>
    <row r="1425">
      <c r="B1425" s="30" t="n"/>
    </row>
    <row r="1426">
      <c r="B1426" s="30" t="n"/>
    </row>
    <row r="1427">
      <c r="B1427" s="30" t="n"/>
    </row>
    <row r="1428">
      <c r="B1428" s="30" t="n"/>
    </row>
    <row r="1429">
      <c r="B1429" s="30" t="n"/>
    </row>
    <row r="1430">
      <c r="B1430" s="30" t="n"/>
    </row>
    <row r="1431">
      <c r="B1431" s="30" t="n"/>
    </row>
    <row r="1432">
      <c r="B1432" s="30" t="n"/>
    </row>
    <row r="1433">
      <c r="B1433" s="30" t="n"/>
    </row>
    <row r="1434">
      <c r="B1434" s="30" t="n"/>
    </row>
    <row r="1435">
      <c r="B1435" s="30" t="n"/>
    </row>
    <row r="1436">
      <c r="B1436" s="30" t="n"/>
    </row>
    <row r="1437">
      <c r="B1437" s="30" t="n"/>
    </row>
    <row r="1438">
      <c r="B1438" s="30" t="n"/>
    </row>
    <row r="1439">
      <c r="B1439" s="30" t="n"/>
    </row>
    <row r="1440">
      <c r="B1440" s="30" t="n"/>
    </row>
    <row r="1441">
      <c r="B1441" s="30" t="n"/>
    </row>
    <row r="1442">
      <c r="B1442" s="30" t="n"/>
    </row>
    <row r="1443">
      <c r="B1443" s="30" t="n"/>
    </row>
    <row r="1444">
      <c r="B1444" s="30" t="n"/>
    </row>
    <row r="1445">
      <c r="B1445" s="30" t="n"/>
    </row>
    <row r="1446">
      <c r="B1446" s="30" t="n"/>
    </row>
    <row r="1447">
      <c r="B1447" s="30" t="n"/>
    </row>
    <row r="1448">
      <c r="B1448" s="30" t="n"/>
    </row>
    <row r="1449">
      <c r="B1449" s="30" t="n"/>
    </row>
    <row r="1450">
      <c r="B1450" s="30" t="n"/>
    </row>
    <row r="1451">
      <c r="B1451" s="30" t="n"/>
    </row>
    <row r="1452">
      <c r="B1452" s="30" t="n"/>
    </row>
    <row r="1453">
      <c r="B1453" s="30" t="n"/>
    </row>
    <row r="1454">
      <c r="B1454" s="30" t="n"/>
    </row>
    <row r="1455">
      <c r="B1455" s="30" t="n"/>
    </row>
    <row r="1456">
      <c r="B1456" s="30" t="n"/>
    </row>
    <row r="1457">
      <c r="B1457" s="30" t="n"/>
    </row>
    <row r="1458">
      <c r="B1458" s="30" t="n"/>
    </row>
    <row r="1459">
      <c r="B1459" s="30" t="n"/>
    </row>
    <row r="1460">
      <c r="B1460" s="30" t="n"/>
    </row>
    <row r="1461">
      <c r="B1461" s="30" t="n"/>
    </row>
    <row r="1462">
      <c r="B1462" s="30" t="n"/>
    </row>
    <row r="1463">
      <c r="B1463" s="30" t="n"/>
    </row>
    <row r="1464">
      <c r="B1464" s="30" t="n"/>
    </row>
    <row r="1465">
      <c r="B1465" s="30" t="n"/>
    </row>
    <row r="1466">
      <c r="B1466" s="30" t="n"/>
    </row>
    <row r="1467">
      <c r="B1467" s="30" t="n"/>
    </row>
    <row r="1468">
      <c r="B1468" s="30" t="n"/>
    </row>
    <row r="1469">
      <c r="B1469" s="30" t="n"/>
    </row>
    <row r="1470">
      <c r="B1470" s="30" t="n"/>
    </row>
    <row r="1471">
      <c r="B1471" s="30" t="n"/>
    </row>
    <row r="1472">
      <c r="B1472" s="30" t="n"/>
    </row>
    <row r="1473">
      <c r="B1473" s="30" t="n"/>
    </row>
    <row r="1474">
      <c r="B1474" s="30" t="n"/>
    </row>
    <row r="1475">
      <c r="B1475" s="30" t="n"/>
    </row>
    <row r="1476">
      <c r="B1476" s="30" t="n"/>
    </row>
    <row r="1477">
      <c r="B1477" s="30" t="n"/>
    </row>
    <row r="1478">
      <c r="B1478" s="30" t="n"/>
    </row>
    <row r="1479">
      <c r="B1479" s="30" t="n"/>
    </row>
    <row r="1480">
      <c r="B1480" s="30" t="n"/>
    </row>
    <row r="1481">
      <c r="B1481" s="30" t="n"/>
    </row>
    <row r="1482">
      <c r="B1482" s="30" t="n"/>
    </row>
    <row r="1483">
      <c r="B1483" s="30" t="n"/>
    </row>
    <row r="1484">
      <c r="B1484" s="30" t="n"/>
    </row>
    <row r="1485">
      <c r="B1485" s="30" t="n"/>
    </row>
    <row r="1486">
      <c r="B1486" s="30" t="n"/>
    </row>
    <row r="1487">
      <c r="B1487" s="30" t="n"/>
    </row>
    <row r="1488">
      <c r="B1488" s="30" t="n"/>
    </row>
    <row r="1489">
      <c r="B1489" s="30" t="n"/>
    </row>
    <row r="1490">
      <c r="B1490" s="30" t="n"/>
    </row>
    <row r="1491">
      <c r="B1491" s="30" t="n"/>
    </row>
    <row r="1492">
      <c r="B1492" s="30" t="n"/>
    </row>
    <row r="1493">
      <c r="B1493" s="30" t="n"/>
    </row>
    <row r="1494">
      <c r="B1494" s="30" t="n"/>
    </row>
    <row r="1495">
      <c r="B1495" s="30" t="n"/>
    </row>
    <row r="1496">
      <c r="B1496" s="30" t="n"/>
    </row>
    <row r="1497">
      <c r="B1497" s="30" t="n"/>
    </row>
    <row r="1498">
      <c r="B1498" s="30" t="n"/>
    </row>
    <row r="1499">
      <c r="B1499" s="30" t="n"/>
    </row>
    <row r="1500">
      <c r="B1500" s="30" t="n"/>
    </row>
    <row r="1501">
      <c r="B1501" s="30" t="n"/>
    </row>
    <row r="1502">
      <c r="B1502" s="30" t="n"/>
    </row>
    <row r="1503">
      <c r="B1503" s="30" t="n"/>
    </row>
    <row r="1504">
      <c r="B1504" s="30" t="n"/>
    </row>
    <row r="1505">
      <c r="B1505" s="30" t="n"/>
    </row>
    <row r="1506">
      <c r="B1506" s="30" t="n"/>
    </row>
    <row r="1507">
      <c r="B1507" s="30" t="n"/>
    </row>
    <row r="1508">
      <c r="B1508" s="30" t="n"/>
    </row>
    <row r="1509">
      <c r="B1509" s="30" t="n"/>
    </row>
    <row r="1510">
      <c r="B1510" s="30" t="n"/>
    </row>
    <row r="1511">
      <c r="B1511" s="30" t="n"/>
    </row>
    <row r="1512">
      <c r="B1512" s="30" t="n"/>
    </row>
    <row r="1513">
      <c r="B1513" s="30" t="n"/>
    </row>
    <row r="1514">
      <c r="B1514" s="30" t="n"/>
    </row>
    <row r="1515">
      <c r="B1515" s="30" t="n"/>
    </row>
    <row r="1516">
      <c r="B1516" s="30" t="n"/>
    </row>
    <row r="1517">
      <c r="B1517" s="30" t="n"/>
    </row>
    <row r="1518">
      <c r="B1518" s="30" t="n"/>
    </row>
    <row r="1519">
      <c r="B1519" s="30" t="n"/>
    </row>
    <row r="1520">
      <c r="B1520" s="30" t="n"/>
    </row>
    <row r="1521">
      <c r="B1521" s="30" t="n"/>
    </row>
    <row r="1522">
      <c r="B1522" s="30" t="n"/>
    </row>
    <row r="1523">
      <c r="B1523" s="30" t="n"/>
    </row>
    <row r="1524">
      <c r="B1524" s="30" t="n"/>
    </row>
    <row r="1525">
      <c r="B1525" s="30" t="n"/>
    </row>
    <row r="1526">
      <c r="B1526" s="30" t="n"/>
    </row>
    <row r="1527">
      <c r="B1527" s="30" t="n"/>
    </row>
    <row r="1528">
      <c r="B1528" s="30" t="n"/>
    </row>
    <row r="1529">
      <c r="B1529" s="30" t="n"/>
    </row>
    <row r="1530">
      <c r="B1530" s="30" t="n"/>
    </row>
    <row r="1531">
      <c r="B1531" s="30" t="n"/>
    </row>
    <row r="1532">
      <c r="B1532" s="30" t="n"/>
    </row>
    <row r="1533">
      <c r="B1533" s="30" t="n"/>
    </row>
    <row r="1534">
      <c r="B1534" s="30" t="n"/>
    </row>
    <row r="1535">
      <c r="B1535" s="30" t="n"/>
    </row>
    <row r="1536">
      <c r="B1536" s="30" t="n"/>
    </row>
    <row r="1537">
      <c r="B1537" s="30" t="n"/>
    </row>
    <row r="1538">
      <c r="B1538" s="30" t="n"/>
    </row>
    <row r="1539">
      <c r="B1539" s="30" t="n"/>
    </row>
    <row r="1540">
      <c r="B1540" s="30" t="n"/>
    </row>
    <row r="1541">
      <c r="B1541" s="30" t="n"/>
    </row>
    <row r="1542">
      <c r="B1542" s="30" t="n"/>
    </row>
    <row r="1543">
      <c r="B1543" s="30" t="n"/>
    </row>
    <row r="1544">
      <c r="B1544" s="30" t="n"/>
    </row>
    <row r="1545">
      <c r="B1545" s="30" t="n"/>
    </row>
    <row r="1546">
      <c r="B1546" s="30" t="n"/>
    </row>
    <row r="1547">
      <c r="B1547" s="30" t="n"/>
    </row>
    <row r="1548">
      <c r="B1548" s="30" t="n"/>
    </row>
    <row r="1549">
      <c r="B1549" s="30" t="n"/>
    </row>
    <row r="1550">
      <c r="B1550" s="30" t="n"/>
    </row>
    <row r="1551">
      <c r="B1551" s="30" t="n"/>
    </row>
    <row r="1552">
      <c r="B1552" s="30" t="n"/>
    </row>
    <row r="1553">
      <c r="B1553" s="30" t="n"/>
    </row>
    <row r="1554">
      <c r="B1554" s="30" t="n"/>
    </row>
    <row r="1555">
      <c r="B1555" s="30" t="n"/>
    </row>
    <row r="1556">
      <c r="B1556" s="30" t="n"/>
    </row>
    <row r="1557">
      <c r="B1557" s="30" t="n"/>
    </row>
    <row r="1558">
      <c r="B1558" s="30" t="n"/>
    </row>
    <row r="1559">
      <c r="B1559" s="30" t="n"/>
    </row>
    <row r="1560">
      <c r="B1560" s="30" t="n"/>
    </row>
    <row r="1561">
      <c r="B1561" s="30" t="n"/>
    </row>
    <row r="1562">
      <c r="B1562" s="30" t="n"/>
    </row>
    <row r="1563">
      <c r="B1563" s="30" t="n"/>
    </row>
    <row r="1564">
      <c r="B1564" s="30" t="n"/>
    </row>
    <row r="1565">
      <c r="B1565" s="30" t="n"/>
    </row>
    <row r="1566">
      <c r="B1566" s="30" t="n"/>
    </row>
    <row r="1567">
      <c r="B1567" s="30" t="n"/>
    </row>
    <row r="1568">
      <c r="B1568" s="30" t="n"/>
    </row>
    <row r="1569">
      <c r="B1569" s="30" t="n"/>
    </row>
    <row r="1570">
      <c r="B1570" s="30" t="n"/>
    </row>
    <row r="1571">
      <c r="B1571" s="30" t="n"/>
    </row>
    <row r="1572">
      <c r="B1572" s="30" t="n"/>
    </row>
    <row r="1573">
      <c r="B1573" s="30" t="n"/>
    </row>
    <row r="1574">
      <c r="B1574" s="30" t="n"/>
    </row>
    <row r="1575">
      <c r="B1575" s="30" t="n"/>
    </row>
    <row r="1576">
      <c r="B1576" s="30" t="n"/>
    </row>
    <row r="1577">
      <c r="B1577" s="30" t="n"/>
    </row>
    <row r="1578">
      <c r="B1578" s="30" t="n"/>
    </row>
    <row r="1579">
      <c r="B1579" s="30" t="n"/>
    </row>
    <row r="1580">
      <c r="B1580" s="30" t="n"/>
    </row>
    <row r="1581">
      <c r="B1581" s="30" t="n"/>
    </row>
    <row r="1582">
      <c r="B1582" s="30" t="n"/>
    </row>
    <row r="1583">
      <c r="B1583" s="30" t="n"/>
    </row>
    <row r="1584">
      <c r="B1584" s="30" t="n"/>
    </row>
    <row r="1585">
      <c r="B1585" s="30" t="n"/>
    </row>
    <row r="1586">
      <c r="B1586" s="30" t="n"/>
    </row>
    <row r="1587">
      <c r="B1587" s="30" t="n"/>
    </row>
    <row r="1588">
      <c r="B1588" s="30" t="n"/>
    </row>
    <row r="1589">
      <c r="B1589" s="30" t="n"/>
    </row>
    <row r="1590">
      <c r="B1590" s="30" t="n"/>
    </row>
    <row r="1591">
      <c r="B1591" s="30" t="n"/>
    </row>
    <row r="1592">
      <c r="B1592" s="30" t="n"/>
    </row>
    <row r="1593">
      <c r="B1593" s="30" t="n"/>
    </row>
    <row r="1594">
      <c r="B1594" s="30" t="n"/>
    </row>
    <row r="1595">
      <c r="B1595" s="30" t="n"/>
    </row>
    <row r="1596">
      <c r="B1596" s="30" t="n"/>
    </row>
    <row r="1597">
      <c r="B1597" s="30" t="n"/>
    </row>
    <row r="1598">
      <c r="B1598" s="30" t="n"/>
    </row>
    <row r="1599">
      <c r="B1599" s="30" t="n"/>
    </row>
    <row r="1600">
      <c r="B1600" s="30" t="n"/>
    </row>
    <row r="1601">
      <c r="B1601" s="30" t="n"/>
    </row>
    <row r="1602">
      <c r="B1602" s="30" t="n"/>
    </row>
    <row r="1603">
      <c r="B1603" s="30" t="n"/>
    </row>
    <row r="1604">
      <c r="B1604" s="30" t="n"/>
    </row>
    <row r="1605">
      <c r="B1605" s="30" t="n"/>
    </row>
    <row r="1606">
      <c r="B1606" s="30" t="n"/>
    </row>
    <row r="1607">
      <c r="B1607" s="30" t="n"/>
    </row>
    <row r="1608">
      <c r="B1608" s="30" t="n"/>
    </row>
    <row r="1609">
      <c r="B1609" s="30" t="n"/>
    </row>
    <row r="1610">
      <c r="B1610" s="30" t="n"/>
    </row>
    <row r="1611">
      <c r="B1611" s="30" t="n"/>
    </row>
    <row r="1612">
      <c r="B1612" s="30" t="n"/>
    </row>
    <row r="1613">
      <c r="B1613" s="30" t="n"/>
    </row>
    <row r="1614">
      <c r="B1614" s="30" t="n"/>
    </row>
    <row r="1615">
      <c r="B1615" s="30" t="n"/>
    </row>
    <row r="1616">
      <c r="B1616" s="30" t="n"/>
    </row>
    <row r="1617">
      <c r="B1617" s="30" t="n"/>
    </row>
    <row r="1618">
      <c r="B1618" s="30" t="n"/>
    </row>
    <row r="1619">
      <c r="B1619" s="30" t="n"/>
    </row>
    <row r="1620">
      <c r="B1620" s="30" t="n"/>
    </row>
    <row r="1621">
      <c r="B1621" s="30" t="n"/>
    </row>
    <row r="1622">
      <c r="B1622" s="30" t="n"/>
    </row>
    <row r="1623">
      <c r="B1623" s="30" t="n"/>
    </row>
    <row r="1624">
      <c r="B1624" s="30" t="n"/>
    </row>
    <row r="1625">
      <c r="B1625" s="30" t="n"/>
    </row>
    <row r="1626">
      <c r="B1626" s="30" t="n"/>
    </row>
    <row r="1627">
      <c r="B1627" s="30" t="n"/>
    </row>
    <row r="1628">
      <c r="B1628" s="30" t="n"/>
    </row>
    <row r="1629">
      <c r="B1629" s="30" t="n"/>
    </row>
    <row r="1630">
      <c r="B1630" s="30" t="n"/>
    </row>
    <row r="1631">
      <c r="B1631" s="30" t="n"/>
    </row>
    <row r="1632">
      <c r="B1632" s="30" t="n"/>
    </row>
    <row r="1633">
      <c r="B1633" s="30" t="n"/>
    </row>
    <row r="1634">
      <c r="B1634" s="30" t="n"/>
    </row>
    <row r="1635">
      <c r="B1635" s="30" t="n"/>
    </row>
    <row r="1636">
      <c r="B1636" s="30" t="n"/>
    </row>
    <row r="1637">
      <c r="B1637" s="30" t="n"/>
    </row>
    <row r="1638">
      <c r="B1638" s="30" t="n"/>
    </row>
    <row r="1639">
      <c r="B1639" s="30" t="n"/>
    </row>
    <row r="1640">
      <c r="B1640" s="30" t="n"/>
    </row>
    <row r="1641">
      <c r="B1641" s="30" t="n"/>
    </row>
    <row r="1642">
      <c r="B1642" s="30" t="n"/>
    </row>
    <row r="1643">
      <c r="B1643" s="30" t="n"/>
    </row>
    <row r="1644">
      <c r="B1644" s="30" t="n"/>
    </row>
    <row r="1645">
      <c r="B1645" s="30" t="n"/>
    </row>
    <row r="1646">
      <c r="B1646" s="30" t="n"/>
    </row>
    <row r="1647">
      <c r="B1647" s="30" t="n"/>
    </row>
    <row r="1648">
      <c r="B1648" s="30" t="n"/>
    </row>
    <row r="1649">
      <c r="B1649" s="30" t="n"/>
    </row>
    <row r="1650">
      <c r="B1650" s="30" t="n"/>
    </row>
    <row r="1651">
      <c r="B1651" s="30" t="n"/>
    </row>
    <row r="1652">
      <c r="B1652" s="30" t="n"/>
    </row>
    <row r="1653">
      <c r="B1653" s="30" t="n"/>
    </row>
    <row r="1654">
      <c r="B1654" s="30" t="n"/>
    </row>
    <row r="1655">
      <c r="B1655" s="30" t="n"/>
    </row>
    <row r="1656">
      <c r="B1656" s="30" t="n"/>
    </row>
    <row r="1657">
      <c r="B1657" s="30" t="n"/>
    </row>
    <row r="1658">
      <c r="B1658" s="30" t="n"/>
    </row>
    <row r="1659">
      <c r="B1659" s="30" t="n"/>
    </row>
    <row r="1660">
      <c r="B1660" s="30" t="n"/>
    </row>
    <row r="1661">
      <c r="B1661" s="30" t="n"/>
    </row>
    <row r="1662">
      <c r="B1662" s="30" t="n"/>
    </row>
    <row r="1663">
      <c r="B1663" s="30" t="n"/>
    </row>
    <row r="1664">
      <c r="B1664" s="30" t="n"/>
    </row>
    <row r="1665">
      <c r="B1665" s="30" t="n"/>
    </row>
    <row r="1666">
      <c r="B1666" s="30" t="n"/>
    </row>
    <row r="1667">
      <c r="B1667" s="30" t="n"/>
    </row>
    <row r="1668">
      <c r="B1668" s="30" t="n"/>
    </row>
    <row r="1669">
      <c r="B1669" s="30" t="n"/>
    </row>
    <row r="1670">
      <c r="B1670" s="30" t="n"/>
    </row>
    <row r="1671">
      <c r="B1671" s="30" t="n"/>
    </row>
    <row r="1672">
      <c r="B1672" s="30" t="n"/>
    </row>
    <row r="1673">
      <c r="B1673" s="30" t="n"/>
    </row>
    <row r="1674">
      <c r="B1674" s="30" t="n"/>
    </row>
    <row r="1675">
      <c r="B1675" s="30" t="n"/>
    </row>
    <row r="1676">
      <c r="B1676" s="30" t="n"/>
    </row>
    <row r="1677">
      <c r="B1677" s="30" t="n"/>
    </row>
    <row r="1678">
      <c r="B1678" s="30" t="n"/>
    </row>
    <row r="1679">
      <c r="B1679" s="30" t="n"/>
    </row>
    <row r="1680">
      <c r="B1680" s="30" t="n"/>
    </row>
    <row r="1681">
      <c r="B1681" s="30" t="n"/>
    </row>
    <row r="1682">
      <c r="B1682" s="30" t="n"/>
    </row>
    <row r="1683">
      <c r="B1683" s="30" t="n"/>
    </row>
    <row r="1684">
      <c r="B1684" s="30" t="n"/>
    </row>
    <row r="1685">
      <c r="B1685" s="30" t="n"/>
    </row>
    <row r="1686">
      <c r="B1686" s="30" t="n"/>
    </row>
    <row r="1687">
      <c r="B1687" s="30" t="n"/>
    </row>
    <row r="1688">
      <c r="B1688" s="30" t="n"/>
    </row>
    <row r="1689">
      <c r="B1689" s="30" t="n"/>
    </row>
    <row r="1690">
      <c r="B1690" s="30" t="n"/>
    </row>
    <row r="1691">
      <c r="B1691" s="30" t="n"/>
    </row>
    <row r="1692">
      <c r="B1692" s="30" t="n"/>
    </row>
    <row r="1693">
      <c r="B1693" s="30" t="n"/>
    </row>
    <row r="1694">
      <c r="B1694" s="30" t="n"/>
    </row>
    <row r="1695">
      <c r="B1695" s="30" t="n"/>
    </row>
    <row r="1696">
      <c r="B1696" s="30" t="n"/>
    </row>
    <row r="1697">
      <c r="B1697" s="30" t="n"/>
    </row>
    <row r="1698">
      <c r="B1698" s="30" t="n"/>
    </row>
    <row r="1699">
      <c r="B1699" s="30" t="n"/>
    </row>
    <row r="1700">
      <c r="B1700" s="30" t="n"/>
    </row>
    <row r="1701">
      <c r="B1701" s="30" t="n"/>
    </row>
    <row r="1702">
      <c r="B1702" s="30" t="n"/>
    </row>
    <row r="1703">
      <c r="B1703" s="30" t="n"/>
    </row>
    <row r="1704">
      <c r="B1704" s="30" t="n"/>
    </row>
    <row r="1705">
      <c r="B1705" s="30" t="n"/>
    </row>
    <row r="1706">
      <c r="B1706" s="30" t="n"/>
    </row>
    <row r="1707">
      <c r="B1707" s="30" t="n"/>
    </row>
    <row r="1708">
      <c r="B1708" s="30" t="n"/>
    </row>
    <row r="1709">
      <c r="B1709" s="30" t="n"/>
    </row>
    <row r="1710">
      <c r="B1710" s="30" t="n"/>
    </row>
    <row r="1711">
      <c r="B1711" s="30" t="n"/>
    </row>
    <row r="1712">
      <c r="B1712" s="30" t="n"/>
    </row>
    <row r="1713">
      <c r="B1713" s="30" t="n"/>
    </row>
    <row r="1714">
      <c r="B1714" s="30" t="n"/>
    </row>
    <row r="1715">
      <c r="B1715" s="30" t="n"/>
    </row>
    <row r="1716">
      <c r="B1716" s="30" t="n"/>
    </row>
    <row r="1717">
      <c r="B1717" s="30" t="n"/>
    </row>
    <row r="1718">
      <c r="B1718" s="30" t="n"/>
    </row>
    <row r="1719">
      <c r="B1719" s="30" t="n"/>
    </row>
    <row r="1720">
      <c r="B1720" s="30" t="n"/>
    </row>
    <row r="1721">
      <c r="B1721" s="30" t="n"/>
    </row>
    <row r="1722">
      <c r="B1722" s="30" t="n"/>
    </row>
    <row r="1723">
      <c r="B1723" s="30" t="n"/>
    </row>
    <row r="1724">
      <c r="B1724" s="30" t="n"/>
    </row>
    <row r="1725">
      <c r="B1725" s="30" t="n"/>
    </row>
    <row r="1726">
      <c r="B1726" s="30" t="n"/>
    </row>
    <row r="1727">
      <c r="B1727" s="30" t="n"/>
    </row>
    <row r="1728">
      <c r="B1728" s="30" t="n"/>
    </row>
    <row r="1729">
      <c r="B1729" s="30" t="n"/>
    </row>
    <row r="1730">
      <c r="B1730" s="30" t="n"/>
    </row>
    <row r="1731">
      <c r="B1731" s="30" t="n"/>
    </row>
    <row r="1732">
      <c r="B1732" s="30" t="n"/>
    </row>
    <row r="1733">
      <c r="B1733" s="30" t="n"/>
    </row>
    <row r="1734">
      <c r="B1734" s="30" t="n"/>
    </row>
    <row r="1735">
      <c r="B1735" s="30" t="n"/>
    </row>
    <row r="1736">
      <c r="B1736" s="30" t="n"/>
    </row>
    <row r="1737">
      <c r="B1737" s="30" t="n"/>
    </row>
    <row r="1738">
      <c r="B1738" s="30" t="n"/>
    </row>
    <row r="1739">
      <c r="B1739" s="30" t="n"/>
    </row>
    <row r="1740">
      <c r="B1740" s="30" t="n"/>
    </row>
    <row r="1741">
      <c r="B1741" s="30" t="n"/>
    </row>
    <row r="1742">
      <c r="B1742" s="30" t="n"/>
    </row>
    <row r="1743">
      <c r="B1743" s="30" t="n"/>
    </row>
    <row r="1744">
      <c r="B1744" s="30" t="n"/>
    </row>
    <row r="1745">
      <c r="B1745" s="30" t="n"/>
    </row>
    <row r="1746">
      <c r="B1746" s="30" t="n"/>
    </row>
    <row r="1747">
      <c r="B1747" s="30" t="n"/>
    </row>
    <row r="1748">
      <c r="B1748" s="30" t="n"/>
    </row>
    <row r="1749">
      <c r="B1749" s="30" t="n"/>
    </row>
    <row r="1750">
      <c r="B1750" s="30" t="n"/>
    </row>
    <row r="1751">
      <c r="B1751" s="30" t="n"/>
    </row>
    <row r="1752">
      <c r="B1752" s="30" t="n"/>
    </row>
    <row r="1753">
      <c r="B1753" s="30" t="n"/>
    </row>
    <row r="1754">
      <c r="B1754" s="30" t="n"/>
    </row>
    <row r="1755">
      <c r="B1755" s="30" t="n"/>
    </row>
    <row r="1756">
      <c r="B1756" s="30" t="n"/>
    </row>
    <row r="1757">
      <c r="B1757" s="30" t="n"/>
    </row>
    <row r="1758">
      <c r="B1758" s="30" t="n"/>
    </row>
    <row r="1759">
      <c r="B1759" s="30" t="n"/>
    </row>
    <row r="1760">
      <c r="B1760" s="30" t="n"/>
    </row>
    <row r="1761">
      <c r="B1761" s="30" t="n"/>
    </row>
    <row r="1762">
      <c r="B1762" s="30" t="n"/>
    </row>
    <row r="1763">
      <c r="B1763" s="30" t="n"/>
    </row>
    <row r="1764">
      <c r="B1764" s="30" t="n"/>
    </row>
    <row r="1765">
      <c r="B1765" s="30" t="n"/>
    </row>
    <row r="1766">
      <c r="B1766" s="30" t="n"/>
    </row>
    <row r="1767">
      <c r="B1767" s="30" t="n"/>
    </row>
    <row r="1768">
      <c r="B1768" s="30" t="n"/>
    </row>
    <row r="1769">
      <c r="B1769" s="30" t="n"/>
    </row>
    <row r="1770">
      <c r="B1770" s="30" t="n"/>
    </row>
    <row r="1771">
      <c r="B1771" s="30" t="n"/>
    </row>
    <row r="1772">
      <c r="B1772" s="30" t="n"/>
    </row>
    <row r="1773">
      <c r="B1773" s="30" t="n"/>
    </row>
    <row r="1774">
      <c r="B1774" s="30" t="n"/>
    </row>
    <row r="1775">
      <c r="B1775" s="30" t="n"/>
    </row>
    <row r="1776">
      <c r="B1776" s="30" t="n"/>
    </row>
    <row r="1777">
      <c r="B1777" s="30" t="n"/>
    </row>
    <row r="1778">
      <c r="B1778" s="30" t="n"/>
    </row>
    <row r="1779">
      <c r="B1779" s="30" t="n"/>
    </row>
    <row r="1780">
      <c r="B1780" s="30" t="n"/>
    </row>
    <row r="1781">
      <c r="B1781" s="30" t="n"/>
    </row>
    <row r="1782">
      <c r="B1782" s="30" t="n"/>
    </row>
    <row r="1783">
      <c r="B1783" s="30" t="n"/>
    </row>
    <row r="1784">
      <c r="B1784" s="30" t="n"/>
    </row>
    <row r="1785">
      <c r="B1785" s="30" t="n"/>
    </row>
    <row r="1786">
      <c r="B1786" s="30" t="n"/>
    </row>
    <row r="1787">
      <c r="B1787" s="30" t="n"/>
    </row>
    <row r="1788">
      <c r="B1788" s="30" t="n"/>
    </row>
    <row r="1789">
      <c r="B1789" s="30" t="n"/>
    </row>
    <row r="1790">
      <c r="B1790" s="30" t="n"/>
    </row>
    <row r="1791">
      <c r="B1791" s="30" t="n"/>
    </row>
    <row r="1792">
      <c r="B1792" s="30" t="n"/>
    </row>
    <row r="1793">
      <c r="B1793" s="30" t="n"/>
    </row>
    <row r="1794">
      <c r="B1794" s="30" t="n"/>
    </row>
    <row r="1795">
      <c r="B1795" s="30" t="n"/>
    </row>
    <row r="1796">
      <c r="B1796" s="30" t="n"/>
    </row>
    <row r="1797">
      <c r="B1797" s="30" t="n"/>
    </row>
    <row r="1798">
      <c r="B1798" s="30" t="n"/>
    </row>
    <row r="1799">
      <c r="B1799" s="30" t="n"/>
    </row>
    <row r="1800">
      <c r="B1800" s="30" t="n"/>
    </row>
    <row r="1801">
      <c r="B1801" s="30" t="n"/>
    </row>
    <row r="1802">
      <c r="B1802" s="30" t="n"/>
    </row>
    <row r="1803">
      <c r="B1803" s="30" t="n"/>
    </row>
    <row r="1804">
      <c r="B1804" s="30" t="n"/>
    </row>
    <row r="1805">
      <c r="B1805" s="30" t="n"/>
    </row>
    <row r="1806">
      <c r="B1806" s="30" t="n"/>
    </row>
    <row r="1807">
      <c r="B1807" s="30" t="n"/>
    </row>
    <row r="1808">
      <c r="B1808" s="30" t="n"/>
    </row>
    <row r="1809">
      <c r="B1809" s="30" t="n"/>
    </row>
    <row r="1810">
      <c r="B1810" s="30" t="n"/>
    </row>
    <row r="1811">
      <c r="B1811" s="30" t="n"/>
    </row>
    <row r="1812">
      <c r="B1812" s="30" t="n"/>
    </row>
    <row r="1813">
      <c r="B1813" s="30" t="n"/>
    </row>
    <row r="1814">
      <c r="B1814" s="30" t="n"/>
    </row>
    <row r="1815">
      <c r="B1815" s="30" t="n"/>
    </row>
    <row r="1816">
      <c r="B1816" s="30" t="n"/>
    </row>
    <row r="1817">
      <c r="B1817" s="30" t="n"/>
    </row>
    <row r="1818">
      <c r="B1818" s="30" t="n"/>
    </row>
    <row r="1819">
      <c r="B1819" s="30" t="n"/>
    </row>
    <row r="1820">
      <c r="B1820" s="30" t="n"/>
    </row>
    <row r="1821">
      <c r="B1821" s="30" t="n"/>
    </row>
    <row r="1822">
      <c r="B1822" s="30" t="n"/>
    </row>
    <row r="1823">
      <c r="B1823" s="30" t="n"/>
    </row>
    <row r="1824">
      <c r="B1824" s="30" t="n"/>
    </row>
    <row r="1825">
      <c r="B1825" s="30" t="n"/>
    </row>
    <row r="1826">
      <c r="B1826" s="30" t="n"/>
    </row>
    <row r="1827">
      <c r="B1827" s="30" t="n"/>
    </row>
    <row r="1828">
      <c r="B1828" s="30" t="n"/>
    </row>
    <row r="1829">
      <c r="B1829" s="30" t="n"/>
    </row>
    <row r="1830">
      <c r="B1830" s="30" t="n"/>
    </row>
    <row r="1831">
      <c r="B1831" s="30" t="n"/>
    </row>
    <row r="1832">
      <c r="B1832" s="30" t="n"/>
    </row>
    <row r="1833">
      <c r="B1833" s="30" t="n"/>
    </row>
    <row r="1834">
      <c r="B1834" s="30" t="n"/>
    </row>
    <row r="1835">
      <c r="B1835" s="30" t="n"/>
    </row>
    <row r="1836">
      <c r="B1836" s="30" t="n"/>
    </row>
    <row r="1837">
      <c r="B1837" s="30" t="n"/>
    </row>
    <row r="1838">
      <c r="B1838" s="30" t="n"/>
    </row>
    <row r="1839">
      <c r="B1839" s="30" t="n"/>
    </row>
    <row r="1840">
      <c r="B1840" s="30" t="n"/>
    </row>
    <row r="1841">
      <c r="B1841" s="30" t="n"/>
    </row>
    <row r="1842">
      <c r="B1842" s="30" t="n"/>
    </row>
    <row r="1843">
      <c r="B1843" s="30" t="n"/>
    </row>
    <row r="1844">
      <c r="B1844" s="30" t="n"/>
    </row>
    <row r="1845">
      <c r="B1845" s="30" t="n"/>
    </row>
    <row r="1846">
      <c r="B1846" s="30" t="n"/>
    </row>
    <row r="1847">
      <c r="B1847" s="30" t="n"/>
    </row>
    <row r="1848">
      <c r="B1848" s="30" t="n"/>
    </row>
    <row r="1849">
      <c r="B1849" s="30" t="n"/>
    </row>
    <row r="1850">
      <c r="B1850" s="30" t="n"/>
    </row>
    <row r="1851">
      <c r="B1851" s="30" t="n"/>
    </row>
    <row r="1852">
      <c r="B1852" s="30" t="n"/>
    </row>
    <row r="1853">
      <c r="B1853" s="30" t="n"/>
    </row>
    <row r="1854">
      <c r="B1854" s="30" t="n"/>
    </row>
    <row r="1855">
      <c r="B1855" s="30" t="n"/>
    </row>
    <row r="1856">
      <c r="B1856" s="30" t="n"/>
    </row>
    <row r="1857">
      <c r="B1857" s="30" t="n"/>
    </row>
    <row r="1858">
      <c r="B1858" s="30" t="n"/>
    </row>
    <row r="1859">
      <c r="B1859" s="30" t="n"/>
    </row>
    <row r="1860">
      <c r="B1860" s="30" t="n"/>
    </row>
    <row r="1861">
      <c r="B1861" s="30" t="n"/>
    </row>
    <row r="1862">
      <c r="B1862" s="30" t="n"/>
    </row>
    <row r="1863">
      <c r="B1863" s="30" t="n"/>
    </row>
    <row r="1864">
      <c r="B1864" s="30" t="n"/>
    </row>
    <row r="1865">
      <c r="B1865" s="30" t="n"/>
    </row>
    <row r="1866">
      <c r="B1866" s="30" t="n"/>
    </row>
    <row r="1867">
      <c r="B1867" s="30" t="n"/>
    </row>
    <row r="1868">
      <c r="B1868" s="30" t="n"/>
    </row>
    <row r="1869">
      <c r="B1869" s="30" t="n"/>
    </row>
    <row r="1870">
      <c r="B1870" s="30" t="n"/>
    </row>
    <row r="1871">
      <c r="B1871" s="30" t="n"/>
    </row>
    <row r="1872">
      <c r="B1872" s="30" t="n"/>
    </row>
    <row r="1873">
      <c r="B1873" s="30" t="n"/>
    </row>
    <row r="1874">
      <c r="B1874" s="30" t="n"/>
    </row>
    <row r="1875">
      <c r="B1875" s="30" t="n"/>
    </row>
    <row r="1876">
      <c r="B1876" s="30" t="n"/>
    </row>
    <row r="1877">
      <c r="B1877" s="30" t="n"/>
    </row>
    <row r="1878">
      <c r="B1878" s="30" t="n"/>
    </row>
    <row r="1879">
      <c r="B1879" s="30" t="n"/>
    </row>
    <row r="1880">
      <c r="B1880" s="30" t="n"/>
    </row>
    <row r="1881">
      <c r="B1881" s="30" t="n"/>
    </row>
    <row r="1882">
      <c r="B1882" s="30" t="n"/>
    </row>
    <row r="1883">
      <c r="B1883" s="30" t="n"/>
    </row>
    <row r="1884">
      <c r="B1884" s="30" t="n"/>
    </row>
    <row r="1885">
      <c r="B1885" s="30" t="n"/>
    </row>
    <row r="1886">
      <c r="B1886" s="30" t="n"/>
    </row>
    <row r="1887">
      <c r="B1887" s="30" t="n"/>
    </row>
    <row r="1888">
      <c r="B1888" s="30" t="n"/>
    </row>
    <row r="1889">
      <c r="B1889" s="30" t="n"/>
    </row>
    <row r="1890">
      <c r="B1890" s="30" t="n"/>
    </row>
    <row r="1891">
      <c r="B1891" s="30" t="n"/>
    </row>
    <row r="1892">
      <c r="B1892" s="30" t="n"/>
    </row>
    <row r="1893">
      <c r="B1893" s="30" t="n"/>
    </row>
    <row r="1894">
      <c r="B1894" s="30" t="n"/>
    </row>
    <row r="1895">
      <c r="B1895" s="30" t="n"/>
    </row>
    <row r="1896">
      <c r="B1896" s="30" t="n"/>
    </row>
    <row r="1897">
      <c r="B1897" s="30" t="n"/>
    </row>
    <row r="1898">
      <c r="B1898" s="30" t="n"/>
    </row>
    <row r="1899">
      <c r="B1899" s="30" t="n"/>
    </row>
    <row r="1900">
      <c r="B1900" s="30" t="n"/>
    </row>
    <row r="1901">
      <c r="B1901" s="30" t="n"/>
    </row>
    <row r="1902">
      <c r="B1902" s="30" t="n"/>
    </row>
    <row r="1903">
      <c r="B1903" s="30" t="n"/>
    </row>
    <row r="1904">
      <c r="B1904" s="30" t="n"/>
    </row>
    <row r="1905">
      <c r="B1905" s="30" t="n"/>
    </row>
    <row r="1906">
      <c r="B1906" s="30" t="n"/>
    </row>
    <row r="1907">
      <c r="B1907" s="30" t="n"/>
    </row>
    <row r="1908">
      <c r="B1908" s="30" t="n"/>
    </row>
    <row r="1909">
      <c r="B1909" s="30" t="n"/>
    </row>
    <row r="1910">
      <c r="B1910" s="30" t="n"/>
    </row>
    <row r="1911">
      <c r="B1911" s="30" t="n"/>
    </row>
    <row r="1912">
      <c r="B1912" s="30" t="n"/>
    </row>
    <row r="1913">
      <c r="B1913" s="30" t="n"/>
    </row>
    <row r="1914">
      <c r="B1914" s="30" t="n"/>
    </row>
    <row r="1915">
      <c r="B1915" s="30" t="n"/>
    </row>
    <row r="1916">
      <c r="B1916" s="30" t="n"/>
    </row>
    <row r="1917">
      <c r="B1917" s="30" t="n"/>
    </row>
    <row r="1918">
      <c r="B1918" s="30" t="n"/>
    </row>
    <row r="1919">
      <c r="B1919" s="30" t="n"/>
    </row>
    <row r="1920">
      <c r="B1920" s="30" t="n"/>
    </row>
    <row r="1921">
      <c r="B1921" s="30" t="n"/>
    </row>
    <row r="1922">
      <c r="B1922" s="30" t="n"/>
    </row>
    <row r="1923">
      <c r="B1923" s="30" t="n"/>
    </row>
    <row r="1924">
      <c r="B1924" s="30" t="n"/>
    </row>
    <row r="1925">
      <c r="B1925" s="30" t="n"/>
    </row>
    <row r="1926">
      <c r="B1926" s="30" t="n"/>
    </row>
    <row r="1927">
      <c r="B1927" s="30" t="n"/>
    </row>
    <row r="1928">
      <c r="B1928" s="30" t="n"/>
    </row>
    <row r="1929">
      <c r="B1929" s="30" t="n"/>
    </row>
    <row r="1930">
      <c r="B1930" s="30" t="n"/>
    </row>
    <row r="1931">
      <c r="B1931" s="30" t="n"/>
    </row>
    <row r="1932">
      <c r="B1932" s="30" t="n"/>
    </row>
    <row r="1933">
      <c r="B1933" s="30" t="n"/>
    </row>
    <row r="1934">
      <c r="B1934" s="30" t="n"/>
    </row>
    <row r="1935">
      <c r="B1935" s="30" t="n"/>
    </row>
    <row r="1936">
      <c r="B1936" s="30" t="n"/>
    </row>
    <row r="1937">
      <c r="B1937" s="30" t="n"/>
    </row>
    <row r="1938">
      <c r="B1938" s="30" t="n"/>
    </row>
    <row r="1939">
      <c r="B1939" s="30" t="n"/>
    </row>
    <row r="1940">
      <c r="B1940" s="30" t="n"/>
    </row>
    <row r="1941">
      <c r="B1941" s="30" t="n"/>
    </row>
    <row r="1942">
      <c r="B1942" s="30" t="n"/>
    </row>
    <row r="1943">
      <c r="B1943" s="30" t="n"/>
    </row>
    <row r="1944">
      <c r="B1944" s="30" t="n"/>
    </row>
    <row r="1945">
      <c r="B1945" s="30" t="n"/>
    </row>
    <row r="1946">
      <c r="B1946" s="30" t="n"/>
    </row>
    <row r="1947">
      <c r="B1947" s="30" t="n"/>
    </row>
    <row r="1948">
      <c r="B1948" s="30" t="n"/>
    </row>
    <row r="1949">
      <c r="B1949" s="30" t="n"/>
    </row>
    <row r="1950">
      <c r="B1950" s="30" t="n"/>
    </row>
    <row r="1951">
      <c r="B1951" s="30" t="n"/>
    </row>
    <row r="1952">
      <c r="B1952" s="30" t="n"/>
    </row>
    <row r="1953">
      <c r="B1953" s="30" t="n"/>
    </row>
    <row r="1954">
      <c r="B1954" s="30" t="n"/>
    </row>
    <row r="1955">
      <c r="B1955" s="30" t="n"/>
    </row>
    <row r="1956">
      <c r="B1956" s="30" t="n"/>
    </row>
    <row r="1957">
      <c r="B1957" s="30" t="n"/>
    </row>
    <row r="1958">
      <c r="B1958" s="30" t="n"/>
    </row>
    <row r="1959">
      <c r="B1959" s="30" t="n"/>
    </row>
    <row r="1960">
      <c r="B1960" s="30" t="n"/>
    </row>
    <row r="1961">
      <c r="B1961" s="30" t="n"/>
    </row>
    <row r="1962">
      <c r="B1962" s="30" t="n"/>
    </row>
    <row r="1963">
      <c r="B1963" s="30" t="n"/>
    </row>
    <row r="1964">
      <c r="B1964" s="30" t="n"/>
    </row>
    <row r="1965">
      <c r="B1965" s="30" t="n"/>
    </row>
    <row r="1966">
      <c r="B1966" s="30" t="n"/>
    </row>
    <row r="1967">
      <c r="B1967" s="30" t="n"/>
    </row>
    <row r="1968">
      <c r="B1968" s="30" t="n"/>
    </row>
    <row r="1969">
      <c r="B1969" s="30" t="n"/>
    </row>
    <row r="1970">
      <c r="B1970" s="30" t="n"/>
    </row>
    <row r="1971">
      <c r="B1971" s="30" t="n"/>
    </row>
    <row r="1972">
      <c r="B1972" s="30" t="n"/>
    </row>
    <row r="1973">
      <c r="B1973" s="30" t="n"/>
    </row>
    <row r="1974">
      <c r="B1974" s="30" t="n"/>
    </row>
    <row r="1975">
      <c r="B1975" s="30" t="n"/>
    </row>
    <row r="1976">
      <c r="B1976" s="30" t="n"/>
    </row>
    <row r="1977">
      <c r="B1977" s="30" t="n"/>
    </row>
    <row r="1978">
      <c r="B1978" s="30" t="n"/>
    </row>
    <row r="1979">
      <c r="B1979" s="30" t="n"/>
    </row>
    <row r="1980">
      <c r="B1980" s="30" t="n"/>
    </row>
    <row r="1981">
      <c r="B1981" s="30" t="n"/>
    </row>
    <row r="1982">
      <c r="B1982" s="30" t="n"/>
    </row>
    <row r="1983">
      <c r="B1983" s="30" t="n"/>
    </row>
    <row r="1984">
      <c r="B1984" s="30" t="n"/>
    </row>
    <row r="1985">
      <c r="B1985" s="30" t="n"/>
    </row>
    <row r="1986">
      <c r="B1986" s="30" t="n"/>
    </row>
    <row r="1987">
      <c r="B1987" s="30" t="n"/>
    </row>
    <row r="1988">
      <c r="B1988" s="30" t="n"/>
    </row>
    <row r="1989">
      <c r="B1989" s="30" t="n"/>
    </row>
    <row r="1990">
      <c r="B1990" s="30" t="n"/>
    </row>
    <row r="1991">
      <c r="B1991" s="30" t="n"/>
    </row>
    <row r="1992">
      <c r="B1992" s="30" t="n"/>
    </row>
    <row r="1993">
      <c r="B1993" s="30" t="n"/>
    </row>
    <row r="1994">
      <c r="B1994" s="30" t="n"/>
    </row>
    <row r="1995">
      <c r="B1995" s="30" t="n"/>
    </row>
    <row r="1996">
      <c r="B1996" s="30" t="n"/>
    </row>
    <row r="1997">
      <c r="B1997" s="30" t="n"/>
    </row>
    <row r="1998">
      <c r="B1998" s="30" t="n"/>
    </row>
    <row r="1999">
      <c r="B1999" s="30" t="n"/>
    </row>
    <row r="2000">
      <c r="B2000" s="30" t="n"/>
    </row>
    <row r="2001">
      <c r="B2001" s="30" t="n"/>
    </row>
    <row r="2002">
      <c r="B2002" s="30" t="n"/>
    </row>
    <row r="2003">
      <c r="B2003" s="30" t="n"/>
    </row>
    <row r="2004">
      <c r="B2004" s="30" t="n"/>
    </row>
    <row r="2005">
      <c r="B2005" s="30" t="n"/>
    </row>
    <row r="2006">
      <c r="B2006" s="30" t="n"/>
    </row>
    <row r="2007">
      <c r="B2007" s="30" t="n"/>
    </row>
    <row r="2008">
      <c r="B2008" s="30" t="n"/>
    </row>
    <row r="2009">
      <c r="B2009" s="30" t="n"/>
    </row>
    <row r="2010">
      <c r="B2010" s="30" t="n"/>
    </row>
    <row r="2011">
      <c r="B2011" s="30" t="n"/>
    </row>
    <row r="2012">
      <c r="B2012" s="30" t="n"/>
    </row>
    <row r="2013">
      <c r="B2013" s="30" t="n"/>
    </row>
    <row r="2014">
      <c r="B2014" s="30" t="n"/>
    </row>
    <row r="2015">
      <c r="B2015" s="30" t="n"/>
    </row>
    <row r="2016">
      <c r="B2016" s="30" t="n"/>
    </row>
    <row r="2017">
      <c r="B2017" s="30" t="n"/>
    </row>
    <row r="2018">
      <c r="B2018" s="30" t="n"/>
    </row>
    <row r="2019">
      <c r="B2019" s="30" t="n"/>
    </row>
    <row r="2020">
      <c r="B2020" s="30" t="n"/>
    </row>
    <row r="2021">
      <c r="B2021" s="30" t="n"/>
    </row>
    <row r="2022">
      <c r="B2022" s="30" t="n"/>
    </row>
    <row r="2023">
      <c r="B2023" s="30" t="n"/>
    </row>
    <row r="2024">
      <c r="B2024" s="30" t="n"/>
    </row>
    <row r="2025">
      <c r="B2025" s="30" t="n"/>
    </row>
    <row r="2026">
      <c r="B2026" s="30" t="n"/>
    </row>
    <row r="2027">
      <c r="B2027" s="30" t="n"/>
    </row>
    <row r="2028">
      <c r="B2028" s="30" t="n"/>
    </row>
    <row r="2029">
      <c r="B2029" s="30" t="n"/>
    </row>
    <row r="2030">
      <c r="B2030" s="30" t="n"/>
    </row>
    <row r="2031">
      <c r="B2031" s="30" t="n"/>
    </row>
    <row r="2032">
      <c r="B2032" s="30" t="n"/>
    </row>
    <row r="2033">
      <c r="B2033" s="30" t="n"/>
    </row>
    <row r="2034">
      <c r="B2034" s="30" t="n"/>
    </row>
    <row r="2035">
      <c r="B2035" s="30" t="n"/>
    </row>
    <row r="2036">
      <c r="B2036" s="30" t="n"/>
    </row>
    <row r="2037">
      <c r="B2037" s="30" t="n"/>
    </row>
    <row r="2038">
      <c r="B2038" s="30" t="n"/>
    </row>
    <row r="2039">
      <c r="B2039" s="30" t="n"/>
    </row>
    <row r="2040">
      <c r="B2040" s="30" t="n"/>
    </row>
    <row r="2041">
      <c r="B2041" s="30" t="n"/>
    </row>
    <row r="2042">
      <c r="B2042" s="30" t="n"/>
    </row>
    <row r="2043">
      <c r="B2043" s="30" t="n"/>
    </row>
    <row r="2044">
      <c r="B2044" s="30" t="n"/>
    </row>
    <row r="2045">
      <c r="B2045" s="30" t="n"/>
    </row>
    <row r="2046">
      <c r="B2046" s="30" t="n"/>
    </row>
    <row r="2047">
      <c r="B2047" s="30" t="n"/>
    </row>
    <row r="2048">
      <c r="B2048" s="30" t="n"/>
    </row>
    <row r="2049">
      <c r="B2049" s="30" t="n"/>
    </row>
    <row r="2050">
      <c r="B2050" s="30" t="n"/>
    </row>
    <row r="2051">
      <c r="B2051" s="30" t="n"/>
    </row>
    <row r="2052">
      <c r="B2052" s="30" t="n"/>
    </row>
    <row r="2053">
      <c r="B2053" s="30" t="n"/>
    </row>
    <row r="2054">
      <c r="B2054" s="30" t="n"/>
    </row>
    <row r="2055">
      <c r="B2055" s="30" t="n"/>
    </row>
    <row r="2056">
      <c r="B2056" s="30" t="n"/>
    </row>
    <row r="2057">
      <c r="B2057" s="30" t="n"/>
    </row>
    <row r="2058">
      <c r="B2058" s="30" t="n"/>
    </row>
    <row r="2059">
      <c r="B2059" s="30" t="n"/>
    </row>
    <row r="2060">
      <c r="B2060" s="30" t="n"/>
    </row>
    <row r="2061">
      <c r="B2061" s="30" t="n"/>
    </row>
    <row r="2062">
      <c r="B2062" s="30" t="n"/>
    </row>
    <row r="2063">
      <c r="B2063" s="30" t="n"/>
    </row>
    <row r="2064">
      <c r="B2064" s="30" t="n"/>
    </row>
    <row r="2065">
      <c r="B2065" s="30" t="n"/>
    </row>
    <row r="2066">
      <c r="B2066" s="30" t="n"/>
    </row>
    <row r="2067">
      <c r="B2067" s="30" t="n"/>
    </row>
    <row r="2068">
      <c r="B2068" s="30" t="n"/>
    </row>
    <row r="2069">
      <c r="B2069" s="30" t="n"/>
    </row>
    <row r="2070">
      <c r="B2070" s="30" t="n"/>
    </row>
    <row r="2071">
      <c r="B2071" s="30" t="n"/>
    </row>
    <row r="2072">
      <c r="B2072" s="30" t="n"/>
    </row>
    <row r="2073">
      <c r="B2073" s="30" t="n"/>
    </row>
    <row r="2074">
      <c r="B2074" s="30" t="n"/>
    </row>
    <row r="2075">
      <c r="B2075" s="30" t="n"/>
    </row>
    <row r="2076">
      <c r="B2076" s="30" t="n"/>
    </row>
    <row r="2077">
      <c r="B2077" s="30" t="n"/>
    </row>
    <row r="2078">
      <c r="B2078" s="30" t="n"/>
    </row>
    <row r="2079">
      <c r="B2079" s="30" t="n"/>
    </row>
    <row r="2080">
      <c r="B2080" s="30" t="n"/>
    </row>
    <row r="2081">
      <c r="B2081" s="30" t="n"/>
    </row>
    <row r="2082">
      <c r="B2082" s="30" t="n"/>
    </row>
    <row r="2083">
      <c r="B2083" s="30" t="n"/>
    </row>
    <row r="2084">
      <c r="B2084" s="30" t="n"/>
    </row>
    <row r="2085">
      <c r="B2085" s="30" t="n"/>
    </row>
    <row r="2086">
      <c r="B2086" s="30" t="n"/>
    </row>
    <row r="2087">
      <c r="B2087" s="30" t="n"/>
    </row>
    <row r="2088">
      <c r="B2088" s="30" t="n"/>
    </row>
    <row r="2089">
      <c r="B2089" s="30" t="n"/>
    </row>
    <row r="2090">
      <c r="B2090" s="30" t="n"/>
    </row>
    <row r="2091">
      <c r="B2091" s="30" t="n"/>
    </row>
    <row r="2092">
      <c r="B2092" s="30" t="n"/>
    </row>
    <row r="2093">
      <c r="B2093" s="30" t="n"/>
    </row>
    <row r="2094">
      <c r="B2094" s="30" t="n"/>
    </row>
    <row r="2095">
      <c r="B2095" s="30" t="n"/>
    </row>
    <row r="2096">
      <c r="B2096" s="30" t="n"/>
    </row>
    <row r="2097">
      <c r="B2097" s="30" t="n"/>
    </row>
    <row r="2098">
      <c r="B2098" s="30" t="n"/>
    </row>
    <row r="2099">
      <c r="B2099" s="30" t="n"/>
    </row>
    <row r="2100">
      <c r="B2100" s="30" t="n"/>
    </row>
    <row r="2101">
      <c r="B2101" s="30" t="n"/>
    </row>
    <row r="2102">
      <c r="B2102" s="30" t="n"/>
    </row>
    <row r="2103">
      <c r="B2103" s="30" t="n"/>
    </row>
    <row r="2104">
      <c r="B2104" s="30" t="n"/>
    </row>
    <row r="2105">
      <c r="B2105" s="30" t="n"/>
    </row>
    <row r="2106">
      <c r="B2106" s="30" t="n"/>
    </row>
    <row r="2107">
      <c r="B2107" s="30" t="n"/>
    </row>
    <row r="2108">
      <c r="B2108" s="30" t="n"/>
    </row>
    <row r="2109">
      <c r="B2109" s="30" t="n"/>
    </row>
    <row r="2110">
      <c r="B2110" s="30" t="n"/>
    </row>
    <row r="2111">
      <c r="B2111" s="30" t="n"/>
    </row>
    <row r="2112">
      <c r="B2112" s="30" t="n"/>
    </row>
    <row r="2113">
      <c r="B2113" s="30" t="n"/>
    </row>
    <row r="2114">
      <c r="B2114" s="30" t="n"/>
    </row>
    <row r="2115">
      <c r="B2115" s="30" t="n"/>
    </row>
    <row r="2116">
      <c r="B2116" s="30" t="n"/>
    </row>
    <row r="2117">
      <c r="B2117" s="30" t="n"/>
    </row>
    <row r="2118">
      <c r="B2118" s="30" t="n"/>
    </row>
    <row r="2119">
      <c r="B2119" s="30" t="n"/>
    </row>
    <row r="2120">
      <c r="B2120" s="30" t="n"/>
    </row>
    <row r="2121">
      <c r="B2121" s="30" t="n"/>
    </row>
    <row r="2122">
      <c r="B2122" s="30" t="n"/>
    </row>
    <row r="2123">
      <c r="B2123" s="30" t="n"/>
    </row>
    <row r="2124">
      <c r="B2124" s="30" t="n"/>
    </row>
    <row r="2125">
      <c r="B2125" s="30" t="n"/>
    </row>
    <row r="2126">
      <c r="B2126" s="30" t="n"/>
    </row>
    <row r="2127">
      <c r="B2127" s="30" t="n"/>
    </row>
    <row r="2128">
      <c r="B2128" s="30" t="n"/>
    </row>
    <row r="2129">
      <c r="B2129" s="30" t="n"/>
    </row>
    <row r="2130">
      <c r="B2130" s="30" t="n"/>
    </row>
    <row r="2131">
      <c r="B2131" s="30" t="n"/>
    </row>
    <row r="2132">
      <c r="B2132" s="30" t="n"/>
    </row>
    <row r="2133">
      <c r="B2133" s="30" t="n"/>
    </row>
    <row r="2134">
      <c r="B2134" s="30" t="n"/>
    </row>
    <row r="2135">
      <c r="B2135" s="30" t="n"/>
    </row>
    <row r="2136">
      <c r="B2136" s="30" t="n"/>
    </row>
    <row r="2137">
      <c r="B2137" s="30" t="n"/>
    </row>
    <row r="2138">
      <c r="B2138" s="30" t="n"/>
    </row>
    <row r="2139">
      <c r="B2139" s="30" t="n"/>
    </row>
    <row r="2140">
      <c r="B2140" s="30" t="n"/>
    </row>
    <row r="2141">
      <c r="B2141" s="30" t="n"/>
    </row>
    <row r="2142">
      <c r="B2142" s="30" t="n"/>
    </row>
    <row r="2143">
      <c r="B2143" s="30" t="n"/>
    </row>
    <row r="2144">
      <c r="B2144" s="30" t="n"/>
    </row>
    <row r="2145">
      <c r="B2145" s="30" t="n"/>
    </row>
    <row r="2146">
      <c r="B2146" s="30" t="n"/>
    </row>
    <row r="2147">
      <c r="B2147" s="30" t="n"/>
    </row>
    <row r="2148">
      <c r="B2148" s="30" t="n"/>
    </row>
    <row r="2149">
      <c r="B2149" s="30" t="n"/>
    </row>
    <row r="2150">
      <c r="B2150" s="30" t="n"/>
    </row>
    <row r="2151">
      <c r="B2151" s="30" t="n"/>
    </row>
    <row r="2152">
      <c r="B2152" s="30" t="n"/>
    </row>
    <row r="2153">
      <c r="B2153" s="30" t="n"/>
    </row>
    <row r="2154">
      <c r="B2154" s="30" t="n"/>
    </row>
    <row r="2155">
      <c r="B2155" s="30" t="n"/>
    </row>
    <row r="2156">
      <c r="B2156" s="30" t="n"/>
    </row>
    <row r="2157">
      <c r="B2157" s="30" t="n"/>
    </row>
    <row r="2158">
      <c r="B2158" s="30" t="n"/>
    </row>
    <row r="2159">
      <c r="B2159" s="30" t="n"/>
    </row>
    <row r="2160">
      <c r="B2160" s="30" t="n"/>
    </row>
    <row r="2161">
      <c r="B2161" s="30" t="n"/>
    </row>
    <row r="2162">
      <c r="B2162" s="30" t="n"/>
    </row>
    <row r="2163">
      <c r="B2163" s="30" t="n"/>
    </row>
    <row r="2164">
      <c r="B2164" s="30" t="n"/>
    </row>
    <row r="2165">
      <c r="B2165" s="30" t="n"/>
    </row>
    <row r="2166">
      <c r="B2166" s="30" t="n"/>
    </row>
    <row r="2167">
      <c r="B2167" s="30" t="n"/>
    </row>
    <row r="2168">
      <c r="B2168" s="30" t="n"/>
    </row>
    <row r="2169">
      <c r="B2169" s="30" t="n"/>
    </row>
    <row r="2170">
      <c r="B2170" s="30" t="n"/>
    </row>
    <row r="2171">
      <c r="B2171" s="30" t="n"/>
    </row>
    <row r="2172">
      <c r="B2172" s="30" t="n"/>
    </row>
    <row r="2173">
      <c r="B2173" s="30" t="n"/>
    </row>
    <row r="2174">
      <c r="B2174" s="30" t="n"/>
    </row>
    <row r="2175">
      <c r="B2175" s="30" t="n"/>
    </row>
    <row r="2176">
      <c r="B2176" s="30" t="n"/>
    </row>
    <row r="2177">
      <c r="B2177" s="30" t="n"/>
    </row>
    <row r="2178">
      <c r="B2178" s="30" t="n"/>
    </row>
    <row r="2179">
      <c r="B2179" s="30" t="n"/>
    </row>
    <row r="2180">
      <c r="B2180" s="30" t="n"/>
    </row>
    <row r="2181">
      <c r="B2181" s="30" t="n"/>
    </row>
    <row r="2182">
      <c r="B2182" s="30" t="n"/>
    </row>
    <row r="2183">
      <c r="B2183" s="30" t="n"/>
    </row>
    <row r="2184">
      <c r="B2184" s="30" t="n"/>
    </row>
    <row r="2185">
      <c r="B2185" s="30" t="n"/>
    </row>
    <row r="2186">
      <c r="B2186" s="30" t="n"/>
    </row>
    <row r="2187">
      <c r="B2187" s="30" t="n"/>
    </row>
    <row r="2188">
      <c r="B2188" s="30" t="n"/>
    </row>
    <row r="2189">
      <c r="B2189" s="30" t="n"/>
    </row>
    <row r="2190">
      <c r="B2190" s="30" t="n"/>
    </row>
    <row r="2191">
      <c r="B2191" s="30" t="n"/>
    </row>
    <row r="2192">
      <c r="B2192" s="30" t="n"/>
    </row>
    <row r="2193">
      <c r="B2193" s="30" t="n"/>
    </row>
    <row r="2194">
      <c r="B2194" s="30" t="n"/>
    </row>
    <row r="2195">
      <c r="B2195" s="30" t="n"/>
    </row>
    <row r="2196">
      <c r="B2196" s="30" t="n"/>
    </row>
    <row r="2197">
      <c r="B2197" s="30" t="n"/>
    </row>
    <row r="2198">
      <c r="B2198" s="30" t="n"/>
    </row>
    <row r="2199">
      <c r="B2199" s="30" t="n"/>
    </row>
    <row r="2200">
      <c r="B2200" s="30" t="n"/>
    </row>
    <row r="2201">
      <c r="B2201" s="30" t="n"/>
    </row>
    <row r="2202">
      <c r="B2202" s="30" t="n"/>
    </row>
    <row r="2203">
      <c r="B2203" s="30" t="n"/>
    </row>
    <row r="2204">
      <c r="B2204" s="30" t="n"/>
    </row>
    <row r="2205">
      <c r="B2205" s="30" t="n"/>
    </row>
    <row r="2206">
      <c r="B2206" s="30" t="n"/>
    </row>
    <row r="2207">
      <c r="B2207" s="30" t="n"/>
    </row>
    <row r="2208">
      <c r="B2208" s="30" t="n"/>
    </row>
    <row r="2209">
      <c r="B2209" s="30" t="n"/>
    </row>
    <row r="2210">
      <c r="B2210" s="30" t="n"/>
    </row>
    <row r="2211">
      <c r="B2211" s="30" t="n"/>
    </row>
    <row r="2212">
      <c r="B2212" s="30" t="n"/>
    </row>
    <row r="2213">
      <c r="B2213" s="30" t="n"/>
    </row>
    <row r="2214">
      <c r="B2214" s="30" t="n"/>
    </row>
    <row r="2215">
      <c r="B2215" s="30" t="n"/>
    </row>
    <row r="2216">
      <c r="B2216" s="30" t="n"/>
    </row>
    <row r="2217">
      <c r="B2217" s="30" t="n"/>
    </row>
    <row r="2218">
      <c r="B2218" s="30" t="n"/>
    </row>
    <row r="2219">
      <c r="B2219" s="30" t="n"/>
    </row>
    <row r="2220">
      <c r="B2220" s="30" t="n"/>
    </row>
    <row r="2221">
      <c r="B2221" s="30" t="n"/>
    </row>
    <row r="2222">
      <c r="B2222" s="30" t="n"/>
    </row>
    <row r="2223">
      <c r="B2223" s="30" t="n"/>
    </row>
    <row r="2224">
      <c r="B2224" s="30" t="n"/>
    </row>
    <row r="2225">
      <c r="B2225" s="30" t="n"/>
    </row>
    <row r="2226">
      <c r="B2226" s="30" t="n"/>
    </row>
    <row r="2227">
      <c r="B2227" s="30" t="n"/>
    </row>
    <row r="2228">
      <c r="B2228" s="30" t="n"/>
    </row>
    <row r="2229">
      <c r="B2229" s="30" t="n"/>
    </row>
    <row r="2230">
      <c r="B2230" s="30" t="n"/>
    </row>
    <row r="2231">
      <c r="B2231" s="30" t="n"/>
    </row>
    <row r="2232">
      <c r="B2232" s="30" t="n"/>
    </row>
    <row r="2233">
      <c r="B2233" s="30" t="n"/>
    </row>
    <row r="2234">
      <c r="B2234" s="30" t="n"/>
    </row>
    <row r="2235">
      <c r="B2235" s="30" t="n"/>
    </row>
    <row r="2236">
      <c r="B2236" s="30" t="n"/>
    </row>
    <row r="2237">
      <c r="B2237" s="30" t="n"/>
    </row>
    <row r="2238">
      <c r="B2238" s="30" t="n"/>
    </row>
    <row r="2239">
      <c r="B2239" s="30" t="n"/>
    </row>
    <row r="2240">
      <c r="B2240" s="30" t="n"/>
    </row>
    <row r="2241">
      <c r="B2241" s="30" t="n"/>
    </row>
    <row r="2242">
      <c r="B2242" s="30" t="n"/>
    </row>
    <row r="2243">
      <c r="B2243" s="30" t="n"/>
    </row>
    <row r="2244">
      <c r="B2244" s="30" t="n"/>
    </row>
    <row r="2245">
      <c r="B2245" s="30" t="n"/>
    </row>
    <row r="2246">
      <c r="B2246" s="30" t="n"/>
    </row>
    <row r="2247">
      <c r="B2247" s="30" t="n"/>
    </row>
    <row r="2248">
      <c r="B2248" s="30" t="n"/>
    </row>
    <row r="2249">
      <c r="B2249" s="30" t="n"/>
    </row>
    <row r="2250">
      <c r="B2250" s="30" t="n"/>
    </row>
    <row r="2251">
      <c r="B2251" s="30" t="n"/>
    </row>
    <row r="2252">
      <c r="B2252" s="30" t="n"/>
    </row>
    <row r="2253">
      <c r="B2253" s="30" t="n"/>
    </row>
    <row r="2254">
      <c r="B2254" s="30" t="n"/>
    </row>
    <row r="2255">
      <c r="B2255" s="30" t="n"/>
    </row>
    <row r="2256">
      <c r="B2256" s="30" t="n"/>
    </row>
    <row r="2257">
      <c r="B2257" s="30" t="n"/>
    </row>
    <row r="2258">
      <c r="B2258" s="30" t="n"/>
    </row>
    <row r="2259">
      <c r="B2259" s="30" t="n"/>
    </row>
    <row r="2260">
      <c r="B2260" s="30" t="n"/>
    </row>
    <row r="2261">
      <c r="B2261" s="30" t="n"/>
    </row>
    <row r="2262">
      <c r="B2262" s="30" t="n"/>
    </row>
    <row r="2263">
      <c r="B2263" s="30" t="n"/>
    </row>
    <row r="2264">
      <c r="B2264" s="30" t="n"/>
    </row>
    <row r="2265">
      <c r="B2265" s="30" t="n"/>
    </row>
    <row r="2266">
      <c r="B2266" s="30" t="n"/>
    </row>
    <row r="2267">
      <c r="B2267" s="30" t="n"/>
    </row>
    <row r="2268">
      <c r="B2268" s="30" t="n"/>
    </row>
    <row r="2269">
      <c r="B2269" s="30" t="n"/>
    </row>
    <row r="2270">
      <c r="B2270" s="30" t="n"/>
    </row>
    <row r="2271">
      <c r="B2271" s="30" t="n"/>
    </row>
    <row r="2272">
      <c r="B2272" s="30" t="n"/>
    </row>
    <row r="2273">
      <c r="B2273" s="30" t="n"/>
    </row>
    <row r="2274">
      <c r="B2274" s="30" t="n"/>
    </row>
    <row r="2275">
      <c r="B2275" s="30" t="n"/>
    </row>
    <row r="2276">
      <c r="B2276" s="30" t="n"/>
    </row>
    <row r="2277">
      <c r="B2277" s="30" t="n"/>
    </row>
    <row r="2278">
      <c r="B2278" s="30" t="n"/>
    </row>
    <row r="2279">
      <c r="B2279" s="30" t="n"/>
    </row>
    <row r="2280">
      <c r="B2280" s="30" t="n"/>
    </row>
    <row r="2281">
      <c r="B2281" s="30" t="n"/>
    </row>
    <row r="2282">
      <c r="B2282" s="30" t="n"/>
    </row>
    <row r="2283">
      <c r="B2283" s="30" t="n"/>
    </row>
    <row r="2284">
      <c r="B2284" s="30" t="n"/>
    </row>
    <row r="2285">
      <c r="B2285" s="30" t="n"/>
    </row>
    <row r="2286">
      <c r="B2286" s="30" t="n"/>
    </row>
    <row r="2287">
      <c r="B2287" s="30" t="n"/>
    </row>
    <row r="2288">
      <c r="B2288" s="30" t="n"/>
    </row>
    <row r="2289">
      <c r="B2289" s="30" t="n"/>
    </row>
    <row r="2290">
      <c r="B2290" s="30" t="n"/>
    </row>
    <row r="2291">
      <c r="B2291" s="30" t="n"/>
    </row>
    <row r="2292">
      <c r="B2292" s="30" t="n"/>
    </row>
    <row r="2293">
      <c r="B2293" s="30" t="n"/>
    </row>
    <row r="2294">
      <c r="B2294" s="30" t="n"/>
    </row>
    <row r="2295">
      <c r="B2295" s="30" t="n"/>
    </row>
    <row r="2296">
      <c r="B2296" s="30" t="n"/>
    </row>
    <row r="2297">
      <c r="B2297" s="30" t="n"/>
    </row>
    <row r="2298">
      <c r="B2298" s="30" t="n"/>
    </row>
    <row r="2299">
      <c r="B2299" s="30" t="n"/>
    </row>
    <row r="2300">
      <c r="B2300" s="30" t="n"/>
    </row>
    <row r="2301">
      <c r="B2301" s="30" t="n"/>
    </row>
    <row r="2302">
      <c r="B2302" s="30" t="n"/>
    </row>
    <row r="2303">
      <c r="B2303" s="30" t="n"/>
    </row>
    <row r="2304">
      <c r="B2304" s="30" t="n"/>
    </row>
    <row r="2305">
      <c r="B2305" s="30" t="n"/>
    </row>
    <row r="2306">
      <c r="B2306" s="30" t="n"/>
    </row>
    <row r="2307">
      <c r="B2307" s="30" t="n"/>
    </row>
    <row r="2308">
      <c r="B2308" s="30" t="n"/>
    </row>
    <row r="2309">
      <c r="B2309" s="30" t="n"/>
    </row>
    <row r="2310">
      <c r="B2310" s="30" t="n"/>
    </row>
    <row r="2311">
      <c r="B2311" s="30" t="n"/>
    </row>
    <row r="2312">
      <c r="B2312" s="30" t="n"/>
    </row>
    <row r="2313">
      <c r="B2313" s="30" t="n"/>
    </row>
    <row r="2314">
      <c r="B2314" s="30" t="n"/>
    </row>
    <row r="2315">
      <c r="B2315" s="30" t="n"/>
    </row>
    <row r="2316">
      <c r="B2316" s="30" t="n"/>
    </row>
    <row r="2317">
      <c r="B2317" s="30" t="n"/>
    </row>
    <row r="2318">
      <c r="B2318" s="30" t="n"/>
    </row>
    <row r="2319">
      <c r="B2319" s="30" t="n"/>
    </row>
    <row r="2320">
      <c r="B2320" s="30" t="n"/>
    </row>
    <row r="2321">
      <c r="B2321" s="30" t="n"/>
    </row>
    <row r="2322">
      <c r="B2322" s="30" t="n"/>
    </row>
    <row r="2323">
      <c r="B2323" s="30" t="n"/>
    </row>
    <row r="2324">
      <c r="B2324" s="30" t="n"/>
    </row>
    <row r="2325">
      <c r="B2325" s="30" t="n"/>
    </row>
    <row r="2326">
      <c r="B2326" s="30" t="n"/>
    </row>
    <row r="2327">
      <c r="B2327" s="30" t="n"/>
    </row>
    <row r="2328">
      <c r="B2328" s="30" t="n"/>
    </row>
    <row r="2329">
      <c r="B2329" s="30" t="n"/>
    </row>
    <row r="2330">
      <c r="B2330" s="30" t="n"/>
    </row>
    <row r="2331">
      <c r="B2331" s="30" t="n"/>
    </row>
    <row r="2332">
      <c r="B2332" s="30" t="n"/>
    </row>
    <row r="2333">
      <c r="B2333" s="30" t="n"/>
    </row>
    <row r="2334">
      <c r="B2334" s="30" t="n"/>
    </row>
    <row r="2335">
      <c r="B2335" s="30" t="n"/>
    </row>
    <row r="2336">
      <c r="B2336" s="30" t="n"/>
    </row>
    <row r="2337">
      <c r="B2337" s="30" t="n"/>
    </row>
    <row r="2338">
      <c r="B2338" s="30" t="n"/>
    </row>
    <row r="2339">
      <c r="B2339" s="30" t="n"/>
    </row>
    <row r="2340">
      <c r="B2340" s="30" t="n"/>
    </row>
    <row r="2341">
      <c r="B2341" s="30" t="n"/>
    </row>
    <row r="2342">
      <c r="B2342" s="30" t="n"/>
    </row>
    <row r="2343">
      <c r="B2343" s="30" t="n"/>
    </row>
    <row r="2344">
      <c r="B2344" s="30" t="n"/>
    </row>
    <row r="2345">
      <c r="B2345" s="30" t="n"/>
    </row>
    <row r="2346">
      <c r="B2346" s="30" t="n"/>
    </row>
    <row r="2347">
      <c r="B2347" s="30" t="n"/>
    </row>
    <row r="2348">
      <c r="B2348" s="30" t="n"/>
    </row>
    <row r="2349">
      <c r="B2349" s="30" t="n"/>
    </row>
    <row r="2350">
      <c r="B2350" s="30" t="n"/>
    </row>
    <row r="2351">
      <c r="B2351" s="30" t="n"/>
    </row>
    <row r="2352">
      <c r="B2352" s="30" t="n"/>
    </row>
    <row r="2353">
      <c r="B2353" s="30" t="n"/>
    </row>
    <row r="2354">
      <c r="B2354" s="30" t="n"/>
    </row>
    <row r="2355">
      <c r="B2355" s="30" t="n"/>
    </row>
    <row r="2356">
      <c r="B2356" s="30" t="n"/>
    </row>
    <row r="2357">
      <c r="B2357" s="30" t="n"/>
    </row>
    <row r="2358">
      <c r="B2358" s="30" t="n"/>
    </row>
    <row r="2359">
      <c r="B2359" s="30" t="n"/>
    </row>
    <row r="2360">
      <c r="B2360" s="30" t="n"/>
    </row>
    <row r="2361">
      <c r="B2361" s="30" t="n"/>
    </row>
    <row r="2362">
      <c r="B2362" s="30" t="n"/>
    </row>
    <row r="2363">
      <c r="B2363" s="30" t="n"/>
    </row>
    <row r="2364">
      <c r="B2364" s="30" t="n"/>
    </row>
    <row r="2365">
      <c r="B2365" s="30" t="n"/>
    </row>
    <row r="2366">
      <c r="B2366" s="30" t="n"/>
    </row>
    <row r="2367">
      <c r="B2367" s="30" t="n"/>
    </row>
    <row r="2368">
      <c r="B2368" s="30" t="n"/>
    </row>
    <row r="2369">
      <c r="B2369" s="30" t="n"/>
    </row>
    <row r="2370">
      <c r="B2370" s="30" t="n"/>
    </row>
    <row r="2371">
      <c r="B2371" s="30" t="n"/>
    </row>
    <row r="2372">
      <c r="B2372" s="30" t="n"/>
    </row>
    <row r="2373">
      <c r="B2373" s="30" t="n"/>
    </row>
    <row r="2374">
      <c r="B2374" s="30" t="n"/>
    </row>
    <row r="2375">
      <c r="B2375" s="30" t="n"/>
    </row>
    <row r="2376">
      <c r="B2376" s="30" t="n"/>
    </row>
    <row r="2377">
      <c r="B2377" s="30" t="n"/>
    </row>
    <row r="2378">
      <c r="B2378" s="30" t="n"/>
    </row>
    <row r="2379">
      <c r="B2379" s="30" t="n"/>
    </row>
    <row r="2380">
      <c r="B2380" s="30" t="n"/>
    </row>
    <row r="2381">
      <c r="B2381" s="30" t="n"/>
    </row>
    <row r="2382">
      <c r="B2382" s="30" t="n"/>
    </row>
    <row r="2383">
      <c r="B2383" s="30" t="n"/>
    </row>
    <row r="2384">
      <c r="B2384" s="30" t="n"/>
    </row>
    <row r="2385">
      <c r="B2385" s="30" t="n"/>
    </row>
    <row r="2386">
      <c r="B2386" s="30" t="n"/>
    </row>
    <row r="2387">
      <c r="B2387" s="30" t="n"/>
    </row>
    <row r="2388">
      <c r="B2388" s="30" t="n"/>
    </row>
    <row r="2389">
      <c r="B2389" s="30" t="n"/>
    </row>
    <row r="2390">
      <c r="B2390" s="30" t="n"/>
    </row>
    <row r="2391">
      <c r="B2391" s="30" t="n"/>
    </row>
    <row r="2392">
      <c r="B2392" s="30" t="n"/>
    </row>
    <row r="2393">
      <c r="B2393" s="30" t="n"/>
    </row>
    <row r="2394">
      <c r="B2394" s="30" t="n"/>
    </row>
    <row r="2395">
      <c r="B2395" s="30" t="n"/>
    </row>
    <row r="2396">
      <c r="B2396" s="30" t="n"/>
    </row>
    <row r="2397">
      <c r="B2397" s="30" t="n"/>
    </row>
    <row r="2398">
      <c r="B2398" s="30" t="n"/>
    </row>
    <row r="2399">
      <c r="B2399" s="30" t="n"/>
    </row>
    <row r="2400">
      <c r="B2400" s="30" t="n"/>
    </row>
    <row r="2401">
      <c r="B2401" s="30" t="n"/>
    </row>
    <row r="2402">
      <c r="B2402" s="30" t="n"/>
    </row>
    <row r="2403">
      <c r="B2403" s="30" t="n"/>
    </row>
    <row r="2404">
      <c r="B2404" s="30" t="n"/>
    </row>
    <row r="2405">
      <c r="B2405" s="30" t="n"/>
    </row>
    <row r="2406">
      <c r="B2406" s="30" t="n"/>
    </row>
    <row r="2407">
      <c r="B2407" s="30" t="n"/>
    </row>
    <row r="2408">
      <c r="B2408" s="30" t="n"/>
    </row>
    <row r="2409">
      <c r="B2409" s="30" t="n"/>
    </row>
    <row r="2410">
      <c r="B2410" s="30" t="n"/>
    </row>
    <row r="2411">
      <c r="B2411" s="30" t="n"/>
    </row>
    <row r="2412">
      <c r="B2412" s="30" t="n"/>
    </row>
    <row r="2413">
      <c r="B2413" s="30" t="n"/>
    </row>
    <row r="2414">
      <c r="B2414" s="30" t="n"/>
    </row>
    <row r="2415">
      <c r="B2415" s="30" t="n"/>
    </row>
    <row r="2416">
      <c r="B2416" s="30" t="n"/>
    </row>
    <row r="2417">
      <c r="B2417" s="30" t="n"/>
    </row>
    <row r="2418">
      <c r="B2418" s="30" t="n"/>
    </row>
    <row r="2419">
      <c r="B2419" s="30" t="n"/>
    </row>
    <row r="2420">
      <c r="B2420" s="30" t="n"/>
    </row>
    <row r="2421">
      <c r="B2421" s="30" t="n"/>
    </row>
    <row r="2422">
      <c r="B2422" s="30" t="n"/>
    </row>
    <row r="2423">
      <c r="B2423" s="30" t="n"/>
    </row>
    <row r="2424">
      <c r="B2424" s="30" t="n"/>
    </row>
    <row r="2425">
      <c r="B2425" s="30" t="n"/>
    </row>
    <row r="2426">
      <c r="B2426" s="30" t="n"/>
    </row>
    <row r="2427">
      <c r="B2427" s="30" t="n"/>
    </row>
    <row r="2428">
      <c r="B2428" s="30" t="n"/>
    </row>
    <row r="2429">
      <c r="B2429" s="30" t="n"/>
    </row>
    <row r="2430">
      <c r="B2430" s="30" t="n"/>
    </row>
    <row r="2431">
      <c r="B2431" s="30" t="n"/>
    </row>
    <row r="2432">
      <c r="B2432" s="30" t="n"/>
    </row>
    <row r="2433">
      <c r="B2433" s="30" t="n"/>
    </row>
    <row r="2434">
      <c r="B2434" s="30" t="n"/>
    </row>
    <row r="2435">
      <c r="B2435" s="30" t="n"/>
    </row>
    <row r="2436">
      <c r="B2436" s="30" t="n"/>
    </row>
    <row r="2437">
      <c r="B2437" s="30" t="n"/>
    </row>
    <row r="2438">
      <c r="B2438" s="30" t="n"/>
    </row>
    <row r="2439">
      <c r="B2439" s="30" t="n"/>
    </row>
    <row r="2440">
      <c r="B2440" s="30" t="n"/>
    </row>
    <row r="2441">
      <c r="B2441" s="30" t="n"/>
    </row>
    <row r="2442">
      <c r="B2442" s="30" t="n"/>
    </row>
    <row r="2443">
      <c r="B2443" s="30" t="n"/>
    </row>
    <row r="2444">
      <c r="B2444" s="30" t="n"/>
    </row>
    <row r="2445">
      <c r="B2445" s="30" t="n"/>
    </row>
    <row r="2446">
      <c r="B2446" s="30" t="n"/>
    </row>
    <row r="2447">
      <c r="B2447" s="30" t="n"/>
    </row>
    <row r="2448">
      <c r="B2448" s="30" t="n"/>
    </row>
    <row r="2449">
      <c r="B2449" s="30" t="n"/>
    </row>
    <row r="2450">
      <c r="B2450" s="30" t="n"/>
    </row>
    <row r="2451">
      <c r="B2451" s="30" t="n"/>
    </row>
    <row r="2452">
      <c r="B2452" s="30" t="n"/>
    </row>
    <row r="2453">
      <c r="B2453" s="30" t="n"/>
    </row>
    <row r="2454">
      <c r="B2454" s="30" t="n"/>
    </row>
    <row r="2455">
      <c r="B2455" s="30" t="n"/>
    </row>
    <row r="2456">
      <c r="B2456" s="30" t="n"/>
    </row>
    <row r="2457">
      <c r="B2457" s="30" t="n"/>
    </row>
    <row r="2458">
      <c r="B2458" s="30" t="n"/>
    </row>
    <row r="2459">
      <c r="B2459" s="30" t="n"/>
    </row>
    <row r="2460">
      <c r="B2460" s="30" t="n"/>
    </row>
    <row r="2461">
      <c r="B2461" s="30" t="n"/>
    </row>
    <row r="2462">
      <c r="B2462" s="30" t="n"/>
    </row>
    <row r="2463">
      <c r="B2463" s="30" t="n"/>
    </row>
    <row r="2464">
      <c r="B2464" s="30" t="n"/>
    </row>
    <row r="2465">
      <c r="B2465" s="30" t="n"/>
    </row>
    <row r="2466">
      <c r="B2466" s="30" t="n"/>
    </row>
    <row r="2467">
      <c r="B2467" s="30" t="n"/>
    </row>
    <row r="2468">
      <c r="B2468" s="30" t="n"/>
    </row>
    <row r="2469">
      <c r="B2469" s="30" t="n"/>
    </row>
    <row r="2470">
      <c r="B2470" s="30" t="n"/>
    </row>
    <row r="2471">
      <c r="B2471" s="30" t="n"/>
    </row>
    <row r="2472">
      <c r="B2472" s="30" t="n"/>
    </row>
    <row r="2473">
      <c r="B2473" s="30" t="n"/>
    </row>
    <row r="2474">
      <c r="B2474" s="30" t="n"/>
    </row>
    <row r="2475">
      <c r="B2475" s="30" t="n"/>
    </row>
    <row r="2476">
      <c r="B2476" s="30" t="n"/>
    </row>
    <row r="2477">
      <c r="B2477" s="30" t="n"/>
    </row>
    <row r="2478">
      <c r="B2478" s="30" t="n"/>
    </row>
    <row r="2479">
      <c r="B2479" s="30" t="n"/>
    </row>
    <row r="2480">
      <c r="B2480" s="30" t="n"/>
    </row>
    <row r="2481">
      <c r="B2481" s="30" t="n"/>
    </row>
    <row r="2482">
      <c r="B2482" s="30" t="n"/>
    </row>
    <row r="2483">
      <c r="B2483" s="30" t="n"/>
    </row>
    <row r="2484">
      <c r="B2484" s="30" t="n"/>
    </row>
    <row r="2485">
      <c r="B2485" s="30" t="n"/>
    </row>
    <row r="2486">
      <c r="B2486" s="30" t="n"/>
    </row>
    <row r="2487">
      <c r="B2487" s="30" t="n"/>
    </row>
    <row r="2488">
      <c r="B2488" s="30" t="n"/>
    </row>
    <row r="2489">
      <c r="B2489" s="30" t="n"/>
    </row>
    <row r="2490">
      <c r="B2490" s="30" t="n"/>
    </row>
    <row r="2491">
      <c r="B2491" s="30" t="n"/>
    </row>
    <row r="2492">
      <c r="B2492" s="30" t="n"/>
    </row>
    <row r="2493">
      <c r="B2493" s="30" t="n"/>
    </row>
    <row r="2494">
      <c r="B2494" s="30" t="n"/>
    </row>
    <row r="2495">
      <c r="B2495" s="30" t="n"/>
    </row>
    <row r="2496">
      <c r="B2496" s="30" t="n"/>
    </row>
    <row r="2497">
      <c r="B2497" s="30" t="n"/>
    </row>
    <row r="2498">
      <c r="B2498" s="30" t="n"/>
    </row>
    <row r="2499">
      <c r="B2499" s="30" t="n"/>
    </row>
    <row r="2500">
      <c r="B2500" s="30" t="n"/>
    </row>
    <row r="2501">
      <c r="B2501" s="30" t="n"/>
    </row>
    <row r="2502">
      <c r="B2502" s="30" t="n"/>
    </row>
    <row r="2503">
      <c r="B2503" s="30" t="n"/>
    </row>
    <row r="2504">
      <c r="B2504" s="30" t="n"/>
    </row>
    <row r="2505">
      <c r="B2505" s="30" t="n"/>
    </row>
    <row r="2506">
      <c r="B2506" s="30" t="n"/>
    </row>
    <row r="2507">
      <c r="B2507" s="30" t="n"/>
    </row>
    <row r="2508">
      <c r="B2508" s="30" t="n"/>
    </row>
    <row r="2509">
      <c r="B2509" s="30" t="n"/>
    </row>
    <row r="2510">
      <c r="B2510" s="30" t="n"/>
    </row>
    <row r="2511">
      <c r="B2511" s="30" t="n"/>
    </row>
    <row r="2512">
      <c r="B2512" s="30" t="n"/>
    </row>
    <row r="2513">
      <c r="B2513" s="30" t="n"/>
    </row>
    <row r="2514">
      <c r="B2514" s="30" t="n"/>
    </row>
    <row r="2515">
      <c r="B2515" s="30" t="n"/>
    </row>
    <row r="2516">
      <c r="B2516" s="30" t="n"/>
    </row>
    <row r="2517">
      <c r="B2517" s="30" t="n"/>
    </row>
    <row r="2518">
      <c r="B2518" s="30" t="n"/>
    </row>
    <row r="2519">
      <c r="B2519" s="30" t="n"/>
    </row>
    <row r="2520">
      <c r="B2520" s="30" t="n"/>
    </row>
    <row r="2521">
      <c r="B2521" s="30" t="n"/>
    </row>
    <row r="2522">
      <c r="B2522" s="30" t="n"/>
    </row>
    <row r="2523">
      <c r="B2523" s="30" t="n"/>
    </row>
    <row r="2524">
      <c r="B2524" s="30" t="n"/>
    </row>
    <row r="2525">
      <c r="B2525" s="30" t="n"/>
    </row>
    <row r="2526">
      <c r="B2526" s="30" t="n"/>
    </row>
    <row r="2527">
      <c r="B2527" s="30" t="n"/>
    </row>
    <row r="2528">
      <c r="B2528" s="30" t="n"/>
    </row>
    <row r="2529">
      <c r="B2529" s="30" t="n"/>
    </row>
    <row r="2530">
      <c r="B2530" s="30" t="n"/>
    </row>
    <row r="2531">
      <c r="B2531" s="30" t="n"/>
    </row>
    <row r="2532">
      <c r="B2532" s="30" t="n"/>
    </row>
    <row r="2533">
      <c r="B2533" s="30" t="n"/>
    </row>
    <row r="2534">
      <c r="B2534" s="30" t="n"/>
    </row>
    <row r="2535">
      <c r="B2535" s="30" t="n"/>
    </row>
    <row r="2536">
      <c r="B2536" s="30" t="n"/>
    </row>
    <row r="2537">
      <c r="B2537" s="30" t="n"/>
    </row>
    <row r="2538">
      <c r="B2538" s="30" t="n"/>
    </row>
    <row r="2539">
      <c r="B2539" s="30" t="n"/>
    </row>
    <row r="2540">
      <c r="B2540" s="30" t="n"/>
    </row>
    <row r="2541">
      <c r="B2541" s="30" t="n"/>
    </row>
    <row r="2542">
      <c r="B2542" s="30" t="n"/>
    </row>
    <row r="2543">
      <c r="B2543" s="30" t="n"/>
    </row>
    <row r="2544">
      <c r="B2544" s="30" t="n"/>
    </row>
    <row r="2545">
      <c r="B2545" s="30" t="n"/>
    </row>
    <row r="2546">
      <c r="B2546" s="30" t="n"/>
    </row>
    <row r="2547">
      <c r="B2547" s="30" t="n"/>
    </row>
    <row r="2548">
      <c r="B2548" s="30" t="n"/>
    </row>
    <row r="2549">
      <c r="B2549" s="30" t="n"/>
    </row>
    <row r="2550">
      <c r="B2550" s="30" t="n"/>
    </row>
    <row r="2551">
      <c r="B2551" s="30" t="n"/>
    </row>
    <row r="2552">
      <c r="B2552" s="30" t="n"/>
    </row>
    <row r="2553">
      <c r="B2553" s="30" t="n"/>
    </row>
    <row r="2554">
      <c r="B2554" s="30" t="n"/>
    </row>
    <row r="2555">
      <c r="B2555" s="30" t="n"/>
    </row>
    <row r="2556">
      <c r="B2556" s="30" t="n"/>
    </row>
    <row r="2557">
      <c r="B2557" s="30" t="n"/>
    </row>
    <row r="2558">
      <c r="B2558" s="30" t="n"/>
    </row>
    <row r="2559">
      <c r="B2559" s="30" t="n"/>
    </row>
    <row r="2560">
      <c r="B2560" s="30" t="n"/>
    </row>
    <row r="2561">
      <c r="B2561" s="30" t="n"/>
    </row>
    <row r="2562">
      <c r="B2562" s="30" t="n"/>
    </row>
    <row r="2563">
      <c r="B2563" s="30" t="n"/>
    </row>
    <row r="2564">
      <c r="B2564" s="30" t="n"/>
    </row>
    <row r="2565">
      <c r="B2565" s="30" t="n"/>
    </row>
    <row r="2566">
      <c r="B2566" s="30" t="n"/>
    </row>
    <row r="2567">
      <c r="B2567" s="30" t="n"/>
    </row>
    <row r="2568">
      <c r="B2568" s="30" t="n"/>
    </row>
    <row r="2569">
      <c r="B2569" s="30" t="n"/>
    </row>
    <row r="2570">
      <c r="B2570" s="30" t="n"/>
    </row>
    <row r="2571">
      <c r="B2571" s="30" t="n"/>
    </row>
    <row r="2572">
      <c r="B2572" s="30" t="n"/>
    </row>
    <row r="2573">
      <c r="B2573" s="30" t="n"/>
    </row>
    <row r="2574">
      <c r="B2574" s="30" t="n"/>
    </row>
    <row r="2575">
      <c r="B2575" s="30" t="n"/>
    </row>
    <row r="2576">
      <c r="B2576" s="30" t="n"/>
    </row>
    <row r="2577">
      <c r="B2577" s="30" t="n"/>
    </row>
    <row r="2578">
      <c r="B2578" s="30" t="n"/>
    </row>
    <row r="2579">
      <c r="B2579" s="30" t="n"/>
    </row>
    <row r="2580">
      <c r="B2580" s="30" t="n"/>
    </row>
    <row r="2581">
      <c r="B2581" s="30" t="n"/>
    </row>
    <row r="2582">
      <c r="B2582" s="30" t="n"/>
    </row>
    <row r="2583">
      <c r="B2583" s="30" t="n"/>
    </row>
    <row r="2584">
      <c r="B2584" s="30" t="n"/>
    </row>
    <row r="2585">
      <c r="B2585" s="30" t="n"/>
    </row>
    <row r="2586">
      <c r="B2586" s="30" t="n"/>
    </row>
    <row r="2587">
      <c r="B2587" s="30" t="n"/>
    </row>
    <row r="2588">
      <c r="B2588" s="30" t="n"/>
    </row>
    <row r="2589">
      <c r="B2589" s="30" t="n"/>
    </row>
    <row r="2590">
      <c r="B2590" s="30" t="n"/>
    </row>
    <row r="2591">
      <c r="B2591" s="30" t="n"/>
    </row>
    <row r="2592">
      <c r="B2592" s="30" t="n"/>
    </row>
    <row r="2593">
      <c r="B2593" s="30" t="n"/>
    </row>
    <row r="2594">
      <c r="B2594" s="30" t="n"/>
    </row>
    <row r="2595">
      <c r="B2595" s="30" t="n"/>
    </row>
    <row r="2596">
      <c r="B2596" s="30" t="n"/>
    </row>
    <row r="2597">
      <c r="B2597" s="30" t="n"/>
    </row>
    <row r="2598">
      <c r="B2598" s="30" t="n"/>
    </row>
    <row r="2599">
      <c r="B2599" s="30" t="n"/>
    </row>
    <row r="2600">
      <c r="B2600" s="30" t="n"/>
    </row>
    <row r="2601">
      <c r="B2601" s="30" t="n"/>
    </row>
    <row r="2602">
      <c r="B2602" s="30" t="n"/>
    </row>
    <row r="2603">
      <c r="B2603" s="30" t="n"/>
    </row>
    <row r="2604">
      <c r="B2604" s="30" t="n"/>
    </row>
    <row r="2605">
      <c r="B2605" s="30" t="n"/>
    </row>
    <row r="2606">
      <c r="B2606" s="30" t="n"/>
    </row>
    <row r="2607">
      <c r="B2607" s="30" t="n"/>
    </row>
    <row r="2608">
      <c r="B2608" s="30" t="n"/>
    </row>
    <row r="2609">
      <c r="B2609" s="30" t="n"/>
    </row>
    <row r="2610">
      <c r="B2610" s="30" t="n"/>
    </row>
    <row r="2611">
      <c r="B2611" s="30" t="n"/>
    </row>
    <row r="2612">
      <c r="B2612" s="30" t="n"/>
    </row>
    <row r="2613">
      <c r="B2613" s="30" t="n"/>
    </row>
    <row r="2614">
      <c r="B2614" s="30" t="n"/>
    </row>
    <row r="2615">
      <c r="B2615" s="30" t="n"/>
    </row>
    <row r="2616">
      <c r="B2616" s="30" t="n"/>
    </row>
    <row r="2617">
      <c r="B2617" s="30" t="n"/>
    </row>
    <row r="2618">
      <c r="B2618" s="30" t="n"/>
    </row>
    <row r="2619">
      <c r="B2619" s="30" t="n"/>
    </row>
    <row r="2620">
      <c r="B2620" s="30" t="n"/>
    </row>
    <row r="2621">
      <c r="B2621" s="30" t="n"/>
    </row>
    <row r="2622">
      <c r="B2622" s="30" t="n"/>
    </row>
    <row r="2623">
      <c r="B2623" s="30" t="n"/>
    </row>
    <row r="2624">
      <c r="B2624" s="30" t="n"/>
    </row>
    <row r="2625">
      <c r="B2625" s="30" t="n"/>
    </row>
    <row r="2626">
      <c r="B2626" s="30" t="n"/>
    </row>
    <row r="2627">
      <c r="B2627" s="30" t="n"/>
    </row>
    <row r="2628">
      <c r="B2628" s="30" t="n"/>
    </row>
    <row r="2629">
      <c r="B2629" s="30" t="n"/>
    </row>
    <row r="2630">
      <c r="B2630" s="30" t="n"/>
    </row>
    <row r="2631">
      <c r="B2631" s="30" t="n"/>
    </row>
    <row r="2632">
      <c r="B2632" s="30" t="n"/>
    </row>
    <row r="2633">
      <c r="B2633" s="30" t="n"/>
    </row>
    <row r="2634">
      <c r="B2634" s="30" t="n"/>
    </row>
    <row r="2635">
      <c r="B2635" s="30" t="n"/>
    </row>
    <row r="2636">
      <c r="B2636" s="30" t="n"/>
    </row>
    <row r="2637">
      <c r="B2637" s="30" t="n"/>
    </row>
    <row r="2638">
      <c r="B2638" s="30" t="n"/>
    </row>
    <row r="2639">
      <c r="B2639" s="30" t="n"/>
    </row>
    <row r="2640">
      <c r="B2640" s="30" t="n"/>
    </row>
    <row r="2641">
      <c r="B2641" s="30" t="n"/>
    </row>
    <row r="2642">
      <c r="B2642" s="30" t="n"/>
    </row>
    <row r="2643">
      <c r="B2643" s="30" t="n"/>
    </row>
    <row r="2644">
      <c r="B2644" s="30" t="n"/>
    </row>
    <row r="2645">
      <c r="B2645" s="30" t="n"/>
    </row>
    <row r="2646">
      <c r="B2646" s="30" t="n"/>
    </row>
    <row r="2647">
      <c r="B2647" s="30" t="n"/>
    </row>
    <row r="2648">
      <c r="B2648" s="30" t="n"/>
    </row>
    <row r="2649">
      <c r="B2649" s="30" t="n"/>
    </row>
    <row r="2650">
      <c r="B2650" s="30" t="n"/>
    </row>
    <row r="2651">
      <c r="B2651" s="30" t="n"/>
    </row>
    <row r="2652">
      <c r="B2652" s="30" t="n"/>
    </row>
    <row r="2653">
      <c r="B2653" s="30" t="n"/>
    </row>
    <row r="2654">
      <c r="B2654" s="30" t="n"/>
    </row>
    <row r="2655">
      <c r="B2655" s="30" t="n"/>
    </row>
    <row r="2656">
      <c r="B2656" s="30" t="n"/>
    </row>
    <row r="2657">
      <c r="B2657" s="30" t="n"/>
    </row>
    <row r="2658">
      <c r="B2658" s="30" t="n"/>
    </row>
    <row r="2659">
      <c r="B2659" s="30" t="n"/>
    </row>
    <row r="2660">
      <c r="B2660" s="30" t="n"/>
    </row>
    <row r="2661">
      <c r="B2661" s="30" t="n"/>
    </row>
    <row r="2662">
      <c r="B2662" s="30" t="n"/>
    </row>
    <row r="2663">
      <c r="B2663" s="30" t="n"/>
    </row>
    <row r="2664">
      <c r="B2664" s="30" t="n"/>
    </row>
    <row r="2665">
      <c r="B2665" s="30" t="n"/>
    </row>
    <row r="2666">
      <c r="B2666" s="30" t="n"/>
    </row>
    <row r="2667">
      <c r="B2667" s="30" t="n"/>
    </row>
    <row r="2668">
      <c r="B2668" s="30" t="n"/>
    </row>
    <row r="2669">
      <c r="B2669" s="30" t="n"/>
    </row>
    <row r="2670">
      <c r="B2670" s="30" t="n"/>
    </row>
    <row r="2671">
      <c r="B2671" s="30" t="n"/>
    </row>
    <row r="2672">
      <c r="B2672" s="30" t="n"/>
    </row>
    <row r="2673">
      <c r="B2673" s="30" t="n"/>
    </row>
    <row r="2674">
      <c r="B2674" s="30" t="n"/>
    </row>
    <row r="2675">
      <c r="B2675" s="30" t="n"/>
    </row>
    <row r="2676">
      <c r="B2676" s="30" t="n"/>
    </row>
    <row r="2677">
      <c r="B2677" s="30" t="n"/>
    </row>
    <row r="2678">
      <c r="B2678" s="30" t="n"/>
    </row>
    <row r="2679">
      <c r="B2679" s="30" t="n"/>
    </row>
    <row r="2680">
      <c r="B2680" s="30" t="n"/>
    </row>
    <row r="2681">
      <c r="B2681" s="30" t="n"/>
    </row>
    <row r="2682">
      <c r="B2682" s="30" t="n"/>
    </row>
    <row r="2683">
      <c r="B2683" s="30" t="n"/>
    </row>
    <row r="2684">
      <c r="B2684" s="30" t="n"/>
    </row>
    <row r="2685">
      <c r="B2685" s="30" t="n"/>
    </row>
    <row r="2686">
      <c r="B2686" s="30" t="n"/>
    </row>
    <row r="2687">
      <c r="B2687" s="30" t="n"/>
    </row>
    <row r="2688">
      <c r="B2688" s="30" t="n"/>
    </row>
    <row r="2689">
      <c r="B2689" s="30" t="n"/>
    </row>
    <row r="2690">
      <c r="B2690" s="30" t="n"/>
    </row>
    <row r="2691">
      <c r="B2691" s="30" t="n"/>
    </row>
    <row r="2692">
      <c r="B2692" s="30" t="n"/>
    </row>
    <row r="2693">
      <c r="B2693" s="30" t="n"/>
    </row>
    <row r="2694">
      <c r="B2694" s="30" t="n"/>
    </row>
    <row r="2695">
      <c r="B2695" s="30" t="n"/>
    </row>
    <row r="2696">
      <c r="B2696" s="30" t="n"/>
    </row>
    <row r="2697">
      <c r="B2697" s="30" t="n"/>
    </row>
    <row r="2698">
      <c r="B2698" s="30" t="n"/>
    </row>
    <row r="2699">
      <c r="B2699" s="30" t="n"/>
    </row>
    <row r="2700">
      <c r="B2700" s="30" t="n"/>
    </row>
    <row r="2701">
      <c r="B2701" s="30" t="n"/>
    </row>
    <row r="2702">
      <c r="B2702" s="30" t="n"/>
    </row>
    <row r="2703">
      <c r="B2703" s="30" t="n"/>
    </row>
    <row r="2704">
      <c r="B2704" s="30" t="n"/>
    </row>
    <row r="2705">
      <c r="B2705" s="30" t="n"/>
    </row>
    <row r="2706">
      <c r="B2706" s="30" t="n"/>
    </row>
    <row r="2707">
      <c r="B2707" s="30" t="n"/>
    </row>
    <row r="2708">
      <c r="B2708" s="30" t="n"/>
    </row>
    <row r="2709">
      <c r="B2709" s="30" t="n"/>
    </row>
    <row r="2710">
      <c r="B2710" s="30" t="n"/>
    </row>
    <row r="2711">
      <c r="B2711" s="30" t="n"/>
    </row>
    <row r="2712">
      <c r="B2712" s="30" t="n"/>
    </row>
    <row r="2713">
      <c r="B2713" s="30" t="n"/>
    </row>
    <row r="2714">
      <c r="B2714" s="30" t="n"/>
    </row>
    <row r="2715">
      <c r="B2715" s="30" t="n"/>
    </row>
    <row r="2716">
      <c r="B2716" s="30" t="n"/>
    </row>
    <row r="2717">
      <c r="B2717" s="30" t="n"/>
    </row>
    <row r="2718">
      <c r="B2718" s="30" t="n"/>
    </row>
    <row r="2719">
      <c r="B2719" s="30" t="n"/>
    </row>
    <row r="2720">
      <c r="B2720" s="30" t="n"/>
    </row>
    <row r="2721">
      <c r="B2721" s="30" t="n"/>
    </row>
    <row r="2722">
      <c r="B2722" s="30" t="n"/>
    </row>
    <row r="2723">
      <c r="B2723" s="30" t="n"/>
    </row>
    <row r="2724">
      <c r="B2724" s="30" t="n"/>
    </row>
    <row r="2725">
      <c r="B2725" s="30" t="n"/>
    </row>
    <row r="2726">
      <c r="B2726" s="30" t="n"/>
    </row>
    <row r="2727">
      <c r="B2727" s="30" t="n"/>
    </row>
    <row r="2728">
      <c r="B2728" s="30" t="n"/>
    </row>
    <row r="2729">
      <c r="B2729" s="30" t="n"/>
    </row>
    <row r="2730">
      <c r="B2730" s="30" t="n"/>
    </row>
    <row r="2731">
      <c r="B2731" s="30" t="n"/>
    </row>
    <row r="2732">
      <c r="B2732" s="30" t="n"/>
    </row>
    <row r="2733">
      <c r="B2733" s="30" t="n"/>
    </row>
    <row r="2734">
      <c r="B2734" s="30" t="n"/>
    </row>
    <row r="2735">
      <c r="B2735" s="30" t="n"/>
    </row>
    <row r="2736">
      <c r="B2736" s="30" t="n"/>
    </row>
    <row r="2737">
      <c r="B2737" s="30" t="n"/>
    </row>
    <row r="2738">
      <c r="B2738" s="30" t="n"/>
    </row>
    <row r="2739">
      <c r="B2739" s="30" t="n"/>
    </row>
    <row r="2740">
      <c r="B2740" s="30" t="n"/>
    </row>
    <row r="2741">
      <c r="B2741" s="30" t="n"/>
    </row>
    <row r="2742">
      <c r="B2742" s="30" t="n"/>
    </row>
    <row r="2743">
      <c r="B2743" s="30" t="n"/>
    </row>
    <row r="2744">
      <c r="B2744" s="30" t="n"/>
    </row>
    <row r="2745">
      <c r="B2745" s="30" t="n"/>
    </row>
    <row r="2746">
      <c r="B2746" s="30" t="n"/>
    </row>
    <row r="2747">
      <c r="B2747" s="30" t="n"/>
    </row>
    <row r="2748">
      <c r="B2748" s="30" t="n"/>
    </row>
    <row r="2749">
      <c r="B2749" s="30" t="n"/>
    </row>
    <row r="2750">
      <c r="B2750" s="30" t="n"/>
    </row>
    <row r="2751">
      <c r="B2751" s="30" t="n"/>
    </row>
    <row r="2752">
      <c r="B2752" s="30" t="n"/>
    </row>
    <row r="2753">
      <c r="B2753" s="30" t="n"/>
    </row>
    <row r="2754">
      <c r="B2754" s="30" t="n"/>
    </row>
    <row r="2755">
      <c r="B2755" s="30" t="n"/>
    </row>
    <row r="2756">
      <c r="B2756" s="30" t="n"/>
    </row>
    <row r="2757">
      <c r="B2757" s="30" t="n"/>
    </row>
    <row r="2758">
      <c r="B2758" s="30" t="n"/>
    </row>
    <row r="2759">
      <c r="B2759" s="30" t="n"/>
    </row>
    <row r="2760">
      <c r="B2760" s="30" t="n"/>
    </row>
    <row r="2761">
      <c r="B2761" s="30" t="n"/>
    </row>
    <row r="2762">
      <c r="B2762" s="30" t="n"/>
    </row>
    <row r="2763">
      <c r="B2763" s="30" t="n"/>
    </row>
    <row r="2764">
      <c r="B2764" s="30" t="n"/>
    </row>
    <row r="2765">
      <c r="B2765" s="30" t="n"/>
    </row>
    <row r="2766">
      <c r="B2766" s="30" t="n"/>
    </row>
    <row r="2767">
      <c r="B2767" s="30" t="n"/>
    </row>
    <row r="2768">
      <c r="B2768" s="30" t="n"/>
    </row>
    <row r="2769">
      <c r="B2769" s="30" t="n"/>
    </row>
    <row r="2770">
      <c r="B2770" s="30" t="n"/>
    </row>
    <row r="2771">
      <c r="B2771" s="30" t="n"/>
    </row>
    <row r="2772">
      <c r="B2772" s="30" t="n"/>
    </row>
    <row r="2773">
      <c r="B2773" s="30" t="n"/>
    </row>
    <row r="2774">
      <c r="B2774" s="30" t="n"/>
    </row>
    <row r="2775">
      <c r="B2775" s="30" t="n"/>
    </row>
    <row r="2776">
      <c r="B2776" s="30" t="n"/>
    </row>
    <row r="2777">
      <c r="B2777" s="30" t="n"/>
    </row>
    <row r="2778">
      <c r="B2778" s="30" t="n"/>
    </row>
    <row r="2779">
      <c r="B2779" s="30" t="n"/>
    </row>
    <row r="2780">
      <c r="B2780" s="30" t="n"/>
    </row>
    <row r="2781">
      <c r="B2781" s="30" t="n"/>
    </row>
    <row r="2782">
      <c r="B2782" s="30" t="n"/>
    </row>
    <row r="2783">
      <c r="B2783" s="30" t="n"/>
    </row>
    <row r="2784">
      <c r="B2784" s="30" t="n"/>
    </row>
    <row r="2785">
      <c r="B2785" s="30" t="n"/>
    </row>
    <row r="2786">
      <c r="B2786" s="30" t="n"/>
    </row>
    <row r="2787">
      <c r="B2787" s="30" t="n"/>
    </row>
    <row r="2788">
      <c r="B2788" s="30" t="n"/>
    </row>
    <row r="2789">
      <c r="B2789" s="30" t="n"/>
    </row>
    <row r="2790">
      <c r="B2790" s="30" t="n"/>
    </row>
    <row r="2791">
      <c r="B2791" s="30" t="n"/>
    </row>
    <row r="2792">
      <c r="B2792" s="30" t="n"/>
    </row>
    <row r="2793">
      <c r="B2793" s="30" t="n"/>
    </row>
    <row r="2794">
      <c r="B2794" s="30" t="n"/>
    </row>
    <row r="2795">
      <c r="B2795" s="30" t="n"/>
    </row>
    <row r="2796">
      <c r="B2796" s="30" t="n"/>
    </row>
    <row r="2797">
      <c r="B2797" s="30" t="n"/>
    </row>
    <row r="2798">
      <c r="B2798" s="30" t="n"/>
    </row>
    <row r="2799">
      <c r="B2799" s="30" t="n"/>
    </row>
    <row r="2800">
      <c r="B2800" s="30" t="n"/>
    </row>
    <row r="2801">
      <c r="B2801" s="30" t="n"/>
    </row>
    <row r="2802">
      <c r="B2802" s="30" t="n"/>
    </row>
    <row r="2803">
      <c r="B2803" s="30" t="n"/>
    </row>
    <row r="2804">
      <c r="B2804" s="30" t="n"/>
    </row>
    <row r="2805">
      <c r="B2805" s="30" t="n"/>
    </row>
    <row r="2806">
      <c r="B2806" s="30" t="n"/>
    </row>
    <row r="2807">
      <c r="B2807" s="30" t="n"/>
    </row>
    <row r="2808">
      <c r="B2808" s="30" t="n"/>
    </row>
    <row r="2809">
      <c r="B2809" s="30" t="n"/>
    </row>
    <row r="2810">
      <c r="B2810" s="30" t="n"/>
    </row>
    <row r="2811">
      <c r="B2811" s="30" t="n"/>
    </row>
    <row r="2812">
      <c r="B2812" s="30" t="n"/>
    </row>
    <row r="2813">
      <c r="B2813" s="30" t="n"/>
    </row>
    <row r="2814">
      <c r="B2814" s="30" t="n"/>
    </row>
    <row r="2815">
      <c r="B2815" s="30" t="n"/>
    </row>
    <row r="2816">
      <c r="B2816" s="30" t="n"/>
    </row>
    <row r="2817">
      <c r="B2817" s="30" t="n"/>
    </row>
    <row r="2818">
      <c r="B2818" s="30" t="n"/>
    </row>
    <row r="2819">
      <c r="B2819" s="30" t="n"/>
    </row>
    <row r="2820">
      <c r="B2820" s="30" t="n"/>
    </row>
    <row r="2821">
      <c r="B2821" s="30" t="n"/>
    </row>
    <row r="2822">
      <c r="B2822" s="30" t="n"/>
    </row>
    <row r="2823">
      <c r="B2823" s="30" t="n"/>
    </row>
    <row r="2824">
      <c r="B2824" s="30" t="n"/>
    </row>
    <row r="2825">
      <c r="B2825" s="30" t="n"/>
    </row>
    <row r="2826">
      <c r="B2826" s="30" t="n"/>
    </row>
    <row r="2827">
      <c r="B2827" s="30" t="n"/>
    </row>
    <row r="2828">
      <c r="B2828" s="30" t="n"/>
    </row>
    <row r="2829">
      <c r="B2829" s="30" t="n"/>
    </row>
    <row r="2830">
      <c r="B2830" s="30" t="n"/>
    </row>
    <row r="2831">
      <c r="B2831" s="30" t="n"/>
    </row>
    <row r="2832">
      <c r="B2832" s="30" t="n"/>
    </row>
    <row r="2833">
      <c r="B2833" s="30" t="n"/>
    </row>
    <row r="2834">
      <c r="B2834" s="30" t="n"/>
    </row>
    <row r="2835">
      <c r="B2835" s="30" t="n"/>
    </row>
    <row r="2836">
      <c r="B2836" s="30" t="n"/>
    </row>
    <row r="2837">
      <c r="B2837" s="30" t="n"/>
    </row>
    <row r="2838">
      <c r="B2838" s="30" t="n"/>
    </row>
    <row r="2839">
      <c r="B2839" s="30" t="n"/>
    </row>
    <row r="2840">
      <c r="B2840" s="30" t="n"/>
    </row>
    <row r="2841">
      <c r="B2841" s="30" t="n"/>
    </row>
    <row r="2842">
      <c r="B2842" s="30" t="n"/>
    </row>
    <row r="2843">
      <c r="B2843" s="30" t="n"/>
    </row>
    <row r="2844">
      <c r="B2844" s="30" t="n"/>
    </row>
    <row r="2845">
      <c r="B2845" s="30" t="n"/>
    </row>
    <row r="2846">
      <c r="B2846" s="30" t="n"/>
    </row>
    <row r="2847">
      <c r="B2847" s="30" t="n"/>
    </row>
    <row r="2848">
      <c r="B2848" s="30" t="n"/>
    </row>
    <row r="2849">
      <c r="B2849" s="30" t="n"/>
    </row>
    <row r="2850">
      <c r="B2850" s="30" t="n"/>
    </row>
    <row r="2851">
      <c r="B2851" s="30" t="n"/>
    </row>
    <row r="2852">
      <c r="B2852" s="30" t="n"/>
    </row>
    <row r="2853">
      <c r="B2853" s="30" t="n"/>
    </row>
    <row r="2854">
      <c r="B2854" s="30" t="n"/>
    </row>
    <row r="2855">
      <c r="B2855" s="30" t="n"/>
    </row>
    <row r="2856">
      <c r="B2856" s="30" t="n"/>
    </row>
    <row r="2857">
      <c r="B2857" s="30" t="n"/>
    </row>
    <row r="2858">
      <c r="B2858" s="30" t="n"/>
    </row>
    <row r="2859">
      <c r="B2859" s="30" t="n"/>
    </row>
    <row r="2860">
      <c r="B2860" s="30" t="n"/>
    </row>
    <row r="2861">
      <c r="B2861" s="30" t="n"/>
    </row>
    <row r="2862">
      <c r="B2862" s="30" t="n"/>
    </row>
    <row r="2863">
      <c r="B2863" s="30" t="n"/>
    </row>
    <row r="2864">
      <c r="B2864" s="30" t="n"/>
    </row>
    <row r="2865">
      <c r="B2865" s="30" t="n"/>
    </row>
    <row r="2866">
      <c r="B2866" s="30" t="n"/>
    </row>
    <row r="2867">
      <c r="B2867" s="30" t="n"/>
    </row>
    <row r="2868">
      <c r="B2868" s="30" t="n"/>
    </row>
    <row r="2869">
      <c r="B2869" s="30" t="n"/>
    </row>
    <row r="2870">
      <c r="B2870" s="30" t="n"/>
    </row>
    <row r="2871">
      <c r="B2871" s="30" t="n"/>
    </row>
    <row r="2872">
      <c r="B2872" s="30" t="n"/>
    </row>
    <row r="2873">
      <c r="B2873" s="30" t="n"/>
    </row>
    <row r="2874">
      <c r="B2874" s="30" t="n"/>
    </row>
    <row r="2875">
      <c r="B2875" s="30" t="n"/>
    </row>
    <row r="2876">
      <c r="B2876" s="30" t="n"/>
    </row>
    <row r="2877">
      <c r="B2877" s="30" t="n"/>
    </row>
    <row r="2878">
      <c r="B2878" s="30" t="n"/>
    </row>
    <row r="2879">
      <c r="B2879" s="30" t="n"/>
    </row>
    <row r="2880">
      <c r="B2880" s="30" t="n"/>
    </row>
    <row r="2881">
      <c r="B2881" s="30" t="n"/>
    </row>
    <row r="2882">
      <c r="B2882" s="30" t="n"/>
    </row>
    <row r="2883">
      <c r="B2883" s="30" t="n"/>
    </row>
    <row r="2884">
      <c r="B2884" s="30" t="n"/>
    </row>
    <row r="2885">
      <c r="B2885" s="30" t="n"/>
    </row>
    <row r="2886">
      <c r="B2886" s="30" t="n"/>
    </row>
    <row r="2887">
      <c r="B2887" s="30" t="n"/>
    </row>
    <row r="2888">
      <c r="B2888" s="30" t="n"/>
    </row>
    <row r="2889">
      <c r="B2889" s="30" t="n"/>
    </row>
    <row r="2890">
      <c r="B2890" s="30" t="n"/>
    </row>
    <row r="2891">
      <c r="B2891" s="30" t="n"/>
    </row>
    <row r="2892">
      <c r="B2892" s="30" t="n"/>
    </row>
    <row r="2893">
      <c r="B2893" s="30" t="n"/>
    </row>
    <row r="2894">
      <c r="B2894" s="30" t="n"/>
    </row>
    <row r="2895">
      <c r="B2895" s="30" t="n"/>
    </row>
    <row r="2896">
      <c r="B2896" s="30" t="n"/>
    </row>
    <row r="2897">
      <c r="B2897" s="30" t="n"/>
    </row>
    <row r="2898">
      <c r="B2898" s="30" t="n"/>
    </row>
    <row r="2899">
      <c r="B2899" s="30" t="n"/>
    </row>
    <row r="2900">
      <c r="B2900" s="30" t="n"/>
    </row>
    <row r="2901">
      <c r="B2901" s="30" t="n"/>
    </row>
    <row r="2902">
      <c r="B2902" s="30" t="n"/>
    </row>
    <row r="2903">
      <c r="B2903" s="30" t="n"/>
    </row>
    <row r="2904">
      <c r="B2904" s="30" t="n"/>
    </row>
    <row r="2905">
      <c r="B2905" s="30" t="n"/>
    </row>
    <row r="2906">
      <c r="B2906" s="30" t="n"/>
    </row>
    <row r="2907">
      <c r="B2907" s="30" t="n"/>
    </row>
    <row r="2908">
      <c r="B2908" s="30" t="n"/>
    </row>
    <row r="2909">
      <c r="B2909" s="30" t="n"/>
    </row>
    <row r="2910">
      <c r="B2910" s="30" t="n"/>
    </row>
    <row r="2911">
      <c r="B2911" s="30" t="n"/>
    </row>
    <row r="2912">
      <c r="B2912" s="30" t="n"/>
    </row>
    <row r="2913">
      <c r="B2913" s="30" t="n"/>
    </row>
    <row r="2914">
      <c r="B2914" s="30" t="n"/>
    </row>
    <row r="2915">
      <c r="B2915" s="30" t="n"/>
    </row>
    <row r="2916">
      <c r="B2916" s="30" t="n"/>
    </row>
    <row r="2917">
      <c r="B2917" s="30" t="n"/>
    </row>
    <row r="2918">
      <c r="B2918" s="30" t="n"/>
    </row>
    <row r="2919">
      <c r="B2919" s="30" t="n"/>
    </row>
    <row r="2920">
      <c r="B2920" s="30" t="n"/>
    </row>
    <row r="2921">
      <c r="B2921" s="30" t="n"/>
    </row>
    <row r="2922">
      <c r="B2922" s="30" t="n"/>
    </row>
    <row r="2923">
      <c r="B2923" s="30" t="n"/>
    </row>
    <row r="2924">
      <c r="B2924" s="30" t="n"/>
    </row>
    <row r="2925">
      <c r="B2925" s="30" t="n"/>
    </row>
    <row r="2926">
      <c r="B2926" s="30" t="n"/>
    </row>
    <row r="2927">
      <c r="B2927" s="30" t="n"/>
    </row>
    <row r="2928">
      <c r="B2928" s="30" t="n"/>
    </row>
    <row r="2929">
      <c r="B2929" s="30" t="n"/>
    </row>
    <row r="2930">
      <c r="B2930" s="30" t="n"/>
    </row>
    <row r="2931">
      <c r="B2931" s="30" t="n"/>
    </row>
    <row r="2932">
      <c r="B2932" s="30" t="n"/>
    </row>
    <row r="2933">
      <c r="B2933" s="30" t="n"/>
    </row>
    <row r="2934">
      <c r="B2934" s="30" t="n"/>
    </row>
    <row r="2935">
      <c r="B2935" s="30" t="n"/>
    </row>
    <row r="2936">
      <c r="B2936" s="30" t="n"/>
    </row>
    <row r="2937">
      <c r="B2937" s="30" t="n"/>
    </row>
    <row r="2938">
      <c r="B2938" s="30" t="n"/>
    </row>
    <row r="2939">
      <c r="B2939" s="30" t="n"/>
    </row>
    <row r="2940">
      <c r="B2940" s="30" t="n"/>
    </row>
    <row r="2941">
      <c r="B2941" s="30" t="n"/>
    </row>
    <row r="2942">
      <c r="B2942" s="30" t="n"/>
    </row>
    <row r="2943">
      <c r="B2943" s="30" t="n"/>
    </row>
    <row r="2944">
      <c r="B2944" s="30" t="n"/>
    </row>
    <row r="2945">
      <c r="B2945" s="30" t="n"/>
    </row>
    <row r="2946">
      <c r="B2946" s="30" t="n"/>
    </row>
    <row r="2947">
      <c r="B2947" s="30" t="n"/>
    </row>
    <row r="2948">
      <c r="B2948" s="30" t="n"/>
    </row>
    <row r="2949">
      <c r="B2949" s="30" t="n"/>
    </row>
    <row r="2950">
      <c r="B2950" s="30" t="n"/>
    </row>
    <row r="2951">
      <c r="B2951" s="30" t="n"/>
    </row>
    <row r="2952">
      <c r="B2952" s="30" t="n"/>
    </row>
    <row r="2953">
      <c r="B2953" s="30" t="n"/>
    </row>
    <row r="2954">
      <c r="B2954" s="30" t="n"/>
    </row>
    <row r="2955">
      <c r="B2955" s="30" t="n"/>
    </row>
    <row r="2956">
      <c r="B2956" s="30" t="n"/>
    </row>
    <row r="2957">
      <c r="B2957" s="30" t="n"/>
    </row>
    <row r="2958">
      <c r="B2958" s="30" t="n"/>
    </row>
    <row r="2959">
      <c r="B2959" s="30" t="n"/>
    </row>
    <row r="2960">
      <c r="B2960" s="30" t="n"/>
    </row>
    <row r="2961">
      <c r="B2961" s="30" t="n"/>
    </row>
    <row r="2962">
      <c r="B2962" s="30" t="n"/>
    </row>
    <row r="2963">
      <c r="B2963" s="30" t="n"/>
    </row>
    <row r="2964">
      <c r="B2964" s="30" t="n"/>
    </row>
    <row r="2965">
      <c r="B2965" s="30" t="n"/>
    </row>
    <row r="2966">
      <c r="B2966" s="30" t="n"/>
    </row>
    <row r="2967">
      <c r="B2967" s="30" t="n"/>
    </row>
    <row r="2968">
      <c r="B2968" s="30" t="n"/>
    </row>
    <row r="2969">
      <c r="B2969" s="30" t="n"/>
    </row>
    <row r="2970">
      <c r="B2970" s="30" t="n"/>
    </row>
    <row r="2971">
      <c r="B2971" s="30" t="n"/>
    </row>
    <row r="2972">
      <c r="B2972" s="30" t="n"/>
    </row>
    <row r="2973">
      <c r="B2973" s="30" t="n"/>
    </row>
    <row r="2974">
      <c r="B2974" s="30" t="n"/>
    </row>
    <row r="2975">
      <c r="B2975" s="30" t="n"/>
    </row>
    <row r="2976">
      <c r="B2976" s="30" t="n"/>
    </row>
    <row r="2977">
      <c r="B2977" s="30" t="n"/>
    </row>
    <row r="2978">
      <c r="B2978" s="30" t="n"/>
    </row>
    <row r="2979">
      <c r="B2979" s="30" t="n"/>
    </row>
    <row r="2980">
      <c r="B2980" s="30" t="n"/>
    </row>
    <row r="2981">
      <c r="B2981" s="30" t="n"/>
    </row>
    <row r="2982">
      <c r="B2982" s="30" t="n"/>
    </row>
    <row r="2983">
      <c r="B2983" s="30" t="n"/>
    </row>
    <row r="2984">
      <c r="B2984" s="30" t="n"/>
    </row>
    <row r="2985">
      <c r="B2985" s="30" t="n"/>
    </row>
    <row r="2986">
      <c r="B2986" s="30" t="n"/>
    </row>
    <row r="2987">
      <c r="B2987" s="30" t="n"/>
    </row>
    <row r="2988">
      <c r="B2988" s="30" t="n"/>
    </row>
    <row r="2989">
      <c r="B2989" s="30" t="n"/>
    </row>
    <row r="2990">
      <c r="B2990" s="30" t="n"/>
    </row>
    <row r="2991">
      <c r="B2991" s="30" t="n"/>
    </row>
    <row r="2992">
      <c r="B2992" s="30" t="n"/>
    </row>
    <row r="2993">
      <c r="B2993" s="30" t="n"/>
    </row>
    <row r="2994">
      <c r="B2994" s="30" t="n"/>
    </row>
    <row r="2995">
      <c r="B2995" s="30" t="n"/>
    </row>
    <row r="2996">
      <c r="B2996" s="30" t="n"/>
    </row>
    <row r="2997">
      <c r="B2997" s="30" t="n"/>
    </row>
    <row r="2998">
      <c r="B2998" s="30" t="n"/>
    </row>
    <row r="2999">
      <c r="B2999" s="30" t="n"/>
    </row>
    <row r="3000">
      <c r="B3000" s="30" t="n"/>
    </row>
    <row r="3001">
      <c r="B3001" s="30" t="n"/>
    </row>
    <row r="3002">
      <c r="B3002" s="30" t="n"/>
    </row>
    <row r="3003">
      <c r="B3003" s="30" t="n"/>
    </row>
    <row r="3004">
      <c r="B3004" s="30" t="n"/>
    </row>
    <row r="3005">
      <c r="B3005" s="30" t="n"/>
    </row>
    <row r="3006">
      <c r="B3006" s="30" t="n"/>
    </row>
    <row r="3007">
      <c r="B3007" s="30" t="n"/>
    </row>
    <row r="3008">
      <c r="B3008" s="30" t="n"/>
    </row>
    <row r="3009">
      <c r="B3009" s="30" t="n"/>
    </row>
    <row r="3010">
      <c r="B3010" s="30" t="n"/>
    </row>
    <row r="3011">
      <c r="B3011" s="30" t="n"/>
    </row>
    <row r="3012">
      <c r="B3012" s="30" t="n"/>
    </row>
    <row r="3013">
      <c r="B3013" s="30" t="n"/>
    </row>
    <row r="3014">
      <c r="B3014" s="30" t="n"/>
    </row>
    <row r="3015">
      <c r="B3015" s="30" t="n"/>
    </row>
    <row r="3016">
      <c r="B3016" s="30" t="n"/>
    </row>
    <row r="3017">
      <c r="B3017" s="30" t="n"/>
    </row>
    <row r="3018">
      <c r="B3018" s="30" t="n"/>
    </row>
    <row r="3019">
      <c r="B3019" s="30" t="n"/>
    </row>
    <row r="3020">
      <c r="B3020" s="30" t="n"/>
    </row>
    <row r="3021">
      <c r="B3021" s="30" t="n"/>
    </row>
    <row r="3022">
      <c r="B3022" s="30" t="n"/>
    </row>
    <row r="3023">
      <c r="B3023" s="30" t="n"/>
    </row>
    <row r="3024">
      <c r="B3024" s="30" t="n"/>
    </row>
    <row r="3025">
      <c r="B3025" s="30" t="n"/>
    </row>
    <row r="3026">
      <c r="B3026" s="30" t="n"/>
    </row>
    <row r="3027">
      <c r="B3027" s="30" t="n"/>
    </row>
    <row r="3028">
      <c r="B3028" s="30" t="n"/>
    </row>
    <row r="3029">
      <c r="B3029" s="30" t="n"/>
    </row>
    <row r="3030">
      <c r="B3030" s="30" t="n"/>
    </row>
    <row r="3031">
      <c r="B3031" s="30" t="n"/>
    </row>
    <row r="3032">
      <c r="B3032" s="30" t="n"/>
    </row>
    <row r="3033">
      <c r="B3033" s="30" t="n"/>
    </row>
    <row r="3034">
      <c r="B3034" s="30" t="n"/>
    </row>
    <row r="3035">
      <c r="B3035" s="30" t="n"/>
    </row>
    <row r="3036">
      <c r="B3036" s="30" t="n"/>
    </row>
    <row r="3037">
      <c r="B3037" s="30" t="n"/>
    </row>
    <row r="3038">
      <c r="B3038" s="30" t="n"/>
    </row>
    <row r="3039">
      <c r="B3039" s="30" t="n"/>
    </row>
    <row r="3040">
      <c r="B3040" s="30" t="n"/>
    </row>
    <row r="3041">
      <c r="B3041" s="30" t="n"/>
    </row>
    <row r="3042">
      <c r="B3042" s="30" t="n"/>
    </row>
    <row r="3043">
      <c r="B3043" s="30" t="n"/>
    </row>
    <row r="3044">
      <c r="B3044" s="30" t="n"/>
    </row>
    <row r="3045">
      <c r="B3045" s="30" t="n"/>
    </row>
    <row r="3046">
      <c r="B3046" s="30" t="n"/>
    </row>
    <row r="3047">
      <c r="B3047" s="30" t="n"/>
    </row>
    <row r="3048">
      <c r="B3048" s="30" t="n"/>
    </row>
    <row r="3049">
      <c r="B3049" s="30" t="n"/>
    </row>
    <row r="3050">
      <c r="B3050" s="30" t="n"/>
    </row>
    <row r="3051">
      <c r="B3051" s="30" t="n"/>
    </row>
    <row r="3052">
      <c r="B3052" s="30" t="n"/>
    </row>
    <row r="3053">
      <c r="B3053" s="30" t="n"/>
    </row>
    <row r="3054">
      <c r="B3054" s="30" t="n"/>
    </row>
    <row r="3055">
      <c r="B3055" s="30" t="n"/>
    </row>
    <row r="3056">
      <c r="B3056" s="30" t="n"/>
    </row>
    <row r="3057">
      <c r="B3057" s="30" t="n"/>
    </row>
    <row r="3058">
      <c r="B3058" s="30" t="n"/>
    </row>
    <row r="3059">
      <c r="B3059" s="30" t="n"/>
    </row>
    <row r="3060">
      <c r="B3060" s="30" t="n"/>
    </row>
    <row r="3061">
      <c r="B3061" s="30" t="n"/>
    </row>
    <row r="3062">
      <c r="B3062" s="30" t="n"/>
    </row>
    <row r="3063">
      <c r="B3063" s="30" t="n"/>
    </row>
    <row r="3064">
      <c r="B3064" s="30" t="n"/>
    </row>
    <row r="3065">
      <c r="B3065" s="30" t="n"/>
    </row>
    <row r="3066">
      <c r="B3066" s="30" t="n"/>
    </row>
    <row r="3067">
      <c r="B3067" s="30" t="n"/>
    </row>
    <row r="3068">
      <c r="B3068" s="30" t="n"/>
    </row>
    <row r="3069">
      <c r="B3069" s="30" t="n"/>
    </row>
    <row r="3070">
      <c r="B3070" s="30" t="n"/>
    </row>
    <row r="3071">
      <c r="B3071" s="30" t="n"/>
    </row>
    <row r="3072">
      <c r="B3072" s="30" t="n"/>
    </row>
    <row r="3073">
      <c r="B3073" s="30" t="n"/>
    </row>
    <row r="3074">
      <c r="B3074" s="30" t="n"/>
    </row>
    <row r="3075">
      <c r="B3075" s="30" t="n"/>
    </row>
    <row r="3076">
      <c r="B3076" s="30" t="n"/>
    </row>
    <row r="3077">
      <c r="B3077" s="30" t="n"/>
    </row>
    <row r="3078">
      <c r="B3078" s="30" t="n"/>
    </row>
    <row r="3079">
      <c r="B3079" s="30" t="n"/>
    </row>
    <row r="3080">
      <c r="B3080" s="30" t="n"/>
    </row>
    <row r="3081">
      <c r="B3081" s="30" t="n"/>
    </row>
    <row r="3082">
      <c r="B3082" s="30" t="n"/>
    </row>
    <row r="3083">
      <c r="B3083" s="30" t="n"/>
    </row>
    <row r="3084">
      <c r="B3084" s="30" t="n"/>
    </row>
    <row r="3085">
      <c r="B3085" s="30" t="n"/>
    </row>
    <row r="3086">
      <c r="B3086" s="30" t="n"/>
    </row>
    <row r="3087">
      <c r="B3087" s="30" t="n"/>
    </row>
    <row r="3088">
      <c r="B3088" s="30" t="n"/>
    </row>
    <row r="3089">
      <c r="B3089" s="30" t="n"/>
    </row>
    <row r="3090">
      <c r="B3090" s="30" t="n"/>
    </row>
    <row r="3091">
      <c r="B3091" s="30" t="n"/>
    </row>
    <row r="3092">
      <c r="B3092" s="30" t="n"/>
    </row>
    <row r="3093">
      <c r="B3093" s="30" t="n"/>
    </row>
    <row r="3094">
      <c r="B3094" s="30" t="n"/>
    </row>
    <row r="3095">
      <c r="B3095" s="30" t="n"/>
    </row>
    <row r="3096">
      <c r="B3096" s="30" t="n"/>
    </row>
    <row r="3097">
      <c r="B3097" s="30" t="n"/>
    </row>
    <row r="3098">
      <c r="B3098" s="30" t="n"/>
    </row>
    <row r="3099">
      <c r="B3099" s="30" t="n"/>
    </row>
    <row r="3100">
      <c r="B3100" s="30" t="n"/>
    </row>
    <row r="3101">
      <c r="B3101" s="30" t="n"/>
    </row>
    <row r="3102">
      <c r="B3102" s="30" t="n"/>
    </row>
    <row r="3103">
      <c r="B3103" s="30" t="n"/>
    </row>
    <row r="3104">
      <c r="B3104" s="30" t="n"/>
    </row>
    <row r="3105">
      <c r="B3105" s="30" t="n"/>
    </row>
    <row r="3106">
      <c r="B3106" s="30" t="n"/>
    </row>
    <row r="3107">
      <c r="B3107" s="30" t="n"/>
    </row>
    <row r="3108">
      <c r="B3108" s="30" t="n"/>
    </row>
    <row r="3109">
      <c r="B3109" s="30" t="n"/>
    </row>
    <row r="3110">
      <c r="B3110" s="30" t="n"/>
    </row>
    <row r="3111">
      <c r="B3111" s="30" t="n"/>
    </row>
    <row r="3112">
      <c r="B3112" s="30" t="n"/>
    </row>
    <row r="3113">
      <c r="B3113" s="30" t="n"/>
    </row>
    <row r="3114">
      <c r="B3114" s="30" t="n"/>
    </row>
    <row r="3115">
      <c r="B3115" s="30" t="n"/>
    </row>
    <row r="3116">
      <c r="B3116" s="30" t="n"/>
    </row>
    <row r="3117">
      <c r="B3117" s="30" t="n"/>
    </row>
    <row r="3118">
      <c r="B3118" s="30" t="n"/>
    </row>
    <row r="3119">
      <c r="B3119" s="30" t="n"/>
    </row>
    <row r="3120">
      <c r="B3120" s="30" t="n"/>
    </row>
    <row r="3121">
      <c r="B3121" s="30" t="n"/>
    </row>
    <row r="3122">
      <c r="B3122" s="30" t="n"/>
    </row>
    <row r="3123">
      <c r="B3123" s="30" t="n"/>
    </row>
    <row r="3124">
      <c r="B3124" s="30" t="n"/>
    </row>
    <row r="3125">
      <c r="B3125" s="30" t="n"/>
    </row>
    <row r="3126">
      <c r="B3126" s="30" t="n"/>
    </row>
    <row r="3127">
      <c r="B3127" s="30" t="n"/>
    </row>
    <row r="3128">
      <c r="B3128" s="30" t="n"/>
    </row>
    <row r="3129">
      <c r="B3129" s="30" t="n"/>
    </row>
    <row r="3130">
      <c r="B3130" s="30" t="n"/>
    </row>
    <row r="3131">
      <c r="B3131" s="30" t="n"/>
    </row>
    <row r="3132">
      <c r="B3132" s="30" t="n"/>
    </row>
    <row r="3133">
      <c r="B3133" s="30" t="n"/>
    </row>
    <row r="3134">
      <c r="B3134" s="30" t="n"/>
    </row>
    <row r="3135">
      <c r="B3135" s="30" t="n"/>
    </row>
    <row r="3136">
      <c r="B3136" s="30" t="n"/>
    </row>
    <row r="3137">
      <c r="B3137" s="30" t="n"/>
    </row>
    <row r="3138">
      <c r="B3138" s="30" t="n"/>
    </row>
    <row r="3139">
      <c r="B3139" s="30" t="n"/>
    </row>
    <row r="3140">
      <c r="B3140" s="30" t="n"/>
    </row>
    <row r="3141">
      <c r="B3141" s="30" t="n"/>
    </row>
    <row r="3142">
      <c r="B3142" s="30" t="n"/>
    </row>
    <row r="3143">
      <c r="B3143" s="30" t="n"/>
    </row>
    <row r="3144">
      <c r="B3144" s="30" t="n"/>
    </row>
    <row r="3145">
      <c r="B3145" s="30" t="n"/>
    </row>
    <row r="3146">
      <c r="B3146" s="30" t="n"/>
    </row>
    <row r="3147">
      <c r="B3147" s="30" t="n"/>
    </row>
    <row r="3148">
      <c r="B3148" s="30" t="n"/>
    </row>
    <row r="3149">
      <c r="B3149" s="30" t="n"/>
    </row>
    <row r="3150">
      <c r="B3150" s="30" t="n"/>
    </row>
    <row r="3151">
      <c r="B3151" s="30" t="n"/>
    </row>
    <row r="3152">
      <c r="B3152" s="30" t="n"/>
    </row>
    <row r="3153">
      <c r="B3153" s="30" t="n"/>
    </row>
    <row r="3154">
      <c r="B3154" s="30" t="n"/>
    </row>
    <row r="3155">
      <c r="B3155" s="30" t="n"/>
    </row>
    <row r="3156">
      <c r="B3156" s="30" t="n"/>
    </row>
    <row r="3157">
      <c r="B3157" s="30" t="n"/>
    </row>
    <row r="3158">
      <c r="B3158" s="30" t="n"/>
    </row>
    <row r="3159">
      <c r="B3159" s="30" t="n"/>
    </row>
    <row r="3160">
      <c r="B3160" s="30" t="n"/>
    </row>
    <row r="3161">
      <c r="B3161" s="30" t="n"/>
    </row>
    <row r="3162">
      <c r="B3162" s="30" t="n"/>
    </row>
    <row r="3163">
      <c r="B3163" s="30" t="n"/>
    </row>
    <row r="3164">
      <c r="B3164" s="30" t="n"/>
    </row>
    <row r="3165">
      <c r="B3165" s="30" t="n"/>
    </row>
    <row r="3166">
      <c r="B3166" s="30" t="n"/>
    </row>
    <row r="3167">
      <c r="B3167" s="30" t="n"/>
    </row>
    <row r="3168">
      <c r="B3168" s="30" t="n"/>
    </row>
    <row r="3169">
      <c r="B3169" s="30" t="n"/>
    </row>
    <row r="3170">
      <c r="B3170" s="30" t="n"/>
    </row>
    <row r="3171">
      <c r="B3171" s="30" t="n"/>
    </row>
    <row r="3172">
      <c r="B3172" s="30" t="n"/>
    </row>
    <row r="3173">
      <c r="B3173" s="30" t="n"/>
    </row>
    <row r="3174">
      <c r="B3174" s="30" t="n"/>
    </row>
    <row r="3175">
      <c r="B3175" s="30" t="n"/>
    </row>
    <row r="3176">
      <c r="B3176" s="30" t="n"/>
    </row>
    <row r="3177">
      <c r="B3177" s="30" t="n"/>
    </row>
    <row r="3178">
      <c r="B3178" s="30" t="n"/>
    </row>
    <row r="3179">
      <c r="B3179" s="30" t="n"/>
    </row>
    <row r="3180">
      <c r="B3180" s="30" t="n"/>
    </row>
    <row r="3181">
      <c r="B3181" s="30" t="n"/>
    </row>
    <row r="3182">
      <c r="B3182" s="30" t="n"/>
    </row>
    <row r="3183">
      <c r="B3183" s="30" t="n"/>
    </row>
    <row r="3184">
      <c r="B3184" s="30" t="n"/>
    </row>
    <row r="3185">
      <c r="B3185" s="30" t="n"/>
    </row>
    <row r="3186">
      <c r="B3186" s="30" t="n"/>
    </row>
    <row r="3187">
      <c r="B3187" s="30" t="n"/>
    </row>
    <row r="3188">
      <c r="B3188" s="30" t="n"/>
    </row>
    <row r="3189">
      <c r="B3189" s="30" t="n"/>
    </row>
    <row r="3190">
      <c r="B3190" s="30" t="n"/>
    </row>
    <row r="3191">
      <c r="B3191" s="30" t="n"/>
    </row>
    <row r="3192">
      <c r="B3192" s="30" t="n"/>
    </row>
    <row r="3193">
      <c r="B3193" s="30" t="n"/>
    </row>
    <row r="3194">
      <c r="B3194" s="30" t="n"/>
    </row>
    <row r="3195">
      <c r="B3195" s="30" t="n"/>
    </row>
    <row r="3196">
      <c r="B3196" s="30" t="n"/>
    </row>
    <row r="3197">
      <c r="B3197" s="30" t="n"/>
    </row>
    <row r="3198">
      <c r="B3198" s="30" t="n"/>
    </row>
    <row r="3199">
      <c r="B3199" s="30" t="n"/>
    </row>
    <row r="3200">
      <c r="B3200" s="30" t="n"/>
    </row>
    <row r="3201">
      <c r="B3201" s="30" t="n"/>
    </row>
    <row r="3202">
      <c r="B3202" s="30" t="n"/>
    </row>
    <row r="3203">
      <c r="B3203" s="30" t="n"/>
    </row>
    <row r="3204">
      <c r="B3204" s="30" t="n"/>
    </row>
    <row r="3205">
      <c r="B3205" s="30" t="n"/>
    </row>
    <row r="3206">
      <c r="B3206" s="30" t="n"/>
    </row>
    <row r="3207">
      <c r="B3207" s="30" t="n"/>
    </row>
    <row r="3208">
      <c r="B3208" s="30" t="n"/>
    </row>
    <row r="3209">
      <c r="B3209" s="30" t="n"/>
    </row>
    <row r="3210">
      <c r="B3210" s="30" t="n"/>
    </row>
    <row r="3211">
      <c r="B3211" s="30" t="n"/>
    </row>
    <row r="3212">
      <c r="B3212" s="30" t="n"/>
    </row>
    <row r="3213">
      <c r="B3213" s="30" t="n"/>
    </row>
    <row r="3214">
      <c r="B3214" s="30" t="n"/>
    </row>
    <row r="3215">
      <c r="B3215" s="30" t="n"/>
    </row>
    <row r="3216">
      <c r="B3216" s="30" t="n"/>
    </row>
    <row r="3217">
      <c r="B3217" s="30" t="n"/>
    </row>
    <row r="3218">
      <c r="B3218" s="30" t="n"/>
    </row>
    <row r="3219">
      <c r="B3219" s="30" t="n"/>
    </row>
    <row r="3220">
      <c r="B3220" s="30" t="n"/>
    </row>
    <row r="3221">
      <c r="B3221" s="30" t="n"/>
    </row>
    <row r="3222">
      <c r="B3222" s="30" t="n"/>
    </row>
    <row r="3223">
      <c r="B3223" s="30" t="n"/>
    </row>
    <row r="3224">
      <c r="B3224" s="30" t="n"/>
    </row>
    <row r="3225">
      <c r="B3225" s="30" t="n"/>
    </row>
    <row r="3226">
      <c r="B3226" s="30" t="n"/>
    </row>
    <row r="3227">
      <c r="B3227" s="30" t="n"/>
    </row>
    <row r="3228">
      <c r="B3228" s="30" t="n"/>
    </row>
    <row r="3229">
      <c r="B3229" s="30" t="n"/>
    </row>
    <row r="3230">
      <c r="B3230" s="30" t="n"/>
    </row>
    <row r="3231">
      <c r="B3231" s="30" t="n"/>
    </row>
    <row r="3232">
      <c r="B3232" s="30" t="n"/>
    </row>
    <row r="3233">
      <c r="B3233" s="30" t="n"/>
    </row>
    <row r="3234">
      <c r="B3234" s="30" t="n"/>
    </row>
    <row r="3235">
      <c r="B3235" s="30" t="n"/>
    </row>
    <row r="3236">
      <c r="B3236" s="30" t="n"/>
    </row>
    <row r="3237">
      <c r="B3237" s="30" t="n"/>
    </row>
    <row r="3238">
      <c r="B3238" s="30" t="n"/>
    </row>
    <row r="3239">
      <c r="B3239" s="30" t="n"/>
    </row>
    <row r="3240">
      <c r="B3240" s="30" t="n"/>
    </row>
    <row r="3241">
      <c r="B3241" s="30" t="n"/>
    </row>
    <row r="3242">
      <c r="B3242" s="30" t="n"/>
    </row>
    <row r="3243">
      <c r="B3243" s="30" t="n"/>
    </row>
    <row r="3244">
      <c r="B3244" s="30" t="n"/>
    </row>
    <row r="3245">
      <c r="B3245" s="30" t="n"/>
    </row>
    <row r="3246">
      <c r="B3246" s="30" t="n"/>
    </row>
    <row r="3247">
      <c r="B3247" s="30" t="n"/>
    </row>
    <row r="3248">
      <c r="B3248" s="30" t="n"/>
    </row>
    <row r="3249">
      <c r="B3249" s="30" t="n"/>
    </row>
    <row r="3250">
      <c r="B3250" s="30" t="n"/>
    </row>
    <row r="3251">
      <c r="B3251" s="30" t="n"/>
    </row>
    <row r="3252">
      <c r="B3252" s="30" t="n"/>
    </row>
    <row r="3253">
      <c r="B3253" s="30" t="n"/>
    </row>
    <row r="3254">
      <c r="B3254" s="30" t="n"/>
    </row>
    <row r="3255">
      <c r="B3255" s="30" t="n"/>
    </row>
    <row r="3256">
      <c r="B3256" s="30" t="n"/>
    </row>
    <row r="3257">
      <c r="B3257" s="30" t="n"/>
    </row>
    <row r="3258">
      <c r="B3258" s="30" t="n"/>
    </row>
    <row r="3259">
      <c r="B3259" s="30" t="n"/>
    </row>
    <row r="3260">
      <c r="B3260" s="30" t="n"/>
    </row>
    <row r="3261">
      <c r="B3261" s="30" t="n"/>
    </row>
    <row r="3262">
      <c r="B3262" s="30" t="n"/>
    </row>
    <row r="3263">
      <c r="B3263" s="30" t="n"/>
    </row>
    <row r="3264">
      <c r="B3264" s="30" t="n"/>
    </row>
    <row r="3265">
      <c r="B3265" s="30" t="n"/>
    </row>
    <row r="3266">
      <c r="B3266" s="30" t="n"/>
    </row>
    <row r="3267">
      <c r="B3267" s="30" t="n"/>
    </row>
    <row r="3268">
      <c r="B3268" s="30" t="n"/>
    </row>
    <row r="3269">
      <c r="B3269" s="30" t="n"/>
    </row>
    <row r="3270">
      <c r="B3270" s="30" t="n"/>
    </row>
    <row r="3271">
      <c r="B3271" s="30" t="n"/>
    </row>
    <row r="3272">
      <c r="B3272" s="30" t="n"/>
    </row>
    <row r="3273">
      <c r="B3273" s="30" t="n"/>
    </row>
    <row r="3274">
      <c r="B3274" s="30" t="n"/>
    </row>
    <row r="3275">
      <c r="B3275" s="30" t="n"/>
    </row>
    <row r="3276">
      <c r="B3276" s="30" t="n"/>
    </row>
    <row r="3277">
      <c r="B3277" s="30" t="n"/>
    </row>
    <row r="3278">
      <c r="B3278" s="30" t="n"/>
    </row>
    <row r="3279">
      <c r="B3279" s="30" t="n"/>
    </row>
    <row r="3280">
      <c r="B3280" s="30" t="n"/>
    </row>
    <row r="3281">
      <c r="B3281" s="30" t="n"/>
    </row>
    <row r="3282">
      <c r="B3282" s="30" t="n"/>
    </row>
    <row r="3283">
      <c r="B3283" s="30" t="n"/>
    </row>
    <row r="3284">
      <c r="B3284" s="30" t="n"/>
    </row>
    <row r="3285">
      <c r="B3285" s="30" t="n"/>
    </row>
    <row r="3286">
      <c r="B3286" s="30" t="n"/>
    </row>
    <row r="3287">
      <c r="B3287" s="30" t="n"/>
    </row>
    <row r="3288">
      <c r="B3288" s="30" t="n"/>
    </row>
    <row r="3289">
      <c r="B3289" s="30" t="n"/>
    </row>
    <row r="3290">
      <c r="B3290" s="30" t="n"/>
    </row>
    <row r="3291">
      <c r="B3291" s="30" t="n"/>
    </row>
    <row r="3292">
      <c r="B3292" s="30" t="n"/>
    </row>
    <row r="3293">
      <c r="B3293" s="30" t="n"/>
    </row>
    <row r="3294">
      <c r="B3294" s="30" t="n"/>
    </row>
    <row r="3295">
      <c r="B3295" s="30" t="n"/>
    </row>
    <row r="3296">
      <c r="B3296" s="30" t="n"/>
    </row>
    <row r="3297">
      <c r="B3297" s="30" t="n"/>
    </row>
    <row r="3298">
      <c r="B3298" s="30" t="n"/>
    </row>
    <row r="3299">
      <c r="B3299" s="30" t="n"/>
    </row>
    <row r="3300">
      <c r="B3300" s="30" t="n"/>
    </row>
    <row r="3301">
      <c r="B3301" s="30" t="n"/>
    </row>
    <row r="3302">
      <c r="B3302" s="30" t="n"/>
    </row>
    <row r="3303">
      <c r="B3303" s="30" t="n"/>
    </row>
    <row r="3304">
      <c r="B3304" s="30" t="n"/>
    </row>
    <row r="3305">
      <c r="B3305" s="30" t="n"/>
    </row>
    <row r="3306">
      <c r="B3306" s="30" t="n"/>
    </row>
    <row r="3307">
      <c r="B3307" s="30" t="n"/>
    </row>
    <row r="3308">
      <c r="B3308" s="30" t="n"/>
    </row>
    <row r="3309">
      <c r="B3309" s="30" t="n"/>
    </row>
    <row r="3310">
      <c r="B3310" s="30" t="n"/>
    </row>
    <row r="3311">
      <c r="B3311" s="30" t="n"/>
    </row>
    <row r="3312">
      <c r="B3312" s="30" t="n"/>
    </row>
    <row r="3313">
      <c r="B3313" s="30" t="n"/>
    </row>
    <row r="3314">
      <c r="B3314" s="30" t="n"/>
    </row>
    <row r="3315">
      <c r="B3315" s="30" t="n"/>
    </row>
    <row r="3316">
      <c r="B3316" s="30" t="n"/>
    </row>
    <row r="3317">
      <c r="B3317" s="30" t="n"/>
    </row>
    <row r="3318">
      <c r="B3318" s="30" t="n"/>
    </row>
    <row r="3319">
      <c r="B3319" s="30" t="n"/>
    </row>
    <row r="3320">
      <c r="B3320" s="30" t="n"/>
    </row>
    <row r="3321">
      <c r="B3321" s="30" t="n"/>
    </row>
    <row r="3322">
      <c r="B3322" s="30" t="n"/>
    </row>
    <row r="3323">
      <c r="B3323" s="30" t="n"/>
    </row>
    <row r="3324">
      <c r="B3324" s="30" t="n"/>
    </row>
    <row r="3325">
      <c r="B3325" s="30" t="n"/>
    </row>
    <row r="3326">
      <c r="B3326" s="30" t="n"/>
    </row>
    <row r="3327">
      <c r="B3327" s="30" t="n"/>
    </row>
    <row r="3328">
      <c r="B3328" s="30" t="n"/>
    </row>
    <row r="3329">
      <c r="B3329" s="30" t="n"/>
    </row>
    <row r="3330">
      <c r="B3330" s="30" t="n"/>
    </row>
    <row r="3331">
      <c r="B3331" s="30" t="n"/>
    </row>
    <row r="3332">
      <c r="B3332" s="30" t="n"/>
    </row>
    <row r="3333">
      <c r="B3333" s="30" t="n"/>
    </row>
    <row r="3334">
      <c r="B3334" s="30" t="n"/>
    </row>
    <row r="3335">
      <c r="B3335" s="30" t="n"/>
    </row>
    <row r="3336">
      <c r="B3336" s="30" t="n"/>
    </row>
    <row r="3337">
      <c r="B3337" s="30" t="n"/>
    </row>
    <row r="3338">
      <c r="B3338" s="30" t="n"/>
    </row>
    <row r="3339">
      <c r="B3339" s="30" t="n"/>
    </row>
    <row r="3340">
      <c r="B3340" s="30" t="n"/>
    </row>
    <row r="3341">
      <c r="B3341" s="30" t="n"/>
    </row>
    <row r="3342">
      <c r="B3342" s="30" t="n"/>
    </row>
    <row r="3343">
      <c r="B3343" s="30" t="n"/>
    </row>
    <row r="3344">
      <c r="B3344" s="30" t="n"/>
    </row>
    <row r="3345">
      <c r="B3345" s="30" t="n"/>
    </row>
    <row r="3346">
      <c r="B3346" s="30" t="n"/>
    </row>
    <row r="3347">
      <c r="B3347" s="30" t="n"/>
    </row>
    <row r="3348">
      <c r="B3348" s="30" t="n"/>
    </row>
    <row r="3349">
      <c r="B3349" s="30" t="n"/>
    </row>
    <row r="3350">
      <c r="B3350" s="30" t="n"/>
    </row>
    <row r="3351">
      <c r="B3351" s="30" t="n"/>
    </row>
    <row r="3352">
      <c r="B3352" s="30" t="n"/>
    </row>
    <row r="3353">
      <c r="B3353" s="30" t="n"/>
    </row>
    <row r="3354">
      <c r="B3354" s="30" t="n"/>
    </row>
    <row r="3355">
      <c r="B3355" s="30" t="n"/>
    </row>
    <row r="3356">
      <c r="B3356" s="30" t="n"/>
    </row>
    <row r="3357">
      <c r="B3357" s="30" t="n"/>
    </row>
    <row r="3358">
      <c r="B3358" s="30" t="n"/>
    </row>
    <row r="3359">
      <c r="B3359" s="30" t="n"/>
    </row>
    <row r="3360">
      <c r="B3360" s="30" t="n"/>
    </row>
    <row r="3361">
      <c r="B3361" s="30" t="n"/>
    </row>
    <row r="3362">
      <c r="B3362" s="30" t="n"/>
    </row>
    <row r="3363">
      <c r="B3363" s="30" t="n"/>
    </row>
    <row r="3364">
      <c r="B3364" s="30" t="n"/>
    </row>
    <row r="3365">
      <c r="B3365" s="30" t="n"/>
    </row>
    <row r="3366">
      <c r="B3366" s="30" t="n"/>
    </row>
    <row r="3367">
      <c r="B3367" s="30" t="n"/>
    </row>
    <row r="3368">
      <c r="B3368" s="30" t="n"/>
    </row>
    <row r="3369">
      <c r="B3369" s="30" t="n"/>
    </row>
    <row r="3370">
      <c r="B3370" s="30" t="n"/>
    </row>
    <row r="3371">
      <c r="B3371" s="30" t="n"/>
    </row>
    <row r="3372">
      <c r="B3372" s="30" t="n"/>
    </row>
    <row r="3373">
      <c r="B3373" s="30" t="n"/>
    </row>
    <row r="3374">
      <c r="B3374" s="30" t="n"/>
    </row>
    <row r="3375">
      <c r="B3375" s="30" t="n"/>
    </row>
    <row r="3376">
      <c r="B3376" s="30" t="n"/>
    </row>
    <row r="3377">
      <c r="B3377" s="30" t="n"/>
    </row>
    <row r="3378">
      <c r="B3378" s="30" t="n"/>
    </row>
    <row r="3379">
      <c r="B3379" s="30" t="n"/>
    </row>
    <row r="3380">
      <c r="B3380" s="30" t="n"/>
    </row>
    <row r="3381">
      <c r="B3381" s="30" t="n"/>
    </row>
    <row r="3382">
      <c r="B3382" s="30" t="n"/>
    </row>
    <row r="3383">
      <c r="B3383" s="30" t="n"/>
    </row>
    <row r="3384">
      <c r="B3384" s="30" t="n"/>
    </row>
    <row r="3385">
      <c r="B3385" s="30" t="n"/>
    </row>
    <row r="3386">
      <c r="B3386" s="30" t="n"/>
    </row>
    <row r="3387">
      <c r="B3387" s="30" t="n"/>
    </row>
    <row r="3388">
      <c r="B3388" s="30" t="n"/>
    </row>
    <row r="3389">
      <c r="B3389" s="30" t="n"/>
    </row>
    <row r="3390">
      <c r="B3390" s="30" t="n"/>
    </row>
    <row r="3391">
      <c r="B3391" s="30" t="n"/>
    </row>
    <row r="3392">
      <c r="B3392" s="30" t="n"/>
    </row>
    <row r="3393">
      <c r="B3393" s="30" t="n"/>
    </row>
    <row r="3394">
      <c r="B3394" s="30" t="n"/>
    </row>
    <row r="3395">
      <c r="B3395" s="30" t="n"/>
    </row>
    <row r="3396">
      <c r="B3396" s="30" t="n"/>
    </row>
    <row r="3397">
      <c r="B3397" s="30" t="n"/>
    </row>
    <row r="3398">
      <c r="B3398" s="30" t="n"/>
    </row>
    <row r="3399">
      <c r="B3399" s="30" t="n"/>
    </row>
    <row r="3400">
      <c r="B3400" s="30" t="n"/>
    </row>
    <row r="3401">
      <c r="B3401" s="30" t="n"/>
    </row>
    <row r="3402">
      <c r="B3402" s="30" t="n"/>
    </row>
    <row r="3403">
      <c r="B3403" s="30" t="n"/>
    </row>
    <row r="3404">
      <c r="B3404" s="30" t="n"/>
    </row>
    <row r="3405">
      <c r="B3405" s="30" t="n"/>
    </row>
    <row r="3406">
      <c r="B3406" s="30" t="n"/>
    </row>
    <row r="3407">
      <c r="B3407" s="30" t="n"/>
    </row>
    <row r="3408">
      <c r="B3408" s="30" t="n"/>
    </row>
    <row r="3409">
      <c r="B3409" s="30" t="n"/>
    </row>
    <row r="3410">
      <c r="B3410" s="30" t="n"/>
    </row>
    <row r="3411">
      <c r="B3411" s="30" t="n"/>
    </row>
    <row r="3412">
      <c r="B3412" s="30" t="n"/>
    </row>
    <row r="3413">
      <c r="B3413" s="30" t="n"/>
    </row>
    <row r="3414">
      <c r="B3414" s="30" t="n"/>
    </row>
    <row r="3415">
      <c r="B3415" s="30" t="n"/>
    </row>
    <row r="3416">
      <c r="B3416" s="30" t="n"/>
    </row>
    <row r="3417">
      <c r="B3417" s="30" t="n"/>
    </row>
    <row r="3418">
      <c r="B3418" s="30" t="n"/>
    </row>
    <row r="3419">
      <c r="B3419" s="30" t="n"/>
    </row>
    <row r="3420">
      <c r="B3420" s="30" t="n"/>
    </row>
    <row r="3421">
      <c r="B3421" s="30" t="n"/>
    </row>
    <row r="3422">
      <c r="B3422" s="30" t="n"/>
    </row>
    <row r="3423">
      <c r="B3423" s="30" t="n"/>
    </row>
    <row r="3424">
      <c r="B3424" s="30" t="n"/>
    </row>
    <row r="3425">
      <c r="B3425" s="30" t="n"/>
    </row>
    <row r="3426">
      <c r="B3426" s="30" t="n"/>
    </row>
    <row r="3427">
      <c r="B3427" s="30" t="n"/>
    </row>
    <row r="3428">
      <c r="B3428" s="30" t="n"/>
    </row>
    <row r="3429">
      <c r="B3429" s="30" t="n"/>
    </row>
    <row r="3430">
      <c r="B3430" s="30" t="n"/>
    </row>
    <row r="3431">
      <c r="B3431" s="30" t="n"/>
    </row>
    <row r="3432">
      <c r="B3432" s="30" t="n"/>
    </row>
    <row r="3433">
      <c r="B3433" s="30" t="n"/>
    </row>
    <row r="3434">
      <c r="B3434" s="30" t="n"/>
    </row>
    <row r="3435">
      <c r="B3435" s="30" t="n"/>
    </row>
    <row r="3436">
      <c r="B3436" s="30" t="n"/>
    </row>
    <row r="3437">
      <c r="B3437" s="30" t="n"/>
    </row>
    <row r="3438">
      <c r="B3438" s="30" t="n"/>
    </row>
    <row r="3439">
      <c r="B3439" s="30" t="n"/>
    </row>
    <row r="3440">
      <c r="B3440" s="30" t="n"/>
    </row>
    <row r="3441">
      <c r="B3441" s="30" t="n"/>
    </row>
    <row r="3442">
      <c r="B3442" s="30" t="n"/>
    </row>
    <row r="3443">
      <c r="B3443" s="30" t="n"/>
    </row>
    <row r="3444">
      <c r="B3444" s="30" t="n"/>
    </row>
    <row r="3445">
      <c r="B3445" s="30" t="n"/>
    </row>
    <row r="3446">
      <c r="B3446" s="30" t="n"/>
    </row>
    <row r="3447">
      <c r="B3447" s="30" t="n"/>
    </row>
    <row r="3448">
      <c r="B3448" s="30" t="n"/>
    </row>
    <row r="3449">
      <c r="B3449" s="30" t="n"/>
    </row>
    <row r="3450">
      <c r="B3450" s="30" t="n"/>
    </row>
    <row r="3451">
      <c r="B3451" s="30" t="n"/>
    </row>
    <row r="3452">
      <c r="B3452" s="30" t="n"/>
    </row>
    <row r="3453">
      <c r="B3453" s="30" t="n"/>
    </row>
    <row r="3454">
      <c r="B3454" s="30" t="n"/>
    </row>
    <row r="3455">
      <c r="B3455" s="30" t="n"/>
    </row>
    <row r="3456">
      <c r="B3456" s="30" t="n"/>
    </row>
    <row r="3457">
      <c r="B3457" s="30" t="n"/>
    </row>
    <row r="3458">
      <c r="B3458" s="30" t="n"/>
    </row>
    <row r="3459">
      <c r="B3459" s="30" t="n"/>
    </row>
    <row r="3460">
      <c r="B3460" s="30" t="n"/>
    </row>
    <row r="3461">
      <c r="B3461" s="30" t="n"/>
    </row>
    <row r="3462">
      <c r="B3462" s="30" t="n"/>
    </row>
    <row r="3463">
      <c r="B3463" s="30" t="n"/>
    </row>
    <row r="3464">
      <c r="B3464" s="30" t="n"/>
    </row>
    <row r="3465">
      <c r="B3465" s="30" t="n"/>
    </row>
    <row r="3466">
      <c r="B3466" s="30" t="n"/>
    </row>
    <row r="3467">
      <c r="B3467" s="30" t="n"/>
    </row>
    <row r="3468">
      <c r="B3468" s="30" t="n"/>
    </row>
    <row r="3469">
      <c r="B3469" s="30" t="n"/>
    </row>
    <row r="3470">
      <c r="B3470" s="30" t="n"/>
    </row>
    <row r="3471">
      <c r="B3471" s="30" t="n"/>
    </row>
    <row r="3472">
      <c r="B3472" s="30" t="n"/>
    </row>
    <row r="3473">
      <c r="B3473" s="30" t="n"/>
    </row>
    <row r="3474">
      <c r="B3474" s="30" t="n"/>
    </row>
    <row r="3475">
      <c r="B3475" s="30" t="n"/>
    </row>
    <row r="3476">
      <c r="B3476" s="30" t="n"/>
    </row>
    <row r="3477">
      <c r="B3477" s="30" t="n"/>
    </row>
    <row r="3478">
      <c r="B3478" s="30" t="n"/>
    </row>
    <row r="3479">
      <c r="B3479" s="30" t="n"/>
    </row>
    <row r="3480">
      <c r="B3480" s="30" t="n"/>
    </row>
    <row r="3481">
      <c r="B3481" s="30" t="n"/>
    </row>
    <row r="3482">
      <c r="B3482" s="30" t="n"/>
    </row>
    <row r="3483">
      <c r="B3483" s="30" t="n"/>
    </row>
    <row r="3484">
      <c r="B3484" s="30" t="n"/>
    </row>
    <row r="3485">
      <c r="B3485" s="30" t="n"/>
    </row>
    <row r="3486">
      <c r="B3486" s="30" t="n"/>
    </row>
    <row r="3487">
      <c r="B3487" s="30" t="n"/>
    </row>
    <row r="3488">
      <c r="B3488" s="30" t="n"/>
    </row>
    <row r="3489">
      <c r="B3489" s="30" t="n"/>
    </row>
    <row r="3490">
      <c r="B3490" s="30" t="n"/>
    </row>
    <row r="3491">
      <c r="B3491" s="30" t="n"/>
    </row>
    <row r="3492">
      <c r="B3492" s="30" t="n"/>
    </row>
    <row r="3493">
      <c r="B3493" s="30" t="n"/>
    </row>
    <row r="3494">
      <c r="B3494" s="30" t="n"/>
    </row>
    <row r="3495">
      <c r="B3495" s="30" t="n"/>
    </row>
    <row r="3496">
      <c r="B3496" s="30" t="n"/>
    </row>
    <row r="3497">
      <c r="B3497" s="30" t="n"/>
    </row>
    <row r="3498">
      <c r="B3498" s="30" t="n"/>
    </row>
    <row r="3499">
      <c r="B3499" s="30" t="n"/>
    </row>
    <row r="3500">
      <c r="B3500" s="30" t="n"/>
    </row>
    <row r="3501">
      <c r="B3501" s="30" t="n"/>
    </row>
    <row r="3502">
      <c r="B3502" s="30" t="n"/>
    </row>
    <row r="3503">
      <c r="B3503" s="30" t="n"/>
    </row>
    <row r="3504">
      <c r="B3504" s="30" t="n"/>
    </row>
    <row r="3505">
      <c r="B3505" s="30" t="n"/>
    </row>
    <row r="3506">
      <c r="B3506" s="30" t="n"/>
    </row>
    <row r="3507">
      <c r="B3507" s="30" t="n"/>
    </row>
    <row r="3508">
      <c r="B3508" s="30" t="n"/>
    </row>
    <row r="3509">
      <c r="B3509" s="30" t="n"/>
    </row>
    <row r="3510">
      <c r="B3510" s="30" t="n"/>
    </row>
    <row r="3511">
      <c r="B3511" s="30" t="n"/>
    </row>
    <row r="3512">
      <c r="B3512" s="30" t="n"/>
    </row>
    <row r="3513">
      <c r="B3513" s="30" t="n"/>
    </row>
    <row r="3514">
      <c r="B3514" s="30" t="n"/>
    </row>
    <row r="3515">
      <c r="B3515" s="30" t="n"/>
    </row>
    <row r="3516">
      <c r="B3516" s="30" t="n"/>
    </row>
    <row r="3517">
      <c r="B3517" s="30" t="n"/>
    </row>
    <row r="3518">
      <c r="B3518" s="30" t="n"/>
    </row>
    <row r="3519">
      <c r="B3519" s="30" t="n"/>
    </row>
    <row r="3520">
      <c r="B3520" s="30" t="n"/>
    </row>
    <row r="3521">
      <c r="B3521" s="30" t="n"/>
    </row>
    <row r="3522">
      <c r="B3522" s="30" t="n"/>
    </row>
    <row r="3523">
      <c r="B3523" s="30" t="n"/>
    </row>
    <row r="3524">
      <c r="B3524" s="30" t="n"/>
    </row>
    <row r="3525">
      <c r="B3525" s="30" t="n"/>
    </row>
    <row r="3526">
      <c r="B3526" s="30" t="n"/>
    </row>
    <row r="3527">
      <c r="B3527" s="30" t="n"/>
    </row>
    <row r="3528">
      <c r="B3528" s="30" t="n"/>
    </row>
    <row r="3529">
      <c r="B3529" s="30" t="n"/>
    </row>
    <row r="3530">
      <c r="B3530" s="30" t="n"/>
    </row>
    <row r="3531">
      <c r="B3531" s="30" t="n"/>
    </row>
    <row r="3532">
      <c r="B3532" s="30" t="n"/>
    </row>
    <row r="3533">
      <c r="B3533" s="30" t="n"/>
    </row>
    <row r="3534">
      <c r="B3534" s="30" t="n"/>
    </row>
    <row r="3535">
      <c r="B3535" s="30" t="n"/>
    </row>
    <row r="3536">
      <c r="B3536" s="30" t="n"/>
    </row>
    <row r="3537">
      <c r="B3537" s="30" t="n"/>
    </row>
    <row r="3538">
      <c r="B3538" s="30" t="n"/>
    </row>
    <row r="3539">
      <c r="B3539" s="30" t="n"/>
    </row>
    <row r="3540">
      <c r="B3540" s="30" t="n"/>
    </row>
    <row r="3541">
      <c r="B3541" s="30" t="n"/>
    </row>
    <row r="3542">
      <c r="B3542" s="30" t="n"/>
    </row>
    <row r="3543">
      <c r="B3543" s="30" t="n"/>
    </row>
    <row r="3544">
      <c r="B3544" s="30" t="n"/>
    </row>
    <row r="3545">
      <c r="B3545" s="30" t="n"/>
    </row>
    <row r="3546">
      <c r="B3546" s="30" t="n"/>
    </row>
    <row r="3547">
      <c r="B3547" s="30" t="n"/>
    </row>
    <row r="3548">
      <c r="B3548" s="30" t="n"/>
    </row>
    <row r="3549">
      <c r="B3549" s="30" t="n"/>
    </row>
    <row r="3550">
      <c r="B3550" s="30" t="n"/>
    </row>
    <row r="3551">
      <c r="B3551" s="30" t="n"/>
    </row>
    <row r="3552">
      <c r="B3552" s="30" t="n"/>
    </row>
    <row r="3553">
      <c r="B3553" s="30" t="n"/>
    </row>
    <row r="3554">
      <c r="B3554" s="30" t="n"/>
    </row>
    <row r="3555">
      <c r="B3555" s="30" t="n"/>
    </row>
    <row r="3556">
      <c r="B3556" s="30" t="n"/>
    </row>
    <row r="3557">
      <c r="B3557" s="30" t="n"/>
    </row>
    <row r="3558">
      <c r="B3558" s="30" t="n"/>
    </row>
    <row r="3559">
      <c r="B3559" s="30" t="n"/>
    </row>
    <row r="3560">
      <c r="B3560" s="30" t="n"/>
    </row>
    <row r="3561">
      <c r="B3561" s="30" t="n"/>
    </row>
    <row r="3562">
      <c r="B3562" s="30" t="n"/>
    </row>
    <row r="3563">
      <c r="B3563" s="30" t="n"/>
    </row>
    <row r="3564">
      <c r="B3564" s="30" t="n"/>
    </row>
    <row r="3565">
      <c r="B3565" s="30" t="n"/>
    </row>
    <row r="3566">
      <c r="B3566" s="30" t="n"/>
    </row>
    <row r="3567">
      <c r="B3567" s="30" t="n"/>
    </row>
    <row r="3568">
      <c r="B3568" s="30" t="n"/>
    </row>
    <row r="3569">
      <c r="B3569" s="30" t="n"/>
    </row>
    <row r="3570">
      <c r="B3570" s="30" t="n"/>
    </row>
    <row r="3571">
      <c r="B3571" s="30" t="n"/>
    </row>
    <row r="3572">
      <c r="B3572" s="30" t="n"/>
    </row>
    <row r="3573">
      <c r="B3573" s="30" t="n"/>
    </row>
    <row r="3574">
      <c r="B3574" s="30" t="n"/>
    </row>
    <row r="3575">
      <c r="B3575" s="30" t="n"/>
    </row>
    <row r="3576">
      <c r="B3576" s="30" t="n"/>
    </row>
    <row r="3577">
      <c r="B3577" s="30" t="n"/>
    </row>
    <row r="3578">
      <c r="B3578" s="30" t="n"/>
    </row>
    <row r="3579">
      <c r="B3579" s="30" t="n"/>
    </row>
    <row r="3580">
      <c r="B3580" s="30" t="n"/>
    </row>
    <row r="3581">
      <c r="B3581" s="30" t="n"/>
    </row>
    <row r="3582">
      <c r="B3582" s="30" t="n"/>
    </row>
    <row r="3583">
      <c r="B3583" s="30" t="n"/>
    </row>
    <row r="3584">
      <c r="B3584" s="30" t="n"/>
    </row>
    <row r="3585">
      <c r="B3585" s="30" t="n"/>
    </row>
    <row r="3586">
      <c r="B3586" s="30" t="n"/>
    </row>
    <row r="3587">
      <c r="B3587" s="30" t="n"/>
    </row>
    <row r="3588">
      <c r="B3588" s="30" t="n"/>
    </row>
    <row r="3589">
      <c r="B3589" s="30" t="n"/>
    </row>
    <row r="3590">
      <c r="B3590" s="30" t="n"/>
    </row>
    <row r="3591">
      <c r="B3591" s="30" t="n"/>
    </row>
    <row r="3592">
      <c r="B3592" s="30" t="n"/>
    </row>
    <row r="3593">
      <c r="B3593" s="30" t="n"/>
    </row>
    <row r="3594">
      <c r="B3594" s="30" t="n"/>
    </row>
    <row r="3595">
      <c r="B3595" s="30" t="n"/>
    </row>
    <row r="3596">
      <c r="B3596" s="30" t="n"/>
    </row>
    <row r="3597">
      <c r="B3597" s="30" t="n"/>
    </row>
    <row r="3598">
      <c r="B3598" s="30" t="n"/>
    </row>
    <row r="3599">
      <c r="B3599" s="30" t="n"/>
    </row>
    <row r="3600">
      <c r="B3600" s="30" t="n"/>
    </row>
    <row r="3601">
      <c r="B3601" s="30" t="n"/>
    </row>
    <row r="3602">
      <c r="B3602" s="30" t="n"/>
    </row>
    <row r="3603">
      <c r="B3603" s="30" t="n"/>
    </row>
    <row r="3604">
      <c r="B3604" s="30" t="n"/>
    </row>
    <row r="3605">
      <c r="B3605" s="30" t="n"/>
    </row>
    <row r="3606">
      <c r="B3606" s="30" t="n"/>
    </row>
    <row r="3607">
      <c r="B3607" s="30" t="n"/>
    </row>
    <row r="3608">
      <c r="B3608" s="30" t="n"/>
    </row>
    <row r="3609">
      <c r="B3609" s="30" t="n"/>
    </row>
    <row r="3610">
      <c r="B3610" s="30" t="n"/>
    </row>
    <row r="3611">
      <c r="B3611" s="30" t="n"/>
    </row>
    <row r="3612">
      <c r="B3612" s="30" t="n"/>
    </row>
    <row r="3613">
      <c r="B3613" s="30" t="n"/>
    </row>
    <row r="3614">
      <c r="B3614" s="30" t="n"/>
    </row>
    <row r="3615">
      <c r="B3615" s="30" t="n"/>
    </row>
    <row r="3616">
      <c r="B3616" s="30" t="n"/>
    </row>
    <row r="3617">
      <c r="B3617" s="30" t="n"/>
    </row>
    <row r="3618">
      <c r="B3618" s="30" t="n"/>
    </row>
    <row r="3619">
      <c r="B3619" s="30" t="n"/>
    </row>
    <row r="3620">
      <c r="B3620" s="30" t="n"/>
    </row>
    <row r="3621">
      <c r="B3621" s="30" t="n"/>
    </row>
    <row r="3622">
      <c r="B3622" s="30" t="n"/>
    </row>
    <row r="3623">
      <c r="B3623" s="30" t="n"/>
    </row>
    <row r="3624">
      <c r="B3624" s="30" t="n"/>
    </row>
    <row r="3625">
      <c r="B3625" s="30" t="n"/>
    </row>
    <row r="3626">
      <c r="B3626" s="30" t="n"/>
    </row>
    <row r="3627">
      <c r="B3627" s="30" t="n"/>
    </row>
    <row r="3628">
      <c r="B3628" s="30" t="n"/>
    </row>
    <row r="3629">
      <c r="B3629" s="30" t="n"/>
    </row>
    <row r="3630">
      <c r="B3630" s="30" t="n"/>
    </row>
    <row r="3631">
      <c r="B3631" s="30" t="n"/>
    </row>
    <row r="3632">
      <c r="B3632" s="30" t="n"/>
    </row>
    <row r="3633">
      <c r="B3633" s="30" t="n"/>
    </row>
    <row r="3634">
      <c r="B3634" s="30" t="n"/>
    </row>
    <row r="3635">
      <c r="B3635" s="30" t="n"/>
    </row>
    <row r="3636">
      <c r="B3636" s="30" t="n"/>
    </row>
    <row r="3637">
      <c r="B3637" s="30" t="n"/>
    </row>
    <row r="3638">
      <c r="B3638" s="30" t="n"/>
    </row>
    <row r="3639">
      <c r="B3639" s="30" t="n"/>
    </row>
    <row r="3640">
      <c r="B3640" s="30" t="n"/>
    </row>
    <row r="3641">
      <c r="B3641" s="30" t="n"/>
    </row>
    <row r="3642">
      <c r="B3642" s="30" t="n"/>
    </row>
    <row r="3643">
      <c r="B3643" s="30" t="n"/>
    </row>
    <row r="3644">
      <c r="B3644" s="30" t="n"/>
    </row>
    <row r="3645">
      <c r="B3645" s="30" t="n"/>
    </row>
    <row r="3646">
      <c r="B3646" s="30" t="n"/>
    </row>
    <row r="3647">
      <c r="B3647" s="30" t="n"/>
    </row>
    <row r="3648">
      <c r="B3648" s="30" t="n"/>
    </row>
    <row r="3649">
      <c r="B3649" s="30" t="n"/>
    </row>
    <row r="3650">
      <c r="B3650" s="30" t="n"/>
    </row>
    <row r="3651">
      <c r="B3651" s="30" t="n"/>
    </row>
    <row r="3652">
      <c r="B3652" s="30" t="n"/>
    </row>
    <row r="3653">
      <c r="B3653" s="30" t="n"/>
    </row>
    <row r="3654">
      <c r="B3654" s="30" t="n"/>
    </row>
    <row r="3655">
      <c r="B3655" s="30" t="n"/>
    </row>
    <row r="3656">
      <c r="B3656" s="30" t="n"/>
    </row>
    <row r="3657">
      <c r="B3657" s="30" t="n"/>
    </row>
    <row r="3658">
      <c r="B3658" s="30" t="n"/>
    </row>
    <row r="3659">
      <c r="B3659" s="30" t="n"/>
    </row>
    <row r="3660">
      <c r="B3660" s="30" t="n"/>
    </row>
    <row r="3661">
      <c r="B3661" s="30" t="n"/>
    </row>
    <row r="3662">
      <c r="B3662" s="30" t="n"/>
    </row>
    <row r="3663">
      <c r="B3663" s="30" t="n"/>
    </row>
    <row r="3664">
      <c r="B3664" s="30" t="n"/>
    </row>
    <row r="3665">
      <c r="B3665" s="30" t="n"/>
    </row>
    <row r="3666">
      <c r="B3666" s="30" t="n"/>
    </row>
    <row r="3667">
      <c r="B3667" s="30" t="n"/>
    </row>
    <row r="3668">
      <c r="B3668" s="30" t="n"/>
    </row>
    <row r="3669">
      <c r="B3669" s="30" t="n"/>
    </row>
    <row r="3670">
      <c r="B3670" s="30" t="n"/>
    </row>
    <row r="3671">
      <c r="B3671" s="30" t="n"/>
    </row>
    <row r="3672">
      <c r="B3672" s="30" t="n"/>
    </row>
    <row r="3673">
      <c r="B3673" s="30" t="n"/>
    </row>
    <row r="3674">
      <c r="B3674" s="30" t="n"/>
    </row>
    <row r="3675">
      <c r="B3675" s="30" t="n"/>
    </row>
    <row r="3676">
      <c r="B3676" s="30" t="n"/>
    </row>
    <row r="3677">
      <c r="B3677" s="30" t="n"/>
    </row>
    <row r="3678">
      <c r="B3678" s="30" t="n"/>
    </row>
    <row r="3679">
      <c r="B3679" s="30" t="n"/>
    </row>
    <row r="3680">
      <c r="B3680" s="30" t="n"/>
    </row>
    <row r="3681">
      <c r="B3681" s="30" t="n"/>
    </row>
    <row r="3682">
      <c r="B3682" s="30" t="n"/>
    </row>
    <row r="3683">
      <c r="B3683" s="30" t="n"/>
    </row>
    <row r="3684">
      <c r="B3684" s="30" t="n"/>
    </row>
    <row r="3685">
      <c r="B3685" s="30" t="n"/>
    </row>
    <row r="3686">
      <c r="B3686" s="30" t="n"/>
    </row>
    <row r="3687">
      <c r="B3687" s="30" t="n"/>
    </row>
    <row r="3688">
      <c r="B3688" s="30" t="n"/>
    </row>
    <row r="3689">
      <c r="B3689" s="30" t="n"/>
    </row>
    <row r="3690">
      <c r="B3690" s="30" t="n"/>
    </row>
    <row r="3691">
      <c r="B3691" s="30" t="n"/>
    </row>
    <row r="3692">
      <c r="B3692" s="30" t="n"/>
    </row>
    <row r="3693">
      <c r="B3693" s="30" t="n"/>
    </row>
    <row r="3694">
      <c r="B3694" s="30" t="n"/>
    </row>
    <row r="3695">
      <c r="B3695" s="30" t="n"/>
    </row>
    <row r="3696">
      <c r="B3696" s="30" t="n"/>
    </row>
    <row r="3697">
      <c r="B3697" s="30" t="n"/>
    </row>
    <row r="3698">
      <c r="B3698" s="30" t="n"/>
    </row>
    <row r="3699">
      <c r="B3699" s="30" t="n"/>
    </row>
    <row r="3700">
      <c r="B3700" s="30" t="n"/>
    </row>
    <row r="3701">
      <c r="B3701" s="30" t="n"/>
    </row>
    <row r="3702">
      <c r="B3702" s="30" t="n"/>
    </row>
    <row r="3703">
      <c r="B3703" s="30" t="n"/>
    </row>
    <row r="3704">
      <c r="B3704" s="30" t="n"/>
    </row>
    <row r="3705">
      <c r="B3705" s="30" t="n"/>
    </row>
    <row r="3706">
      <c r="B3706" s="30" t="n"/>
    </row>
    <row r="3707">
      <c r="B3707" s="30" t="n"/>
    </row>
    <row r="3708">
      <c r="B3708" s="30" t="n"/>
    </row>
    <row r="3709">
      <c r="B3709" s="30" t="n"/>
    </row>
    <row r="3710">
      <c r="B3710" s="30" t="n"/>
    </row>
    <row r="3711">
      <c r="B3711" s="30" t="n"/>
    </row>
    <row r="3712">
      <c r="B3712" s="30" t="n"/>
    </row>
    <row r="3713">
      <c r="B3713" s="30" t="n"/>
    </row>
    <row r="3714">
      <c r="B3714" s="30" t="n"/>
    </row>
    <row r="3715">
      <c r="B3715" s="30" t="n"/>
    </row>
    <row r="3716">
      <c r="B3716" s="30" t="n"/>
    </row>
    <row r="3717">
      <c r="B3717" s="30" t="n"/>
    </row>
    <row r="3718">
      <c r="B3718" s="30" t="n"/>
    </row>
    <row r="3719">
      <c r="B3719" s="30" t="n"/>
    </row>
    <row r="3720">
      <c r="B3720" s="30" t="n"/>
    </row>
    <row r="3721">
      <c r="B3721" s="30" t="n"/>
    </row>
    <row r="3722">
      <c r="B3722" s="30" t="n"/>
    </row>
    <row r="3723">
      <c r="B3723" s="30" t="n"/>
    </row>
    <row r="3724">
      <c r="B3724" s="30" t="n"/>
    </row>
    <row r="3725">
      <c r="B3725" s="30" t="n"/>
    </row>
    <row r="3726">
      <c r="B3726" s="30" t="n"/>
    </row>
    <row r="3727">
      <c r="B3727" s="30" t="n"/>
    </row>
    <row r="3728">
      <c r="B3728" s="30" t="n"/>
    </row>
    <row r="3729">
      <c r="B3729" s="30" t="n"/>
    </row>
    <row r="3730">
      <c r="B3730" s="30" t="n"/>
    </row>
    <row r="3731">
      <c r="B3731" s="30" t="n"/>
    </row>
    <row r="3732">
      <c r="B3732" s="30" t="n"/>
    </row>
    <row r="3733">
      <c r="B3733" s="30" t="n"/>
    </row>
    <row r="3734">
      <c r="B3734" s="30" t="n"/>
    </row>
    <row r="3735">
      <c r="B3735" s="30" t="n"/>
    </row>
    <row r="3736">
      <c r="B3736" s="30" t="n"/>
    </row>
    <row r="3737">
      <c r="B3737" s="30" t="n"/>
    </row>
    <row r="3738">
      <c r="B3738" s="30" t="n"/>
    </row>
    <row r="3739">
      <c r="B3739" s="30" t="n"/>
    </row>
    <row r="3740">
      <c r="B3740" s="30" t="n"/>
    </row>
    <row r="3741">
      <c r="B3741" s="30" t="n"/>
    </row>
    <row r="3742">
      <c r="B3742" s="30" t="n"/>
    </row>
    <row r="3743">
      <c r="B3743" s="30" t="n"/>
    </row>
    <row r="3744">
      <c r="B3744" s="30" t="n"/>
    </row>
    <row r="3745">
      <c r="B3745" s="30" t="n"/>
    </row>
    <row r="3746">
      <c r="B3746" s="30" t="n"/>
    </row>
    <row r="3747">
      <c r="B3747" s="30" t="n"/>
    </row>
    <row r="3748">
      <c r="B3748" s="30" t="n"/>
    </row>
    <row r="3749">
      <c r="B3749" s="30" t="n"/>
    </row>
    <row r="3750">
      <c r="B3750" s="30" t="n"/>
    </row>
    <row r="3751">
      <c r="B3751" s="30" t="n"/>
    </row>
    <row r="3752">
      <c r="B3752" s="30" t="n"/>
    </row>
    <row r="3753">
      <c r="B3753" s="30" t="n"/>
    </row>
    <row r="3754">
      <c r="B3754" s="30" t="n"/>
    </row>
    <row r="3755">
      <c r="B3755" s="30" t="n"/>
    </row>
    <row r="3756">
      <c r="B3756" s="30" t="n"/>
    </row>
    <row r="3757">
      <c r="B3757" s="30" t="n"/>
    </row>
    <row r="3758">
      <c r="B3758" s="30" t="n"/>
    </row>
    <row r="3759">
      <c r="B3759" s="30" t="n"/>
    </row>
    <row r="3760">
      <c r="B3760" s="30" t="n"/>
    </row>
    <row r="3761">
      <c r="B3761" s="30" t="n"/>
    </row>
    <row r="3762">
      <c r="B3762" s="30" t="n"/>
    </row>
    <row r="3763">
      <c r="B3763" s="30" t="n"/>
    </row>
    <row r="3764">
      <c r="B3764" s="30" t="n"/>
    </row>
    <row r="3765">
      <c r="B3765" s="30" t="n"/>
    </row>
    <row r="3766">
      <c r="B3766" s="30" t="n"/>
    </row>
    <row r="3767">
      <c r="B3767" s="30" t="n"/>
    </row>
    <row r="3768">
      <c r="B3768" s="30" t="n"/>
    </row>
    <row r="3769">
      <c r="B3769" s="30" t="n"/>
    </row>
    <row r="3770">
      <c r="B3770" s="30" t="n"/>
    </row>
    <row r="3771">
      <c r="B3771" s="30" t="n"/>
    </row>
    <row r="3772">
      <c r="B3772" s="30" t="n"/>
    </row>
    <row r="3773">
      <c r="B3773" s="30" t="n"/>
    </row>
    <row r="3774">
      <c r="B3774" s="30" t="n"/>
    </row>
    <row r="3775">
      <c r="B3775" s="30" t="n"/>
    </row>
    <row r="3776">
      <c r="B3776" s="30" t="n"/>
    </row>
    <row r="3777">
      <c r="B3777" s="30" t="n"/>
    </row>
    <row r="3778">
      <c r="B3778" s="30" t="n"/>
    </row>
    <row r="3779">
      <c r="B3779" s="30" t="n"/>
    </row>
    <row r="3780">
      <c r="B3780" s="30" t="n"/>
    </row>
    <row r="3781">
      <c r="B3781" s="30" t="n"/>
    </row>
    <row r="3782">
      <c r="B3782" s="30" t="n"/>
    </row>
    <row r="3783">
      <c r="B3783" s="30" t="n"/>
    </row>
    <row r="3784">
      <c r="B3784" s="30" t="n"/>
    </row>
    <row r="3785">
      <c r="B3785" s="30" t="n"/>
    </row>
    <row r="3786">
      <c r="B3786" s="30" t="n"/>
    </row>
    <row r="3787">
      <c r="B3787" s="30" t="n"/>
    </row>
    <row r="3788">
      <c r="B3788" s="30" t="n"/>
    </row>
    <row r="3789">
      <c r="B3789" s="30" t="n"/>
    </row>
    <row r="3790">
      <c r="B3790" s="30" t="n"/>
    </row>
    <row r="3791">
      <c r="B3791" s="30" t="n"/>
    </row>
    <row r="3792">
      <c r="B3792" s="30" t="n"/>
    </row>
    <row r="3793">
      <c r="B3793" s="30" t="n"/>
    </row>
    <row r="3794">
      <c r="B3794" s="30" t="n"/>
    </row>
    <row r="3795">
      <c r="B3795" s="30" t="n"/>
    </row>
    <row r="3796">
      <c r="B3796" s="30" t="n"/>
    </row>
    <row r="3797">
      <c r="B3797" s="30" t="n"/>
    </row>
    <row r="3798">
      <c r="B3798" s="30" t="n"/>
    </row>
    <row r="3799">
      <c r="B3799" s="30" t="n"/>
    </row>
    <row r="3800">
      <c r="B3800" s="30" t="n"/>
    </row>
    <row r="3801">
      <c r="B3801" s="30" t="n"/>
    </row>
    <row r="3802">
      <c r="B3802" s="30" t="n"/>
    </row>
    <row r="3803">
      <c r="B3803" s="30" t="n"/>
    </row>
    <row r="3804">
      <c r="B3804" s="30" t="n"/>
    </row>
    <row r="3805">
      <c r="B3805" s="30" t="n"/>
    </row>
    <row r="3806">
      <c r="B3806" s="30" t="n"/>
    </row>
    <row r="3807">
      <c r="B3807" s="30" t="n"/>
    </row>
    <row r="3808">
      <c r="B3808" s="30" t="n"/>
    </row>
    <row r="3809">
      <c r="B3809" s="30" t="n"/>
    </row>
    <row r="3810">
      <c r="B3810" s="30" t="n"/>
    </row>
    <row r="3811">
      <c r="B3811" s="30" t="n"/>
    </row>
    <row r="3812">
      <c r="B3812" s="30" t="n"/>
    </row>
    <row r="3813">
      <c r="B3813" s="30" t="n"/>
    </row>
    <row r="3814">
      <c r="B3814" s="30" t="n"/>
    </row>
    <row r="3815">
      <c r="B3815" s="30" t="n"/>
    </row>
    <row r="3816">
      <c r="B3816" s="30" t="n"/>
    </row>
    <row r="3817">
      <c r="B3817" s="30" t="n"/>
    </row>
    <row r="3818">
      <c r="B3818" s="30" t="n"/>
    </row>
    <row r="3819">
      <c r="B3819" s="30" t="n"/>
    </row>
    <row r="3820">
      <c r="B3820" s="30" t="n"/>
    </row>
    <row r="3821">
      <c r="B3821" s="30" t="n"/>
    </row>
    <row r="3822">
      <c r="B3822" s="30" t="n"/>
    </row>
    <row r="3823">
      <c r="B3823" s="30" t="n"/>
    </row>
    <row r="3824">
      <c r="B3824" s="30" t="n"/>
    </row>
    <row r="3825">
      <c r="B3825" s="30" t="n"/>
    </row>
    <row r="3826">
      <c r="B3826" s="30" t="n"/>
    </row>
    <row r="3827">
      <c r="B3827" s="30" t="n"/>
    </row>
    <row r="3828">
      <c r="B3828" s="30" t="n"/>
    </row>
    <row r="3829">
      <c r="B3829" s="30" t="n"/>
    </row>
    <row r="3830">
      <c r="B3830" s="30" t="n"/>
    </row>
    <row r="3831">
      <c r="B3831" s="30" t="n"/>
    </row>
    <row r="3832">
      <c r="B3832" s="30" t="n"/>
    </row>
    <row r="3833">
      <c r="B3833" s="30" t="n"/>
    </row>
    <row r="3834">
      <c r="B3834" s="30" t="n"/>
    </row>
    <row r="3835">
      <c r="B3835" s="30" t="n"/>
    </row>
    <row r="3836">
      <c r="B3836" s="30" t="n"/>
    </row>
    <row r="3837">
      <c r="B3837" s="30" t="n"/>
    </row>
    <row r="3838">
      <c r="B3838" s="30" t="n"/>
    </row>
    <row r="3839">
      <c r="B3839" s="30" t="n"/>
    </row>
    <row r="3840">
      <c r="B3840" s="30" t="n"/>
    </row>
    <row r="3841">
      <c r="B3841" s="30" t="n"/>
    </row>
    <row r="3842">
      <c r="B3842" s="30" t="n"/>
    </row>
    <row r="3843">
      <c r="B3843" s="30" t="n"/>
    </row>
    <row r="3844">
      <c r="B3844" s="30" t="n"/>
    </row>
    <row r="3845">
      <c r="B3845" s="30" t="n"/>
    </row>
    <row r="3846">
      <c r="B3846" s="30" t="n"/>
    </row>
    <row r="3847">
      <c r="B3847" s="30" t="n"/>
    </row>
    <row r="3848">
      <c r="B3848" s="30" t="n"/>
    </row>
    <row r="3849">
      <c r="B3849" s="30" t="n"/>
    </row>
    <row r="3850">
      <c r="B3850" s="30" t="n"/>
    </row>
    <row r="3851">
      <c r="B3851" s="30" t="n"/>
    </row>
    <row r="3852">
      <c r="B3852" s="30" t="n"/>
    </row>
    <row r="3853">
      <c r="B3853" s="30" t="n"/>
    </row>
    <row r="3854">
      <c r="B3854" s="30" t="n"/>
    </row>
    <row r="3855">
      <c r="B3855" s="30" t="n"/>
    </row>
    <row r="3856">
      <c r="B3856" s="30" t="n"/>
    </row>
    <row r="3857">
      <c r="B3857" s="30" t="n"/>
    </row>
    <row r="3858">
      <c r="B3858" s="30" t="n"/>
    </row>
    <row r="3859">
      <c r="B3859" s="30" t="n"/>
    </row>
    <row r="3860">
      <c r="B3860" s="30" t="n"/>
    </row>
    <row r="3861">
      <c r="B3861" s="30" t="n"/>
    </row>
    <row r="3862">
      <c r="B3862" s="30" t="n"/>
    </row>
    <row r="3863">
      <c r="B3863" s="30" t="n"/>
    </row>
    <row r="3864">
      <c r="B3864" s="30" t="n"/>
    </row>
    <row r="3865">
      <c r="B3865" s="30" t="n"/>
    </row>
    <row r="3866">
      <c r="B3866" s="30" t="n"/>
    </row>
    <row r="3867">
      <c r="B3867" s="30" t="n"/>
    </row>
    <row r="3868">
      <c r="B3868" s="30" t="n"/>
    </row>
    <row r="3869">
      <c r="B3869" s="30" t="n"/>
    </row>
    <row r="3870">
      <c r="B3870" s="30" t="n"/>
    </row>
    <row r="3871">
      <c r="B3871" s="30" t="n"/>
    </row>
    <row r="3872">
      <c r="B3872" s="30" t="n"/>
    </row>
    <row r="3873">
      <c r="B3873" s="30" t="n"/>
    </row>
    <row r="3874">
      <c r="B3874" s="30" t="n"/>
    </row>
    <row r="3875">
      <c r="B3875" s="30" t="n"/>
    </row>
    <row r="3876">
      <c r="B3876" s="30" t="n"/>
    </row>
    <row r="3877">
      <c r="B3877" s="30" t="n"/>
    </row>
    <row r="3878">
      <c r="B3878" s="30" t="n"/>
    </row>
    <row r="3879">
      <c r="B3879" s="30" t="n"/>
    </row>
    <row r="3880">
      <c r="B3880" s="30" t="n"/>
    </row>
    <row r="3881">
      <c r="B3881" s="30" t="n"/>
    </row>
    <row r="3882">
      <c r="B3882" s="30" t="n"/>
    </row>
    <row r="3883">
      <c r="B3883" s="30" t="n"/>
    </row>
    <row r="3884">
      <c r="B3884" s="30" t="n"/>
    </row>
    <row r="3885">
      <c r="B3885" s="30" t="n"/>
    </row>
    <row r="3886">
      <c r="B3886" s="30" t="n"/>
    </row>
    <row r="3887">
      <c r="B3887" s="30" t="n"/>
    </row>
    <row r="3888">
      <c r="B3888" s="30" t="n"/>
    </row>
    <row r="3889">
      <c r="B3889" s="30" t="n"/>
    </row>
    <row r="3890">
      <c r="B3890" s="30" t="n"/>
    </row>
    <row r="3891">
      <c r="B3891" s="30" t="n"/>
    </row>
    <row r="3892">
      <c r="B3892" s="30" t="n"/>
    </row>
    <row r="3893">
      <c r="B3893" s="30" t="n"/>
    </row>
    <row r="3894">
      <c r="B3894" s="30" t="n"/>
    </row>
    <row r="3895">
      <c r="B3895" s="30" t="n"/>
    </row>
    <row r="3896">
      <c r="B3896" s="30" t="n"/>
    </row>
    <row r="3897">
      <c r="B3897" s="30" t="n"/>
    </row>
    <row r="3898">
      <c r="B3898" s="30" t="n"/>
    </row>
    <row r="3899">
      <c r="B3899" s="30" t="n"/>
    </row>
    <row r="3900">
      <c r="B3900" s="30" t="n"/>
    </row>
    <row r="3901">
      <c r="B3901" s="30" t="n"/>
    </row>
    <row r="3902">
      <c r="B3902" s="30" t="n"/>
    </row>
    <row r="3903">
      <c r="B3903" s="30" t="n"/>
    </row>
    <row r="3904">
      <c r="B3904" s="30" t="n"/>
    </row>
    <row r="3905">
      <c r="B3905" s="30" t="n"/>
    </row>
    <row r="3906">
      <c r="B3906" s="30" t="n"/>
    </row>
    <row r="3907">
      <c r="B3907" s="30" t="n"/>
    </row>
    <row r="3908">
      <c r="B3908" s="30" t="n"/>
    </row>
    <row r="3909">
      <c r="B3909" s="30" t="n"/>
    </row>
    <row r="3910">
      <c r="B3910" s="30" t="n"/>
    </row>
    <row r="3911">
      <c r="B3911" s="30" t="n"/>
    </row>
    <row r="3912">
      <c r="B3912" s="30" t="n"/>
    </row>
    <row r="3913">
      <c r="B3913" s="30" t="n"/>
    </row>
    <row r="3914">
      <c r="B3914" s="30" t="n"/>
    </row>
    <row r="3915">
      <c r="B3915" s="30" t="n"/>
    </row>
    <row r="3916">
      <c r="B3916" s="30" t="n"/>
    </row>
    <row r="3917">
      <c r="B3917" s="30" t="n"/>
    </row>
    <row r="3918">
      <c r="B3918" s="30" t="n"/>
    </row>
    <row r="3919">
      <c r="B3919" s="30" t="n"/>
    </row>
    <row r="3920">
      <c r="B3920" s="30" t="n"/>
    </row>
    <row r="3921">
      <c r="B3921" s="30" t="n"/>
    </row>
    <row r="3922">
      <c r="B3922" s="30" t="n"/>
    </row>
    <row r="3923">
      <c r="B3923" s="30" t="n"/>
    </row>
    <row r="3924">
      <c r="B3924" s="30" t="n"/>
    </row>
    <row r="3925">
      <c r="B3925" s="30" t="n"/>
    </row>
    <row r="3926">
      <c r="B3926" s="30" t="n"/>
    </row>
    <row r="3927">
      <c r="B3927" s="30" t="n"/>
    </row>
    <row r="3928">
      <c r="B3928" s="30" t="n"/>
    </row>
    <row r="3929">
      <c r="B3929" s="30" t="n"/>
    </row>
    <row r="3930">
      <c r="B3930" s="30" t="n"/>
    </row>
    <row r="3931">
      <c r="B3931" s="30" t="n"/>
    </row>
    <row r="3932">
      <c r="B3932" s="30" t="n"/>
    </row>
    <row r="3933">
      <c r="B3933" s="30" t="n"/>
    </row>
    <row r="3934">
      <c r="B3934" s="30" t="n"/>
    </row>
    <row r="3935">
      <c r="B3935" s="30" t="n"/>
    </row>
    <row r="3936">
      <c r="B3936" s="30" t="n"/>
    </row>
    <row r="3937">
      <c r="B3937" s="30" t="n"/>
    </row>
    <row r="3938">
      <c r="B3938" s="30" t="n"/>
    </row>
    <row r="3939">
      <c r="B3939" s="30" t="n"/>
    </row>
    <row r="3940">
      <c r="B3940" s="30" t="n"/>
    </row>
    <row r="3941">
      <c r="B3941" s="30" t="n"/>
    </row>
    <row r="3942">
      <c r="B3942" s="30" t="n"/>
    </row>
    <row r="3943">
      <c r="B3943" s="30" t="n"/>
    </row>
    <row r="3944">
      <c r="B3944" s="30" t="n"/>
    </row>
    <row r="3945">
      <c r="B3945" s="30" t="n"/>
    </row>
    <row r="3946">
      <c r="B3946" s="30" t="n"/>
    </row>
    <row r="3947">
      <c r="B3947" s="30" t="n"/>
    </row>
    <row r="3948">
      <c r="B3948" s="30" t="n"/>
    </row>
    <row r="3949">
      <c r="B3949" s="30" t="n"/>
    </row>
    <row r="3950">
      <c r="B3950" s="30" t="n"/>
    </row>
    <row r="3951">
      <c r="B3951" s="30" t="n"/>
    </row>
    <row r="3952">
      <c r="B3952" s="30" t="n"/>
    </row>
    <row r="3953">
      <c r="B3953" s="30" t="n"/>
    </row>
    <row r="3954">
      <c r="B3954" s="30" t="n"/>
    </row>
    <row r="3955">
      <c r="B3955" s="30" t="n"/>
    </row>
    <row r="3956">
      <c r="B3956" s="30" t="n"/>
    </row>
    <row r="3957">
      <c r="B3957" s="30" t="n"/>
    </row>
    <row r="3958">
      <c r="B3958" s="30" t="n"/>
    </row>
    <row r="3959">
      <c r="B3959" s="30" t="n"/>
    </row>
    <row r="3960">
      <c r="B3960" s="30" t="n"/>
    </row>
    <row r="3961">
      <c r="B3961" s="30" t="n"/>
    </row>
    <row r="3962">
      <c r="B3962" s="30" t="n"/>
    </row>
    <row r="3963">
      <c r="B3963" s="30" t="n"/>
    </row>
    <row r="3964">
      <c r="B3964" s="30" t="n"/>
    </row>
    <row r="3965">
      <c r="B3965" s="30" t="n"/>
    </row>
    <row r="3966">
      <c r="B3966" s="30" t="n"/>
    </row>
    <row r="3967">
      <c r="B3967" s="30" t="n"/>
    </row>
    <row r="3968">
      <c r="B3968" s="30" t="n"/>
    </row>
    <row r="3969">
      <c r="B3969" s="30" t="n"/>
    </row>
    <row r="3970">
      <c r="B3970" s="30" t="n"/>
    </row>
    <row r="3971">
      <c r="B3971" s="30" t="n"/>
    </row>
    <row r="3972">
      <c r="B3972" s="30" t="n"/>
    </row>
    <row r="3973">
      <c r="B3973" s="30" t="n"/>
    </row>
    <row r="3974">
      <c r="B3974" s="30" t="n"/>
    </row>
    <row r="3975">
      <c r="B3975" s="30" t="n"/>
    </row>
    <row r="3976">
      <c r="B3976" s="30" t="n"/>
    </row>
    <row r="3977">
      <c r="B3977" s="30" t="n"/>
    </row>
    <row r="3978">
      <c r="B3978" s="30" t="n"/>
    </row>
    <row r="3979">
      <c r="B3979" s="30" t="n"/>
    </row>
    <row r="3980">
      <c r="B3980" s="30" t="n"/>
    </row>
    <row r="3981">
      <c r="B3981" s="30" t="n"/>
    </row>
    <row r="3982">
      <c r="B3982" s="30" t="n"/>
    </row>
    <row r="3983">
      <c r="B3983" s="30" t="n"/>
    </row>
    <row r="3984">
      <c r="B3984" s="30" t="n"/>
    </row>
    <row r="3985">
      <c r="B3985" s="30" t="n"/>
    </row>
    <row r="3986">
      <c r="B3986" s="30" t="n"/>
    </row>
    <row r="3987">
      <c r="B3987" s="30" t="n"/>
    </row>
    <row r="3988">
      <c r="B3988" s="30" t="n"/>
    </row>
    <row r="3989">
      <c r="B3989" s="30" t="n"/>
    </row>
    <row r="3990">
      <c r="B3990" s="30" t="n"/>
    </row>
    <row r="3991">
      <c r="B3991" s="30" t="n"/>
    </row>
    <row r="3992">
      <c r="B3992" s="30" t="n"/>
    </row>
    <row r="3993">
      <c r="B3993" s="30" t="n"/>
    </row>
    <row r="3994">
      <c r="B3994" s="30" t="n"/>
    </row>
    <row r="3995">
      <c r="B3995" s="30" t="n"/>
    </row>
    <row r="3996">
      <c r="B3996" s="30" t="n"/>
    </row>
    <row r="3997">
      <c r="B3997" s="30" t="n"/>
    </row>
    <row r="3998">
      <c r="B3998" s="30" t="n"/>
    </row>
    <row r="3999">
      <c r="B3999" s="30" t="n"/>
    </row>
    <row r="4000">
      <c r="B4000" s="30" t="n"/>
    </row>
    <row r="4001">
      <c r="B4001" s="30" t="n"/>
    </row>
    <row r="4002">
      <c r="B4002" s="30" t="n"/>
    </row>
    <row r="4003">
      <c r="B4003" s="30" t="n"/>
    </row>
    <row r="4004">
      <c r="B4004" s="30" t="n"/>
    </row>
    <row r="4005">
      <c r="B4005" s="30" t="n"/>
    </row>
    <row r="4006">
      <c r="B4006" s="30" t="n"/>
    </row>
    <row r="4007">
      <c r="B4007" s="30" t="n"/>
    </row>
    <row r="4008">
      <c r="B4008" s="30" t="n"/>
    </row>
    <row r="4009">
      <c r="B4009" s="30" t="n"/>
    </row>
    <row r="4010">
      <c r="B4010" s="30" t="n"/>
    </row>
    <row r="4011">
      <c r="B4011" s="30" t="n"/>
    </row>
    <row r="4012">
      <c r="B4012" s="30" t="n"/>
    </row>
    <row r="4013">
      <c r="B4013" s="30" t="n"/>
    </row>
    <row r="4014">
      <c r="B4014" s="30" t="n"/>
    </row>
    <row r="4015">
      <c r="B4015" s="30" t="n"/>
    </row>
    <row r="4016">
      <c r="B4016" s="30" t="n"/>
    </row>
    <row r="4017">
      <c r="B4017" s="30" t="n"/>
    </row>
    <row r="4018">
      <c r="B4018" s="30" t="n"/>
    </row>
    <row r="4019">
      <c r="B4019" s="30" t="n"/>
    </row>
    <row r="4020">
      <c r="B4020" s="30" t="n"/>
    </row>
    <row r="4021">
      <c r="B4021" s="30" t="n"/>
    </row>
    <row r="4022">
      <c r="B4022" s="30" t="n"/>
    </row>
    <row r="4023">
      <c r="B4023" s="30" t="n"/>
    </row>
    <row r="4024">
      <c r="B4024" s="30" t="n"/>
    </row>
    <row r="4025">
      <c r="B4025" s="30" t="n"/>
    </row>
    <row r="4026">
      <c r="B4026" s="30" t="n"/>
    </row>
    <row r="4027">
      <c r="B4027" s="30" t="n"/>
    </row>
    <row r="4028">
      <c r="B4028" s="30" t="n"/>
    </row>
    <row r="4029">
      <c r="B4029" s="30" t="n"/>
    </row>
    <row r="4030">
      <c r="B4030" s="30" t="n"/>
    </row>
    <row r="4031">
      <c r="B4031" s="30" t="n"/>
    </row>
    <row r="4032">
      <c r="B4032" s="30" t="n"/>
    </row>
    <row r="4033">
      <c r="B4033" s="30" t="n"/>
    </row>
    <row r="4034">
      <c r="B4034" s="30" t="n"/>
    </row>
    <row r="4035">
      <c r="B4035" s="30" t="n"/>
    </row>
    <row r="4036">
      <c r="B4036" s="30" t="n"/>
    </row>
    <row r="4037">
      <c r="B4037" s="30" t="n"/>
    </row>
    <row r="4038">
      <c r="B4038" s="30" t="n"/>
    </row>
    <row r="4039">
      <c r="B4039" s="30" t="n"/>
    </row>
    <row r="4040">
      <c r="B4040" s="30" t="n"/>
    </row>
    <row r="4041">
      <c r="B4041" s="30" t="n"/>
    </row>
    <row r="4042">
      <c r="B4042" s="30" t="n"/>
    </row>
    <row r="4043">
      <c r="B4043" s="30" t="n"/>
    </row>
    <row r="4044">
      <c r="B4044" s="30" t="n"/>
    </row>
    <row r="4045">
      <c r="B4045" s="30" t="n"/>
    </row>
    <row r="4046">
      <c r="B4046" s="30" t="n"/>
    </row>
    <row r="4047">
      <c r="B4047" s="30" t="n"/>
    </row>
    <row r="4048">
      <c r="B4048" s="30" t="n"/>
    </row>
    <row r="4049">
      <c r="B4049" s="30" t="n"/>
    </row>
    <row r="4050">
      <c r="B4050" s="30" t="n"/>
    </row>
    <row r="4051">
      <c r="B4051" s="30" t="n"/>
    </row>
    <row r="4052">
      <c r="B4052" s="30" t="n"/>
    </row>
    <row r="4053">
      <c r="B4053" s="30" t="n"/>
    </row>
    <row r="4054">
      <c r="B4054" s="30" t="n"/>
    </row>
    <row r="4055">
      <c r="B4055" s="30" t="n"/>
    </row>
    <row r="4056">
      <c r="B4056" s="30" t="n"/>
    </row>
    <row r="4057">
      <c r="B4057" s="30" t="n"/>
    </row>
    <row r="4058">
      <c r="B4058" s="30" t="n"/>
    </row>
    <row r="4059">
      <c r="B4059" s="30" t="n"/>
    </row>
    <row r="4060">
      <c r="B4060" s="30" t="n"/>
    </row>
    <row r="4061">
      <c r="B4061" s="30" t="n"/>
    </row>
    <row r="4062">
      <c r="B4062" s="30" t="n"/>
    </row>
    <row r="4063">
      <c r="B4063" s="30" t="n"/>
    </row>
    <row r="4064">
      <c r="B4064" s="30" t="n"/>
    </row>
    <row r="4065">
      <c r="B4065" s="30" t="n"/>
    </row>
    <row r="4066">
      <c r="B4066" s="30" t="n"/>
    </row>
    <row r="4067">
      <c r="B4067" s="30" t="n"/>
    </row>
    <row r="4068">
      <c r="B4068" s="30" t="n"/>
    </row>
    <row r="4069">
      <c r="B4069" s="30" t="n"/>
    </row>
    <row r="4070">
      <c r="B4070" s="30" t="n"/>
    </row>
    <row r="4071">
      <c r="B4071" s="30" t="n"/>
    </row>
    <row r="4072">
      <c r="B4072" s="30" t="n"/>
    </row>
    <row r="4073">
      <c r="B4073" s="30" t="n"/>
    </row>
    <row r="4074">
      <c r="B4074" s="30" t="n"/>
    </row>
    <row r="4075">
      <c r="B4075" s="30" t="n"/>
    </row>
    <row r="4076">
      <c r="B4076" s="30" t="n"/>
    </row>
    <row r="4077">
      <c r="B4077" s="30" t="n"/>
    </row>
    <row r="4078">
      <c r="B4078" s="30" t="n"/>
    </row>
    <row r="4079">
      <c r="B4079" s="30" t="n"/>
    </row>
    <row r="4080">
      <c r="B4080" s="30" t="n"/>
    </row>
    <row r="4081">
      <c r="B4081" s="30" t="n"/>
    </row>
    <row r="4082">
      <c r="B4082" s="30" t="n"/>
    </row>
    <row r="4083">
      <c r="B4083" s="30" t="n"/>
    </row>
    <row r="4084">
      <c r="B4084" s="30" t="n"/>
    </row>
    <row r="4085">
      <c r="B4085" s="30" t="n"/>
    </row>
    <row r="4086">
      <c r="B4086" s="30" t="n"/>
    </row>
    <row r="4087">
      <c r="B4087" s="30" t="n"/>
    </row>
    <row r="4088">
      <c r="B4088" s="30" t="n"/>
    </row>
    <row r="4089">
      <c r="B4089" s="30" t="n"/>
    </row>
    <row r="4090">
      <c r="B4090" s="30" t="n"/>
    </row>
    <row r="4091">
      <c r="B4091" s="30" t="n"/>
    </row>
    <row r="4092">
      <c r="B4092" s="30" t="n"/>
    </row>
    <row r="4093">
      <c r="B4093" s="30" t="n"/>
    </row>
    <row r="4094">
      <c r="B4094" s="30" t="n"/>
    </row>
    <row r="4095">
      <c r="B4095" s="30" t="n"/>
    </row>
    <row r="4096">
      <c r="B4096" s="30" t="n"/>
    </row>
    <row r="4097">
      <c r="B4097" s="30" t="n"/>
    </row>
    <row r="4098">
      <c r="B4098" s="30" t="n"/>
    </row>
    <row r="4099">
      <c r="B4099" s="30" t="n"/>
    </row>
    <row r="4100">
      <c r="B4100" s="30" t="n"/>
    </row>
    <row r="4101">
      <c r="B4101" s="30" t="n"/>
    </row>
    <row r="4102">
      <c r="B4102" s="30" t="n"/>
    </row>
    <row r="4103">
      <c r="B4103" s="30" t="n"/>
    </row>
    <row r="4104">
      <c r="B4104" s="30" t="n"/>
    </row>
    <row r="4105">
      <c r="B4105" s="30" t="n"/>
    </row>
    <row r="4106">
      <c r="B4106" s="30" t="n"/>
    </row>
    <row r="4107">
      <c r="B4107" s="30" t="n"/>
    </row>
    <row r="4108">
      <c r="B4108" s="30" t="n"/>
    </row>
    <row r="4109">
      <c r="B4109" s="30" t="n"/>
    </row>
    <row r="4110">
      <c r="B4110" s="30" t="n"/>
    </row>
    <row r="4111">
      <c r="B4111" s="30" t="n"/>
    </row>
    <row r="4112">
      <c r="B4112" s="30" t="n"/>
    </row>
    <row r="4113">
      <c r="B4113" s="30" t="n"/>
    </row>
    <row r="4114">
      <c r="B4114" s="30" t="n"/>
    </row>
    <row r="4115">
      <c r="B4115" s="30" t="n"/>
    </row>
    <row r="4116">
      <c r="B4116" s="30" t="n"/>
    </row>
    <row r="4117">
      <c r="B4117" s="30" t="n"/>
    </row>
    <row r="4118">
      <c r="B4118" s="30" t="n"/>
    </row>
    <row r="4119">
      <c r="B4119" s="30" t="n"/>
    </row>
    <row r="4120">
      <c r="B4120" s="30" t="n"/>
    </row>
    <row r="4121">
      <c r="B4121" s="30" t="n"/>
    </row>
    <row r="4122">
      <c r="B4122" s="30" t="n"/>
    </row>
    <row r="4123">
      <c r="B4123" s="30" t="n"/>
    </row>
    <row r="4124">
      <c r="B4124" s="30" t="n"/>
    </row>
    <row r="4125">
      <c r="B4125" s="30" t="n"/>
    </row>
    <row r="4126">
      <c r="B4126" s="30" t="n"/>
    </row>
    <row r="4127">
      <c r="B4127" s="30" t="n"/>
    </row>
    <row r="4128">
      <c r="B4128" s="30" t="n"/>
    </row>
    <row r="4129">
      <c r="B4129" s="30" t="n"/>
    </row>
    <row r="4130">
      <c r="B4130" s="30" t="n"/>
    </row>
    <row r="4131">
      <c r="B4131" s="30" t="n"/>
    </row>
    <row r="4132">
      <c r="B4132" s="30" t="n"/>
    </row>
    <row r="4133">
      <c r="B4133" s="30" t="n"/>
    </row>
    <row r="4134">
      <c r="B4134" s="30" t="n"/>
    </row>
    <row r="4135">
      <c r="B4135" s="30" t="n"/>
    </row>
    <row r="4136">
      <c r="B4136" s="30" t="n"/>
    </row>
    <row r="4137">
      <c r="B4137" s="30" t="n"/>
    </row>
    <row r="4138">
      <c r="B4138" s="30" t="n"/>
    </row>
    <row r="4139">
      <c r="B4139" s="30" t="n"/>
    </row>
    <row r="4140">
      <c r="B4140" s="30" t="n"/>
    </row>
    <row r="4141">
      <c r="B4141" s="30" t="n"/>
    </row>
    <row r="4142">
      <c r="B4142" s="30" t="n"/>
    </row>
    <row r="4143">
      <c r="B4143" s="30" t="n"/>
    </row>
    <row r="4144">
      <c r="B4144" s="30" t="n"/>
    </row>
    <row r="4145">
      <c r="B4145" s="30" t="n"/>
    </row>
    <row r="4146">
      <c r="B4146" s="30" t="n"/>
    </row>
    <row r="4147">
      <c r="B4147" s="30" t="n"/>
    </row>
    <row r="4148">
      <c r="B4148" s="30" t="n"/>
    </row>
    <row r="4149">
      <c r="B4149" s="30" t="n"/>
    </row>
    <row r="4150">
      <c r="B4150" s="30" t="n"/>
    </row>
    <row r="4151">
      <c r="B4151" s="30" t="n"/>
    </row>
    <row r="4152">
      <c r="B4152" s="30" t="n"/>
    </row>
    <row r="4153">
      <c r="B4153" s="30" t="n"/>
    </row>
    <row r="4154">
      <c r="B4154" s="30" t="n"/>
    </row>
    <row r="4155">
      <c r="B4155" s="30" t="n"/>
    </row>
    <row r="4156">
      <c r="B4156" s="30" t="n"/>
    </row>
    <row r="4157">
      <c r="B4157" s="30" t="n"/>
    </row>
    <row r="4158">
      <c r="B4158" s="30" t="n"/>
    </row>
    <row r="4159">
      <c r="B4159" s="30" t="n"/>
    </row>
    <row r="4160">
      <c r="B4160" s="30" t="n"/>
    </row>
    <row r="4161">
      <c r="B4161" s="30" t="n"/>
    </row>
    <row r="4162">
      <c r="B4162" s="30" t="n"/>
    </row>
    <row r="4163">
      <c r="B4163" s="30" t="n"/>
    </row>
    <row r="4164">
      <c r="B4164" s="30" t="n"/>
    </row>
    <row r="4165">
      <c r="B4165" s="30" t="n"/>
    </row>
    <row r="4166">
      <c r="B4166" s="30" t="n"/>
    </row>
    <row r="4167">
      <c r="B4167" s="30" t="n"/>
    </row>
    <row r="4168">
      <c r="B4168" s="30" t="n"/>
    </row>
    <row r="4169">
      <c r="B4169" s="30" t="n"/>
    </row>
    <row r="4170">
      <c r="B4170" s="30" t="n"/>
    </row>
    <row r="4171">
      <c r="B4171" s="30" t="n"/>
    </row>
    <row r="4172">
      <c r="B4172" s="30" t="n"/>
    </row>
    <row r="4173">
      <c r="B4173" s="30" t="n"/>
    </row>
    <row r="4174">
      <c r="B4174" s="30" t="n"/>
    </row>
    <row r="4175">
      <c r="B4175" s="30" t="n"/>
    </row>
    <row r="4176">
      <c r="B4176" s="30" t="n"/>
    </row>
    <row r="4177">
      <c r="B4177" s="30" t="n"/>
    </row>
    <row r="4178">
      <c r="B4178" s="30" t="n"/>
    </row>
    <row r="4179">
      <c r="B4179" s="30" t="n"/>
    </row>
    <row r="4180">
      <c r="B4180" s="30" t="n"/>
    </row>
    <row r="4181">
      <c r="B4181" s="30" t="n"/>
    </row>
    <row r="4182">
      <c r="B4182" s="30" t="n"/>
    </row>
    <row r="4183">
      <c r="B4183" s="30" t="n"/>
    </row>
    <row r="4184">
      <c r="B4184" s="30" t="n"/>
    </row>
    <row r="4185">
      <c r="B4185" s="30" t="n"/>
    </row>
    <row r="4186">
      <c r="B4186" s="30" t="n"/>
    </row>
    <row r="4187">
      <c r="B4187" s="30" t="n"/>
    </row>
    <row r="4188">
      <c r="B4188" s="30" t="n"/>
    </row>
    <row r="4189">
      <c r="B4189" s="30" t="n"/>
    </row>
    <row r="4190">
      <c r="B4190" s="30" t="n"/>
    </row>
    <row r="4191">
      <c r="B4191" s="30" t="n"/>
    </row>
    <row r="4192">
      <c r="B4192" s="30" t="n"/>
    </row>
    <row r="4193">
      <c r="B4193" s="30" t="n"/>
    </row>
    <row r="4194">
      <c r="B4194" s="30" t="n"/>
    </row>
    <row r="4195">
      <c r="B4195" s="30" t="n"/>
    </row>
    <row r="4196">
      <c r="B4196" s="30" t="n"/>
    </row>
    <row r="4197">
      <c r="B4197" s="30" t="n"/>
    </row>
    <row r="4198">
      <c r="B4198" s="30" t="n"/>
    </row>
    <row r="4199">
      <c r="B4199" s="30" t="n"/>
    </row>
    <row r="4200">
      <c r="B4200" s="30" t="n"/>
    </row>
    <row r="4201">
      <c r="B4201" s="30" t="n"/>
    </row>
    <row r="4202">
      <c r="B4202" s="30" t="n"/>
    </row>
    <row r="4203">
      <c r="B4203" s="30" t="n"/>
    </row>
    <row r="4204">
      <c r="B4204" s="30" t="n"/>
    </row>
    <row r="4205">
      <c r="B4205" s="30" t="n"/>
    </row>
    <row r="4206">
      <c r="B4206" s="30" t="n"/>
    </row>
    <row r="4207">
      <c r="B4207" s="30" t="n"/>
    </row>
    <row r="4208">
      <c r="B4208" s="30" t="n"/>
    </row>
    <row r="4209">
      <c r="B4209" s="30" t="n"/>
    </row>
    <row r="4210">
      <c r="B4210" s="30" t="n"/>
    </row>
    <row r="4211">
      <c r="B4211" s="30" t="n"/>
    </row>
    <row r="4212">
      <c r="B4212" s="30" t="n"/>
    </row>
    <row r="4213">
      <c r="B4213" s="30" t="n"/>
    </row>
    <row r="4214">
      <c r="B4214" s="30" t="n"/>
    </row>
    <row r="4215">
      <c r="B4215" s="30" t="n"/>
    </row>
    <row r="4216">
      <c r="B4216" s="30" t="n"/>
    </row>
    <row r="4217">
      <c r="B4217" s="30" t="n"/>
    </row>
    <row r="4218">
      <c r="B4218" s="30" t="n"/>
    </row>
    <row r="4219">
      <c r="B4219" s="30" t="n"/>
    </row>
    <row r="4220">
      <c r="B4220" s="30" t="n"/>
    </row>
    <row r="4221">
      <c r="B4221" s="30" t="n"/>
    </row>
    <row r="4222">
      <c r="B4222" s="30" t="n"/>
    </row>
    <row r="4223">
      <c r="B4223" s="30" t="n"/>
    </row>
    <row r="4224">
      <c r="B4224" s="30" t="n"/>
    </row>
    <row r="4225">
      <c r="B4225" s="30" t="n"/>
    </row>
    <row r="4226">
      <c r="B4226" s="30" t="n"/>
    </row>
    <row r="4227">
      <c r="B4227" s="30" t="n"/>
    </row>
    <row r="4228">
      <c r="B4228" s="30" t="n"/>
    </row>
    <row r="4229">
      <c r="B4229" s="30" t="n"/>
    </row>
    <row r="4230">
      <c r="B4230" s="30" t="n"/>
    </row>
    <row r="4231">
      <c r="B4231" s="30" t="n"/>
    </row>
    <row r="4232">
      <c r="B4232" s="30" t="n"/>
    </row>
    <row r="4233">
      <c r="B4233" s="30" t="n"/>
    </row>
    <row r="4234">
      <c r="B4234" s="30" t="n"/>
    </row>
    <row r="4235">
      <c r="B4235" s="30" t="n"/>
    </row>
    <row r="4236">
      <c r="B4236" s="30" t="n"/>
    </row>
    <row r="4237">
      <c r="B4237" s="30" t="n"/>
    </row>
    <row r="4238">
      <c r="B4238" s="30" t="n"/>
    </row>
    <row r="4239">
      <c r="B4239" s="30" t="n"/>
    </row>
    <row r="4240">
      <c r="B4240" s="30" t="n"/>
    </row>
    <row r="4241">
      <c r="B4241" s="30" t="n"/>
    </row>
    <row r="4242">
      <c r="B4242" s="30" t="n"/>
    </row>
    <row r="4243">
      <c r="B4243" s="30" t="n"/>
    </row>
    <row r="4244">
      <c r="B4244" s="30" t="n"/>
    </row>
    <row r="4245">
      <c r="B4245" s="30" t="n"/>
    </row>
    <row r="4246">
      <c r="B4246" s="30" t="n"/>
    </row>
    <row r="4247">
      <c r="B4247" s="30" t="n"/>
    </row>
    <row r="4248">
      <c r="B4248" s="30" t="n"/>
    </row>
    <row r="4249">
      <c r="B4249" s="30" t="n"/>
    </row>
    <row r="4250">
      <c r="B4250" s="30" t="n"/>
    </row>
    <row r="4251">
      <c r="B4251" s="30" t="n"/>
    </row>
    <row r="4252">
      <c r="B4252" s="30" t="n"/>
    </row>
    <row r="4253">
      <c r="B4253" s="30" t="n"/>
    </row>
    <row r="4254">
      <c r="B4254" s="30" t="n"/>
    </row>
    <row r="4255">
      <c r="B4255" s="30" t="n"/>
    </row>
    <row r="4256">
      <c r="B4256" s="30" t="n"/>
    </row>
    <row r="4257">
      <c r="B4257" s="30" t="n"/>
    </row>
    <row r="4258">
      <c r="B4258" s="30" t="n"/>
    </row>
    <row r="4259">
      <c r="B4259" s="30" t="n"/>
    </row>
    <row r="4260">
      <c r="B4260" s="30" t="n"/>
    </row>
    <row r="4261">
      <c r="B4261" s="30" t="n"/>
    </row>
    <row r="4262">
      <c r="B4262" s="30" t="n"/>
    </row>
    <row r="4263">
      <c r="B4263" s="30" t="n"/>
    </row>
    <row r="4264">
      <c r="B4264" s="30" t="n"/>
    </row>
    <row r="4265">
      <c r="B4265" s="30" t="n"/>
    </row>
    <row r="4266">
      <c r="B4266" s="30" t="n"/>
    </row>
    <row r="4267">
      <c r="B4267" s="30" t="n"/>
    </row>
    <row r="4268">
      <c r="B4268" s="30" t="n"/>
    </row>
    <row r="4269">
      <c r="B4269" s="30" t="n"/>
    </row>
    <row r="4270">
      <c r="B4270" s="30" t="n"/>
    </row>
    <row r="4271">
      <c r="B4271" s="30" t="n"/>
    </row>
    <row r="4272">
      <c r="B4272" s="30" t="n"/>
    </row>
    <row r="4273">
      <c r="B4273" s="30" t="n"/>
    </row>
    <row r="4274">
      <c r="B4274" s="30" t="n"/>
    </row>
    <row r="4275">
      <c r="B4275" s="30" t="n"/>
    </row>
    <row r="4276">
      <c r="B4276" s="30" t="n"/>
    </row>
    <row r="4277">
      <c r="B4277" s="30" t="n"/>
    </row>
    <row r="4278">
      <c r="B4278" s="30" t="n"/>
    </row>
    <row r="4279">
      <c r="B4279" s="30" t="n"/>
    </row>
    <row r="4280">
      <c r="B4280" s="30" t="n"/>
    </row>
    <row r="4281">
      <c r="B4281" s="30" t="n"/>
    </row>
    <row r="4282">
      <c r="B4282" s="30" t="n"/>
    </row>
    <row r="4283">
      <c r="B4283" s="30" t="n"/>
    </row>
    <row r="4284">
      <c r="B4284" s="30" t="n"/>
    </row>
    <row r="4285">
      <c r="B4285" s="30" t="n"/>
    </row>
    <row r="4286">
      <c r="B4286" s="30" t="n"/>
    </row>
    <row r="4287">
      <c r="B4287" s="30" t="n"/>
    </row>
    <row r="4288">
      <c r="B4288" s="30" t="n"/>
    </row>
    <row r="4289">
      <c r="B4289" s="30" t="n"/>
    </row>
    <row r="4290">
      <c r="B4290" s="30" t="n"/>
    </row>
    <row r="4291">
      <c r="B4291" s="30" t="n"/>
    </row>
    <row r="4292">
      <c r="B4292" s="30" t="n"/>
    </row>
    <row r="4293">
      <c r="B4293" s="30" t="n"/>
    </row>
    <row r="4294">
      <c r="B4294" s="30" t="n"/>
    </row>
    <row r="4295">
      <c r="B4295" s="30" t="n"/>
    </row>
    <row r="4296">
      <c r="B4296" s="30" t="n"/>
    </row>
    <row r="4297">
      <c r="B4297" s="30" t="n"/>
    </row>
    <row r="4298">
      <c r="B4298" s="30" t="n"/>
    </row>
    <row r="4299">
      <c r="B4299" s="30" t="n"/>
    </row>
    <row r="4300">
      <c r="B4300" s="30" t="n"/>
    </row>
    <row r="4301">
      <c r="B4301" s="30" t="n"/>
    </row>
    <row r="4302">
      <c r="B4302" s="30" t="n"/>
    </row>
    <row r="4303">
      <c r="B4303" s="30" t="n"/>
    </row>
    <row r="4304">
      <c r="B4304" s="30" t="n"/>
    </row>
    <row r="4305">
      <c r="B4305" s="30" t="n"/>
    </row>
    <row r="4306">
      <c r="B4306" s="30" t="n"/>
    </row>
    <row r="4307">
      <c r="B4307" s="30" t="n"/>
    </row>
    <row r="4308">
      <c r="B4308" s="30" t="n"/>
    </row>
    <row r="4309">
      <c r="B4309" s="30" t="n"/>
    </row>
    <row r="4310">
      <c r="B4310" s="30" t="n"/>
    </row>
    <row r="4311">
      <c r="B4311" s="30" t="n"/>
    </row>
    <row r="4312">
      <c r="B4312" s="30" t="n"/>
    </row>
    <row r="4313">
      <c r="B4313" s="30" t="n"/>
    </row>
    <row r="4314">
      <c r="B4314" s="30" t="n"/>
    </row>
    <row r="4315">
      <c r="B4315" s="30" t="n"/>
    </row>
    <row r="4316">
      <c r="B4316" s="30" t="n"/>
    </row>
    <row r="4317">
      <c r="B4317" s="30" t="n"/>
    </row>
    <row r="4318">
      <c r="B4318" s="30" t="n"/>
    </row>
    <row r="4319">
      <c r="B4319" s="30" t="n"/>
    </row>
    <row r="4320">
      <c r="B4320" s="30" t="n"/>
    </row>
    <row r="4321">
      <c r="B4321" s="30" t="n"/>
    </row>
    <row r="4322">
      <c r="B4322" s="30" t="n"/>
    </row>
    <row r="4323">
      <c r="B4323" s="30" t="n"/>
    </row>
    <row r="4324">
      <c r="B4324" s="30" t="n"/>
    </row>
    <row r="4325">
      <c r="B4325" s="30" t="n"/>
    </row>
    <row r="4326">
      <c r="B4326" s="30" t="n"/>
    </row>
    <row r="4327">
      <c r="B4327" s="30" t="n"/>
    </row>
    <row r="4328">
      <c r="B4328" s="30" t="n"/>
    </row>
    <row r="4329">
      <c r="B4329" s="30" t="n"/>
    </row>
    <row r="4330">
      <c r="B4330" s="30" t="n"/>
    </row>
    <row r="4331">
      <c r="B4331" s="30" t="n"/>
    </row>
    <row r="4332">
      <c r="B4332" s="30" t="n"/>
    </row>
    <row r="4333">
      <c r="B4333" s="30" t="n"/>
    </row>
    <row r="4334">
      <c r="B4334" s="30" t="n"/>
    </row>
    <row r="4335">
      <c r="B4335" s="30" t="n"/>
    </row>
    <row r="4336">
      <c r="B4336" s="30" t="n"/>
    </row>
    <row r="4337">
      <c r="B4337" s="30" t="n"/>
    </row>
    <row r="4338">
      <c r="B4338" s="30" t="n"/>
    </row>
    <row r="4339">
      <c r="B4339" s="30" t="n"/>
    </row>
    <row r="4340">
      <c r="B4340" s="30" t="n"/>
    </row>
    <row r="4341">
      <c r="B4341" s="30" t="n"/>
    </row>
    <row r="4342">
      <c r="B4342" s="30" t="n"/>
    </row>
    <row r="4343">
      <c r="B4343" s="30" t="n"/>
    </row>
    <row r="4344">
      <c r="B4344" s="30" t="n"/>
    </row>
    <row r="4345">
      <c r="B4345" s="30" t="n"/>
    </row>
    <row r="4346">
      <c r="B4346" s="30" t="n"/>
    </row>
    <row r="4347">
      <c r="B4347" s="30" t="n"/>
    </row>
    <row r="4348">
      <c r="B4348" s="30" t="n"/>
    </row>
    <row r="4349">
      <c r="B4349" s="30" t="n"/>
    </row>
    <row r="4350">
      <c r="B4350" s="30" t="n"/>
    </row>
    <row r="4351">
      <c r="B4351" s="30" t="n"/>
    </row>
    <row r="4352">
      <c r="B4352" s="30" t="n"/>
    </row>
    <row r="4353">
      <c r="B4353" s="30" t="n"/>
    </row>
    <row r="4354">
      <c r="B4354" s="30" t="n"/>
    </row>
    <row r="4355">
      <c r="B4355" s="30" t="n"/>
    </row>
    <row r="4356">
      <c r="B4356" s="30" t="n"/>
    </row>
    <row r="4357">
      <c r="B4357" s="30" t="n"/>
    </row>
    <row r="4358">
      <c r="B4358" s="30" t="n"/>
    </row>
    <row r="4359">
      <c r="B4359" s="30" t="n"/>
    </row>
    <row r="4360">
      <c r="B4360" s="30" t="n"/>
    </row>
    <row r="4361">
      <c r="B4361" s="30" t="n"/>
    </row>
    <row r="4362">
      <c r="B4362" s="30" t="n"/>
    </row>
    <row r="4363">
      <c r="B4363" s="30" t="n"/>
    </row>
    <row r="4364">
      <c r="B4364" s="30" t="n"/>
    </row>
    <row r="4365">
      <c r="B4365" s="30" t="n"/>
    </row>
    <row r="4366">
      <c r="B4366" s="30" t="n"/>
    </row>
    <row r="4367">
      <c r="B4367" s="30" t="n"/>
    </row>
    <row r="4368">
      <c r="B4368" s="30" t="n"/>
    </row>
    <row r="4369">
      <c r="B4369" s="30" t="n"/>
    </row>
    <row r="4370">
      <c r="B4370" s="30" t="n"/>
    </row>
    <row r="4371">
      <c r="B4371" s="30" t="n"/>
    </row>
    <row r="4372">
      <c r="B4372" s="30" t="n"/>
    </row>
    <row r="4373">
      <c r="B4373" s="30" t="n"/>
    </row>
    <row r="4374">
      <c r="B4374" s="30" t="n"/>
    </row>
    <row r="4375">
      <c r="B4375" s="30" t="n"/>
    </row>
    <row r="4376">
      <c r="B4376" s="30" t="n"/>
    </row>
    <row r="4377">
      <c r="B4377" s="30" t="n"/>
    </row>
    <row r="4378">
      <c r="B4378" s="30" t="n"/>
    </row>
    <row r="4379">
      <c r="B4379" s="30" t="n"/>
    </row>
    <row r="4380">
      <c r="B4380" s="30" t="n"/>
    </row>
    <row r="4381">
      <c r="B4381" s="30" t="n"/>
    </row>
    <row r="4382">
      <c r="B4382" s="30" t="n"/>
    </row>
    <row r="4383">
      <c r="B4383" s="30" t="n"/>
    </row>
    <row r="4384">
      <c r="B4384" s="30" t="n"/>
    </row>
    <row r="4385">
      <c r="B4385" s="30" t="n"/>
    </row>
    <row r="4386">
      <c r="B4386" s="30" t="n"/>
    </row>
    <row r="4387">
      <c r="B4387" s="30" t="n"/>
    </row>
    <row r="4388">
      <c r="B4388" s="30" t="n"/>
    </row>
    <row r="4389">
      <c r="B4389" s="30" t="n"/>
    </row>
    <row r="4390">
      <c r="B4390" s="30" t="n"/>
    </row>
    <row r="4391">
      <c r="B4391" s="30" t="n"/>
    </row>
    <row r="4392">
      <c r="B4392" s="30" t="n"/>
    </row>
    <row r="4393">
      <c r="B4393" s="30" t="n"/>
    </row>
    <row r="4394">
      <c r="B4394" s="30" t="n"/>
    </row>
    <row r="4395">
      <c r="B4395" s="30" t="n"/>
    </row>
    <row r="4396">
      <c r="B4396" s="30" t="n"/>
    </row>
    <row r="4397">
      <c r="B4397" s="30" t="n"/>
    </row>
    <row r="4398">
      <c r="B4398" s="30" t="n"/>
    </row>
    <row r="4399">
      <c r="B4399" s="30" t="n"/>
    </row>
    <row r="4400">
      <c r="B4400" s="30" t="n"/>
    </row>
    <row r="4401">
      <c r="B4401" s="30" t="n"/>
    </row>
    <row r="4402">
      <c r="B4402" s="30" t="n"/>
    </row>
    <row r="4403">
      <c r="B4403" s="30" t="n"/>
    </row>
    <row r="4404">
      <c r="B4404" s="30" t="n"/>
    </row>
    <row r="4405">
      <c r="B4405" s="30" t="n"/>
    </row>
    <row r="4406">
      <c r="B4406" s="30" t="n"/>
    </row>
    <row r="4407">
      <c r="B4407" s="30" t="n"/>
    </row>
    <row r="4408">
      <c r="B4408" s="30" t="n"/>
    </row>
    <row r="4409">
      <c r="B4409" s="30" t="n"/>
    </row>
    <row r="4410">
      <c r="B4410" s="30" t="n"/>
    </row>
    <row r="4411">
      <c r="B4411" s="30" t="n"/>
    </row>
    <row r="4412">
      <c r="B4412" s="30" t="n"/>
    </row>
    <row r="4413">
      <c r="B4413" s="30" t="n"/>
    </row>
    <row r="4414">
      <c r="B4414" s="30" t="n"/>
    </row>
    <row r="4415">
      <c r="B4415" s="30" t="n"/>
    </row>
    <row r="4416">
      <c r="B4416" s="30" t="n"/>
    </row>
    <row r="4417">
      <c r="B4417" s="30" t="n"/>
    </row>
    <row r="4418">
      <c r="B4418" s="30" t="n"/>
    </row>
    <row r="4419">
      <c r="B4419" s="30" t="n"/>
    </row>
    <row r="4420">
      <c r="B4420" s="30" t="n"/>
    </row>
    <row r="4421">
      <c r="B4421" s="30" t="n"/>
    </row>
    <row r="4422">
      <c r="B4422" s="30" t="n"/>
    </row>
    <row r="4423">
      <c r="B4423" s="30" t="n"/>
    </row>
    <row r="4424">
      <c r="B4424" s="30" t="n"/>
    </row>
    <row r="4425">
      <c r="B4425" s="30" t="n"/>
    </row>
    <row r="4426">
      <c r="B4426" s="30" t="n"/>
    </row>
    <row r="4427">
      <c r="B4427" s="30" t="n"/>
    </row>
    <row r="4428">
      <c r="B4428" s="30" t="n"/>
    </row>
    <row r="4429">
      <c r="B4429" s="30" t="n"/>
    </row>
    <row r="4430">
      <c r="B4430" s="30" t="n"/>
    </row>
    <row r="4431">
      <c r="B4431" s="30" t="n"/>
    </row>
    <row r="4432">
      <c r="B4432" s="30" t="n"/>
    </row>
    <row r="4433">
      <c r="B4433" s="30" t="n"/>
    </row>
    <row r="4434">
      <c r="B4434" s="30" t="n"/>
    </row>
    <row r="4435">
      <c r="B4435" s="30" t="n"/>
    </row>
    <row r="4436">
      <c r="B4436" s="30" t="n"/>
    </row>
    <row r="4437">
      <c r="B4437" s="30" t="n"/>
    </row>
    <row r="4438">
      <c r="B4438" s="30" t="n"/>
    </row>
    <row r="4439">
      <c r="B4439" s="30" t="n"/>
    </row>
    <row r="4440">
      <c r="B4440" s="30" t="n"/>
    </row>
    <row r="4441">
      <c r="B4441" s="30" t="n"/>
    </row>
    <row r="4442">
      <c r="B4442" s="30" t="n"/>
    </row>
    <row r="4443">
      <c r="B4443" s="30" t="n"/>
    </row>
    <row r="4444">
      <c r="B4444" s="30" t="n"/>
    </row>
    <row r="4445">
      <c r="B4445" s="30" t="n"/>
    </row>
    <row r="4446">
      <c r="B4446" s="30" t="n"/>
    </row>
    <row r="4447">
      <c r="B4447" s="30" t="n"/>
    </row>
    <row r="4448">
      <c r="B4448" s="30" t="n"/>
    </row>
    <row r="4449">
      <c r="B4449" s="30" t="n"/>
    </row>
    <row r="4450">
      <c r="B4450" s="30" t="n"/>
    </row>
    <row r="4451">
      <c r="B4451" s="30" t="n"/>
    </row>
    <row r="4452">
      <c r="B4452" s="30" t="n"/>
    </row>
    <row r="4453">
      <c r="B4453" s="30" t="n"/>
    </row>
    <row r="4454">
      <c r="B4454" s="30" t="n"/>
    </row>
    <row r="4455">
      <c r="B4455" s="30" t="n"/>
    </row>
    <row r="4456">
      <c r="B4456" s="30" t="n"/>
    </row>
    <row r="4457">
      <c r="B4457" s="30" t="n"/>
    </row>
    <row r="4458">
      <c r="B4458" s="30" t="n"/>
    </row>
    <row r="4459">
      <c r="B4459" s="30" t="n"/>
    </row>
    <row r="4460">
      <c r="B4460" s="30" t="n"/>
    </row>
    <row r="4461">
      <c r="B4461" s="30" t="n"/>
    </row>
    <row r="4462">
      <c r="B4462" s="30" t="n"/>
    </row>
    <row r="4463">
      <c r="B4463" s="30" t="n"/>
    </row>
    <row r="4464">
      <c r="B4464" s="30" t="n"/>
    </row>
    <row r="4465">
      <c r="B4465" s="30" t="n"/>
    </row>
    <row r="4466">
      <c r="B4466" s="30" t="n"/>
    </row>
    <row r="4467">
      <c r="B4467" s="30" t="n"/>
    </row>
    <row r="4468">
      <c r="B4468" s="30" t="n"/>
    </row>
    <row r="4469">
      <c r="B4469" s="30" t="n"/>
    </row>
    <row r="4470">
      <c r="B4470" s="30" t="n"/>
    </row>
    <row r="4471">
      <c r="B4471" s="30" t="n"/>
    </row>
    <row r="4472">
      <c r="B4472" s="30" t="n"/>
    </row>
    <row r="4473">
      <c r="B4473" s="30" t="n"/>
    </row>
    <row r="4474">
      <c r="B4474" s="30" t="n"/>
    </row>
    <row r="4475">
      <c r="B4475" s="30" t="n"/>
    </row>
    <row r="4476">
      <c r="B4476" s="30" t="n"/>
    </row>
    <row r="4477">
      <c r="B4477" s="30" t="n"/>
    </row>
    <row r="4478">
      <c r="B4478" s="30" t="n"/>
    </row>
    <row r="4479">
      <c r="B4479" s="30" t="n"/>
    </row>
    <row r="4480">
      <c r="B4480" s="30" t="n"/>
    </row>
    <row r="4481">
      <c r="B4481" s="30" t="n"/>
    </row>
    <row r="4482">
      <c r="B4482" s="30" t="n"/>
    </row>
    <row r="4483">
      <c r="B4483" s="30" t="n"/>
    </row>
    <row r="4484">
      <c r="B4484" s="30" t="n"/>
    </row>
    <row r="4485">
      <c r="B4485" s="30" t="n"/>
    </row>
    <row r="4486">
      <c r="B4486" s="30" t="n"/>
    </row>
    <row r="4487">
      <c r="B4487" s="30" t="n"/>
    </row>
    <row r="4488">
      <c r="B4488" s="30" t="n"/>
    </row>
    <row r="4489">
      <c r="B4489" s="30" t="n"/>
    </row>
    <row r="4490">
      <c r="B4490" s="30" t="n"/>
    </row>
    <row r="4491">
      <c r="B4491" s="30" t="n"/>
    </row>
    <row r="4492">
      <c r="B4492" s="30" t="n"/>
    </row>
    <row r="4493">
      <c r="B4493" s="30" t="n"/>
    </row>
    <row r="4494">
      <c r="B4494" s="30" t="n"/>
    </row>
    <row r="4495">
      <c r="B4495" s="30" t="n"/>
    </row>
    <row r="4496">
      <c r="B4496" s="30" t="n"/>
    </row>
    <row r="4497">
      <c r="B4497" s="30" t="n"/>
    </row>
    <row r="4498">
      <c r="B4498" s="30" t="n"/>
    </row>
    <row r="4499">
      <c r="B4499" s="30" t="n"/>
    </row>
    <row r="4500">
      <c r="B4500" s="30" t="n"/>
    </row>
    <row r="4501">
      <c r="B4501" s="30" t="n"/>
    </row>
    <row r="4502">
      <c r="B4502" s="30" t="n"/>
    </row>
    <row r="4503">
      <c r="B4503" s="30" t="n"/>
    </row>
    <row r="4504">
      <c r="B4504" s="30" t="n"/>
    </row>
    <row r="4505">
      <c r="B4505" s="30" t="n"/>
    </row>
    <row r="4506">
      <c r="B4506" s="30" t="n"/>
    </row>
    <row r="4507">
      <c r="B4507" s="30" t="n"/>
    </row>
    <row r="4508">
      <c r="B4508" s="30" t="n"/>
    </row>
    <row r="4509">
      <c r="B4509" s="30" t="n"/>
    </row>
    <row r="4510">
      <c r="B4510" s="30" t="n"/>
    </row>
    <row r="4511">
      <c r="B4511" s="30" t="n"/>
    </row>
    <row r="4512">
      <c r="B4512" s="30" t="n"/>
    </row>
    <row r="4513">
      <c r="B4513" s="30" t="n"/>
    </row>
    <row r="4514">
      <c r="B4514" s="30" t="n"/>
    </row>
    <row r="4515">
      <c r="B4515" s="30" t="n"/>
    </row>
    <row r="4516">
      <c r="B4516" s="30" t="n"/>
    </row>
    <row r="4517">
      <c r="B4517" s="30" t="n"/>
    </row>
    <row r="4518">
      <c r="B4518" s="30" t="n"/>
    </row>
    <row r="4519">
      <c r="B4519" s="30" t="n"/>
    </row>
    <row r="4520">
      <c r="B4520" s="30" t="n"/>
    </row>
    <row r="4521">
      <c r="B4521" s="30" t="n"/>
    </row>
    <row r="4522">
      <c r="B4522" s="30" t="n"/>
    </row>
    <row r="4523">
      <c r="B4523" s="30" t="n"/>
    </row>
    <row r="4524">
      <c r="B4524" s="30" t="n"/>
    </row>
    <row r="4525">
      <c r="B4525" s="30" t="n"/>
    </row>
    <row r="4526">
      <c r="B4526" s="30" t="n"/>
    </row>
    <row r="4527">
      <c r="B4527" s="30" t="n"/>
    </row>
    <row r="4528">
      <c r="B4528" s="30" t="n"/>
    </row>
    <row r="4529">
      <c r="B4529" s="30" t="n"/>
    </row>
    <row r="4530">
      <c r="B4530" s="30" t="n"/>
    </row>
    <row r="4531">
      <c r="B4531" s="30" t="n"/>
    </row>
    <row r="4532">
      <c r="B4532" s="30" t="n"/>
    </row>
    <row r="4533">
      <c r="B4533" s="30" t="n"/>
    </row>
    <row r="4534">
      <c r="B4534" s="30" t="n"/>
    </row>
    <row r="4535">
      <c r="B4535" s="30" t="n"/>
    </row>
    <row r="4536">
      <c r="B4536" s="30" t="n"/>
    </row>
    <row r="4537">
      <c r="B4537" s="30" t="n"/>
    </row>
    <row r="4538">
      <c r="B4538" s="30" t="n"/>
    </row>
    <row r="4539">
      <c r="B4539" s="30" t="n"/>
    </row>
    <row r="4540">
      <c r="B4540" s="30" t="n"/>
    </row>
    <row r="4541">
      <c r="B4541" s="30" t="n"/>
    </row>
    <row r="4542">
      <c r="B4542" s="30" t="n"/>
    </row>
    <row r="4543">
      <c r="B4543" s="30" t="n"/>
    </row>
    <row r="4544">
      <c r="B4544" s="30" t="n"/>
    </row>
    <row r="4545">
      <c r="B4545" s="30" t="n"/>
    </row>
    <row r="4546">
      <c r="B4546" s="30" t="n"/>
    </row>
    <row r="4547">
      <c r="B4547" s="30" t="n"/>
    </row>
    <row r="4548">
      <c r="B4548" s="30" t="n"/>
    </row>
    <row r="4549">
      <c r="B4549" s="30" t="n"/>
    </row>
    <row r="4550">
      <c r="B4550" s="30" t="n"/>
    </row>
    <row r="4551">
      <c r="B4551" s="30" t="n"/>
    </row>
    <row r="4552">
      <c r="B4552" s="30" t="n"/>
    </row>
    <row r="4553">
      <c r="B4553" s="30" t="n"/>
    </row>
    <row r="4554">
      <c r="B4554" s="30" t="n"/>
    </row>
    <row r="4555">
      <c r="B4555" s="30" t="n"/>
    </row>
    <row r="4556">
      <c r="B4556" s="30" t="n"/>
    </row>
    <row r="4557">
      <c r="B4557" s="30" t="n"/>
    </row>
    <row r="4558">
      <c r="B4558" s="30" t="n"/>
    </row>
    <row r="4559">
      <c r="B4559" s="30" t="n"/>
    </row>
    <row r="4560">
      <c r="B4560" s="30" t="n"/>
    </row>
    <row r="4561">
      <c r="B4561" s="30" t="n"/>
    </row>
    <row r="4562">
      <c r="B4562" s="30" t="n"/>
    </row>
    <row r="4563">
      <c r="B4563" s="30" t="n"/>
    </row>
    <row r="4564">
      <c r="B4564" s="30" t="n"/>
    </row>
    <row r="4565">
      <c r="B4565" s="30" t="n"/>
    </row>
    <row r="4566">
      <c r="B4566" s="30" t="n"/>
    </row>
    <row r="4567">
      <c r="B4567" s="30" t="n"/>
    </row>
    <row r="4568">
      <c r="B4568" s="30" t="n"/>
    </row>
    <row r="4569">
      <c r="B4569" s="30" t="n"/>
    </row>
    <row r="4570">
      <c r="B4570" s="30" t="n"/>
    </row>
    <row r="4571">
      <c r="B4571" s="30" t="n"/>
    </row>
    <row r="4572">
      <c r="B4572" s="30" t="n"/>
    </row>
    <row r="4573">
      <c r="B4573" s="30" t="n"/>
    </row>
    <row r="4574">
      <c r="B4574" s="30" t="n"/>
    </row>
    <row r="4575">
      <c r="B4575" s="30" t="n"/>
    </row>
    <row r="4576">
      <c r="B4576" s="30" t="n"/>
    </row>
    <row r="4577">
      <c r="B4577" s="30" t="n"/>
    </row>
    <row r="4578">
      <c r="B4578" s="30" t="n"/>
    </row>
    <row r="4579">
      <c r="B4579" s="30" t="n"/>
    </row>
    <row r="4580">
      <c r="B4580" s="30" t="n"/>
    </row>
    <row r="4581">
      <c r="B4581" s="30" t="n"/>
    </row>
    <row r="4582">
      <c r="B4582" s="30" t="n"/>
    </row>
    <row r="4583">
      <c r="B4583" s="30" t="n"/>
    </row>
    <row r="4584">
      <c r="B4584" s="30" t="n"/>
    </row>
    <row r="4585">
      <c r="B4585" s="30" t="n"/>
    </row>
    <row r="4586">
      <c r="B4586" s="30" t="n"/>
    </row>
    <row r="4587">
      <c r="B4587" s="30" t="n"/>
    </row>
    <row r="4588">
      <c r="B4588" s="30" t="n"/>
    </row>
    <row r="4589">
      <c r="B4589" s="30" t="n"/>
    </row>
    <row r="4590">
      <c r="B4590" s="30" t="n"/>
    </row>
    <row r="4591">
      <c r="B4591" s="30" t="n"/>
    </row>
    <row r="4592">
      <c r="B4592" s="30" t="n"/>
    </row>
    <row r="4593">
      <c r="B4593" s="30" t="n"/>
    </row>
    <row r="4594">
      <c r="B4594" s="30" t="n"/>
    </row>
    <row r="4595">
      <c r="B4595" s="30" t="n"/>
    </row>
    <row r="4596">
      <c r="B4596" s="30" t="n"/>
    </row>
    <row r="4597">
      <c r="B4597" s="30" t="n"/>
    </row>
    <row r="4598">
      <c r="B4598" s="30" t="n"/>
    </row>
    <row r="4599">
      <c r="B4599" s="30" t="n"/>
    </row>
    <row r="4600">
      <c r="B4600" s="30" t="n"/>
    </row>
    <row r="4601">
      <c r="B4601" s="30" t="n"/>
    </row>
    <row r="4602">
      <c r="B4602" s="30" t="n"/>
    </row>
    <row r="4603">
      <c r="B4603" s="30" t="n"/>
    </row>
    <row r="4604">
      <c r="B4604" s="30" t="n"/>
    </row>
    <row r="4605">
      <c r="B4605" s="30" t="n"/>
    </row>
    <row r="4606">
      <c r="B4606" s="30" t="n"/>
    </row>
    <row r="4607">
      <c r="B4607" s="30" t="n"/>
    </row>
    <row r="4608">
      <c r="B4608" s="30" t="n"/>
    </row>
    <row r="4609">
      <c r="B4609" s="30" t="n"/>
    </row>
    <row r="4610">
      <c r="B4610" s="30" t="n"/>
    </row>
    <row r="4611">
      <c r="B4611" s="30" t="n"/>
    </row>
    <row r="4612">
      <c r="B4612" s="30" t="n"/>
    </row>
    <row r="4613">
      <c r="B4613" s="30" t="n"/>
    </row>
    <row r="4614">
      <c r="B4614" s="30" t="n"/>
    </row>
    <row r="4615">
      <c r="B4615" s="30" t="n"/>
    </row>
    <row r="4616">
      <c r="B4616" s="30" t="n"/>
    </row>
    <row r="4617">
      <c r="B4617" s="30" t="n"/>
    </row>
    <row r="4618">
      <c r="B4618" s="30" t="n"/>
    </row>
    <row r="4619">
      <c r="B4619" s="30" t="n"/>
    </row>
    <row r="4620">
      <c r="B4620" s="30" t="n"/>
    </row>
    <row r="4621">
      <c r="B4621" s="30" t="n"/>
    </row>
    <row r="4622">
      <c r="B4622" s="30" t="n"/>
    </row>
    <row r="4623">
      <c r="B4623" s="30" t="n"/>
    </row>
    <row r="4624">
      <c r="B4624" s="30" t="n"/>
    </row>
    <row r="4625">
      <c r="B4625" s="30" t="n"/>
    </row>
    <row r="4626">
      <c r="B4626" s="30" t="n"/>
    </row>
    <row r="4627">
      <c r="B4627" s="30" t="n"/>
    </row>
    <row r="4628">
      <c r="B4628" s="30" t="n"/>
    </row>
    <row r="4629">
      <c r="B4629" s="30" t="n"/>
    </row>
    <row r="4630">
      <c r="B4630" s="30" t="n"/>
    </row>
    <row r="4631">
      <c r="B4631" s="30" t="n"/>
    </row>
    <row r="4632">
      <c r="B4632" s="30" t="n"/>
    </row>
    <row r="4633">
      <c r="B4633" s="30" t="n"/>
    </row>
    <row r="4634">
      <c r="B4634" s="30" t="n"/>
    </row>
    <row r="4635">
      <c r="B4635" s="30" t="n"/>
    </row>
    <row r="4636">
      <c r="B4636" s="30" t="n"/>
    </row>
    <row r="4637">
      <c r="B4637" s="30" t="n"/>
    </row>
    <row r="4638">
      <c r="B4638" s="30" t="n"/>
    </row>
    <row r="4639">
      <c r="B4639" s="30" t="n"/>
    </row>
    <row r="4640">
      <c r="B4640" s="30" t="n"/>
    </row>
    <row r="4641">
      <c r="B4641" s="30" t="n"/>
    </row>
    <row r="4642">
      <c r="B4642" s="30" t="n"/>
    </row>
    <row r="4643">
      <c r="B4643" s="30" t="n"/>
    </row>
    <row r="4644">
      <c r="B4644" s="30" t="n"/>
    </row>
    <row r="4645">
      <c r="B4645" s="30" t="n"/>
    </row>
    <row r="4646">
      <c r="B4646" s="30" t="n"/>
    </row>
    <row r="4647">
      <c r="B4647" s="30" t="n"/>
    </row>
    <row r="4648">
      <c r="B4648" s="30" t="n"/>
    </row>
    <row r="4649">
      <c r="B4649" s="30" t="n"/>
    </row>
    <row r="4650">
      <c r="B4650" s="30" t="n"/>
    </row>
    <row r="4651">
      <c r="B4651" s="30" t="n"/>
    </row>
    <row r="4652">
      <c r="B4652" s="30" t="n"/>
    </row>
    <row r="4653">
      <c r="B4653" s="30" t="n"/>
    </row>
    <row r="4654">
      <c r="B4654" s="30" t="n"/>
    </row>
    <row r="4655">
      <c r="B4655" s="30" t="n"/>
    </row>
    <row r="4656">
      <c r="B4656" s="30" t="n"/>
    </row>
    <row r="4657">
      <c r="B4657" s="30" t="n"/>
    </row>
    <row r="4658">
      <c r="B4658" s="30" t="n"/>
    </row>
    <row r="4659">
      <c r="B4659" s="30" t="n"/>
    </row>
    <row r="4660">
      <c r="B4660" s="30" t="n"/>
    </row>
    <row r="4661">
      <c r="B4661" s="30" t="n"/>
    </row>
    <row r="4662">
      <c r="B4662" s="30" t="n"/>
    </row>
    <row r="4663">
      <c r="B4663" s="30" t="n"/>
    </row>
    <row r="4664">
      <c r="B4664" s="30" t="n"/>
    </row>
    <row r="4665">
      <c r="B4665" s="30" t="n"/>
    </row>
    <row r="4666">
      <c r="B4666" s="30" t="n"/>
    </row>
    <row r="4667">
      <c r="B4667" s="30" t="n"/>
    </row>
    <row r="4668">
      <c r="B4668" s="30" t="n"/>
    </row>
    <row r="4669">
      <c r="B4669" s="30" t="n"/>
    </row>
    <row r="4670">
      <c r="B4670" s="30" t="n"/>
    </row>
    <row r="4671">
      <c r="B4671" s="30" t="n"/>
    </row>
    <row r="4672">
      <c r="B4672" s="30" t="n"/>
    </row>
    <row r="4673">
      <c r="B4673" s="30" t="n"/>
    </row>
    <row r="4674">
      <c r="B4674" s="30" t="n"/>
    </row>
    <row r="4675">
      <c r="B4675" s="30" t="n"/>
    </row>
    <row r="4676">
      <c r="B4676" s="30" t="n"/>
    </row>
    <row r="4677">
      <c r="B4677" s="30" t="n"/>
    </row>
    <row r="4678">
      <c r="B4678" s="30" t="n"/>
    </row>
    <row r="4679">
      <c r="B4679" s="30" t="n"/>
    </row>
    <row r="4680">
      <c r="B4680" s="30" t="n"/>
    </row>
    <row r="4681">
      <c r="B4681" s="30" t="n"/>
    </row>
    <row r="4682">
      <c r="B4682" s="30" t="n"/>
    </row>
    <row r="4683">
      <c r="B4683" s="30" t="n"/>
    </row>
    <row r="4684">
      <c r="B4684" s="30" t="n"/>
    </row>
    <row r="4685">
      <c r="B4685" s="30" t="n"/>
    </row>
    <row r="4686">
      <c r="B4686" s="30" t="n"/>
    </row>
    <row r="4687">
      <c r="B4687" s="30" t="n"/>
    </row>
    <row r="4688">
      <c r="B4688" s="30" t="n"/>
    </row>
    <row r="4689">
      <c r="B4689" s="30" t="n"/>
    </row>
    <row r="4690">
      <c r="B4690" s="30" t="n"/>
    </row>
    <row r="4691">
      <c r="B4691" s="30" t="n"/>
    </row>
    <row r="4692">
      <c r="B4692" s="30" t="n"/>
    </row>
    <row r="4693">
      <c r="B4693" s="30" t="n"/>
    </row>
    <row r="4694">
      <c r="B4694" s="30" t="n"/>
    </row>
    <row r="4695">
      <c r="B4695" s="30" t="n"/>
    </row>
    <row r="4696">
      <c r="B4696" s="30" t="n"/>
    </row>
    <row r="4697">
      <c r="B4697" s="30" t="n"/>
    </row>
    <row r="4698">
      <c r="B4698" s="30" t="n"/>
    </row>
    <row r="4699">
      <c r="B4699" s="30" t="n"/>
    </row>
    <row r="4700">
      <c r="B4700" s="30" t="n"/>
    </row>
    <row r="4701">
      <c r="B4701" s="30" t="n"/>
    </row>
    <row r="4702">
      <c r="B4702" s="30" t="n"/>
    </row>
    <row r="4703">
      <c r="B4703" s="30" t="n"/>
    </row>
    <row r="4704">
      <c r="B4704" s="30" t="n"/>
    </row>
    <row r="4705">
      <c r="B4705" s="30" t="n"/>
    </row>
    <row r="4706">
      <c r="B4706" s="30" t="n"/>
    </row>
    <row r="4707">
      <c r="B4707" s="30" t="n"/>
    </row>
    <row r="4708">
      <c r="B4708" s="30" t="n"/>
    </row>
    <row r="4709">
      <c r="B4709" s="30" t="n"/>
    </row>
    <row r="4710">
      <c r="B4710" s="30" t="n"/>
    </row>
    <row r="4711">
      <c r="B4711" s="30" t="n"/>
    </row>
    <row r="4712">
      <c r="B4712" s="30" t="n"/>
    </row>
    <row r="4713">
      <c r="B4713" s="30" t="n"/>
    </row>
    <row r="4714">
      <c r="B4714" s="30" t="n"/>
    </row>
    <row r="4715">
      <c r="B4715" s="30" t="n"/>
    </row>
    <row r="4716">
      <c r="B4716" s="30" t="n"/>
    </row>
    <row r="4717">
      <c r="B4717" s="30" t="n"/>
    </row>
    <row r="4718">
      <c r="B4718" s="30" t="n"/>
    </row>
    <row r="4719">
      <c r="B4719" s="30" t="n"/>
    </row>
    <row r="4720">
      <c r="B4720" s="30" t="n"/>
    </row>
    <row r="4721">
      <c r="B4721" s="30" t="n"/>
    </row>
    <row r="4722">
      <c r="B4722" s="30" t="n"/>
    </row>
    <row r="4723">
      <c r="B4723" s="30" t="n"/>
    </row>
    <row r="4724">
      <c r="B4724" s="30" t="n"/>
    </row>
    <row r="4725">
      <c r="B4725" s="30" t="n"/>
    </row>
    <row r="4726">
      <c r="B4726" s="30" t="n"/>
    </row>
    <row r="4727">
      <c r="B4727" s="30" t="n"/>
    </row>
    <row r="4728">
      <c r="B4728" s="30" t="n"/>
    </row>
    <row r="4729">
      <c r="B4729" s="30" t="n"/>
    </row>
    <row r="4730">
      <c r="B4730" s="30" t="n"/>
    </row>
    <row r="4731">
      <c r="B4731" s="30" t="n"/>
    </row>
    <row r="4732">
      <c r="B4732" s="30" t="n"/>
    </row>
    <row r="4733">
      <c r="B4733" s="30" t="n"/>
    </row>
    <row r="4734">
      <c r="B4734" s="30" t="n"/>
    </row>
    <row r="4735">
      <c r="B4735" s="30" t="n"/>
    </row>
    <row r="4736">
      <c r="B4736" s="30" t="n"/>
    </row>
    <row r="4737">
      <c r="B4737" s="30" t="n"/>
    </row>
    <row r="4738">
      <c r="B4738" s="30" t="n"/>
    </row>
    <row r="4739">
      <c r="B4739" s="30" t="n"/>
    </row>
    <row r="4740">
      <c r="B4740" s="30" t="n"/>
    </row>
    <row r="4741">
      <c r="B4741" s="30" t="n"/>
    </row>
    <row r="4742">
      <c r="B4742" s="30" t="n"/>
    </row>
    <row r="4743">
      <c r="B4743" s="30" t="n"/>
    </row>
    <row r="4744">
      <c r="B4744" s="30" t="n"/>
    </row>
    <row r="4745">
      <c r="B4745" s="30" t="n"/>
    </row>
    <row r="4746">
      <c r="B4746" s="30" t="n"/>
    </row>
    <row r="4747">
      <c r="B4747" s="30" t="n"/>
    </row>
    <row r="4748">
      <c r="B4748" s="30" t="n"/>
    </row>
    <row r="4749">
      <c r="B4749" s="30" t="n"/>
    </row>
    <row r="4750">
      <c r="B4750" s="30" t="n"/>
    </row>
    <row r="4751">
      <c r="B4751" s="30" t="n"/>
    </row>
    <row r="4752">
      <c r="B4752" s="30" t="n"/>
    </row>
    <row r="4753">
      <c r="B4753" s="30" t="n"/>
    </row>
    <row r="4754">
      <c r="B4754" s="30" t="n"/>
    </row>
    <row r="4755">
      <c r="B4755" s="30" t="n"/>
    </row>
    <row r="4756">
      <c r="B4756" s="30" t="n"/>
    </row>
    <row r="4757">
      <c r="B4757" s="30" t="n"/>
    </row>
    <row r="4758">
      <c r="B4758" s="30" t="n"/>
    </row>
    <row r="4759">
      <c r="B4759" s="30" t="n"/>
    </row>
    <row r="4760">
      <c r="B4760" s="30" t="n"/>
    </row>
    <row r="4761">
      <c r="B4761" s="30" t="n"/>
    </row>
    <row r="4762">
      <c r="B4762" s="30" t="n"/>
    </row>
    <row r="4763">
      <c r="B4763" s="30" t="n"/>
    </row>
    <row r="4764">
      <c r="B4764" s="30" t="n"/>
    </row>
    <row r="4765">
      <c r="B4765" s="30" t="n"/>
    </row>
    <row r="4766">
      <c r="B4766" s="30" t="n"/>
    </row>
    <row r="4767">
      <c r="B4767" s="30" t="n"/>
    </row>
    <row r="4768">
      <c r="B4768" s="30" t="n"/>
    </row>
    <row r="4769">
      <c r="B4769" s="30" t="n"/>
    </row>
    <row r="4770">
      <c r="B4770" s="30" t="n"/>
    </row>
    <row r="4771">
      <c r="B4771" s="30" t="n"/>
    </row>
    <row r="4772">
      <c r="B4772" s="30" t="n"/>
    </row>
    <row r="4773">
      <c r="B4773" s="30" t="n"/>
    </row>
    <row r="4774">
      <c r="B4774" s="30" t="n"/>
    </row>
    <row r="4775">
      <c r="B4775" s="30" t="n"/>
    </row>
    <row r="4776">
      <c r="B4776" s="30" t="n"/>
    </row>
    <row r="4777">
      <c r="B4777" s="30" t="n"/>
    </row>
    <row r="4778">
      <c r="B4778" s="30" t="n"/>
    </row>
    <row r="4779">
      <c r="B4779" s="30" t="n"/>
    </row>
    <row r="4780">
      <c r="B4780" s="30" t="n"/>
    </row>
    <row r="4781">
      <c r="B4781" s="30" t="n"/>
    </row>
    <row r="4782">
      <c r="B4782" s="30" t="n"/>
    </row>
    <row r="4783">
      <c r="B4783" s="30" t="n"/>
    </row>
    <row r="4784">
      <c r="B4784" s="30" t="n"/>
    </row>
    <row r="4785">
      <c r="B4785" s="30" t="n"/>
    </row>
    <row r="4786">
      <c r="B4786" s="30" t="n"/>
    </row>
    <row r="4787">
      <c r="B4787" s="30" t="n"/>
    </row>
    <row r="4788">
      <c r="B4788" s="30" t="n"/>
    </row>
    <row r="4789">
      <c r="B4789" s="30" t="n"/>
    </row>
    <row r="4790">
      <c r="B4790" s="30" t="n"/>
    </row>
    <row r="4791">
      <c r="B4791" s="30" t="n"/>
    </row>
    <row r="4792">
      <c r="B4792" s="30" t="n"/>
    </row>
    <row r="4793">
      <c r="B4793" s="30" t="n"/>
    </row>
    <row r="4794">
      <c r="B4794" s="30" t="n"/>
    </row>
    <row r="4795">
      <c r="B4795" s="30" t="n"/>
    </row>
    <row r="4796">
      <c r="B4796" s="30" t="n"/>
    </row>
    <row r="4797">
      <c r="B4797" s="30" t="n"/>
    </row>
    <row r="4798">
      <c r="B4798" s="30" t="n"/>
    </row>
    <row r="4799">
      <c r="B4799" s="30" t="n"/>
    </row>
    <row r="4800">
      <c r="B4800" s="30" t="n"/>
    </row>
    <row r="4801">
      <c r="B4801" s="30" t="n"/>
    </row>
    <row r="4802">
      <c r="B4802" s="30" t="n"/>
    </row>
    <row r="4803">
      <c r="B4803" s="30" t="n"/>
    </row>
    <row r="4804">
      <c r="B4804" s="30" t="n"/>
    </row>
    <row r="4805">
      <c r="B4805" s="30" t="n"/>
    </row>
    <row r="4806">
      <c r="B4806" s="30" t="n"/>
    </row>
    <row r="4807">
      <c r="B4807" s="30" t="n"/>
    </row>
    <row r="4808">
      <c r="B4808" s="30" t="n"/>
    </row>
    <row r="4809">
      <c r="B4809" s="30" t="n"/>
    </row>
    <row r="4810">
      <c r="B4810" s="30" t="n"/>
    </row>
    <row r="4811">
      <c r="B4811" s="30" t="n"/>
    </row>
    <row r="4812">
      <c r="B4812" s="30" t="n"/>
    </row>
    <row r="4813">
      <c r="B4813" s="30" t="n"/>
    </row>
    <row r="4814">
      <c r="B4814" s="30" t="n"/>
    </row>
    <row r="4815">
      <c r="B4815" s="30" t="n"/>
    </row>
    <row r="4816">
      <c r="B4816" s="30" t="n"/>
    </row>
    <row r="4817">
      <c r="B4817" s="30" t="n"/>
    </row>
    <row r="4818">
      <c r="B4818" s="30" t="n"/>
    </row>
    <row r="4819">
      <c r="B4819" s="30" t="n"/>
    </row>
    <row r="4820">
      <c r="B4820" s="30" t="n"/>
    </row>
    <row r="4821">
      <c r="B4821" s="30" t="n"/>
    </row>
    <row r="4822">
      <c r="B4822" s="30" t="n"/>
    </row>
    <row r="4823">
      <c r="B4823" s="30" t="n"/>
    </row>
    <row r="4824">
      <c r="B4824" s="30" t="n"/>
    </row>
    <row r="4825">
      <c r="B4825" s="30" t="n"/>
    </row>
    <row r="4826">
      <c r="B4826" s="30" t="n"/>
    </row>
    <row r="4827">
      <c r="B4827" s="30" t="n"/>
    </row>
    <row r="4828">
      <c r="B4828" s="30" t="n"/>
    </row>
    <row r="4829">
      <c r="B4829" s="30" t="n"/>
    </row>
    <row r="4830">
      <c r="B4830" s="30" t="n"/>
    </row>
    <row r="4831">
      <c r="B4831" s="30" t="n"/>
    </row>
    <row r="4832">
      <c r="B4832" s="30" t="n"/>
    </row>
    <row r="4833">
      <c r="B4833" s="30" t="n"/>
    </row>
    <row r="4834">
      <c r="B4834" s="30" t="n"/>
    </row>
    <row r="4835">
      <c r="B4835" s="30" t="n"/>
    </row>
    <row r="4836">
      <c r="B4836" s="30" t="n"/>
    </row>
    <row r="4837">
      <c r="B4837" s="30" t="n"/>
    </row>
    <row r="4838">
      <c r="B4838" s="30" t="n"/>
    </row>
    <row r="4839">
      <c r="B4839" s="30" t="n"/>
    </row>
    <row r="4840">
      <c r="B4840" s="30" t="n"/>
    </row>
    <row r="4841">
      <c r="B4841" s="30" t="n"/>
    </row>
    <row r="4842">
      <c r="B4842" s="30" t="n"/>
    </row>
    <row r="4843">
      <c r="B4843" s="30" t="n"/>
    </row>
    <row r="4844">
      <c r="B4844" s="30" t="n"/>
    </row>
    <row r="4845">
      <c r="B4845" s="30" t="n"/>
    </row>
    <row r="4846">
      <c r="B4846" s="30" t="n"/>
    </row>
    <row r="4847">
      <c r="B4847" s="30" t="n"/>
    </row>
    <row r="4848">
      <c r="B4848" s="30" t="n"/>
    </row>
    <row r="4849">
      <c r="B4849" s="30" t="n"/>
    </row>
    <row r="4850">
      <c r="B4850" s="30" t="n"/>
    </row>
    <row r="4851">
      <c r="B4851" s="30" t="n"/>
    </row>
    <row r="4852">
      <c r="B4852" s="30" t="n"/>
    </row>
    <row r="4853">
      <c r="B4853" s="30" t="n"/>
    </row>
    <row r="4854">
      <c r="B4854" s="30" t="n"/>
    </row>
    <row r="4855">
      <c r="B4855" s="30" t="n"/>
    </row>
    <row r="4856">
      <c r="B4856" s="30" t="n"/>
    </row>
    <row r="4857">
      <c r="B4857" s="30" t="n"/>
    </row>
    <row r="4858">
      <c r="B4858" s="30" t="n"/>
    </row>
    <row r="4859">
      <c r="B4859" s="30" t="n"/>
    </row>
    <row r="4860">
      <c r="B4860" s="30" t="n"/>
    </row>
    <row r="4861">
      <c r="B4861" s="30" t="n"/>
    </row>
    <row r="4862">
      <c r="B4862" s="30" t="n"/>
    </row>
    <row r="4863">
      <c r="B4863" s="30" t="n"/>
    </row>
    <row r="4864">
      <c r="B4864" s="30" t="n"/>
    </row>
    <row r="4865">
      <c r="B4865" s="30" t="n"/>
    </row>
    <row r="4866">
      <c r="B4866" s="30" t="n"/>
    </row>
    <row r="4867">
      <c r="B4867" s="30" t="n"/>
    </row>
    <row r="4868">
      <c r="B4868" s="30" t="n"/>
    </row>
    <row r="4869">
      <c r="B4869" s="30" t="n"/>
    </row>
    <row r="4870">
      <c r="B4870" s="30" t="n"/>
    </row>
    <row r="4871">
      <c r="B4871" s="30" t="n"/>
    </row>
    <row r="4872">
      <c r="B4872" s="30" t="n"/>
    </row>
    <row r="4873">
      <c r="B4873" s="30" t="n"/>
    </row>
    <row r="4874">
      <c r="B4874" s="30" t="n"/>
    </row>
    <row r="4875">
      <c r="B4875" s="30" t="n"/>
    </row>
    <row r="4876">
      <c r="B4876" s="30" t="n"/>
    </row>
    <row r="4877">
      <c r="B4877" s="30" t="n"/>
    </row>
    <row r="4878">
      <c r="B4878" s="30" t="n"/>
    </row>
    <row r="4879">
      <c r="B4879" s="30" t="n"/>
    </row>
    <row r="4880">
      <c r="B4880" s="30" t="n"/>
    </row>
    <row r="4881">
      <c r="B4881" s="30" t="n"/>
    </row>
    <row r="4882">
      <c r="B4882" s="30" t="n"/>
    </row>
    <row r="4883">
      <c r="B4883" s="30" t="n"/>
    </row>
    <row r="4884">
      <c r="B4884" s="30" t="n"/>
    </row>
    <row r="4885">
      <c r="B4885" s="30" t="n"/>
    </row>
    <row r="4886">
      <c r="B4886" s="30" t="n"/>
    </row>
    <row r="4887">
      <c r="B4887" s="30" t="n"/>
    </row>
    <row r="4888">
      <c r="B4888" s="30" t="n"/>
    </row>
    <row r="4889">
      <c r="B4889" s="30" t="n"/>
    </row>
    <row r="4890">
      <c r="B4890" s="30" t="n"/>
    </row>
    <row r="4891">
      <c r="B4891" s="30" t="n"/>
    </row>
    <row r="4892">
      <c r="B4892" s="30" t="n"/>
    </row>
    <row r="4893">
      <c r="B4893" s="30" t="n"/>
    </row>
    <row r="4894">
      <c r="B4894" s="30" t="n"/>
    </row>
    <row r="4895">
      <c r="B4895" s="30" t="n"/>
    </row>
    <row r="4896">
      <c r="B4896" s="30" t="n"/>
    </row>
    <row r="4897">
      <c r="B4897" s="30" t="n"/>
    </row>
    <row r="4898">
      <c r="B4898" s="30" t="n"/>
    </row>
    <row r="4899">
      <c r="B4899" s="30" t="n"/>
    </row>
    <row r="4900">
      <c r="B4900" s="30" t="n"/>
    </row>
    <row r="4901">
      <c r="B4901" s="30" t="n"/>
    </row>
    <row r="4902">
      <c r="B4902" s="30" t="n"/>
    </row>
    <row r="4903">
      <c r="B4903" s="30" t="n"/>
    </row>
    <row r="4904">
      <c r="B4904" s="30" t="n"/>
    </row>
    <row r="4905">
      <c r="B4905" s="30" t="n"/>
    </row>
    <row r="4906">
      <c r="B4906" s="30" t="n"/>
    </row>
    <row r="4907">
      <c r="B4907" s="30" t="n"/>
    </row>
    <row r="4908">
      <c r="B4908" s="30" t="n"/>
    </row>
    <row r="4909">
      <c r="B4909" s="30" t="n"/>
    </row>
    <row r="4910">
      <c r="B4910" s="30" t="n"/>
    </row>
    <row r="4911">
      <c r="B4911" s="30" t="n"/>
    </row>
    <row r="4912">
      <c r="B4912" s="30" t="n"/>
    </row>
    <row r="4913">
      <c r="B4913" s="30" t="n"/>
    </row>
    <row r="4914">
      <c r="B4914" s="30" t="n"/>
    </row>
    <row r="4915">
      <c r="B4915" s="30" t="n"/>
    </row>
    <row r="4916">
      <c r="B4916" s="30" t="n"/>
    </row>
    <row r="4917">
      <c r="B4917" s="30" t="n"/>
    </row>
    <row r="4918">
      <c r="B4918" s="30" t="n"/>
    </row>
    <row r="4919">
      <c r="B4919" s="30" t="n"/>
    </row>
    <row r="4920">
      <c r="B4920" s="30" t="n"/>
    </row>
    <row r="4921">
      <c r="B4921" s="30" t="n"/>
    </row>
    <row r="4922">
      <c r="B4922" s="30" t="n"/>
    </row>
    <row r="4923">
      <c r="B4923" s="30" t="n"/>
    </row>
    <row r="4924">
      <c r="B4924" s="30" t="n"/>
    </row>
    <row r="4925">
      <c r="B4925" s="30" t="n"/>
    </row>
    <row r="4926">
      <c r="B4926" s="30" t="n"/>
    </row>
    <row r="4927">
      <c r="B4927" s="30" t="n"/>
    </row>
    <row r="4928">
      <c r="B4928" s="30" t="n"/>
    </row>
    <row r="4929">
      <c r="B4929" s="30" t="n"/>
    </row>
    <row r="4930">
      <c r="B4930" s="30" t="n"/>
    </row>
    <row r="4931">
      <c r="B4931" s="30" t="n"/>
    </row>
    <row r="4932">
      <c r="B4932" s="30" t="n"/>
    </row>
    <row r="4933">
      <c r="B4933" s="30" t="n"/>
    </row>
    <row r="4934">
      <c r="B4934" s="30" t="n"/>
    </row>
    <row r="4935">
      <c r="B4935" s="30" t="n"/>
    </row>
    <row r="4936">
      <c r="B4936" s="30" t="n"/>
    </row>
    <row r="4937">
      <c r="B4937" s="30" t="n"/>
    </row>
    <row r="4938">
      <c r="B4938" s="30" t="n"/>
    </row>
    <row r="4939">
      <c r="B4939" s="30" t="n"/>
    </row>
    <row r="4940">
      <c r="B4940" s="30" t="n"/>
    </row>
    <row r="4941">
      <c r="B4941" s="30" t="n"/>
    </row>
    <row r="4942">
      <c r="B4942" s="30" t="n"/>
    </row>
    <row r="4943">
      <c r="B4943" s="30" t="n"/>
    </row>
    <row r="4944">
      <c r="B4944" s="30" t="n"/>
    </row>
    <row r="4945">
      <c r="B4945" s="30" t="n"/>
    </row>
    <row r="4946">
      <c r="B4946" s="30" t="n"/>
    </row>
    <row r="4947">
      <c r="B4947" s="30" t="n"/>
    </row>
    <row r="4948">
      <c r="B4948" s="30" t="n"/>
    </row>
    <row r="4949">
      <c r="B4949" s="30" t="n"/>
    </row>
    <row r="4950">
      <c r="B4950" s="30" t="n"/>
    </row>
    <row r="4951">
      <c r="B4951" s="30" t="n"/>
    </row>
    <row r="4952">
      <c r="B4952" s="30" t="n"/>
    </row>
    <row r="4953">
      <c r="B4953" s="30" t="n"/>
    </row>
    <row r="4954">
      <c r="B4954" s="30" t="n"/>
    </row>
    <row r="4955">
      <c r="B4955" s="30" t="n"/>
    </row>
    <row r="4956">
      <c r="B4956" s="30" t="n"/>
    </row>
    <row r="4957">
      <c r="B4957" s="30" t="n"/>
    </row>
    <row r="4958">
      <c r="B4958" s="30" t="n"/>
    </row>
    <row r="4959">
      <c r="B4959" s="30" t="n"/>
    </row>
    <row r="4960">
      <c r="B4960" s="30" t="n"/>
    </row>
    <row r="4961">
      <c r="B4961" s="30" t="n"/>
    </row>
    <row r="4962">
      <c r="B4962" s="30" t="n"/>
    </row>
    <row r="4963">
      <c r="B4963" s="30" t="n"/>
    </row>
    <row r="4964">
      <c r="B4964" s="30" t="n"/>
    </row>
    <row r="4965">
      <c r="B4965" s="30" t="n"/>
    </row>
    <row r="4966">
      <c r="B4966" s="30" t="n"/>
    </row>
    <row r="4967">
      <c r="B4967" s="30" t="n"/>
    </row>
    <row r="4968">
      <c r="B4968" s="30" t="n"/>
    </row>
    <row r="4969">
      <c r="B4969" s="30" t="n"/>
    </row>
    <row r="4970">
      <c r="B4970" s="30" t="n"/>
    </row>
    <row r="4971">
      <c r="B4971" s="30" t="n"/>
    </row>
    <row r="4972">
      <c r="B4972" s="30" t="n"/>
    </row>
    <row r="4973">
      <c r="B4973" s="30" t="n"/>
    </row>
    <row r="4974">
      <c r="B4974" s="30" t="n"/>
    </row>
    <row r="4975">
      <c r="B4975" s="30" t="n"/>
    </row>
    <row r="4976">
      <c r="B4976" s="30" t="n"/>
    </row>
    <row r="4977">
      <c r="B4977" s="30" t="n"/>
    </row>
    <row r="4978">
      <c r="B4978" s="30" t="n"/>
    </row>
    <row r="4979">
      <c r="B4979" s="30" t="n"/>
    </row>
    <row r="4980">
      <c r="B4980" s="30" t="n"/>
    </row>
    <row r="4981">
      <c r="B4981" s="30" t="n"/>
    </row>
    <row r="4982">
      <c r="B4982" s="30" t="n"/>
    </row>
    <row r="4983">
      <c r="B4983" s="30" t="n"/>
    </row>
    <row r="4984">
      <c r="B4984" s="30" t="n"/>
    </row>
    <row r="4985">
      <c r="B4985" s="30" t="n"/>
    </row>
    <row r="4986">
      <c r="B4986" s="30" t="n"/>
    </row>
    <row r="4987">
      <c r="B4987" s="30" t="n"/>
    </row>
    <row r="4988">
      <c r="B4988" s="30" t="n"/>
    </row>
    <row r="4989">
      <c r="B4989" s="30" t="n"/>
    </row>
    <row r="4990">
      <c r="B4990" s="30" t="n"/>
    </row>
    <row r="4991">
      <c r="B4991" s="30" t="n"/>
    </row>
    <row r="4992">
      <c r="B4992" s="30" t="n"/>
    </row>
    <row r="4993">
      <c r="B4993" s="30" t="n"/>
    </row>
    <row r="4994">
      <c r="B4994" s="30" t="n"/>
    </row>
    <row r="4995">
      <c r="B4995" s="30" t="n"/>
    </row>
    <row r="4996">
      <c r="B4996" s="30" t="n"/>
    </row>
    <row r="4997">
      <c r="B4997" s="30" t="n"/>
    </row>
    <row r="4998">
      <c r="B4998" s="30" t="n"/>
    </row>
    <row r="4999">
      <c r="B4999" s="30" t="n"/>
    </row>
    <row r="5000">
      <c r="B5000" s="30" t="n"/>
    </row>
  </sheetData>
  <sheetProtection sheet="1" objects="1" scenarios="1" formatColumns="0" formatRows="0"/>
  <autoFilter ref="A1:F20000"/>
  <dataValidations count="2">
    <dataValidation sqref="A2:A20000" showDropDown="0" showInputMessage="0" showErrorMessage="0" allowBlank="0" type="list">
      <formula1>"মাতবাখ,মাদরাসা,তামিরাত,সাধারণ"</formula1>
    </dataValidation>
    <dataValidation sqref="C2:C20000" showDropDown="0" showInputMessage="0" showErrorMessage="0" allowBlank="1" type="list">
      <formula1>=SupplierList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8" customWidth="1" min="5" max="5"/>
  </cols>
  <sheetData>
    <row r="1">
      <c r="A1" s="1" t="inlineStr">
        <is>
          <t>সরবরাহকারী বকেয়া (লাইভ)</t>
        </is>
      </c>
    </row>
    <row r="2" ht="44" customHeight="1">
      <c r="A2" s="14" t="inlineStr">
        <is>
          <t>এই টেবিলের «সরবরাহকারী» কলাম = মাস্টার তালিকা। এখানে নাম লিখলে ব্যয় ও পরিশোধ শীটের ড্রপডাউনে চলে আসবে। অবশিষ্ট = বাকি কেনা − পরিশোধ।</t>
        </is>
      </c>
    </row>
    <row r="3"/>
    <row r="5">
      <c r="A5" s="15" t="inlineStr">
        <is>
          <t>মোট বাকি কেনা</t>
        </is>
      </c>
      <c r="B5" s="16">
        <f>SUMIF(ব্যয়!K:K,"বাকি",ব্যয়!H:H)</f>
        <v/>
      </c>
    </row>
    <row r="6">
      <c r="A6" s="15" t="inlineStr">
        <is>
          <t>মোট পরিশোধ</t>
        </is>
      </c>
      <c r="B6" s="16">
        <f>SUM(পরিশোধ!D:D)</f>
        <v/>
      </c>
    </row>
    <row r="7">
      <c r="A7" s="15" t="inlineStr">
        <is>
          <t>এখন মোট বাকি</t>
        </is>
      </c>
      <c r="B7" s="17">
        <f>B5-B6</f>
        <v/>
      </c>
    </row>
    <row r="9">
      <c r="A9" s="5" t="inlineStr">
        <is>
          <t>সরবরাহকারী</t>
        </is>
      </c>
      <c r="B9" s="5" t="inlineStr">
        <is>
          <t>বাকি কেনা</t>
        </is>
      </c>
      <c r="C9" s="5" t="inlineStr">
        <is>
          <t>পরিশোধ</t>
        </is>
      </c>
      <c r="D9" s="5" t="inlineStr">
        <is>
          <t>অবশিষ্ট বাকি</t>
        </is>
      </c>
      <c r="E9" s="5" t="inlineStr">
        <is>
          <t>বার</t>
        </is>
      </c>
    </row>
    <row r="10">
      <c r="A10" s="33" t="inlineStr">
        <is>
          <t>রাজমিস্ত্রি করিম</t>
        </is>
      </c>
      <c r="B10" s="16">
        <f>IF(A10="","",SUMIFS(ব্যয়!$H$2:$H$20000,ব্যয়!$I$2:$I$20000,A10,ব্যয়!$K$2:$K$20000,"বাকি"))</f>
        <v/>
      </c>
      <c r="C10" s="16">
        <f>IF(A10="","",SUMIF(পরিশোধ!$C$2:$C$20000,A10,পরিশোধ!$D$2:$D$20000))</f>
        <v/>
      </c>
      <c r="D10" s="16">
        <f>IF(A10="","",B10-C10)</f>
        <v/>
      </c>
      <c r="E10" s="18">
        <f>IF(A10="","",COUNTIFS(ব্যয়!$I$2:$I$20000,A10,ব্যয়!$K$2:$K$20000,"বাকি"))</f>
        <v/>
      </c>
    </row>
    <row r="11">
      <c r="A11" s="33" t="inlineStr">
        <is>
          <t>রহিম স্টোর</t>
        </is>
      </c>
      <c r="B11" s="16">
        <f>IF(A11="","",SUMIFS(ব্যয়!$H$2:$H$20000,ব্যয়!$I$2:$I$20000,A11,ব্যয়!$K$2:$K$20000,"বাকি"))</f>
        <v/>
      </c>
      <c r="C11" s="16">
        <f>IF(A11="","",SUMIF(পরিশোধ!$C$2:$C$20000,A11,পরিশোধ!$D$2:$D$20000))</f>
        <v/>
      </c>
      <c r="D11" s="16">
        <f>IF(A11="","",B11-C11)</f>
        <v/>
      </c>
      <c r="E11" s="18">
        <f>IF(A11="","",COUNTIFS(ব্যয়!$I$2:$I$20000,A11,ব্যয়!$K$2:$K$20000,"বাকি"))</f>
        <v/>
      </c>
    </row>
    <row r="12">
      <c r="A12" s="33" t="inlineStr">
        <is>
          <t>বইঘর</t>
        </is>
      </c>
      <c r="B12" s="16">
        <f>IF(A12="","",SUMIFS(ব্যয়!$H$2:$H$20000,ব্যয়!$I$2:$I$20000,A12,ব্যয়!$K$2:$K$20000,"বাকি"))</f>
        <v/>
      </c>
      <c r="C12" s="16">
        <f>IF(A12="","",SUMIF(পরিশোধ!$C$2:$C$20000,A12,পরিশোধ!$D$2:$D$20000))</f>
        <v/>
      </c>
      <c r="D12" s="16">
        <f>IF(A12="","",B12-C12)</f>
        <v/>
      </c>
      <c r="E12" s="18">
        <f>IF(A12="","",COUNTIFS(ব্যয়!$I$2:$I$20000,A12,ব্যয়!$K$2:$K$20000,"বাকি"))</f>
        <v/>
      </c>
    </row>
    <row r="13">
      <c r="A13" s="33" t="inlineStr">
        <is>
          <t>পল্লী বিদ্যুৎ</t>
        </is>
      </c>
      <c r="B13" s="16">
        <f>IF(A13="","",SUMIFS(ব্যয়!$H$2:$H$20000,ব্যয়!$I$2:$I$20000,A13,ব্যয়!$K$2:$K$20000,"বাকি"))</f>
        <v/>
      </c>
      <c r="C13" s="16">
        <f>IF(A13="","",SUMIF(পরিশোধ!$C$2:$C$20000,A13,পরিশোধ!$D$2:$D$20000))</f>
        <v/>
      </c>
      <c r="D13" s="16">
        <f>IF(A13="","",B13-C13)</f>
        <v/>
      </c>
      <c r="E13" s="18">
        <f>IF(A13="","",COUNTIFS(ব্যয়!$I$2:$I$20000,A13,ব্যয়!$K$2:$K$20000,"বাকি"))</f>
        <v/>
      </c>
    </row>
    <row r="14">
      <c r="A14" s="33" t="inlineStr"/>
      <c r="B14" s="16">
        <f>IF(A14="","",SUMIFS(ব্যয়!$H$2:$H$20000,ব্যয়!$I$2:$I$20000,A14,ব্যয়!$K$2:$K$20000,"বাকি"))</f>
        <v/>
      </c>
      <c r="C14" s="16">
        <f>IF(A14="","",SUMIF(পরিশোধ!$C$2:$C$20000,A14,পরিশোধ!$D$2:$D$20000))</f>
        <v/>
      </c>
      <c r="D14" s="16">
        <f>IF(A14="","",B14-C14)</f>
        <v/>
      </c>
      <c r="E14" s="18">
        <f>IF(A14="","",COUNTIFS(ব্যয়!$I$2:$I$20000,A14,ব্যয়!$K$2:$K$20000,"বাকি"))</f>
        <v/>
      </c>
    </row>
    <row r="15">
      <c r="A15" s="33" t="inlineStr"/>
      <c r="B15" s="16">
        <f>IF(A15="","",SUMIFS(ব্যয়!$H$2:$H$20000,ব্যয়!$I$2:$I$20000,A15,ব্যয়!$K$2:$K$20000,"বাকি"))</f>
        <v/>
      </c>
      <c r="C15" s="16">
        <f>IF(A15="","",SUMIF(পরিশোধ!$C$2:$C$20000,A15,পরিশোধ!$D$2:$D$20000))</f>
        <v/>
      </c>
      <c r="D15" s="16">
        <f>IF(A15="","",B15-C15)</f>
        <v/>
      </c>
      <c r="E15" s="18">
        <f>IF(A15="","",COUNTIFS(ব্যয়!$I$2:$I$20000,A15,ব্যয়!$K$2:$K$20000,"বাকি"))</f>
        <v/>
      </c>
    </row>
    <row r="16">
      <c r="A16" s="33" t="inlineStr"/>
      <c r="B16" s="16">
        <f>IF(A16="","",SUMIFS(ব্যয়!$H$2:$H$20000,ব্যয়!$I$2:$I$20000,A16,ব্যয়!$K$2:$K$20000,"বাকি"))</f>
        <v/>
      </c>
      <c r="C16" s="16">
        <f>IF(A16="","",SUMIF(পরিশোধ!$C$2:$C$20000,A16,পরিশোধ!$D$2:$D$20000))</f>
        <v/>
      </c>
      <c r="D16" s="16">
        <f>IF(A16="","",B16-C16)</f>
        <v/>
      </c>
      <c r="E16" s="18">
        <f>IF(A16="","",COUNTIFS(ব্যয়!$I$2:$I$20000,A16,ব্যয়!$K$2:$K$20000,"বাকি"))</f>
        <v/>
      </c>
    </row>
    <row r="17">
      <c r="A17" s="33" t="inlineStr"/>
      <c r="B17" s="16">
        <f>IF(A17="","",SUMIFS(ব্যয়!$H$2:$H$20000,ব্যয়!$I$2:$I$20000,A17,ব্যয়!$K$2:$K$20000,"বাকি"))</f>
        <v/>
      </c>
      <c r="C17" s="16">
        <f>IF(A17="","",SUMIF(পরিশোধ!$C$2:$C$20000,A17,পরিশোধ!$D$2:$D$20000))</f>
        <v/>
      </c>
      <c r="D17" s="16">
        <f>IF(A17="","",B17-C17)</f>
        <v/>
      </c>
      <c r="E17" s="18">
        <f>IF(A17="","",COUNTIFS(ব্যয়!$I$2:$I$20000,A17,ব্যয়!$K$2:$K$20000,"বাকি"))</f>
        <v/>
      </c>
    </row>
    <row r="18">
      <c r="A18" s="33" t="inlineStr"/>
      <c r="B18" s="16">
        <f>IF(A18="","",SUMIFS(ব্যয়!$H$2:$H$20000,ব্যয়!$I$2:$I$20000,A18,ব্যয়!$K$2:$K$20000,"বাকি"))</f>
        <v/>
      </c>
      <c r="C18" s="16">
        <f>IF(A18="","",SUMIF(পরিশোধ!$C$2:$C$20000,A18,পরিশোধ!$D$2:$D$20000))</f>
        <v/>
      </c>
      <c r="D18" s="16">
        <f>IF(A18="","",B18-C18)</f>
        <v/>
      </c>
      <c r="E18" s="18">
        <f>IF(A18="","",COUNTIFS(ব্যয়!$I$2:$I$20000,A18,ব্যয়!$K$2:$K$20000,"বাকি"))</f>
        <v/>
      </c>
    </row>
    <row r="19">
      <c r="A19" s="33" t="inlineStr"/>
      <c r="B19" s="16">
        <f>IF(A19="","",SUMIFS(ব্যয়!$H$2:$H$20000,ব্যয়!$I$2:$I$20000,A19,ব্যয়!$K$2:$K$20000,"বাকি"))</f>
        <v/>
      </c>
      <c r="C19" s="16">
        <f>IF(A19="","",SUMIF(পরিশোধ!$C$2:$C$20000,A19,পরিশোধ!$D$2:$D$20000))</f>
        <v/>
      </c>
      <c r="D19" s="16">
        <f>IF(A19="","",B19-C19)</f>
        <v/>
      </c>
      <c r="E19" s="18">
        <f>IF(A19="","",COUNTIFS(ব্যয়!$I$2:$I$20000,A19,ব্যয়!$K$2:$K$20000,"বাকি"))</f>
        <v/>
      </c>
    </row>
    <row r="20">
      <c r="A20" s="33" t="inlineStr"/>
      <c r="B20" s="16">
        <f>IF(A20="","",SUMIFS(ব্যয়!$H$2:$H$20000,ব্যয়!$I$2:$I$20000,A20,ব্যয়!$K$2:$K$20000,"বাকি"))</f>
        <v/>
      </c>
      <c r="C20" s="16">
        <f>IF(A20="","",SUMIF(পরিশোধ!$C$2:$C$20000,A20,পরিশোধ!$D$2:$D$20000))</f>
        <v/>
      </c>
      <c r="D20" s="16">
        <f>IF(A20="","",B20-C20)</f>
        <v/>
      </c>
      <c r="E20" s="18">
        <f>IF(A20="","",COUNTIFS(ব্যয়!$I$2:$I$20000,A20,ব্যয়!$K$2:$K$20000,"বাকি"))</f>
        <v/>
      </c>
    </row>
    <row r="21">
      <c r="A21" s="33" t="inlineStr"/>
      <c r="B21" s="16">
        <f>IF(A21="","",SUMIFS(ব্যয়!$H$2:$H$20000,ব্যয়!$I$2:$I$20000,A21,ব্যয়!$K$2:$K$20000,"বাকি"))</f>
        <v/>
      </c>
      <c r="C21" s="16">
        <f>IF(A21="","",SUMIF(পরিশোধ!$C$2:$C$20000,A21,পরিশোধ!$D$2:$D$20000))</f>
        <v/>
      </c>
      <c r="D21" s="16">
        <f>IF(A21="","",B21-C21)</f>
        <v/>
      </c>
      <c r="E21" s="18">
        <f>IF(A21="","",COUNTIFS(ব্যয়!$I$2:$I$20000,A21,ব্যয়!$K$2:$K$20000,"বাকি"))</f>
        <v/>
      </c>
    </row>
    <row r="22">
      <c r="A22" s="33" t="inlineStr"/>
      <c r="B22" s="16">
        <f>IF(A22="","",SUMIFS(ব্যয়!$H$2:$H$20000,ব্যয়!$I$2:$I$20000,A22,ব্যয়!$K$2:$K$20000,"বাকি"))</f>
        <v/>
      </c>
      <c r="C22" s="16">
        <f>IF(A22="","",SUMIF(পরিশোধ!$C$2:$C$20000,A22,পরিশোধ!$D$2:$D$20000))</f>
        <v/>
      </c>
      <c r="D22" s="16">
        <f>IF(A22="","",B22-C22)</f>
        <v/>
      </c>
      <c r="E22" s="18">
        <f>IF(A22="","",COUNTIFS(ব্যয়!$I$2:$I$20000,A22,ব্যয়!$K$2:$K$20000,"বাকি"))</f>
        <v/>
      </c>
    </row>
    <row r="23">
      <c r="A23" s="33" t="inlineStr"/>
      <c r="B23" s="16">
        <f>IF(A23="","",SUMIFS(ব্যয়!$H$2:$H$20000,ব্যয়!$I$2:$I$20000,A23,ব্যয়!$K$2:$K$20000,"বাকি"))</f>
        <v/>
      </c>
      <c r="C23" s="16">
        <f>IF(A23="","",SUMIF(পরিশোধ!$C$2:$C$20000,A23,পরিশোধ!$D$2:$D$20000))</f>
        <v/>
      </c>
      <c r="D23" s="16">
        <f>IF(A23="","",B23-C23)</f>
        <v/>
      </c>
      <c r="E23" s="18">
        <f>IF(A23="","",COUNTIFS(ব্যয়!$I$2:$I$20000,A23,ব্যয়!$K$2:$K$20000,"বাকি"))</f>
        <v/>
      </c>
    </row>
    <row r="24">
      <c r="A24" s="33" t="inlineStr"/>
      <c r="B24" s="16">
        <f>IF(A24="","",SUMIFS(ব্যয়!$H$2:$H$20000,ব্যয়!$I$2:$I$20000,A24,ব্যয়!$K$2:$K$20000,"বাকি"))</f>
        <v/>
      </c>
      <c r="C24" s="16">
        <f>IF(A24="","",SUMIF(পরিশোধ!$C$2:$C$20000,A24,পরিশোধ!$D$2:$D$20000))</f>
        <v/>
      </c>
      <c r="D24" s="16">
        <f>IF(A24="","",B24-C24)</f>
        <v/>
      </c>
      <c r="E24" s="18">
        <f>IF(A24="","",COUNTIFS(ব্যয়!$I$2:$I$20000,A24,ব্যয়!$K$2:$K$20000,"বাকি"))</f>
        <v/>
      </c>
    </row>
    <row r="25">
      <c r="A25" s="33" t="inlineStr"/>
      <c r="B25" s="16">
        <f>IF(A25="","",SUMIFS(ব্যয়!$H$2:$H$20000,ব্যয়!$I$2:$I$20000,A25,ব্যয়!$K$2:$K$20000,"বাকি"))</f>
        <v/>
      </c>
      <c r="C25" s="16">
        <f>IF(A25="","",SUMIF(পরিশোধ!$C$2:$C$20000,A25,পরিশোধ!$D$2:$D$20000))</f>
        <v/>
      </c>
      <c r="D25" s="16">
        <f>IF(A25="","",B25-C25)</f>
        <v/>
      </c>
      <c r="E25" s="18">
        <f>IF(A25="","",COUNTIFS(ব্যয়!$I$2:$I$20000,A25,ব্যয়!$K$2:$K$20000,"বাকি"))</f>
        <v/>
      </c>
    </row>
    <row r="26">
      <c r="A26" s="33" t="inlineStr"/>
      <c r="B26" s="16">
        <f>IF(A26="","",SUMIFS(ব্যয়!$H$2:$H$20000,ব্যয়!$I$2:$I$20000,A26,ব্যয়!$K$2:$K$20000,"বাকি"))</f>
        <v/>
      </c>
      <c r="C26" s="16">
        <f>IF(A26="","",SUMIF(পরিশোধ!$C$2:$C$20000,A26,পরিশোধ!$D$2:$D$20000))</f>
        <v/>
      </c>
      <c r="D26" s="16">
        <f>IF(A26="","",B26-C26)</f>
        <v/>
      </c>
      <c r="E26" s="18">
        <f>IF(A26="","",COUNTIFS(ব্যয়!$I$2:$I$20000,A26,ব্যয়!$K$2:$K$20000,"বাকি"))</f>
        <v/>
      </c>
    </row>
    <row r="27">
      <c r="A27" s="33" t="inlineStr"/>
      <c r="B27" s="16">
        <f>IF(A27="","",SUMIFS(ব্যয়!$H$2:$H$20000,ব্যয়!$I$2:$I$20000,A27,ব্যয়!$K$2:$K$20000,"বাকি"))</f>
        <v/>
      </c>
      <c r="C27" s="16">
        <f>IF(A27="","",SUMIF(পরিশোধ!$C$2:$C$20000,A27,পরিশোধ!$D$2:$D$20000))</f>
        <v/>
      </c>
      <c r="D27" s="16">
        <f>IF(A27="","",B27-C27)</f>
        <v/>
      </c>
      <c r="E27" s="18">
        <f>IF(A27="","",COUNTIFS(ব্যয়!$I$2:$I$20000,A27,ব্যয়!$K$2:$K$20000,"বাকি"))</f>
        <v/>
      </c>
    </row>
    <row r="28">
      <c r="A28" s="33" t="inlineStr"/>
      <c r="B28" s="16">
        <f>IF(A28="","",SUMIFS(ব্যয়!$H$2:$H$20000,ব্যয়!$I$2:$I$20000,A28,ব্যয়!$K$2:$K$20000,"বাকি"))</f>
        <v/>
      </c>
      <c r="C28" s="16">
        <f>IF(A28="","",SUMIF(পরিশোধ!$C$2:$C$20000,A28,পরিশোধ!$D$2:$D$20000))</f>
        <v/>
      </c>
      <c r="D28" s="16">
        <f>IF(A28="","",B28-C28)</f>
        <v/>
      </c>
      <c r="E28" s="18">
        <f>IF(A28="","",COUNTIFS(ব্যয়!$I$2:$I$20000,A28,ব্যয়!$K$2:$K$20000,"বাকি"))</f>
        <v/>
      </c>
    </row>
    <row r="29">
      <c r="A29" s="33" t="inlineStr"/>
      <c r="B29" s="16">
        <f>IF(A29="","",SUMIFS(ব্যয়!$H$2:$H$20000,ব্যয়!$I$2:$I$20000,A29,ব্যয়!$K$2:$K$20000,"বাকি"))</f>
        <v/>
      </c>
      <c r="C29" s="16">
        <f>IF(A29="","",SUMIF(পরিশোধ!$C$2:$C$20000,A29,পরিশোধ!$D$2:$D$20000))</f>
        <v/>
      </c>
      <c r="D29" s="16">
        <f>IF(A29="","",B29-C29)</f>
        <v/>
      </c>
      <c r="E29" s="18">
        <f>IF(A29="","",COUNTIFS(ব্যয়!$I$2:$I$20000,A29,ব্যয়!$K$2:$K$20000,"বাকি"))</f>
        <v/>
      </c>
    </row>
    <row r="30">
      <c r="A30" s="33" t="inlineStr"/>
      <c r="B30" s="16">
        <f>IF(A30="","",SUMIFS(ব্যয়!$H$2:$H$20000,ব্যয়!$I$2:$I$20000,A30,ব্যয়!$K$2:$K$20000,"বাকি"))</f>
        <v/>
      </c>
      <c r="C30" s="16">
        <f>IF(A30="","",SUMIF(পরিশোধ!$C$2:$C$20000,A30,পরিশোধ!$D$2:$D$20000))</f>
        <v/>
      </c>
      <c r="D30" s="16">
        <f>IF(A30="","",B30-C30)</f>
        <v/>
      </c>
      <c r="E30" s="18">
        <f>IF(A30="","",COUNTIFS(ব্যয়!$I$2:$I$20000,A30,ব্যয়!$K$2:$K$20000,"বাকি"))</f>
        <v/>
      </c>
    </row>
    <row r="31">
      <c r="A31" s="33" t="inlineStr"/>
      <c r="B31" s="16">
        <f>IF(A31="","",SUMIFS(ব্যয়!$H$2:$H$20000,ব্যয়!$I$2:$I$20000,A31,ব্যয়!$K$2:$K$20000,"বাকি"))</f>
        <v/>
      </c>
      <c r="C31" s="16">
        <f>IF(A31="","",SUMIF(পরিশোধ!$C$2:$C$20000,A31,পরিশোধ!$D$2:$D$20000))</f>
        <v/>
      </c>
      <c r="D31" s="16">
        <f>IF(A31="","",B31-C31)</f>
        <v/>
      </c>
      <c r="E31" s="18">
        <f>IF(A31="","",COUNTIFS(ব্যয়!$I$2:$I$20000,A31,ব্যয়!$K$2:$K$20000,"বাকি"))</f>
        <v/>
      </c>
    </row>
    <row r="32">
      <c r="A32" s="33" t="inlineStr"/>
      <c r="B32" s="16">
        <f>IF(A32="","",SUMIFS(ব্যয়!$H$2:$H$20000,ব্যয়!$I$2:$I$20000,A32,ব্যয়!$K$2:$K$20000,"বাকি"))</f>
        <v/>
      </c>
      <c r="C32" s="16">
        <f>IF(A32="","",SUMIF(পরিশোধ!$C$2:$C$20000,A32,পরিশোধ!$D$2:$D$20000))</f>
        <v/>
      </c>
      <c r="D32" s="16">
        <f>IF(A32="","",B32-C32)</f>
        <v/>
      </c>
      <c r="E32" s="18">
        <f>IF(A32="","",COUNTIFS(ব্যয়!$I$2:$I$20000,A32,ব্যয়!$K$2:$K$20000,"বাকি"))</f>
        <v/>
      </c>
    </row>
    <row r="33">
      <c r="A33" s="33" t="inlineStr"/>
      <c r="B33" s="16">
        <f>IF(A33="","",SUMIFS(ব্যয়!$H$2:$H$20000,ব্যয়!$I$2:$I$20000,A33,ব্যয়!$K$2:$K$20000,"বাকি"))</f>
        <v/>
      </c>
      <c r="C33" s="16">
        <f>IF(A33="","",SUMIF(পরিশোধ!$C$2:$C$20000,A33,পরিশোধ!$D$2:$D$20000))</f>
        <v/>
      </c>
      <c r="D33" s="16">
        <f>IF(A33="","",B33-C33)</f>
        <v/>
      </c>
      <c r="E33" s="18">
        <f>IF(A33="","",COUNTIFS(ব্যয়!$I$2:$I$20000,A33,ব্যয়!$K$2:$K$20000,"বাকি"))</f>
        <v/>
      </c>
    </row>
    <row r="34">
      <c r="A34" s="33" t="inlineStr"/>
      <c r="B34" s="16">
        <f>IF(A34="","",SUMIFS(ব্যয়!$H$2:$H$20000,ব্যয়!$I$2:$I$20000,A34,ব্যয়!$K$2:$K$20000,"বাকি"))</f>
        <v/>
      </c>
      <c r="C34" s="16">
        <f>IF(A34="","",SUMIF(পরিশোধ!$C$2:$C$20000,A34,পরিশোধ!$D$2:$D$20000))</f>
        <v/>
      </c>
      <c r="D34" s="16">
        <f>IF(A34="","",B34-C34)</f>
        <v/>
      </c>
      <c r="E34" s="18">
        <f>IF(A34="","",COUNTIFS(ব্যয়!$I$2:$I$20000,A34,ব্যয়!$K$2:$K$20000,"বাকি"))</f>
        <v/>
      </c>
    </row>
    <row r="35">
      <c r="A35" s="33" t="inlineStr"/>
      <c r="B35" s="16">
        <f>IF(A35="","",SUMIFS(ব্যয়!$H$2:$H$20000,ব্যয়!$I$2:$I$20000,A35,ব্যয়!$K$2:$K$20000,"বাকি"))</f>
        <v/>
      </c>
      <c r="C35" s="16">
        <f>IF(A35="","",SUMIF(পরিশোধ!$C$2:$C$20000,A35,পরিশোধ!$D$2:$D$20000))</f>
        <v/>
      </c>
      <c r="D35" s="16">
        <f>IF(A35="","",B35-C35)</f>
        <v/>
      </c>
      <c r="E35" s="18">
        <f>IF(A35="","",COUNTIFS(ব্যয়!$I$2:$I$20000,A35,ব্যয়!$K$2:$K$20000,"বাকি"))</f>
        <v/>
      </c>
    </row>
    <row r="36">
      <c r="A36" s="33" t="inlineStr"/>
      <c r="B36" s="16">
        <f>IF(A36="","",SUMIFS(ব্যয়!$H$2:$H$20000,ব্যয়!$I$2:$I$20000,A36,ব্যয়!$K$2:$K$20000,"বাকি"))</f>
        <v/>
      </c>
      <c r="C36" s="16">
        <f>IF(A36="","",SUMIF(পরিশোধ!$C$2:$C$20000,A36,পরিশোধ!$D$2:$D$20000))</f>
        <v/>
      </c>
      <c r="D36" s="16">
        <f>IF(A36="","",B36-C36)</f>
        <v/>
      </c>
      <c r="E36" s="18">
        <f>IF(A36="","",COUNTIFS(ব্যয়!$I$2:$I$20000,A36,ব্যয়!$K$2:$K$20000,"বাকি"))</f>
        <v/>
      </c>
    </row>
    <row r="37">
      <c r="A37" s="33" t="inlineStr"/>
      <c r="B37" s="16">
        <f>IF(A37="","",SUMIFS(ব্যয়!$H$2:$H$20000,ব্যয়!$I$2:$I$20000,A37,ব্যয়!$K$2:$K$20000,"বাকি"))</f>
        <v/>
      </c>
      <c r="C37" s="16">
        <f>IF(A37="","",SUMIF(পরিশোধ!$C$2:$C$20000,A37,পরিশোধ!$D$2:$D$20000))</f>
        <v/>
      </c>
      <c r="D37" s="16">
        <f>IF(A37="","",B37-C37)</f>
        <v/>
      </c>
      <c r="E37" s="18">
        <f>IF(A37="","",COUNTIFS(ব্যয়!$I$2:$I$20000,A37,ব্যয়!$K$2:$K$20000,"বাকি"))</f>
        <v/>
      </c>
    </row>
    <row r="38">
      <c r="A38" s="33" t="inlineStr"/>
      <c r="B38" s="16">
        <f>IF(A38="","",SUMIFS(ব্যয়!$H$2:$H$20000,ব্যয়!$I$2:$I$20000,A38,ব্যয়!$K$2:$K$20000,"বাকি"))</f>
        <v/>
      </c>
      <c r="C38" s="16">
        <f>IF(A38="","",SUMIF(পরিশোধ!$C$2:$C$20000,A38,পরিশোধ!$D$2:$D$20000))</f>
        <v/>
      </c>
      <c r="D38" s="16">
        <f>IF(A38="","",B38-C38)</f>
        <v/>
      </c>
      <c r="E38" s="18">
        <f>IF(A38="","",COUNTIFS(ব্যয়!$I$2:$I$20000,A38,ব্যয়!$K$2:$K$20000,"বাকি"))</f>
        <v/>
      </c>
    </row>
    <row r="39">
      <c r="A39" s="33" t="inlineStr"/>
      <c r="B39" s="16">
        <f>IF(A39="","",SUMIFS(ব্যয়!$H$2:$H$20000,ব্যয়!$I$2:$I$20000,A39,ব্যয়!$K$2:$K$20000,"বাকি"))</f>
        <v/>
      </c>
      <c r="C39" s="16">
        <f>IF(A39="","",SUMIF(পরিশোধ!$C$2:$C$20000,A39,পরিশোধ!$D$2:$D$20000))</f>
        <v/>
      </c>
      <c r="D39" s="16">
        <f>IF(A39="","",B39-C39)</f>
        <v/>
      </c>
      <c r="E39" s="18">
        <f>IF(A39="","",COUNTIFS(ব্যয়!$I$2:$I$20000,A39,ব্যয়!$K$2:$K$20000,"বাকি"))</f>
        <v/>
      </c>
    </row>
    <row r="40">
      <c r="A40" s="33" t="inlineStr"/>
      <c r="B40" s="16">
        <f>IF(A40="","",SUMIFS(ব্যয়!$H$2:$H$20000,ব্যয়!$I$2:$I$20000,A40,ব্যয়!$K$2:$K$20000,"বাকি"))</f>
        <v/>
      </c>
      <c r="C40" s="16">
        <f>IF(A40="","",SUMIF(পরিশোধ!$C$2:$C$20000,A40,পরিশোধ!$D$2:$D$20000))</f>
        <v/>
      </c>
      <c r="D40" s="16">
        <f>IF(A40="","",B40-C40)</f>
        <v/>
      </c>
      <c r="E40" s="18">
        <f>IF(A40="","",COUNTIFS(ব্যয়!$I$2:$I$20000,A40,ব্যয়!$K$2:$K$20000,"বাকি"))</f>
        <v/>
      </c>
    </row>
    <row r="41">
      <c r="A41" s="33" t="inlineStr"/>
      <c r="B41" s="16">
        <f>IF(A41="","",SUMIFS(ব্যয়!$H$2:$H$20000,ব্যয়!$I$2:$I$20000,A41,ব্যয়!$K$2:$K$20000,"বাকি"))</f>
        <v/>
      </c>
      <c r="C41" s="16">
        <f>IF(A41="","",SUMIF(পরিশোধ!$C$2:$C$20000,A41,পরিশোধ!$D$2:$D$20000))</f>
        <v/>
      </c>
      <c r="D41" s="16">
        <f>IF(A41="","",B41-C41)</f>
        <v/>
      </c>
      <c r="E41" s="18">
        <f>IF(A41="","",COUNTIFS(ব্যয়!$I$2:$I$20000,A41,ব্যয়!$K$2:$K$20000,"বাকি"))</f>
        <v/>
      </c>
    </row>
    <row r="42">
      <c r="A42" s="33" t="inlineStr"/>
      <c r="B42" s="16">
        <f>IF(A42="","",SUMIFS(ব্যয়!$H$2:$H$20000,ব্যয়!$I$2:$I$20000,A42,ব্যয়!$K$2:$K$20000,"বাকি"))</f>
        <v/>
      </c>
      <c r="C42" s="16">
        <f>IF(A42="","",SUMIF(পরিশোধ!$C$2:$C$20000,A42,পরিশোধ!$D$2:$D$20000))</f>
        <v/>
      </c>
      <c r="D42" s="16">
        <f>IF(A42="","",B42-C42)</f>
        <v/>
      </c>
      <c r="E42" s="18">
        <f>IF(A42="","",COUNTIFS(ব্যয়!$I$2:$I$20000,A42,ব্যয়!$K$2:$K$20000,"বাকি"))</f>
        <v/>
      </c>
    </row>
    <row r="43">
      <c r="A43" s="33" t="inlineStr"/>
      <c r="B43" s="16">
        <f>IF(A43="","",SUMIFS(ব্যয়!$H$2:$H$20000,ব্যয়!$I$2:$I$20000,A43,ব্যয়!$K$2:$K$20000,"বাকি"))</f>
        <v/>
      </c>
      <c r="C43" s="16">
        <f>IF(A43="","",SUMIF(পরিশোধ!$C$2:$C$20000,A43,পরিশোধ!$D$2:$D$20000))</f>
        <v/>
      </c>
      <c r="D43" s="16">
        <f>IF(A43="","",B43-C43)</f>
        <v/>
      </c>
      <c r="E43" s="18">
        <f>IF(A43="","",COUNTIFS(ব্যয়!$I$2:$I$20000,A43,ব্যয়!$K$2:$K$20000,"বাকি"))</f>
        <v/>
      </c>
    </row>
    <row r="44">
      <c r="A44" s="33" t="inlineStr"/>
      <c r="B44" s="16">
        <f>IF(A44="","",SUMIFS(ব্যয়!$H$2:$H$20000,ব্যয়!$I$2:$I$20000,A44,ব্যয়!$K$2:$K$20000,"বাকি"))</f>
        <v/>
      </c>
      <c r="C44" s="16">
        <f>IF(A44="","",SUMIF(পরিশোধ!$C$2:$C$20000,A44,পরিশোধ!$D$2:$D$20000))</f>
        <v/>
      </c>
      <c r="D44" s="16">
        <f>IF(A44="","",B44-C44)</f>
        <v/>
      </c>
      <c r="E44" s="18">
        <f>IF(A44="","",COUNTIFS(ব্যয়!$I$2:$I$20000,A44,ব্যয়!$K$2:$K$20000,"বাকি"))</f>
        <v/>
      </c>
    </row>
    <row r="45">
      <c r="A45" s="33" t="inlineStr"/>
      <c r="B45" s="16">
        <f>IF(A45="","",SUMIFS(ব্যয়!$H$2:$H$20000,ব্যয়!$I$2:$I$20000,A45,ব্যয়!$K$2:$K$20000,"বাকি"))</f>
        <v/>
      </c>
      <c r="C45" s="16">
        <f>IF(A45="","",SUMIF(পরিশোধ!$C$2:$C$20000,A45,পরিশোধ!$D$2:$D$20000))</f>
        <v/>
      </c>
      <c r="D45" s="16">
        <f>IF(A45="","",B45-C45)</f>
        <v/>
      </c>
      <c r="E45" s="18">
        <f>IF(A45="","",COUNTIFS(ব্যয়!$I$2:$I$20000,A45,ব্যয়!$K$2:$K$20000,"বাকি"))</f>
        <v/>
      </c>
    </row>
    <row r="46">
      <c r="A46" s="33" t="inlineStr"/>
      <c r="B46" s="16">
        <f>IF(A46="","",SUMIFS(ব্যয়!$H$2:$H$20000,ব্যয়!$I$2:$I$20000,A46,ব্যয়!$K$2:$K$20000,"বাকি"))</f>
        <v/>
      </c>
      <c r="C46" s="16">
        <f>IF(A46="","",SUMIF(পরিশোধ!$C$2:$C$20000,A46,পরিশোধ!$D$2:$D$20000))</f>
        <v/>
      </c>
      <c r="D46" s="16">
        <f>IF(A46="","",B46-C46)</f>
        <v/>
      </c>
      <c r="E46" s="18">
        <f>IF(A46="","",COUNTIFS(ব্যয়!$I$2:$I$20000,A46,ব্যয়!$K$2:$K$20000,"বাকি"))</f>
        <v/>
      </c>
    </row>
    <row r="47">
      <c r="A47" s="33" t="inlineStr"/>
      <c r="B47" s="16">
        <f>IF(A47="","",SUMIFS(ব্যয়!$H$2:$H$20000,ব্যয়!$I$2:$I$20000,A47,ব্যয়!$K$2:$K$20000,"বাকি"))</f>
        <v/>
      </c>
      <c r="C47" s="16">
        <f>IF(A47="","",SUMIF(পরিশোধ!$C$2:$C$20000,A47,পরিশোধ!$D$2:$D$20000))</f>
        <v/>
      </c>
      <c r="D47" s="16">
        <f>IF(A47="","",B47-C47)</f>
        <v/>
      </c>
      <c r="E47" s="18">
        <f>IF(A47="","",COUNTIFS(ব্যয়!$I$2:$I$20000,A47,ব্যয়!$K$2:$K$20000,"বাকি"))</f>
        <v/>
      </c>
    </row>
    <row r="48">
      <c r="A48" s="33" t="inlineStr"/>
      <c r="B48" s="16">
        <f>IF(A48="","",SUMIFS(ব্যয়!$H$2:$H$20000,ব্যয়!$I$2:$I$20000,A48,ব্যয়!$K$2:$K$20000,"বাকি"))</f>
        <v/>
      </c>
      <c r="C48" s="16">
        <f>IF(A48="","",SUMIF(পরিশোধ!$C$2:$C$20000,A48,পরিশোধ!$D$2:$D$20000))</f>
        <v/>
      </c>
      <c r="D48" s="16">
        <f>IF(A48="","",B48-C48)</f>
        <v/>
      </c>
      <c r="E48" s="18">
        <f>IF(A48="","",COUNTIFS(ব্যয়!$I$2:$I$20000,A48,ব্যয়!$K$2:$K$20000,"বাকি"))</f>
        <v/>
      </c>
    </row>
    <row r="49">
      <c r="A49" s="33" t="inlineStr"/>
      <c r="B49" s="16">
        <f>IF(A49="","",SUMIFS(ব্যয়!$H$2:$H$20000,ব্যয়!$I$2:$I$20000,A49,ব্যয়!$K$2:$K$20000,"বাকি"))</f>
        <v/>
      </c>
      <c r="C49" s="16">
        <f>IF(A49="","",SUMIF(পরিশোধ!$C$2:$C$20000,A49,পরিশোধ!$D$2:$D$20000))</f>
        <v/>
      </c>
      <c r="D49" s="16">
        <f>IF(A49="","",B49-C49)</f>
        <v/>
      </c>
      <c r="E49" s="18">
        <f>IF(A49="","",COUNTIFS(ব্যয়!$I$2:$I$20000,A49,ব্যয়!$K$2:$K$20000,"বাকি"))</f>
        <v/>
      </c>
    </row>
    <row r="50">
      <c r="A50" s="33" t="inlineStr"/>
      <c r="B50" s="16">
        <f>IF(A50="","",SUMIFS(ব্যয়!$H$2:$H$20000,ব্যয়!$I$2:$I$20000,A50,ব্যয়!$K$2:$K$20000,"বাকি"))</f>
        <v/>
      </c>
      <c r="C50" s="16">
        <f>IF(A50="","",SUMIF(পরিশোধ!$C$2:$C$20000,A50,পরিশোধ!$D$2:$D$20000))</f>
        <v/>
      </c>
      <c r="D50" s="16">
        <f>IF(A50="","",B50-C50)</f>
        <v/>
      </c>
      <c r="E50" s="18">
        <f>IF(A50="","",COUNTIFS(ব্যয়!$I$2:$I$20000,A50,ব্যয়!$K$2:$K$20000,"বাকি"))</f>
        <v/>
      </c>
    </row>
    <row r="51">
      <c r="A51" s="33" t="inlineStr"/>
      <c r="B51" s="16">
        <f>IF(A51="","",SUMIFS(ব্যয়!$H$2:$H$20000,ব্যয়!$I$2:$I$20000,A51,ব্যয়!$K$2:$K$20000,"বাকি"))</f>
        <v/>
      </c>
      <c r="C51" s="16">
        <f>IF(A51="","",SUMIF(পরিশোধ!$C$2:$C$20000,A51,পরিশোধ!$D$2:$D$20000))</f>
        <v/>
      </c>
      <c r="D51" s="16">
        <f>IF(A51="","",B51-C51)</f>
        <v/>
      </c>
      <c r="E51" s="18">
        <f>IF(A51="","",COUNTIFS(ব্যয়!$I$2:$I$20000,A51,ব্যয়!$K$2:$K$20000,"বাকি"))</f>
        <v/>
      </c>
    </row>
    <row r="52">
      <c r="A52" s="33" t="inlineStr"/>
      <c r="B52" s="16">
        <f>IF(A52="","",SUMIFS(ব্যয়!$H$2:$H$20000,ব্যয়!$I$2:$I$20000,A52,ব্যয়!$K$2:$K$20000,"বাকি"))</f>
        <v/>
      </c>
      <c r="C52" s="16">
        <f>IF(A52="","",SUMIF(পরিশোধ!$C$2:$C$20000,A52,পরিশোধ!$D$2:$D$20000))</f>
        <v/>
      </c>
      <c r="D52" s="16">
        <f>IF(A52="","",B52-C52)</f>
        <v/>
      </c>
      <c r="E52" s="18">
        <f>IF(A52="","",COUNTIFS(ব্যয়!$I$2:$I$20000,A52,ব্যয়!$K$2:$K$20000,"বাকি"))</f>
        <v/>
      </c>
    </row>
    <row r="53">
      <c r="A53" s="33" t="inlineStr"/>
      <c r="B53" s="16">
        <f>IF(A53="","",SUMIFS(ব্যয়!$H$2:$H$20000,ব্যয়!$I$2:$I$20000,A53,ব্যয়!$K$2:$K$20000,"বাকি"))</f>
        <v/>
      </c>
      <c r="C53" s="16">
        <f>IF(A53="","",SUMIF(পরিশোধ!$C$2:$C$20000,A53,পরিশোধ!$D$2:$D$20000))</f>
        <v/>
      </c>
      <c r="D53" s="16">
        <f>IF(A53="","",B53-C53)</f>
        <v/>
      </c>
      <c r="E53" s="18">
        <f>IF(A53="","",COUNTIFS(ব্যয়!$I$2:$I$20000,A53,ব্যয়!$K$2:$K$20000,"বাকি"))</f>
        <v/>
      </c>
    </row>
    <row r="54">
      <c r="A54" s="33" t="inlineStr"/>
      <c r="B54" s="16">
        <f>IF(A54="","",SUMIFS(ব্যয়!$H$2:$H$20000,ব্যয়!$I$2:$I$20000,A54,ব্যয়!$K$2:$K$20000,"বাকি"))</f>
        <v/>
      </c>
      <c r="C54" s="16">
        <f>IF(A54="","",SUMIF(পরিশোধ!$C$2:$C$20000,A54,পরিশোধ!$D$2:$D$20000))</f>
        <v/>
      </c>
      <c r="D54" s="16">
        <f>IF(A54="","",B54-C54)</f>
        <v/>
      </c>
      <c r="E54" s="18">
        <f>IF(A54="","",COUNTIFS(ব্যয়!$I$2:$I$20000,A54,ব্যয়!$K$2:$K$20000,"বাকি"))</f>
        <v/>
      </c>
    </row>
    <row r="55">
      <c r="A55" s="33" t="inlineStr"/>
      <c r="B55" s="16">
        <f>IF(A55="","",SUMIFS(ব্যয়!$H$2:$H$20000,ব্যয়!$I$2:$I$20000,A55,ব্যয়!$K$2:$K$20000,"বাকি"))</f>
        <v/>
      </c>
      <c r="C55" s="16">
        <f>IF(A55="","",SUMIF(পরিশোধ!$C$2:$C$20000,A55,পরিশোধ!$D$2:$D$20000))</f>
        <v/>
      </c>
      <c r="D55" s="16">
        <f>IF(A55="","",B55-C55)</f>
        <v/>
      </c>
      <c r="E55" s="18">
        <f>IF(A55="","",COUNTIFS(ব্যয়!$I$2:$I$20000,A55,ব্যয়!$K$2:$K$20000,"বাকি"))</f>
        <v/>
      </c>
    </row>
    <row r="56">
      <c r="A56" s="33" t="inlineStr"/>
      <c r="B56" s="16">
        <f>IF(A56="","",SUMIFS(ব্যয়!$H$2:$H$20000,ব্যয়!$I$2:$I$20000,A56,ব্যয়!$K$2:$K$20000,"বাকি"))</f>
        <v/>
      </c>
      <c r="C56" s="16">
        <f>IF(A56="","",SUMIF(পরিশোধ!$C$2:$C$20000,A56,পরিশোধ!$D$2:$D$20000))</f>
        <v/>
      </c>
      <c r="D56" s="16">
        <f>IF(A56="","",B56-C56)</f>
        <v/>
      </c>
      <c r="E56" s="18">
        <f>IF(A56="","",COUNTIFS(ব্যয়!$I$2:$I$20000,A56,ব্যয়!$K$2:$K$20000,"বাকি"))</f>
        <v/>
      </c>
    </row>
    <row r="57">
      <c r="A57" s="33" t="inlineStr"/>
      <c r="B57" s="16">
        <f>IF(A57="","",SUMIFS(ব্যয়!$H$2:$H$20000,ব্যয়!$I$2:$I$20000,A57,ব্যয়!$K$2:$K$20000,"বাকি"))</f>
        <v/>
      </c>
      <c r="C57" s="16">
        <f>IF(A57="","",SUMIF(পরিশোধ!$C$2:$C$20000,A57,পরিশোধ!$D$2:$D$20000))</f>
        <v/>
      </c>
      <c r="D57" s="16">
        <f>IF(A57="","",B57-C57)</f>
        <v/>
      </c>
      <c r="E57" s="18">
        <f>IF(A57="","",COUNTIFS(ব্যয়!$I$2:$I$20000,A57,ব্যয়!$K$2:$K$20000,"বাকি"))</f>
        <v/>
      </c>
    </row>
    <row r="58">
      <c r="A58" s="33" t="inlineStr"/>
      <c r="B58" s="16">
        <f>IF(A58="","",SUMIFS(ব্যয়!$H$2:$H$20000,ব্যয়!$I$2:$I$20000,A58,ব্যয়!$K$2:$K$20000,"বাকি"))</f>
        <v/>
      </c>
      <c r="C58" s="16">
        <f>IF(A58="","",SUMIF(পরিশোধ!$C$2:$C$20000,A58,পরিশোধ!$D$2:$D$20000))</f>
        <v/>
      </c>
      <c r="D58" s="16">
        <f>IF(A58="","",B58-C58)</f>
        <v/>
      </c>
      <c r="E58" s="18">
        <f>IF(A58="","",COUNTIFS(ব্যয়!$I$2:$I$20000,A58,ব্যয়!$K$2:$K$20000,"বাকি"))</f>
        <v/>
      </c>
    </row>
    <row r="59">
      <c r="A59" s="33" t="inlineStr"/>
      <c r="B59" s="16">
        <f>IF(A59="","",SUMIFS(ব্যয়!$H$2:$H$20000,ব্যয়!$I$2:$I$20000,A59,ব্যয়!$K$2:$K$20000,"বাকি"))</f>
        <v/>
      </c>
      <c r="C59" s="16">
        <f>IF(A59="","",SUMIF(পরিশোধ!$C$2:$C$20000,A59,পরিশোধ!$D$2:$D$20000))</f>
        <v/>
      </c>
      <c r="D59" s="16">
        <f>IF(A59="","",B59-C59)</f>
        <v/>
      </c>
      <c r="E59" s="18">
        <f>IF(A59="","",COUNTIFS(ব্যয়!$I$2:$I$20000,A59,ব্যয়!$K$2:$K$20000,"বাকি"))</f>
        <v/>
      </c>
    </row>
    <row r="60">
      <c r="A60" s="33" t="inlineStr"/>
      <c r="B60" s="16">
        <f>IF(A60="","",SUMIFS(ব্যয়!$H$2:$H$20000,ব্যয়!$I$2:$I$20000,A60,ব্যয়!$K$2:$K$20000,"বাকি"))</f>
        <v/>
      </c>
      <c r="C60" s="16">
        <f>IF(A60="","",SUMIF(পরিশোধ!$C$2:$C$20000,A60,পরিশোধ!$D$2:$D$20000))</f>
        <v/>
      </c>
      <c r="D60" s="16">
        <f>IF(A60="","",B60-C60)</f>
        <v/>
      </c>
      <c r="E60" s="18">
        <f>IF(A60="","",COUNTIFS(ব্যয়!$I$2:$I$20000,A60,ব্যয়!$K$2:$K$20000,"বাকি"))</f>
        <v/>
      </c>
    </row>
    <row r="61">
      <c r="A61" s="33" t="inlineStr"/>
      <c r="B61" s="16">
        <f>IF(A61="","",SUMIFS(ব্যয়!$H$2:$H$20000,ব্যয়!$I$2:$I$20000,A61,ব্যয়!$K$2:$K$20000,"বাকি"))</f>
        <v/>
      </c>
      <c r="C61" s="16">
        <f>IF(A61="","",SUMIF(পরিশোধ!$C$2:$C$20000,A61,পরিশোধ!$D$2:$D$20000))</f>
        <v/>
      </c>
      <c r="D61" s="16">
        <f>IF(A61="","",B61-C61)</f>
        <v/>
      </c>
      <c r="E61" s="18">
        <f>IF(A61="","",COUNTIFS(ব্যয়!$I$2:$I$20000,A61,ব্যয়!$K$2:$K$20000,"বাকি"))</f>
        <v/>
      </c>
    </row>
    <row r="62">
      <c r="A62" s="33" t="inlineStr"/>
      <c r="B62" s="16">
        <f>IF(A62="","",SUMIFS(ব্যয়!$H$2:$H$20000,ব্যয়!$I$2:$I$20000,A62,ব্যয়!$K$2:$K$20000,"বাকি"))</f>
        <v/>
      </c>
      <c r="C62" s="16">
        <f>IF(A62="","",SUMIF(পরিশোধ!$C$2:$C$20000,A62,পরিশোধ!$D$2:$D$20000))</f>
        <v/>
      </c>
      <c r="D62" s="16">
        <f>IF(A62="","",B62-C62)</f>
        <v/>
      </c>
      <c r="E62" s="18">
        <f>IF(A62="","",COUNTIFS(ব্যয়!$I$2:$I$20000,A62,ব্যয়!$K$2:$K$20000,"বাকি"))</f>
        <v/>
      </c>
    </row>
    <row r="63">
      <c r="A63" s="33" t="inlineStr"/>
      <c r="B63" s="16">
        <f>IF(A63="","",SUMIFS(ব্যয়!$H$2:$H$20000,ব্যয়!$I$2:$I$20000,A63,ব্যয়!$K$2:$K$20000,"বাকি"))</f>
        <v/>
      </c>
      <c r="C63" s="16">
        <f>IF(A63="","",SUMIF(পরিশোধ!$C$2:$C$20000,A63,পরিশোধ!$D$2:$D$20000))</f>
        <v/>
      </c>
      <c r="D63" s="16">
        <f>IF(A63="","",B63-C63)</f>
        <v/>
      </c>
      <c r="E63" s="18">
        <f>IF(A63="","",COUNTIFS(ব্যয়!$I$2:$I$20000,A63,ব্যয়!$K$2:$K$20000,"বাকি"))</f>
        <v/>
      </c>
    </row>
    <row r="64">
      <c r="A64" s="33" t="inlineStr"/>
      <c r="B64" s="16">
        <f>IF(A64="","",SUMIFS(ব্যয়!$H$2:$H$20000,ব্যয়!$I$2:$I$20000,A64,ব্যয়!$K$2:$K$20000,"বাকি"))</f>
        <v/>
      </c>
      <c r="C64" s="16">
        <f>IF(A64="","",SUMIF(পরিশোধ!$C$2:$C$20000,A64,পরিশোধ!$D$2:$D$20000))</f>
        <v/>
      </c>
      <c r="D64" s="16">
        <f>IF(A64="","",B64-C64)</f>
        <v/>
      </c>
      <c r="E64" s="18">
        <f>IF(A64="","",COUNTIFS(ব্যয়!$I$2:$I$20000,A64,ব্যয়!$K$2:$K$20000,"বাকি"))</f>
        <v/>
      </c>
    </row>
    <row r="65">
      <c r="A65" s="33" t="inlineStr"/>
      <c r="B65" s="16">
        <f>IF(A65="","",SUMIFS(ব্যয়!$H$2:$H$20000,ব্যয়!$I$2:$I$20000,A65,ব্যয়!$K$2:$K$20000,"বাকি"))</f>
        <v/>
      </c>
      <c r="C65" s="16">
        <f>IF(A65="","",SUMIF(পরিশোধ!$C$2:$C$20000,A65,পরিশোধ!$D$2:$D$20000))</f>
        <v/>
      </c>
      <c r="D65" s="16">
        <f>IF(A65="","",B65-C65)</f>
        <v/>
      </c>
      <c r="E65" s="18">
        <f>IF(A65="","",COUNTIFS(ব্যয়!$I$2:$I$20000,A65,ব্যয়!$K$2:$K$20000,"বাকি"))</f>
        <v/>
      </c>
    </row>
    <row r="66">
      <c r="A66" s="33" t="inlineStr"/>
      <c r="B66" s="16">
        <f>IF(A66="","",SUMIFS(ব্যয়!$H$2:$H$20000,ব্যয়!$I$2:$I$20000,A66,ব্যয়!$K$2:$K$20000,"বাকি"))</f>
        <v/>
      </c>
      <c r="C66" s="16">
        <f>IF(A66="","",SUMIF(পরিশোধ!$C$2:$C$20000,A66,পরিশোধ!$D$2:$D$20000))</f>
        <v/>
      </c>
      <c r="D66" s="16">
        <f>IF(A66="","",B66-C66)</f>
        <v/>
      </c>
      <c r="E66" s="18">
        <f>IF(A66="","",COUNTIFS(ব্যয়!$I$2:$I$20000,A66,ব্যয়!$K$2:$K$20000,"বাকি"))</f>
        <v/>
      </c>
    </row>
    <row r="67">
      <c r="A67" s="33" t="inlineStr"/>
      <c r="B67" s="16">
        <f>IF(A67="","",SUMIFS(ব্যয়!$H$2:$H$20000,ব্যয়!$I$2:$I$20000,A67,ব্যয়!$K$2:$K$20000,"বাকি"))</f>
        <v/>
      </c>
      <c r="C67" s="16">
        <f>IF(A67="","",SUMIF(পরিশোধ!$C$2:$C$20000,A67,পরিশোধ!$D$2:$D$20000))</f>
        <v/>
      </c>
      <c r="D67" s="16">
        <f>IF(A67="","",B67-C67)</f>
        <v/>
      </c>
      <c r="E67" s="18">
        <f>IF(A67="","",COUNTIFS(ব্যয়!$I$2:$I$20000,A67,ব্যয়!$K$2:$K$20000,"বাকি"))</f>
        <v/>
      </c>
    </row>
    <row r="68">
      <c r="A68" s="33" t="inlineStr"/>
      <c r="B68" s="16">
        <f>IF(A68="","",SUMIFS(ব্যয়!$H$2:$H$20000,ব্যয়!$I$2:$I$20000,A68,ব্যয়!$K$2:$K$20000,"বাকি"))</f>
        <v/>
      </c>
      <c r="C68" s="16">
        <f>IF(A68="","",SUMIF(পরিশোধ!$C$2:$C$20000,A68,পরিশোধ!$D$2:$D$20000))</f>
        <v/>
      </c>
      <c r="D68" s="16">
        <f>IF(A68="","",B68-C68)</f>
        <v/>
      </c>
      <c r="E68" s="18">
        <f>IF(A68="","",COUNTIFS(ব্যয়!$I$2:$I$20000,A68,ব্যয়!$K$2:$K$20000,"বাকি"))</f>
        <v/>
      </c>
    </row>
    <row r="69">
      <c r="A69" s="33" t="inlineStr"/>
      <c r="B69" s="16">
        <f>IF(A69="","",SUMIFS(ব্যয়!$H$2:$H$20000,ব্যয়!$I$2:$I$20000,A69,ব্যয়!$K$2:$K$20000,"বাকি"))</f>
        <v/>
      </c>
      <c r="C69" s="16">
        <f>IF(A69="","",SUMIF(পরিশোধ!$C$2:$C$20000,A69,পরিশোধ!$D$2:$D$20000))</f>
        <v/>
      </c>
      <c r="D69" s="16">
        <f>IF(A69="","",B69-C69)</f>
        <v/>
      </c>
      <c r="E69" s="18">
        <f>IF(A69="","",COUNTIFS(ব্যয়!$I$2:$I$20000,A69,ব্যয়!$K$2:$K$20000,"বাকি"))</f>
        <v/>
      </c>
    </row>
    <row r="70">
      <c r="A70" s="33" t="inlineStr"/>
      <c r="B70" s="16">
        <f>IF(A70="","",SUMIFS(ব্যয়!$H$2:$H$20000,ব্যয়!$I$2:$I$20000,A70,ব্যয়!$K$2:$K$20000,"বাকি"))</f>
        <v/>
      </c>
      <c r="C70" s="16">
        <f>IF(A70="","",SUMIF(পরিশোধ!$C$2:$C$20000,A70,পরিশোধ!$D$2:$D$20000))</f>
        <v/>
      </c>
      <c r="D70" s="16">
        <f>IF(A70="","",B70-C70)</f>
        <v/>
      </c>
      <c r="E70" s="18">
        <f>IF(A70="","",COUNTIFS(ব্যয়!$I$2:$I$20000,A70,ব্যয়!$K$2:$K$20000,"বাকি"))</f>
        <v/>
      </c>
    </row>
    <row r="71">
      <c r="A71" s="33" t="inlineStr"/>
      <c r="B71" s="16">
        <f>IF(A71="","",SUMIFS(ব্যয়!$H$2:$H$20000,ব্যয়!$I$2:$I$20000,A71,ব্যয়!$K$2:$K$20000,"বাকি"))</f>
        <v/>
      </c>
      <c r="C71" s="16">
        <f>IF(A71="","",SUMIF(পরিশোধ!$C$2:$C$20000,A71,পরিশোধ!$D$2:$D$20000))</f>
        <v/>
      </c>
      <c r="D71" s="16">
        <f>IF(A71="","",B71-C71)</f>
        <v/>
      </c>
      <c r="E71" s="18">
        <f>IF(A71="","",COUNTIFS(ব্যয়!$I$2:$I$20000,A71,ব্যয়!$K$2:$K$20000,"বাকি"))</f>
        <v/>
      </c>
    </row>
    <row r="72">
      <c r="A72" s="33" t="inlineStr"/>
      <c r="B72" s="16">
        <f>IF(A72="","",SUMIFS(ব্যয়!$H$2:$H$20000,ব্যয়!$I$2:$I$20000,A72,ব্যয়!$K$2:$K$20000,"বাকি"))</f>
        <v/>
      </c>
      <c r="C72" s="16">
        <f>IF(A72="","",SUMIF(পরিশোধ!$C$2:$C$20000,A72,পরিশোধ!$D$2:$D$20000))</f>
        <v/>
      </c>
      <c r="D72" s="16">
        <f>IF(A72="","",B72-C72)</f>
        <v/>
      </c>
      <c r="E72" s="18">
        <f>IF(A72="","",COUNTIFS(ব্যয়!$I$2:$I$20000,A72,ব্যয়!$K$2:$K$20000,"বাকি"))</f>
        <v/>
      </c>
    </row>
    <row r="73">
      <c r="A73" s="33" t="inlineStr"/>
      <c r="B73" s="16">
        <f>IF(A73="","",SUMIFS(ব্যয়!$H$2:$H$20000,ব্যয়!$I$2:$I$20000,A73,ব্যয়!$K$2:$K$20000,"বাকি"))</f>
        <v/>
      </c>
      <c r="C73" s="16">
        <f>IF(A73="","",SUMIF(পরিশোধ!$C$2:$C$20000,A73,পরিশোধ!$D$2:$D$20000))</f>
        <v/>
      </c>
      <c r="D73" s="16">
        <f>IF(A73="","",B73-C73)</f>
        <v/>
      </c>
      <c r="E73" s="18">
        <f>IF(A73="","",COUNTIFS(ব্যয়!$I$2:$I$20000,A73,ব্যয়!$K$2:$K$20000,"বাকি"))</f>
        <v/>
      </c>
    </row>
    <row r="74">
      <c r="A74" s="33" t="inlineStr"/>
      <c r="B74" s="16">
        <f>IF(A74="","",SUMIFS(ব্যয়!$H$2:$H$20000,ব্যয়!$I$2:$I$20000,A74,ব্যয়!$K$2:$K$20000,"বাকি"))</f>
        <v/>
      </c>
      <c r="C74" s="16">
        <f>IF(A74="","",SUMIF(পরিশোধ!$C$2:$C$20000,A74,পরিশোধ!$D$2:$D$20000))</f>
        <v/>
      </c>
      <c r="D74" s="16">
        <f>IF(A74="","",B74-C74)</f>
        <v/>
      </c>
      <c r="E74" s="18">
        <f>IF(A74="","",COUNTIFS(ব্যয়!$I$2:$I$20000,A74,ব্যয়!$K$2:$K$20000,"বাকি"))</f>
        <v/>
      </c>
    </row>
    <row r="75">
      <c r="A75" s="33" t="inlineStr"/>
      <c r="B75" s="16">
        <f>IF(A75="","",SUMIFS(ব্যয়!$H$2:$H$20000,ব্যয়!$I$2:$I$20000,A75,ব্যয়!$K$2:$K$20000,"বাকি"))</f>
        <v/>
      </c>
      <c r="C75" s="16">
        <f>IF(A75="","",SUMIF(পরিশোধ!$C$2:$C$20000,A75,পরিশোধ!$D$2:$D$20000))</f>
        <v/>
      </c>
      <c r="D75" s="16">
        <f>IF(A75="","",B75-C75)</f>
        <v/>
      </c>
      <c r="E75" s="18">
        <f>IF(A75="","",COUNTIFS(ব্যয়!$I$2:$I$20000,A75,ব্যয়!$K$2:$K$20000,"বাকি"))</f>
        <v/>
      </c>
    </row>
    <row r="76">
      <c r="A76" s="33" t="inlineStr"/>
      <c r="B76" s="16">
        <f>IF(A76="","",SUMIFS(ব্যয়!$H$2:$H$20000,ব্যয়!$I$2:$I$20000,A76,ব্যয়!$K$2:$K$20000,"বাকি"))</f>
        <v/>
      </c>
      <c r="C76" s="16">
        <f>IF(A76="","",SUMIF(পরিশোধ!$C$2:$C$20000,A76,পরিশোধ!$D$2:$D$20000))</f>
        <v/>
      </c>
      <c r="D76" s="16">
        <f>IF(A76="","",B76-C76)</f>
        <v/>
      </c>
      <c r="E76" s="18">
        <f>IF(A76="","",COUNTIFS(ব্যয়!$I$2:$I$20000,A76,ব্যয়!$K$2:$K$20000,"বাকি"))</f>
        <v/>
      </c>
    </row>
    <row r="77">
      <c r="A77" s="33" t="inlineStr"/>
      <c r="B77" s="16">
        <f>IF(A77="","",SUMIFS(ব্যয়!$H$2:$H$20000,ব্যয়!$I$2:$I$20000,A77,ব্যয়!$K$2:$K$20000,"বাকি"))</f>
        <v/>
      </c>
      <c r="C77" s="16">
        <f>IF(A77="","",SUMIF(পরিশোধ!$C$2:$C$20000,A77,পরিশোধ!$D$2:$D$20000))</f>
        <v/>
      </c>
      <c r="D77" s="16">
        <f>IF(A77="","",B77-C77)</f>
        <v/>
      </c>
      <c r="E77" s="18">
        <f>IF(A77="","",COUNTIFS(ব্যয়!$I$2:$I$20000,A77,ব্যয়!$K$2:$K$20000,"বাকি"))</f>
        <v/>
      </c>
    </row>
    <row r="78">
      <c r="A78" s="33" t="inlineStr"/>
      <c r="B78" s="16">
        <f>IF(A78="","",SUMIFS(ব্যয়!$H$2:$H$20000,ব্যয়!$I$2:$I$20000,A78,ব্যয়!$K$2:$K$20000,"বাকি"))</f>
        <v/>
      </c>
      <c r="C78" s="16">
        <f>IF(A78="","",SUMIF(পরিশোধ!$C$2:$C$20000,A78,পরিশোধ!$D$2:$D$20000))</f>
        <v/>
      </c>
      <c r="D78" s="16">
        <f>IF(A78="","",B78-C78)</f>
        <v/>
      </c>
      <c r="E78" s="18">
        <f>IF(A78="","",COUNTIFS(ব্যয়!$I$2:$I$20000,A78,ব্যয়!$K$2:$K$20000,"বাকি"))</f>
        <v/>
      </c>
    </row>
    <row r="79">
      <c r="A79" s="33" t="inlineStr"/>
      <c r="B79" s="16">
        <f>IF(A79="","",SUMIFS(ব্যয়!$H$2:$H$20000,ব্যয়!$I$2:$I$20000,A79,ব্যয়!$K$2:$K$20000,"বাকি"))</f>
        <v/>
      </c>
      <c r="C79" s="16">
        <f>IF(A79="","",SUMIF(পরিশোধ!$C$2:$C$20000,A79,পরিশোধ!$D$2:$D$20000))</f>
        <v/>
      </c>
      <c r="D79" s="16">
        <f>IF(A79="","",B79-C79)</f>
        <v/>
      </c>
      <c r="E79" s="18">
        <f>IF(A79="","",COUNTIFS(ব্যয়!$I$2:$I$20000,A79,ব্যয়!$K$2:$K$20000,"বাকি"))</f>
        <v/>
      </c>
    </row>
    <row r="80">
      <c r="A80" s="33" t="inlineStr"/>
      <c r="B80" s="16">
        <f>IF(A80="","",SUMIFS(ব্যয়!$H$2:$H$20000,ব্যয়!$I$2:$I$20000,A80,ব্যয়!$K$2:$K$20000,"বাকি"))</f>
        <v/>
      </c>
      <c r="C80" s="16">
        <f>IF(A80="","",SUMIF(পরিশোধ!$C$2:$C$20000,A80,পরিশোধ!$D$2:$D$20000))</f>
        <v/>
      </c>
      <c r="D80" s="16">
        <f>IF(A80="","",B80-C80)</f>
        <v/>
      </c>
      <c r="E80" s="18">
        <f>IF(A80="","",COUNTIFS(ব্যয়!$I$2:$I$20000,A80,ব্যয়!$K$2:$K$20000,"বাকি"))</f>
        <v/>
      </c>
    </row>
    <row r="81">
      <c r="A81" s="33" t="inlineStr"/>
      <c r="B81" s="16">
        <f>IF(A81="","",SUMIFS(ব্যয়!$H$2:$H$20000,ব্যয়!$I$2:$I$20000,A81,ব্যয়!$K$2:$K$20000,"বাকি"))</f>
        <v/>
      </c>
      <c r="C81" s="16">
        <f>IF(A81="","",SUMIF(পরিশোধ!$C$2:$C$20000,A81,পরিশোধ!$D$2:$D$20000))</f>
        <v/>
      </c>
      <c r="D81" s="16">
        <f>IF(A81="","",B81-C81)</f>
        <v/>
      </c>
      <c r="E81" s="18">
        <f>IF(A81="","",COUNTIFS(ব্যয়!$I$2:$I$20000,A81,ব্যয়!$K$2:$K$20000,"বাকি"))</f>
        <v/>
      </c>
    </row>
    <row r="82">
      <c r="A82" s="33" t="inlineStr"/>
      <c r="B82" s="16">
        <f>IF(A82="","",SUMIFS(ব্যয়!$H$2:$H$20000,ব্যয়!$I$2:$I$20000,A82,ব্যয়!$K$2:$K$20000,"বাকি"))</f>
        <v/>
      </c>
      <c r="C82" s="16">
        <f>IF(A82="","",SUMIF(পরিশোধ!$C$2:$C$20000,A82,পরিশোধ!$D$2:$D$20000))</f>
        <v/>
      </c>
      <c r="D82" s="16">
        <f>IF(A82="","",B82-C82)</f>
        <v/>
      </c>
      <c r="E82" s="18">
        <f>IF(A82="","",COUNTIFS(ব্যয়!$I$2:$I$20000,A82,ব্যয়!$K$2:$K$20000,"বাকি"))</f>
        <v/>
      </c>
    </row>
    <row r="83">
      <c r="A83" s="33" t="inlineStr"/>
      <c r="B83" s="16">
        <f>IF(A83="","",SUMIFS(ব্যয়!$H$2:$H$20000,ব্যয়!$I$2:$I$20000,A83,ব্যয়!$K$2:$K$20000,"বাকি"))</f>
        <v/>
      </c>
      <c r="C83" s="16">
        <f>IF(A83="","",SUMIF(পরিশোধ!$C$2:$C$20000,A83,পরিশোধ!$D$2:$D$20000))</f>
        <v/>
      </c>
      <c r="D83" s="16">
        <f>IF(A83="","",B83-C83)</f>
        <v/>
      </c>
      <c r="E83" s="18">
        <f>IF(A83="","",COUNTIFS(ব্যয়!$I$2:$I$20000,A83,ব্যয়!$K$2:$K$20000,"বাকি"))</f>
        <v/>
      </c>
    </row>
    <row r="84">
      <c r="A84" s="33" t="inlineStr"/>
      <c r="B84" s="16">
        <f>IF(A84="","",SUMIFS(ব্যয়!$H$2:$H$20000,ব্যয়!$I$2:$I$20000,A84,ব্যয়!$K$2:$K$20000,"বাকি"))</f>
        <v/>
      </c>
      <c r="C84" s="16">
        <f>IF(A84="","",SUMIF(পরিশোধ!$C$2:$C$20000,A84,পরিশোধ!$D$2:$D$20000))</f>
        <v/>
      </c>
      <c r="D84" s="16">
        <f>IF(A84="","",B84-C84)</f>
        <v/>
      </c>
      <c r="E84" s="18">
        <f>IF(A84="","",COUNTIFS(ব্যয়!$I$2:$I$20000,A84,ব্যয়!$K$2:$K$20000,"বাকি"))</f>
        <v/>
      </c>
    </row>
    <row r="85">
      <c r="A85" s="33" t="inlineStr"/>
      <c r="B85" s="16">
        <f>IF(A85="","",SUMIFS(ব্যয়!$H$2:$H$20000,ব্যয়!$I$2:$I$20000,A85,ব্যয়!$K$2:$K$20000,"বাকি"))</f>
        <v/>
      </c>
      <c r="C85" s="16">
        <f>IF(A85="","",SUMIF(পরিশোধ!$C$2:$C$20000,A85,পরিশোধ!$D$2:$D$20000))</f>
        <v/>
      </c>
      <c r="D85" s="16">
        <f>IF(A85="","",B85-C85)</f>
        <v/>
      </c>
      <c r="E85" s="18">
        <f>IF(A85="","",COUNTIFS(ব্যয়!$I$2:$I$20000,A85,ব্যয়!$K$2:$K$20000,"বাকি"))</f>
        <v/>
      </c>
    </row>
    <row r="86">
      <c r="A86" s="33" t="inlineStr"/>
      <c r="B86" s="16">
        <f>IF(A86="","",SUMIFS(ব্যয়!$H$2:$H$20000,ব্যয়!$I$2:$I$20000,A86,ব্যয়!$K$2:$K$20000,"বাকি"))</f>
        <v/>
      </c>
      <c r="C86" s="16">
        <f>IF(A86="","",SUMIF(পরিশোধ!$C$2:$C$20000,A86,পরিশোধ!$D$2:$D$20000))</f>
        <v/>
      </c>
      <c r="D86" s="16">
        <f>IF(A86="","",B86-C86)</f>
        <v/>
      </c>
      <c r="E86" s="18">
        <f>IF(A86="","",COUNTIFS(ব্যয়!$I$2:$I$20000,A86,ব্যয়!$K$2:$K$20000,"বাকি"))</f>
        <v/>
      </c>
    </row>
    <row r="87">
      <c r="A87" s="33" t="inlineStr"/>
      <c r="B87" s="16">
        <f>IF(A87="","",SUMIFS(ব্যয়!$H$2:$H$20000,ব্যয়!$I$2:$I$20000,A87,ব্যয়!$K$2:$K$20000,"বাকি"))</f>
        <v/>
      </c>
      <c r="C87" s="16">
        <f>IF(A87="","",SUMIF(পরিশোধ!$C$2:$C$20000,A87,পরিশোধ!$D$2:$D$20000))</f>
        <v/>
      </c>
      <c r="D87" s="16">
        <f>IF(A87="","",B87-C87)</f>
        <v/>
      </c>
      <c r="E87" s="18">
        <f>IF(A87="","",COUNTIFS(ব্যয়!$I$2:$I$20000,A87,ব্যয়!$K$2:$K$20000,"বাকি"))</f>
        <v/>
      </c>
    </row>
    <row r="88">
      <c r="A88" s="33" t="inlineStr"/>
      <c r="B88" s="16">
        <f>IF(A88="","",SUMIFS(ব্যয়!$H$2:$H$20000,ব্যয়!$I$2:$I$20000,A88,ব্যয়!$K$2:$K$20000,"বাকি"))</f>
        <v/>
      </c>
      <c r="C88" s="16">
        <f>IF(A88="","",SUMIF(পরিশোধ!$C$2:$C$20000,A88,পরিশোধ!$D$2:$D$20000))</f>
        <v/>
      </c>
      <c r="D88" s="16">
        <f>IF(A88="","",B88-C88)</f>
        <v/>
      </c>
      <c r="E88" s="18">
        <f>IF(A88="","",COUNTIFS(ব্যয়!$I$2:$I$20000,A88,ব্যয়!$K$2:$K$20000,"বাকি"))</f>
        <v/>
      </c>
    </row>
    <row r="89">
      <c r="A89" s="33" t="inlineStr"/>
      <c r="B89" s="16">
        <f>IF(A89="","",SUMIFS(ব্যয়!$H$2:$H$20000,ব্যয়!$I$2:$I$20000,A89,ব্যয়!$K$2:$K$20000,"বাকি"))</f>
        <v/>
      </c>
      <c r="C89" s="16">
        <f>IF(A89="","",SUMIF(পরিশোধ!$C$2:$C$20000,A89,পরিশোধ!$D$2:$D$20000))</f>
        <v/>
      </c>
      <c r="D89" s="16">
        <f>IF(A89="","",B89-C89)</f>
        <v/>
      </c>
      <c r="E89" s="18">
        <f>IF(A89="","",COUNTIFS(ব্যয়!$I$2:$I$20000,A89,ব্যয়!$K$2:$K$20000,"বাকি"))</f>
        <v/>
      </c>
    </row>
    <row r="90">
      <c r="A90" s="33" t="inlineStr"/>
      <c r="B90" s="16">
        <f>IF(A90="","",SUMIFS(ব্যয়!$H$2:$H$20000,ব্যয়!$I$2:$I$20000,A90,ব্যয়!$K$2:$K$20000,"বাকি"))</f>
        <v/>
      </c>
      <c r="C90" s="16">
        <f>IF(A90="","",SUMIF(পরিশোধ!$C$2:$C$20000,A90,পরিশোধ!$D$2:$D$20000))</f>
        <v/>
      </c>
      <c r="D90" s="16">
        <f>IF(A90="","",B90-C90)</f>
        <v/>
      </c>
      <c r="E90" s="18">
        <f>IF(A90="","",COUNTIFS(ব্যয়!$I$2:$I$20000,A90,ব্যয়!$K$2:$K$20000,"বাকি"))</f>
        <v/>
      </c>
    </row>
    <row r="91">
      <c r="A91" s="33" t="inlineStr"/>
      <c r="B91" s="16">
        <f>IF(A91="","",SUMIFS(ব্যয়!$H$2:$H$20000,ব্যয়!$I$2:$I$20000,A91,ব্যয়!$K$2:$K$20000,"বাকি"))</f>
        <v/>
      </c>
      <c r="C91" s="16">
        <f>IF(A91="","",SUMIF(পরিশোধ!$C$2:$C$20000,A91,পরিশোধ!$D$2:$D$20000))</f>
        <v/>
      </c>
      <c r="D91" s="16">
        <f>IF(A91="","",B91-C91)</f>
        <v/>
      </c>
      <c r="E91" s="18">
        <f>IF(A91="","",COUNTIFS(ব্যয়!$I$2:$I$20000,A91,ব্যয়!$K$2:$K$20000,"বাকি"))</f>
        <v/>
      </c>
    </row>
    <row r="92">
      <c r="A92" s="33" t="inlineStr"/>
      <c r="B92" s="16">
        <f>IF(A92="","",SUMIFS(ব্যয়!$H$2:$H$20000,ব্যয়!$I$2:$I$20000,A92,ব্যয়!$K$2:$K$20000,"বাকি"))</f>
        <v/>
      </c>
      <c r="C92" s="16">
        <f>IF(A92="","",SUMIF(পরিশোধ!$C$2:$C$20000,A92,পরিশোধ!$D$2:$D$20000))</f>
        <v/>
      </c>
      <c r="D92" s="16">
        <f>IF(A92="","",B92-C92)</f>
        <v/>
      </c>
      <c r="E92" s="18">
        <f>IF(A92="","",COUNTIFS(ব্যয়!$I$2:$I$20000,A92,ব্যয়!$K$2:$K$20000,"বাকি"))</f>
        <v/>
      </c>
    </row>
    <row r="93">
      <c r="A93" s="33" t="inlineStr"/>
      <c r="B93" s="16">
        <f>IF(A93="","",SUMIFS(ব্যয়!$H$2:$H$20000,ব্যয়!$I$2:$I$20000,A93,ব্যয়!$K$2:$K$20000,"বাকি"))</f>
        <v/>
      </c>
      <c r="C93" s="16">
        <f>IF(A93="","",SUMIF(পরিশোধ!$C$2:$C$20000,A93,পরিশোধ!$D$2:$D$20000))</f>
        <v/>
      </c>
      <c r="D93" s="16">
        <f>IF(A93="","",B93-C93)</f>
        <v/>
      </c>
      <c r="E93" s="18">
        <f>IF(A93="","",COUNTIFS(ব্যয়!$I$2:$I$20000,A93,ব্যয়!$K$2:$K$20000,"বাকি"))</f>
        <v/>
      </c>
    </row>
    <row r="94">
      <c r="A94" s="33" t="inlineStr"/>
      <c r="B94" s="16">
        <f>IF(A94="","",SUMIFS(ব্যয়!$H$2:$H$20000,ব্যয়!$I$2:$I$20000,A94,ব্যয়!$K$2:$K$20000,"বাকি"))</f>
        <v/>
      </c>
      <c r="C94" s="16">
        <f>IF(A94="","",SUMIF(পরিশোধ!$C$2:$C$20000,A94,পরিশোধ!$D$2:$D$20000))</f>
        <v/>
      </c>
      <c r="D94" s="16">
        <f>IF(A94="","",B94-C94)</f>
        <v/>
      </c>
      <c r="E94" s="18">
        <f>IF(A94="","",COUNTIFS(ব্যয়!$I$2:$I$20000,A94,ব্যয়!$K$2:$K$20000,"বাকি"))</f>
        <v/>
      </c>
    </row>
    <row r="95">
      <c r="A95" s="33" t="inlineStr"/>
      <c r="B95" s="16">
        <f>IF(A95="","",SUMIFS(ব্যয়!$H$2:$H$20000,ব্যয়!$I$2:$I$20000,A95,ব্যয়!$K$2:$K$20000,"বাকি"))</f>
        <v/>
      </c>
      <c r="C95" s="16">
        <f>IF(A95="","",SUMIF(পরিশোধ!$C$2:$C$20000,A95,পরিশোধ!$D$2:$D$20000))</f>
        <v/>
      </c>
      <c r="D95" s="16">
        <f>IF(A95="","",B95-C95)</f>
        <v/>
      </c>
      <c r="E95" s="18">
        <f>IF(A95="","",COUNTIFS(ব্যয়!$I$2:$I$20000,A95,ব্যয়!$K$2:$K$20000,"বাকি"))</f>
        <v/>
      </c>
    </row>
    <row r="96">
      <c r="A96" s="33" t="inlineStr"/>
      <c r="B96" s="16">
        <f>IF(A96="","",SUMIFS(ব্যয়!$H$2:$H$20000,ব্যয়!$I$2:$I$20000,A96,ব্যয়!$K$2:$K$20000,"বাকি"))</f>
        <v/>
      </c>
      <c r="C96" s="16">
        <f>IF(A96="","",SUMIF(পরিশোধ!$C$2:$C$20000,A96,পরিশোধ!$D$2:$D$20000))</f>
        <v/>
      </c>
      <c r="D96" s="16">
        <f>IF(A96="","",B96-C96)</f>
        <v/>
      </c>
      <c r="E96" s="18">
        <f>IF(A96="","",COUNTIFS(ব্যয়!$I$2:$I$20000,A96,ব্যয়!$K$2:$K$20000,"বাকি"))</f>
        <v/>
      </c>
    </row>
    <row r="97">
      <c r="A97" s="33" t="inlineStr"/>
      <c r="B97" s="16">
        <f>IF(A97="","",SUMIFS(ব্যয়!$H$2:$H$20000,ব্যয়!$I$2:$I$20000,A97,ব্যয়!$K$2:$K$20000,"বাকি"))</f>
        <v/>
      </c>
      <c r="C97" s="16">
        <f>IF(A97="","",SUMIF(পরিশোধ!$C$2:$C$20000,A97,পরিশোধ!$D$2:$D$20000))</f>
        <v/>
      </c>
      <c r="D97" s="16">
        <f>IF(A97="","",B97-C97)</f>
        <v/>
      </c>
      <c r="E97" s="18">
        <f>IF(A97="","",COUNTIFS(ব্যয়!$I$2:$I$20000,A97,ব্যয়!$K$2:$K$20000,"বাকি"))</f>
        <v/>
      </c>
    </row>
    <row r="98">
      <c r="A98" s="33" t="inlineStr"/>
      <c r="B98" s="16">
        <f>IF(A98="","",SUMIFS(ব্যয়!$H$2:$H$20000,ব্যয়!$I$2:$I$20000,A98,ব্যয়!$K$2:$K$20000,"বাকি"))</f>
        <v/>
      </c>
      <c r="C98" s="16">
        <f>IF(A98="","",SUMIF(পরিশোধ!$C$2:$C$20000,A98,পরিশোধ!$D$2:$D$20000))</f>
        <v/>
      </c>
      <c r="D98" s="16">
        <f>IF(A98="","",B98-C98)</f>
        <v/>
      </c>
      <c r="E98" s="18">
        <f>IF(A98="","",COUNTIFS(ব্যয়!$I$2:$I$20000,A98,ব্যয়!$K$2:$K$20000,"বাকি"))</f>
        <v/>
      </c>
    </row>
    <row r="99">
      <c r="A99" s="33" t="inlineStr"/>
      <c r="B99" s="16">
        <f>IF(A99="","",SUMIFS(ব্যয়!$H$2:$H$20000,ব্যয়!$I$2:$I$20000,A99,ব্যয়!$K$2:$K$20000,"বাকি"))</f>
        <v/>
      </c>
      <c r="C99" s="16">
        <f>IF(A99="","",SUMIF(পরিশোধ!$C$2:$C$20000,A99,পরিশোধ!$D$2:$D$20000))</f>
        <v/>
      </c>
      <c r="D99" s="16">
        <f>IF(A99="","",B99-C99)</f>
        <v/>
      </c>
      <c r="E99" s="18">
        <f>IF(A99="","",COUNTIFS(ব্যয়!$I$2:$I$20000,A99,ব্যয়!$K$2:$K$20000,"বাকি"))</f>
        <v/>
      </c>
    </row>
    <row r="100">
      <c r="A100" s="33" t="inlineStr"/>
      <c r="B100" s="16">
        <f>IF(A100="","",SUMIFS(ব্যয়!$H$2:$H$20000,ব্যয়!$I$2:$I$20000,A100,ব্যয়!$K$2:$K$20000,"বাকি"))</f>
        <v/>
      </c>
      <c r="C100" s="16">
        <f>IF(A100="","",SUMIF(পরিশোধ!$C$2:$C$20000,A100,পরিশোধ!$D$2:$D$20000))</f>
        <v/>
      </c>
      <c r="D100" s="16">
        <f>IF(A100="","",B100-C100)</f>
        <v/>
      </c>
      <c r="E100" s="18">
        <f>IF(A100="","",COUNTIFS(ব্যয়!$I$2:$I$20000,A100,ব্যয়!$K$2:$K$20000,"বাকি"))</f>
        <v/>
      </c>
    </row>
    <row r="101">
      <c r="A101" s="33" t="inlineStr"/>
      <c r="B101" s="16">
        <f>IF(A101="","",SUMIFS(ব্যয়!$H$2:$H$20000,ব্যয়!$I$2:$I$20000,A101,ব্যয়!$K$2:$K$20000,"বাকি"))</f>
        <v/>
      </c>
      <c r="C101" s="16">
        <f>IF(A101="","",SUMIF(পরিশোধ!$C$2:$C$20000,A101,পরিশোধ!$D$2:$D$20000))</f>
        <v/>
      </c>
      <c r="D101" s="16">
        <f>IF(A101="","",B101-C101)</f>
        <v/>
      </c>
      <c r="E101" s="18">
        <f>IF(A101="","",COUNTIFS(ব্যয়!$I$2:$I$20000,A101,ব্যয়!$K$2:$K$20000,"বাকি"))</f>
        <v/>
      </c>
    </row>
    <row r="102">
      <c r="A102" s="33" t="inlineStr"/>
      <c r="B102" s="16">
        <f>IF(A102="","",SUMIFS(ব্যয়!$H$2:$H$20000,ব্যয়!$I$2:$I$20000,A102,ব্যয়!$K$2:$K$20000,"বাকি"))</f>
        <v/>
      </c>
      <c r="C102" s="16">
        <f>IF(A102="","",SUMIF(পরিশোধ!$C$2:$C$20000,A102,পরিশোধ!$D$2:$D$20000))</f>
        <v/>
      </c>
      <c r="D102" s="16">
        <f>IF(A102="","",B102-C102)</f>
        <v/>
      </c>
      <c r="E102" s="18">
        <f>IF(A102="","",COUNTIFS(ব্যয়!$I$2:$I$20000,A102,ব্যয়!$K$2:$K$20000,"বাকি"))</f>
        <v/>
      </c>
    </row>
    <row r="103">
      <c r="A103" s="33" t="inlineStr"/>
      <c r="B103" s="16">
        <f>IF(A103="","",SUMIFS(ব্যয়!$H$2:$H$20000,ব্যয়!$I$2:$I$20000,A103,ব্যয়!$K$2:$K$20000,"বাকি"))</f>
        <v/>
      </c>
      <c r="C103" s="16">
        <f>IF(A103="","",SUMIF(পরিশোধ!$C$2:$C$20000,A103,পরিশোধ!$D$2:$D$20000))</f>
        <v/>
      </c>
      <c r="D103" s="16">
        <f>IF(A103="","",B103-C103)</f>
        <v/>
      </c>
      <c r="E103" s="18">
        <f>IF(A103="","",COUNTIFS(ব্যয়!$I$2:$I$20000,A103,ব্যয়!$K$2:$K$20000,"বাকি"))</f>
        <v/>
      </c>
    </row>
    <row r="104">
      <c r="A104" s="33" t="inlineStr"/>
      <c r="B104" s="16">
        <f>IF(A104="","",SUMIFS(ব্যয়!$H$2:$H$20000,ব্যয়!$I$2:$I$20000,A104,ব্যয়!$K$2:$K$20000,"বাকি"))</f>
        <v/>
      </c>
      <c r="C104" s="16">
        <f>IF(A104="","",SUMIF(পরিশোধ!$C$2:$C$20000,A104,পরিশোধ!$D$2:$D$20000))</f>
        <v/>
      </c>
      <c r="D104" s="16">
        <f>IF(A104="","",B104-C104)</f>
        <v/>
      </c>
      <c r="E104" s="18">
        <f>IF(A104="","",COUNTIFS(ব্যয়!$I$2:$I$20000,A104,ব্যয়!$K$2:$K$20000,"বাকি"))</f>
        <v/>
      </c>
    </row>
    <row r="105">
      <c r="A105" s="33" t="inlineStr"/>
      <c r="B105" s="16">
        <f>IF(A105="","",SUMIFS(ব্যয়!$H$2:$H$20000,ব্যয়!$I$2:$I$20000,A105,ব্যয়!$K$2:$K$20000,"বাকি"))</f>
        <v/>
      </c>
      <c r="C105" s="16">
        <f>IF(A105="","",SUMIF(পরিশোধ!$C$2:$C$20000,A105,পরিশোধ!$D$2:$D$20000))</f>
        <v/>
      </c>
      <c r="D105" s="16">
        <f>IF(A105="","",B105-C105)</f>
        <v/>
      </c>
      <c r="E105" s="18">
        <f>IF(A105="","",COUNTIFS(ব্যয়!$I$2:$I$20000,A105,ব্যয়!$K$2:$K$20000,"বাকি"))</f>
        <v/>
      </c>
    </row>
    <row r="106">
      <c r="A106" s="33" t="inlineStr"/>
      <c r="B106" s="16">
        <f>IF(A106="","",SUMIFS(ব্যয়!$H$2:$H$20000,ব্যয়!$I$2:$I$20000,A106,ব্যয়!$K$2:$K$20000,"বাকি"))</f>
        <v/>
      </c>
      <c r="C106" s="16">
        <f>IF(A106="","",SUMIF(পরিশোধ!$C$2:$C$20000,A106,পরিশোধ!$D$2:$D$20000))</f>
        <v/>
      </c>
      <c r="D106" s="16">
        <f>IF(A106="","",B106-C106)</f>
        <v/>
      </c>
      <c r="E106" s="18">
        <f>IF(A106="","",COUNTIFS(ব্যয়!$I$2:$I$20000,A106,ব্যয়!$K$2:$K$20000,"বাকি"))</f>
        <v/>
      </c>
    </row>
    <row r="107">
      <c r="A107" s="33" t="inlineStr"/>
      <c r="B107" s="16">
        <f>IF(A107="","",SUMIFS(ব্যয়!$H$2:$H$20000,ব্যয়!$I$2:$I$20000,A107,ব্যয়!$K$2:$K$20000,"বাকি"))</f>
        <v/>
      </c>
      <c r="C107" s="16">
        <f>IF(A107="","",SUMIF(পরিশোধ!$C$2:$C$20000,A107,পরিশোধ!$D$2:$D$20000))</f>
        <v/>
      </c>
      <c r="D107" s="16">
        <f>IF(A107="","",B107-C107)</f>
        <v/>
      </c>
      <c r="E107" s="18">
        <f>IF(A107="","",COUNTIFS(ব্যয়!$I$2:$I$20000,A107,ব্যয়!$K$2:$K$20000,"বাকি"))</f>
        <v/>
      </c>
    </row>
    <row r="108">
      <c r="A108" s="33" t="inlineStr"/>
      <c r="B108" s="16">
        <f>IF(A108="","",SUMIFS(ব্যয়!$H$2:$H$20000,ব্যয়!$I$2:$I$20000,A108,ব্যয়!$K$2:$K$20000,"বাকি"))</f>
        <v/>
      </c>
      <c r="C108" s="16">
        <f>IF(A108="","",SUMIF(পরিশোধ!$C$2:$C$20000,A108,পরিশোধ!$D$2:$D$20000))</f>
        <v/>
      </c>
      <c r="D108" s="16">
        <f>IF(A108="","",B108-C108)</f>
        <v/>
      </c>
      <c r="E108" s="18">
        <f>IF(A108="","",COUNTIFS(ব্যয়!$I$2:$I$20000,A108,ব্যয়!$K$2:$K$20000,"বাকি"))</f>
        <v/>
      </c>
    </row>
    <row r="109">
      <c r="A109" s="33" t="inlineStr"/>
      <c r="B109" s="16">
        <f>IF(A109="","",SUMIFS(ব্যয়!$H$2:$H$20000,ব্যয়!$I$2:$I$20000,A109,ব্যয়!$K$2:$K$20000,"বাকি"))</f>
        <v/>
      </c>
      <c r="C109" s="16">
        <f>IF(A109="","",SUMIF(পরিশোধ!$C$2:$C$20000,A109,পরিশোধ!$D$2:$D$20000))</f>
        <v/>
      </c>
      <c r="D109" s="16">
        <f>IF(A109="","",B109-C109)</f>
        <v/>
      </c>
      <c r="E109" s="18">
        <f>IF(A109="","",COUNTIFS(ব্যয়!$I$2:$I$20000,A109,ব্যয়!$K$2:$K$20000,"বাকি"))</f>
        <v/>
      </c>
    </row>
    <row r="111">
      <c r="A111" s="6" t="inlineStr">
        <is>
          <t>টিপ: নতুন সরবরাহকারী → এখানে নাম লিখুন → ব্যয়/পরিশোধে ড্রপডাউন থেকে বেছে নিন।</t>
        </is>
      </c>
    </row>
  </sheetData>
  <sheetProtection sheet="1" objects="1" scenarios="1" formatColumns="0" formatRows="0"/>
  <mergeCells count="3">
    <mergeCell ref="A1:E1"/>
    <mergeCell ref="A2:E3"/>
    <mergeCell ref="A111:E1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সামারি (লাইভ)</t>
        </is>
      </c>
      <c r="D1" s="19" t="str">
        <f>"শিক্ষাবর্ষ "&amp;$B$21&amp;"–"&amp;($B$21+1)&amp;" (শাওয়াল–রমজান) — মাসভিত্তিক বিভাগীয় ব্যয়"</f>
      </c>
    </row>
    <row r="2">
      <c r="A2" s="5" t="inlineStr">
        <is>
          <t>বিবরণ</t>
        </is>
      </c>
      <c r="B2" s="5" t="inlineStr">
        <is>
          <t>টাকা</t>
        </is>
      </c>
      <c r="D2" s="5" t="inlineStr">
        <is>
          <t>মাস</t>
        </is>
      </c>
      <c r="E2" s="5" t="inlineStr">
        <is>
          <t>মাতবাখ</t>
        </is>
      </c>
      <c r="F2" s="5" t="inlineStr">
        <is>
          <t>মাদরাসা</t>
        </is>
      </c>
      <c r="G2" s="5" t="inlineStr">
        <is>
          <t>তামিরাত</t>
        </is>
      </c>
      <c r="H2" s="5" t="inlineStr">
        <is>
          <t>সাধারণ</t>
        </is>
      </c>
      <c r="I2" s="5" t="inlineStr">
        <is>
          <t>মাসের মোট</t>
        </is>
      </c>
      <c r="K2" t="inlineStr">
        <is>
          <t>মুহাররম</t>
        </is>
      </c>
      <c r="L2" t="n">
        <v>1</v>
      </c>
    </row>
    <row r="3">
      <c r="A3" s="20" t="inlineStr">
        <is>
          <t>মোট ব্যয় (সব বিভাগ)</t>
        </is>
      </c>
      <c r="B3" s="21">
        <f>SUM(ব্যয়!H:H)</f>
      </c>
      <c r="D3" s="13" t="str">
        <f>"শাওয়াল "&amp;$B$21</f>
      </c>
      <c r="E3" s="16">
        <f>SUMIFS('ব্যয়'!$H$2:$H$20000,'ব্যয়'!$L$2:$L$20000,$B$21,'ব্যয়'!$M$2:$M$20000,10,'ব্যয়'!$A$2:$A$20000,"মাতবাখ")</f>
      </c>
      <c r="F3" s="16">
        <f>SUMIFS('ব্যয়'!$H$2:$H$20000,'ব্যয়'!$L$2:$L$20000,$B$21,'ব্যয়'!$M$2:$M$20000,10,'ব্যয়'!$A$2:$A$20000,"মাদরাসা")</f>
      </c>
      <c r="G3" s="16">
        <f>SUMIFS('ব্যয়'!$H$2:$H$20000,'ব্যয়'!$L$2:$L$20000,$B$21,'ব্যয়'!$M$2:$M$20000,10,'ব্যয়'!$A$2:$A$20000,"তামিরাত")</f>
      </c>
      <c r="H3" s="16">
        <f>SUMIFS('ব্যয়'!$H$2:$H$20000,'ব্যয়'!$L$2:$L$20000,$B$21,'ব্যয়'!$M$2:$M$20000,10,'ব্যয়'!$A$2:$A$20000,"সাধারণ")</f>
      </c>
      <c r="I3" s="22">
        <f>SUM(E3:H3)</f>
      </c>
      <c r="K3" t="inlineStr">
        <is>
          <t>সফর</t>
        </is>
      </c>
      <c r="L3" t="n">
        <v>2</v>
      </c>
    </row>
    <row r="4">
      <c r="A4" s="20" t="inlineStr">
        <is>
          <t>মোট আয়</t>
        </is>
      </c>
      <c r="B4" s="21">
        <f>SUM(আয়!B:B)</f>
      </c>
      <c r="D4" s="13" t="str">
        <f>"জিলকদ "&amp;$B$21</f>
      </c>
      <c r="E4" s="16">
        <f>SUMIFS('ব্যয়'!$H$2:$H$20000,'ব্যয়'!$L$2:$L$20000,$B$21,'ব্যয়'!$M$2:$M$20000,11,'ব্যয়'!$A$2:$A$20000,"মাতবাখ")</f>
      </c>
      <c r="F4" s="16">
        <f>SUMIFS('ব্যয়'!$H$2:$H$20000,'ব্যয়'!$L$2:$L$20000,$B$21,'ব্যয়'!$M$2:$M$20000,11,'ব্যয়'!$A$2:$A$20000,"মাদরাসা")</f>
      </c>
      <c r="G4" s="16">
        <f>SUMIFS('ব্যয়'!$H$2:$H$20000,'ব্যয়'!$L$2:$L$20000,$B$21,'ব্যয়'!$M$2:$M$20000,11,'ব্যয়'!$A$2:$A$20000,"তামিরাত")</f>
      </c>
      <c r="H4" s="16">
        <f>SUMIFS('ব্যয়'!$H$2:$H$20000,'ব্যয়'!$L$2:$L$20000,$B$21,'ব্যয়'!$M$2:$M$20000,11,'ব্যয়'!$A$2:$A$20000,"সাধারণ")</f>
      </c>
      <c r="I4" s="22">
        <f>SUM(E4:H4)</f>
      </c>
      <c r="K4" t="inlineStr">
        <is>
          <t>রবিউল আউয়াল</t>
        </is>
      </c>
      <c r="L4" t="n">
        <v>3</v>
      </c>
    </row>
    <row r="5">
      <c r="A5" s="20" t="inlineStr">
        <is>
          <t>করজ দেওয়া</t>
        </is>
      </c>
      <c r="B5" s="21">
        <f>SUMIF(করজ!A:A,"দেওয়া",করজ!C:C)</f>
      </c>
      <c r="D5" s="13" t="str">
        <f>"জিলহজ "&amp;$B$21</f>
      </c>
      <c r="E5" s="16">
        <f>SUMIFS('ব্যয়'!$H$2:$H$20000,'ব্যয়'!$L$2:$L$20000,$B$21,'ব্যয়'!$M$2:$M$20000,12,'ব্যয়'!$A$2:$A$20000,"মাতবাখ")</f>
      </c>
      <c r="F5" s="16">
        <f>SUMIFS('ব্যয়'!$H$2:$H$20000,'ব্যয়'!$L$2:$L$20000,$B$21,'ব্যয়'!$M$2:$M$20000,12,'ব্যয়'!$A$2:$A$20000,"মাদরাসা")</f>
      </c>
      <c r="G5" s="16">
        <f>SUMIFS('ব্যয়'!$H$2:$H$20000,'ব্যয়'!$L$2:$L$20000,$B$21,'ব্যয়'!$M$2:$M$20000,12,'ব্যয়'!$A$2:$A$20000,"তামিরাত")</f>
      </c>
      <c r="H5" s="16">
        <f>SUMIFS('ব্যয়'!$H$2:$H$20000,'ব্যয়'!$L$2:$L$20000,$B$21,'ব্যয়'!$M$2:$M$20000,12,'ব্যয়'!$A$2:$A$20000,"সাধারণ")</f>
      </c>
      <c r="I5" s="22">
        <f>SUM(E5:H5)</f>
      </c>
      <c r="K5" t="inlineStr">
        <is>
          <t>রবিউস সানি</t>
        </is>
      </c>
      <c r="L5" t="n">
        <v>4</v>
      </c>
    </row>
    <row r="6">
      <c r="A6" s="20" t="inlineStr">
        <is>
          <t>করজ আদায়</t>
        </is>
      </c>
      <c r="B6" s="21">
        <f>SUMIF(করজ!A:A,"আদায়",করজ!C:C)</f>
      </c>
      <c r="D6" s="13" t="str">
        <f>"মুহাররম "&amp;($B$21+1)</f>
      </c>
      <c r="E6" s="16">
        <f>SUMIFS('ব্যয়'!$H$2:$H$20000,'ব্যয়'!$L$2:$L$20000,($B$21+1),'ব্যয়'!$M$2:$M$20000,1,'ব্যয়'!$A$2:$A$20000,"মাতবাখ")</f>
      </c>
      <c r="F6" s="16">
        <f>SUMIFS('ব্যয়'!$H$2:$H$20000,'ব্যয়'!$L$2:$L$20000,($B$21+1),'ব্যয়'!$M$2:$M$20000,1,'ব্যয়'!$A$2:$A$20000,"মাদরাসা")</f>
      </c>
      <c r="G6" s="16">
        <f>SUMIFS('ব্যয়'!$H$2:$H$20000,'ব্যয়'!$L$2:$L$20000,($B$21+1),'ব্যয়'!$M$2:$M$20000,1,'ব্যয়'!$A$2:$A$20000,"তামিরাত")</f>
      </c>
      <c r="H6" s="16">
        <f>SUMIFS('ব্যয়'!$H$2:$H$20000,'ব্যয়'!$L$2:$L$20000,($B$21+1),'ব্যয়'!$M$2:$M$20000,1,'ব্যয়'!$A$2:$A$20000,"সাধারণ")</f>
      </c>
      <c r="I6" s="22">
        <f>SUM(E6:H6)</f>
      </c>
      <c r="K6" t="inlineStr">
        <is>
          <t>জুমাদাল উলা</t>
        </is>
      </c>
      <c r="L6" t="n">
        <v>5</v>
      </c>
    </row>
    <row r="7">
      <c r="A7" s="20" t="inlineStr">
        <is>
          <t>করজ বাকি</t>
        </is>
      </c>
      <c r="B7" s="21">
        <f>B5-B6</f>
      </c>
      <c r="D7" s="13" t="str">
        <f>"সফর "&amp;($B$21+1)</f>
      </c>
      <c r="E7" s="16">
        <f>SUMIFS('ব্যয়'!$H$2:$H$20000,'ব্যয়'!$L$2:$L$20000,($B$21+1),'ব্যয়'!$M$2:$M$20000,2,'ব্যয়'!$A$2:$A$20000,"মাতবাখ")</f>
      </c>
      <c r="F7" s="16">
        <f>SUMIFS('ব্যয়'!$H$2:$H$20000,'ব্যয়'!$L$2:$L$20000,($B$21+1),'ব্যয়'!$M$2:$M$20000,2,'ব্যয়'!$A$2:$A$20000,"মাদরাসা")</f>
      </c>
      <c r="G7" s="16">
        <f>SUMIFS('ব্যয়'!$H$2:$H$20000,'ব্যয়'!$L$2:$L$20000,($B$21+1),'ব্যয়'!$M$2:$M$20000,2,'ব্যয়'!$A$2:$A$20000,"তামিরাত")</f>
      </c>
      <c r="H7" s="16">
        <f>SUMIFS('ব্যয়'!$H$2:$H$20000,'ব্যয়'!$L$2:$L$20000,($B$21+1),'ব্যয়'!$M$2:$M$20000,2,'ব্যয়'!$A$2:$A$20000,"সাধারণ")</f>
      </c>
      <c r="I7" s="22">
        <f>SUM(E7:H7)</f>
      </c>
      <c r="K7" t="inlineStr">
        <is>
          <t>জুমাদাল উখরা</t>
        </is>
      </c>
      <c r="L7" t="n">
        <v>6</v>
      </c>
    </row>
    <row r="8">
      <c r="A8" s="20" t="inlineStr">
        <is>
          <t>সরবরাহকারী বাকি</t>
        </is>
      </c>
      <c r="B8" s="21">
        <f>বকেয়া!B7</f>
      </c>
      <c r="D8" s="13" t="str">
        <f>"রবিউল আউয়াল "&amp;($B$21+1)</f>
      </c>
      <c r="E8" s="16">
        <f>SUMIFS('ব্যয়'!$H$2:$H$20000,'ব্যয়'!$L$2:$L$20000,($B$21+1),'ব্যয়'!$M$2:$M$20000,3,'ব্যয়'!$A$2:$A$20000,"মাতবাখ")</f>
      </c>
      <c r="F8" s="16">
        <f>SUMIFS('ব্যয়'!$H$2:$H$20000,'ব্যয়'!$L$2:$L$20000,($B$21+1),'ব্যয়'!$M$2:$M$20000,3,'ব্যয়'!$A$2:$A$20000,"মাদরাসা")</f>
      </c>
      <c r="G8" s="16">
        <f>SUMIFS('ব্যয়'!$H$2:$H$20000,'ব্যয়'!$L$2:$L$20000,($B$21+1),'ব্যয়'!$M$2:$M$20000,3,'ব্যয়'!$A$2:$A$20000,"তামিরাত")</f>
      </c>
      <c r="H8" s="16">
        <f>SUMIFS('ব্যয়'!$H$2:$H$20000,'ব্যয়'!$L$2:$L$20000,($B$21+1),'ব্যয়'!$M$2:$M$20000,3,'ব্যয়'!$A$2:$A$20000,"সাধারণ")</f>
      </c>
      <c r="I8" s="22">
        <f>SUM(E8:H8)</f>
      </c>
      <c r="K8" t="inlineStr">
        <is>
          <t>রজব</t>
        </is>
      </c>
      <c r="L8" t="n">
        <v>7</v>
      </c>
    </row>
    <row r="9">
      <c r="A9" s="20" t="inlineStr">
        <is>
          <t>নগদ (আনুমানিক)</t>
        </is>
      </c>
      <c r="B9" s="21">
        <f>B4-B3-B5+B6</f>
      </c>
      <c r="D9" s="13" t="str">
        <f>"রবিউস সানি "&amp;($B$21+1)</f>
      </c>
      <c r="E9" s="16">
        <f>SUMIFS('ব্যয়'!$H$2:$H$20000,'ব্যয়'!$L$2:$L$20000,($B$21+1),'ব্যয়'!$M$2:$M$20000,4,'ব্যয়'!$A$2:$A$20000,"মাতবাখ")</f>
      </c>
      <c r="F9" s="16">
        <f>SUMIFS('ব্যয়'!$H$2:$H$20000,'ব্যয়'!$L$2:$L$20000,($B$21+1),'ব্যয়'!$M$2:$M$20000,4,'ব্যয়'!$A$2:$A$20000,"মাদরাসা")</f>
      </c>
      <c r="G9" s="16">
        <f>SUMIFS('ব্যয়'!$H$2:$H$20000,'ব্যয়'!$L$2:$L$20000,($B$21+1),'ব্যয়'!$M$2:$M$20000,4,'ব্যয়'!$A$2:$A$20000,"তামিরাত")</f>
      </c>
      <c r="H9" s="16">
        <f>SUMIFS('ব্যয়'!$H$2:$H$20000,'ব্যয়'!$L$2:$L$20000,($B$21+1),'ব্যয়'!$M$2:$M$20000,4,'ব্যয়'!$A$2:$A$20000,"সাধারণ")</f>
      </c>
      <c r="I9" s="22">
        <f>SUM(E9:H9)</f>
      </c>
      <c r="K9" t="inlineStr">
        <is>
          <t>শাবান</t>
        </is>
      </c>
      <c r="L9" t="n">
        <v>8</v>
      </c>
    </row>
    <row r="10">
      <c r="D10" s="13" t="str">
        <f>"জুমাদাল উলা "&amp;($B$21+1)</f>
      </c>
      <c r="E10" s="16">
        <f>SUMIFS('ব্যয়'!$H$2:$H$20000,'ব্যয়'!$L$2:$L$20000,($B$21+1),'ব্যয়'!$M$2:$M$20000,5,'ব্যয়'!$A$2:$A$20000,"মাতবাখ")</f>
      </c>
      <c r="F10" s="16">
        <f>SUMIFS('ব্যয়'!$H$2:$H$20000,'ব্যয়'!$L$2:$L$20000,($B$21+1),'ব্যয়'!$M$2:$M$20000,5,'ব্যয়'!$A$2:$A$20000,"মাদরাসা")</f>
      </c>
      <c r="G10" s="16">
        <f>SUMIFS('ব্যয়'!$H$2:$H$20000,'ব্যয়'!$L$2:$L$20000,($B$21+1),'ব্যয়'!$M$2:$M$20000,5,'ব্যয়'!$A$2:$A$20000,"তামিরাত")</f>
      </c>
      <c r="H10" s="16">
        <f>SUMIFS('ব্যয়'!$H$2:$H$20000,'ব্যয়'!$L$2:$L$20000,($B$21+1),'ব্যয়'!$M$2:$M$20000,5,'ব্যয়'!$A$2:$A$20000,"সাধারণ")</f>
      </c>
      <c r="I10" s="22">
        <f>SUM(E10:H10)</f>
      </c>
      <c r="K10" t="inlineStr">
        <is>
          <t>রমজান</t>
        </is>
      </c>
      <c r="L10" t="n">
        <v>9</v>
      </c>
    </row>
    <row r="11">
      <c r="A11" s="19" t="inlineStr">
        <is>
          <t>বিভাগ অনুযায়ী ব্যয়</t>
        </is>
      </c>
      <c r="D11" s="13" t="str">
        <f>"জুমাদাল উখরা "&amp;($B$21+1)</f>
      </c>
      <c r="E11" s="16">
        <f>SUMIFS('ব্যয়'!$H$2:$H$20000,'ব্যয়'!$L$2:$L$20000,($B$21+1),'ব্যয়'!$M$2:$M$20000,6,'ব্যয়'!$A$2:$A$20000,"মাতবাখ")</f>
      </c>
      <c r="F11" s="16">
        <f>SUMIFS('ব্যয়'!$H$2:$H$20000,'ব্যয়'!$L$2:$L$20000,($B$21+1),'ব্যয়'!$M$2:$M$20000,6,'ব্যয়'!$A$2:$A$20000,"মাদরাসা")</f>
      </c>
      <c r="G11" s="16">
        <f>SUMIFS('ব্যয়'!$H$2:$H$20000,'ব্যয়'!$L$2:$L$20000,($B$21+1),'ব্যয়'!$M$2:$M$20000,6,'ব্যয়'!$A$2:$A$20000,"তামিরাত")</f>
      </c>
      <c r="H11" s="16">
        <f>SUMIFS('ব্যয়'!$H$2:$H$20000,'ব্যয়'!$L$2:$L$20000,($B$21+1),'ব্যয়'!$M$2:$M$20000,6,'ব্যয়'!$A$2:$A$20000,"সাধারণ")</f>
      </c>
      <c r="I11" s="22">
        <f>SUM(E11:H11)</f>
      </c>
      <c r="K11" t="inlineStr">
        <is>
          <t>শাওয়াল</t>
        </is>
      </c>
      <c r="L11" t="n">
        <v>10</v>
      </c>
    </row>
    <row r="12">
      <c r="A12" s="5" t="inlineStr">
        <is>
          <t>হিসাব বিভাগ</t>
        </is>
      </c>
      <c r="B12" s="5" t="inlineStr">
        <is>
          <t>মোট</t>
        </is>
      </c>
      <c r="D12" s="13" t="str">
        <f>"রজব "&amp;($B$21+1)</f>
      </c>
      <c r="E12" s="16">
        <f>SUMIFS('ব্যয়'!$H$2:$H$20000,'ব্যয়'!$L$2:$L$20000,($B$21+1),'ব্যয়'!$M$2:$M$20000,7,'ব্যয়'!$A$2:$A$20000,"মাতবাখ")</f>
      </c>
      <c r="F12" s="16">
        <f>SUMIFS('ব্যয়'!$H$2:$H$20000,'ব্যয়'!$L$2:$L$20000,($B$21+1),'ব্যয়'!$M$2:$M$20000,7,'ব্যয়'!$A$2:$A$20000,"মাদরাসা")</f>
      </c>
      <c r="G12" s="16">
        <f>SUMIFS('ব্যয়'!$H$2:$H$20000,'ব্যয়'!$L$2:$L$20000,($B$21+1),'ব্যয়'!$M$2:$M$20000,7,'ব্যয়'!$A$2:$A$20000,"তামিরাত")</f>
      </c>
      <c r="H12" s="16">
        <f>SUMIFS('ব্যয়'!$H$2:$H$20000,'ব্যয়'!$L$2:$L$20000,($B$21+1),'ব্যয়'!$M$2:$M$20000,7,'ব্যয়'!$A$2:$A$20000,"সাধারণ")</f>
      </c>
      <c r="I12" s="22">
        <f>SUM(E12:H12)</f>
      </c>
      <c r="K12" t="inlineStr">
        <is>
          <t>জিলকদ</t>
        </is>
      </c>
      <c r="L12" t="n">
        <v>11</v>
      </c>
    </row>
    <row r="13">
      <c r="A13" s="23" t="inlineStr">
        <is>
          <t>মাতবাখ</t>
        </is>
      </c>
      <c r="B13" s="21">
        <f>SUMIF(ব্যয়!A:A,A13,ব্যয়!H:H)</f>
      </c>
      <c r="D13" s="13" t="str">
        <f>"শাবান "&amp;($B$21+1)</f>
      </c>
      <c r="E13" s="16">
        <f>SUMIFS('ব্যয়'!$H$2:$H$20000,'ব্যয়'!$L$2:$L$20000,($B$21+1),'ব্যয়'!$M$2:$M$20000,8,'ব্যয়'!$A$2:$A$20000,"মাতবাখ")</f>
      </c>
      <c r="F13" s="16">
        <f>SUMIFS('ব্যয়'!$H$2:$H$20000,'ব্যয়'!$L$2:$L$20000,($B$21+1),'ব্যয়'!$M$2:$M$20000,8,'ব্যয়'!$A$2:$A$20000,"মাদরাসা")</f>
      </c>
      <c r="G13" s="16">
        <f>SUMIFS('ব্যয়'!$H$2:$H$20000,'ব্যয়'!$L$2:$L$20000,($B$21+1),'ব্যয়'!$M$2:$M$20000,8,'ব্যয়'!$A$2:$A$20000,"তামিরাত")</f>
      </c>
      <c r="H13" s="16">
        <f>SUMIFS('ব্যয়'!$H$2:$H$20000,'ব্যয়'!$L$2:$L$20000,($B$21+1),'ব্যয়'!$M$2:$M$20000,8,'ব্যয়'!$A$2:$A$20000,"সাধারণ")</f>
      </c>
      <c r="I13" s="22">
        <f>SUM(E13:H13)</f>
      </c>
      <c r="K13" t="inlineStr">
        <is>
          <t>জিলহজ</t>
        </is>
      </c>
      <c r="L13" t="n">
        <v>12</v>
      </c>
    </row>
    <row r="14">
      <c r="A14" s="23" t="inlineStr">
        <is>
          <t>মাদরাসা</t>
        </is>
      </c>
      <c r="B14" s="21">
        <f>SUMIF(ব্যয়!A:A,A14,ব্যয়!H:H)</f>
      </c>
      <c r="D14" s="13" t="str">
        <f>"রমজান "&amp;($B$21+1)</f>
      </c>
      <c r="E14" s="16">
        <f>SUMIFS('ব্যয়'!$H$2:$H$20000,'ব্যয়'!$L$2:$L$20000,($B$21+1),'ব্যয়'!$M$2:$M$20000,9,'ব্যয়'!$A$2:$A$20000,"মাতবাখ")</f>
      </c>
      <c r="F14" s="16">
        <f>SUMIFS('ব্যয়'!$H$2:$H$20000,'ব্যয়'!$L$2:$L$20000,($B$21+1),'ব্যয়'!$M$2:$M$20000,9,'ব্যয়'!$A$2:$A$20000,"মাদরাসা")</f>
      </c>
      <c r="G14" s="16">
        <f>SUMIFS('ব্যয়'!$H$2:$H$20000,'ব্যয়'!$L$2:$L$20000,($B$21+1),'ব্যয়'!$M$2:$M$20000,9,'ব্যয়'!$A$2:$A$20000,"তামিরাত")</f>
      </c>
      <c r="H14" s="16">
        <f>SUMIFS('ব্যয়'!$H$2:$H$20000,'ব্যয়'!$L$2:$L$20000,($B$21+1),'ব্যয়'!$M$2:$M$20000,9,'ব্যয়'!$A$2:$A$20000,"সাধারণ")</f>
      </c>
      <c r="I14" s="22">
        <f>SUM(E14:H14)</f>
      </c>
    </row>
    <row r="15">
      <c r="A15" s="23" t="inlineStr">
        <is>
          <t>তামিরাত</t>
        </is>
      </c>
      <c r="B15" s="21">
        <f>SUMIF(ব্যয়!A:A,A15,ব্যয়!H:H)</f>
      </c>
      <c r="D15" s="24" t="inlineStr">
        <is>
          <t>শিক্ষাবর্ষের মোট</t>
        </is>
      </c>
      <c r="E15" s="25">
        <f>SUM(E3:E14)</f>
      </c>
      <c r="F15" s="25">
        <f>SUM(F3:F14)</f>
      </c>
      <c r="G15" s="25">
        <f>SUM(G3:G14)</f>
      </c>
      <c r="H15" s="25">
        <f>SUM(H3:H14)</f>
      </c>
      <c r="I15" s="25">
        <f>SUM(I3:I14)</f>
      </c>
    </row>
    <row r="16">
      <c r="A16" s="23" t="inlineStr">
        <is>
          <t>সাধারণ</t>
        </is>
      </c>
      <c r="B16" s="21">
        <f>SUMIF(ব্যয়!A:A,A16,ব্যয়!H:H)</f>
      </c>
    </row>
    <row r="18">
      <c r="A18" s="6" t="inlineStr">
        <is>
          <t>বকেয়া তালিকায় নাম লিখুন → ব্যয়/পরিশোধে ড্রপডাউন। পরিশোধ «পরিশোধ» শীটে।</t>
        </is>
      </c>
    </row>
    <row r="19"/>
    <row r="21">
      <c r="A21" s="5" t="inlineStr">
        <is>
          <t>শিক্ষাবর্ষ শুরু (হিজরী)</t>
        </is>
      </c>
      <c r="B21" s="34" t="n">
        <v>1447</v>
      </c>
      <c r="C21" s="5" t="inlineStr">
        <is>
          <t>হিজরী মাস</t>
        </is>
      </c>
      <c r="D21" s="34" t="inlineStr">
        <is>
          <t>শাওয়াল</t>
        </is>
      </c>
      <c r="J21">
        <f>MATCH(D21,K2:K13,0)</f>
      </c>
    </row>
    <row r="23">
      <c r="A23" s="19" t="inlineStr">
        <is>
          <t>নির্বাচিত মাসে খাতভিত্তিক ব্যয়</t>
        </is>
      </c>
    </row>
    <row r="24">
      <c r="A24" s="5" t="inlineStr">
        <is>
          <t>খাত</t>
        </is>
      </c>
      <c r="B24" s="5" t="inlineStr">
        <is>
          <t>মোট টাকা</t>
        </is>
      </c>
    </row>
    <row r="25">
      <c r="A25" s="33" t="inlineStr">
        <is>
          <t>বড় বাজার</t>
        </is>
      </c>
      <c r="B25" s="16">
        <f>SUMIFS('ব্যয়'!$H$2:$H$20000,'ব্যয়'!$L$2:$L$20000,IF($J$21&gt;=10,$B$21,$B$21+1),'ব্যয়'!$M$2:$M$20000,$J$21,'ব্যয়'!$C$2:$C$20000,A25)</f>
      </c>
    </row>
    <row r="26">
      <c r="A26" s="33" t="inlineStr">
        <is>
          <t>কাঁচা বাজার</t>
        </is>
      </c>
      <c r="B26" s="16">
        <f>SUMIFS('ব্যয়'!$H$2:$H$20000,'ব্যয়'!$L$2:$L$20000,IF($J$21&gt;=10,$B$21,$B$21+1),'ব্যয়'!$M$2:$M$20000,$J$21,'ব্যয়'!$C$2:$C$20000,A26)</f>
      </c>
    </row>
    <row r="27">
      <c r="A27" s="33" t="inlineStr">
        <is>
          <t>দস্তরখান ভবন</t>
        </is>
      </c>
      <c r="B27" s="16">
        <f>SUMIFS('ব্যয়'!$H$2:$H$20000,'ব্যয়'!$L$2:$L$20000,IF($J$21&gt;=10,$B$21,$B$21+1),'ব্যয়'!$M$2:$M$20000,$J$21,'ব্যয়'!$C$2:$C$20000,A27)</f>
      </c>
    </row>
    <row r="28">
      <c r="A28" s="33" t="inlineStr">
        <is>
          <t>রান্নাঘর সরবরাহ</t>
        </is>
      </c>
      <c r="B28" s="16">
        <f>SUMIFS('ব্যয়'!$H$2:$H$20000,'ব্যয়'!$L$2:$L$20000,IF($J$21&gt;=10,$B$21,$B$21+1),'ব্যয়'!$M$2:$M$20000,$J$21,'ব্যয়'!$C$2:$C$20000,A28)</f>
      </c>
    </row>
    <row r="29">
      <c r="A29" s="33" t="inlineStr">
        <is>
          <t>বিদ্যুৎ</t>
        </is>
      </c>
      <c r="B29" s="16">
        <f>SUMIFS('ব্যয়'!$H$2:$H$20000,'ব্যয়'!$L$2:$L$20000,IF($J$21&gt;=10,$B$21,$B$21+1),'ব্যয়'!$M$2:$M$20000,$J$21,'ব্যয়'!$C$2:$C$20000,A29)</f>
      </c>
    </row>
    <row r="30">
      <c r="A30" s="33" t="inlineStr">
        <is>
          <t>গ্যাস/জ্বালানি</t>
        </is>
      </c>
      <c r="B30" s="16">
        <f>SUMIFS('ব্যয়'!$H$2:$H$20000,'ব্যয়'!$L$2:$L$20000,IF($J$21&gt;=10,$B$21,$B$21+1),'ব্যয়'!$M$2:$M$20000,$J$21,'ব্যয়'!$C$2:$C$20000,A30)</f>
      </c>
    </row>
    <row r="31">
      <c r="A31" s="33" t="inlineStr">
        <is>
          <t>শিক্ষা উপকরণ</t>
        </is>
      </c>
      <c r="B31" s="16">
        <f>SUMIFS('ব্যয়'!$H$2:$H$20000,'ব্যয়'!$L$2:$L$20000,IF($J$21&gt;=10,$B$21,$B$21+1),'ব্যয়'!$M$2:$M$20000,$J$21,'ব্যয়'!$C$2:$C$20000,A31)</f>
      </c>
    </row>
    <row r="32">
      <c r="A32" s="33" t="inlineStr">
        <is>
          <t>বেতন</t>
        </is>
      </c>
      <c r="B32" s="16">
        <f>SUMIFS('ব্যয়'!$H$2:$H$20000,'ব্যয়'!$L$2:$L$20000,IF($J$21&gt;=10,$B$21,$B$21+1),'ব্যয়'!$M$2:$M$20000,$J$21,'ব্যয়'!$C$2:$C$20000,A32)</f>
      </c>
    </row>
    <row r="33">
      <c r="A33" s="33" t="inlineStr">
        <is>
          <t>রক্ষণাবেক্ষণ</t>
        </is>
      </c>
      <c r="B33" s="16">
        <f>SUMIFS('ব্যয়'!$H$2:$H$20000,'ব্যয়'!$L$2:$L$20000,IF($J$21&gt;=10,$B$21,$B$21+1),'ব্যয়'!$M$2:$M$20000,$J$21,'ব্যয়'!$C$2:$C$20000,A33)</f>
      </c>
    </row>
    <row r="34">
      <c r="A34" s="33" t="inlineStr">
        <is>
          <t>পরিবহন</t>
        </is>
      </c>
      <c r="B34" s="16">
        <f>SUMIFS('ব্যয়'!$H$2:$H$20000,'ব্যয়'!$L$2:$L$20000,IF($J$21&gt;=10,$B$21,$B$21+1),'ব্যয়'!$M$2:$M$20000,$J$21,'ব্যয়'!$C$2:$C$20000,A34)</f>
      </c>
    </row>
    <row r="35">
      <c r="A35" s="33" t="inlineStr">
        <is>
          <t>চিকিৎসা</t>
        </is>
      </c>
      <c r="B35" s="16">
        <f>SUMIFS('ব্যয়'!$H$2:$H$20000,'ব্যয়'!$L$2:$L$20000,IF($J$21&gt;=10,$B$21,$B$21+1),'ব্যয়'!$M$2:$M$20000,$J$21,'ব্যয়'!$C$2:$C$20000,A35)</f>
      </c>
    </row>
    <row r="36">
      <c r="A36" s="33" t="inlineStr">
        <is>
          <t>অন্যান্য</t>
        </is>
      </c>
      <c r="B36" s="16">
        <f>SUMIFS('ব্যয়'!$H$2:$H$20000,'ব্যয়'!$L$2:$L$20000,IF($J$21&gt;=10,$B$21,$B$21+1),'ব্যয়'!$M$2:$M$20000,$J$21,'ব্যয়'!$C$2:$C$20000,A36)</f>
      </c>
    </row>
    <row r="37">
      <c r="A37" s="33" t="inlineStr">
        <is>
          <t>কাঁচামাল</t>
        </is>
      </c>
      <c r="B37" s="16">
        <f>SUMIFS('ব্যয়'!$H$2:$H$20000,'ব্যয়'!$L$2:$L$20000,IF($J$21&gt;=10,$B$21,$B$21+1),'ব্যয়'!$M$2:$M$20000,$J$21,'ব্যয়'!$C$2:$C$20000,A37)</f>
      </c>
    </row>
    <row r="38">
      <c r="A38" s="33" t="inlineStr">
        <is>
          <t>স্টেশনারি</t>
        </is>
      </c>
      <c r="B38" s="16">
        <f>SUMIFS('ব্যয়'!$H$2:$H$20000,'ব্যয়'!$L$2:$L$20000,IF($J$21&gt;=10,$B$21,$B$21+1),'ব্যয়'!$M$2:$M$20000,$J$21,'ব্যয়'!$C$2:$C$20000,A38)</f>
      </c>
    </row>
    <row r="39">
      <c r="A39" s="33" t="inlineStr">
        <is>
          <t>মেরামত</t>
        </is>
      </c>
      <c r="B39" s="16">
        <f>SUMIFS('ব্যয়'!$H$2:$H$20000,'ব্যয়'!$L$2:$L$20000,IF($J$21&gt;=10,$B$21,$B$21+1),'ব্যয়'!$M$2:$M$20000,$J$21,'ব্যয়'!$C$2:$C$20000,A39)</f>
      </c>
    </row>
    <row r="40">
      <c r="A40" s="24" t="inlineStr">
        <is>
          <t>মোট</t>
        </is>
      </c>
      <c r="B40" s="25">
        <f>SUM(B25:B39)</f>
      </c>
    </row>
    <row r="42">
      <c r="A42" s="14" t="inlineStr">
        <is>
          <t>নতুন/নিজস্ব খাত হলে উপরের খাতের নাম বদলে লিখুন; হিসাব অটো আপডেট হবে।</t>
        </is>
      </c>
    </row>
    <row r="43"/>
  </sheetData>
  <sheetProtection sheet="1" objects="1" scenarios="1" formatColumns="0" formatRows="0"/>
  <mergeCells count="5">
    <mergeCell ref="A18:C19"/>
    <mergeCell ref="A1:C1"/>
    <mergeCell ref="A42:C43"/>
    <mergeCell ref="A23:B23"/>
    <mergeCell ref="D1:I1"/>
  </mergeCells>
  <dataValidations count="2">
    <dataValidation sqref="B21" showDropDown="0" showInputMessage="0" showErrorMessage="0" allowBlank="0" type="list">
      <formula1>"1447,1448,1449,1450"</formula1>
    </dataValidation>
    <dataValidation sqref="D21" showDropDown="0" showInputMessage="0" showErrorMessage="0" allowBlank="0" type="list">
      <formula1>"শাওয়াল,জিলকদ,জিলহজ,মুহাররম,সফর,রবিউল আউয়াল,রবিউস সানি,জুমাদাল উলা,জুমাদাল উখরা,রজব,শাবান,রমজান"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2026-08-09T00:34:40Z</dcterms:created>
  <dcterms:modified xmlns:dcterms="http://purl.org/dc/terms/" xmlns:xsi="http://www.w3.org/2001/XMLSchema-instance" xsi:type="dcterms:W3CDTF">2026-08-09T00:34:40Z</dcterms:modified>
</cp:coreProperties>
</file>